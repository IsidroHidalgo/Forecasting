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Mensuales - paro registrado y afiliación\Modelos ParoAfiliación\"/>
    </mc:Choice>
  </mc:AlternateContent>
  <bookViews>
    <workbookView xWindow="120" yWindow="105" windowWidth="18915" windowHeight="11760" tabRatio="441"/>
  </bookViews>
  <sheets>
    <sheet name="Mediana" sheetId="139" r:id="rId1"/>
    <sheet name="SSTotalCLM" sheetId="1" r:id="rId2"/>
  </sheets>
  <externalReferences>
    <externalReference r:id="rId3"/>
  </externalReferences>
  <definedNames>
    <definedName name="Amplitud">SSTotalCLM!$E$63</definedName>
    <definedName name="Inicio">SSTotalCLM!$D$63</definedName>
  </definedNames>
  <calcPr calcId="162913"/>
</workbook>
</file>

<file path=xl/calcChain.xml><?xml version="1.0" encoding="utf-8"?>
<calcChain xmlns="http://schemas.openxmlformats.org/spreadsheetml/2006/main">
  <c r="B445" i="1" l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HA14" i="139" l="1"/>
  <c r="HB14" i="139" s="1"/>
  <c r="HC14" i="139" s="1"/>
  <c r="HD14" i="139" s="1"/>
  <c r="HE14" i="139" s="1"/>
  <c r="HF14" i="139" s="1"/>
  <c r="HG14" i="139" s="1"/>
  <c r="HH14" i="139" s="1"/>
  <c r="HI14" i="139" s="1"/>
  <c r="HJ14" i="139" s="1"/>
  <c r="HK14" i="139" s="1"/>
  <c r="HL14" i="139" s="1"/>
  <c r="HM14" i="139" s="1"/>
  <c r="HN14" i="139" s="1"/>
  <c r="HO14" i="139" s="1"/>
  <c r="HP14" i="139" s="1"/>
  <c r="HQ14" i="139" s="1"/>
  <c r="HR14" i="139" s="1"/>
  <c r="HS14" i="139" s="1"/>
  <c r="HT14" i="139" s="1"/>
  <c r="HU14" i="139" s="1"/>
  <c r="HV14" i="139" s="1"/>
  <c r="HW14" i="139" s="1"/>
  <c r="HX14" i="139" s="1"/>
  <c r="HY14" i="139" s="1"/>
  <c r="HZ14" i="139" s="1"/>
  <c r="IA14" i="139" s="1"/>
  <c r="IB14" i="139" s="1"/>
  <c r="IC14" i="139" s="1"/>
  <c r="ID14" i="139" s="1"/>
  <c r="IE14" i="139" s="1"/>
  <c r="IF14" i="139" s="1"/>
  <c r="IG14" i="139" s="1"/>
  <c r="IH14" i="139" s="1"/>
  <c r="II14" i="139" s="1"/>
  <c r="IJ14" i="139" s="1"/>
  <c r="IK14" i="139" s="1"/>
  <c r="IL14" i="139" s="1"/>
  <c r="IM14" i="139" s="1"/>
  <c r="IN14" i="139" s="1"/>
  <c r="IO14" i="139" s="1"/>
  <c r="IP14" i="139" s="1"/>
  <c r="IQ14" i="139" s="1"/>
  <c r="IR14" i="139" s="1"/>
  <c r="IS14" i="139" s="1"/>
  <c r="IT14" i="139" s="1"/>
  <c r="IU14" i="139" s="1"/>
  <c r="IV14" i="139" s="1"/>
  <c r="IW14" i="139" s="1"/>
  <c r="IX14" i="139" s="1"/>
  <c r="IY14" i="139" s="1"/>
  <c r="IZ14" i="139" s="1"/>
  <c r="JA14" i="139" s="1"/>
  <c r="JB14" i="139" s="1"/>
  <c r="JC14" i="139" s="1"/>
  <c r="JD14" i="139" s="1"/>
  <c r="JE14" i="139" s="1"/>
  <c r="JF14" i="139" s="1"/>
  <c r="JG14" i="139" s="1"/>
  <c r="JH14" i="139" s="1"/>
  <c r="HA13" i="139"/>
  <c r="HB13" i="139" s="1"/>
  <c r="HC13" i="139" s="1"/>
  <c r="HD13" i="139" s="1"/>
  <c r="HE13" i="139" s="1"/>
  <c r="HF13" i="139" s="1"/>
  <c r="HG13" i="139" s="1"/>
  <c r="HH13" i="139" s="1"/>
  <c r="HI13" i="139" s="1"/>
  <c r="HJ13" i="139" s="1"/>
  <c r="HK13" i="139" s="1"/>
  <c r="HL13" i="139" s="1"/>
  <c r="HM13" i="139" s="1"/>
  <c r="HN13" i="139" s="1"/>
  <c r="HO13" i="139" s="1"/>
  <c r="HP13" i="139" s="1"/>
  <c r="HQ13" i="139" s="1"/>
  <c r="HR13" i="139" s="1"/>
  <c r="HS13" i="139" s="1"/>
  <c r="HT13" i="139" s="1"/>
  <c r="HU13" i="139" s="1"/>
  <c r="HV13" i="139" s="1"/>
  <c r="HW13" i="139" s="1"/>
  <c r="HX13" i="139" s="1"/>
  <c r="HY13" i="139" s="1"/>
  <c r="HZ13" i="139" s="1"/>
  <c r="IA13" i="139" s="1"/>
  <c r="IB13" i="139" s="1"/>
  <c r="IC13" i="139" s="1"/>
  <c r="ID13" i="139" s="1"/>
  <c r="IE13" i="139" s="1"/>
  <c r="IF13" i="139" s="1"/>
  <c r="IG13" i="139" s="1"/>
  <c r="IH13" i="139" s="1"/>
  <c r="II13" i="139" s="1"/>
  <c r="IJ13" i="139" s="1"/>
  <c r="IK13" i="139" s="1"/>
  <c r="IL13" i="139" s="1"/>
  <c r="IM13" i="139" s="1"/>
  <c r="IN13" i="139" s="1"/>
  <c r="IO13" i="139" s="1"/>
  <c r="IP13" i="139" s="1"/>
  <c r="IQ13" i="139" s="1"/>
  <c r="IR13" i="139" s="1"/>
  <c r="IS13" i="139" s="1"/>
  <c r="IT13" i="139" s="1"/>
  <c r="IU13" i="139" s="1"/>
  <c r="IV13" i="139" s="1"/>
  <c r="IW13" i="139" s="1"/>
  <c r="IX13" i="139" s="1"/>
  <c r="IY13" i="139" s="1"/>
  <c r="IZ13" i="139" s="1"/>
  <c r="JA13" i="139" s="1"/>
  <c r="JB13" i="139" s="1"/>
  <c r="JC13" i="139" s="1"/>
  <c r="JD13" i="139" s="1"/>
  <c r="JE13" i="139" s="1"/>
  <c r="JF13" i="139" s="1"/>
  <c r="JG13" i="139" s="1"/>
  <c r="JH13" i="139" s="1"/>
  <c r="HA12" i="139"/>
  <c r="HB12" i="139" s="1"/>
  <c r="HC12" i="139" s="1"/>
  <c r="HD12" i="139" s="1"/>
  <c r="HE12" i="139" s="1"/>
  <c r="HF12" i="139" s="1"/>
  <c r="HG12" i="139" s="1"/>
  <c r="HH12" i="139" s="1"/>
  <c r="HI12" i="139" s="1"/>
  <c r="HJ12" i="139" s="1"/>
  <c r="HK12" i="139" s="1"/>
  <c r="HL12" i="139" s="1"/>
  <c r="HM12" i="139" s="1"/>
  <c r="HN12" i="139" s="1"/>
  <c r="HO12" i="139" s="1"/>
  <c r="HP12" i="139" s="1"/>
  <c r="HQ12" i="139" s="1"/>
  <c r="HR12" i="139" s="1"/>
  <c r="HS12" i="139" s="1"/>
  <c r="HT12" i="139" s="1"/>
  <c r="HU12" i="139" s="1"/>
  <c r="HV12" i="139" s="1"/>
  <c r="HW12" i="139" s="1"/>
  <c r="HX12" i="139" s="1"/>
  <c r="HY12" i="139" s="1"/>
  <c r="HZ12" i="139" s="1"/>
  <c r="IA12" i="139" s="1"/>
  <c r="IB12" i="139" s="1"/>
  <c r="IC12" i="139" s="1"/>
  <c r="ID12" i="139" s="1"/>
  <c r="IE12" i="139" s="1"/>
  <c r="IF12" i="139" s="1"/>
  <c r="IG12" i="139" s="1"/>
  <c r="IH12" i="139" s="1"/>
  <c r="II12" i="139" s="1"/>
  <c r="IJ12" i="139" s="1"/>
  <c r="IK12" i="139" s="1"/>
  <c r="IL12" i="139" s="1"/>
  <c r="IM12" i="139" s="1"/>
  <c r="IN12" i="139" s="1"/>
  <c r="IO12" i="139" s="1"/>
  <c r="IP12" i="139" s="1"/>
  <c r="IQ12" i="139" s="1"/>
  <c r="IR12" i="139" s="1"/>
  <c r="IS12" i="139" s="1"/>
  <c r="IT12" i="139" s="1"/>
  <c r="IU12" i="139" s="1"/>
  <c r="IV12" i="139" s="1"/>
  <c r="IW12" i="139" s="1"/>
  <c r="IX12" i="139" s="1"/>
  <c r="IY12" i="139" s="1"/>
  <c r="IZ12" i="139" s="1"/>
  <c r="JA12" i="139" s="1"/>
  <c r="JB12" i="139" s="1"/>
  <c r="JC12" i="139" s="1"/>
  <c r="JD12" i="139" s="1"/>
  <c r="JE12" i="139" s="1"/>
  <c r="JF12" i="139" s="1"/>
  <c r="JG12" i="139" s="1"/>
  <c r="JH12" i="139" s="1"/>
  <c r="HA11" i="139"/>
  <c r="HB11" i="139" s="1"/>
  <c r="HC11" i="139" s="1"/>
  <c r="HD11" i="139" s="1"/>
  <c r="HE11" i="139" s="1"/>
  <c r="HF11" i="139" s="1"/>
  <c r="HG11" i="139" s="1"/>
  <c r="HH11" i="139" s="1"/>
  <c r="HI11" i="139" s="1"/>
  <c r="HJ11" i="139" s="1"/>
  <c r="HK11" i="139" s="1"/>
  <c r="HL11" i="139" s="1"/>
  <c r="HM11" i="139" s="1"/>
  <c r="HN11" i="139" s="1"/>
  <c r="HO11" i="139" s="1"/>
  <c r="HP11" i="139" s="1"/>
  <c r="HQ11" i="139" s="1"/>
  <c r="HR11" i="139" s="1"/>
  <c r="HS11" i="139" s="1"/>
  <c r="HT11" i="139" s="1"/>
  <c r="HU11" i="139" s="1"/>
  <c r="HV11" i="139" s="1"/>
  <c r="HW11" i="139" s="1"/>
  <c r="HX11" i="139" s="1"/>
  <c r="HY11" i="139" s="1"/>
  <c r="HZ11" i="139" s="1"/>
  <c r="IA11" i="139" s="1"/>
  <c r="IB11" i="139" s="1"/>
  <c r="IC11" i="139" s="1"/>
  <c r="ID11" i="139" s="1"/>
  <c r="IE11" i="139" s="1"/>
  <c r="IF11" i="139" s="1"/>
  <c r="IG11" i="139" s="1"/>
  <c r="IH11" i="139" s="1"/>
  <c r="II11" i="139" s="1"/>
  <c r="IJ11" i="139" s="1"/>
  <c r="IK11" i="139" s="1"/>
  <c r="IL11" i="139" s="1"/>
  <c r="IM11" i="139" s="1"/>
  <c r="IN11" i="139" s="1"/>
  <c r="IO11" i="139" s="1"/>
  <c r="IP11" i="139" s="1"/>
  <c r="IQ11" i="139" s="1"/>
  <c r="IR11" i="139" s="1"/>
  <c r="IS11" i="139" s="1"/>
  <c r="IT11" i="139" s="1"/>
  <c r="IU11" i="139" s="1"/>
  <c r="IV11" i="139" s="1"/>
  <c r="IW11" i="139" s="1"/>
  <c r="IX11" i="139" s="1"/>
  <c r="IY11" i="139" s="1"/>
  <c r="IZ11" i="139" s="1"/>
  <c r="JA11" i="139" s="1"/>
  <c r="JB11" i="139" s="1"/>
  <c r="JC11" i="139" s="1"/>
  <c r="JD11" i="139" s="1"/>
  <c r="JE11" i="139" s="1"/>
  <c r="JF11" i="139" s="1"/>
  <c r="JG11" i="139" s="1"/>
  <c r="JH11" i="139" s="1"/>
  <c r="HA10" i="139"/>
  <c r="HB10" i="139" s="1"/>
  <c r="HC10" i="139" s="1"/>
  <c r="HD10" i="139" s="1"/>
  <c r="HE10" i="139" s="1"/>
  <c r="HF10" i="139" s="1"/>
  <c r="HG10" i="139" s="1"/>
  <c r="HH10" i="139" s="1"/>
  <c r="HI10" i="139" s="1"/>
  <c r="HJ10" i="139" s="1"/>
  <c r="HK10" i="139" s="1"/>
  <c r="HL10" i="139" s="1"/>
  <c r="HM10" i="139" s="1"/>
  <c r="HN10" i="139" s="1"/>
  <c r="HO10" i="139" s="1"/>
  <c r="HP10" i="139" s="1"/>
  <c r="HQ10" i="139" s="1"/>
  <c r="HR10" i="139" s="1"/>
  <c r="HS10" i="139" s="1"/>
  <c r="HT10" i="139" s="1"/>
  <c r="HU10" i="139" s="1"/>
  <c r="HV10" i="139" s="1"/>
  <c r="HW10" i="139" s="1"/>
  <c r="HX10" i="139" s="1"/>
  <c r="HY10" i="139" s="1"/>
  <c r="HZ10" i="139" s="1"/>
  <c r="IA10" i="139" s="1"/>
  <c r="IB10" i="139" s="1"/>
  <c r="IC10" i="139" s="1"/>
  <c r="ID10" i="139" s="1"/>
  <c r="IE10" i="139" s="1"/>
  <c r="IF10" i="139" s="1"/>
  <c r="IG10" i="139" s="1"/>
  <c r="IH10" i="139" s="1"/>
  <c r="II10" i="139" s="1"/>
  <c r="IJ10" i="139" s="1"/>
  <c r="IK10" i="139" s="1"/>
  <c r="IL10" i="139" s="1"/>
  <c r="IM10" i="139" s="1"/>
  <c r="IN10" i="139" s="1"/>
  <c r="IO10" i="139" s="1"/>
  <c r="IP10" i="139" s="1"/>
  <c r="IQ10" i="139" s="1"/>
  <c r="IR10" i="139" s="1"/>
  <c r="IS10" i="139" s="1"/>
  <c r="IT10" i="139" s="1"/>
  <c r="IU10" i="139" s="1"/>
  <c r="IV10" i="139" s="1"/>
  <c r="IW10" i="139" s="1"/>
  <c r="IX10" i="139" s="1"/>
  <c r="IY10" i="139" s="1"/>
  <c r="IZ10" i="139" s="1"/>
  <c r="JA10" i="139" s="1"/>
  <c r="JB10" i="139" s="1"/>
  <c r="JC10" i="139" s="1"/>
  <c r="JD10" i="139" s="1"/>
  <c r="JE10" i="139" s="1"/>
  <c r="JF10" i="139" s="1"/>
  <c r="JG10" i="139" s="1"/>
  <c r="JH10" i="139" s="1"/>
  <c r="HA9" i="139"/>
  <c r="HB9" i="139" s="1"/>
  <c r="HC9" i="139" s="1"/>
  <c r="HD9" i="139" s="1"/>
  <c r="HE9" i="139" s="1"/>
  <c r="HF9" i="139" s="1"/>
  <c r="HG9" i="139" s="1"/>
  <c r="HH9" i="139" s="1"/>
  <c r="HI9" i="139" s="1"/>
  <c r="HJ9" i="139" s="1"/>
  <c r="HK9" i="139" s="1"/>
  <c r="HL9" i="139" s="1"/>
  <c r="HM9" i="139" s="1"/>
  <c r="HN9" i="139" s="1"/>
  <c r="HO9" i="139" s="1"/>
  <c r="HP9" i="139" s="1"/>
  <c r="HQ9" i="139" s="1"/>
  <c r="HR9" i="139" s="1"/>
  <c r="HS9" i="139" s="1"/>
  <c r="HT9" i="139" s="1"/>
  <c r="HU9" i="139" s="1"/>
  <c r="HV9" i="139" s="1"/>
  <c r="HW9" i="139" s="1"/>
  <c r="HX9" i="139" s="1"/>
  <c r="HY9" i="139" s="1"/>
  <c r="HZ9" i="139" s="1"/>
  <c r="IA9" i="139" s="1"/>
  <c r="IB9" i="139" s="1"/>
  <c r="IC9" i="139" s="1"/>
  <c r="ID9" i="139" s="1"/>
  <c r="IE9" i="139" s="1"/>
  <c r="IF9" i="139" s="1"/>
  <c r="IG9" i="139" s="1"/>
  <c r="IH9" i="139" s="1"/>
  <c r="II9" i="139" s="1"/>
  <c r="IJ9" i="139" s="1"/>
  <c r="IK9" i="139" s="1"/>
  <c r="IL9" i="139" s="1"/>
  <c r="IM9" i="139" s="1"/>
  <c r="IN9" i="139" s="1"/>
  <c r="IO9" i="139" s="1"/>
  <c r="IP9" i="139" s="1"/>
  <c r="IQ9" i="139" s="1"/>
  <c r="IR9" i="139" s="1"/>
  <c r="IS9" i="139" s="1"/>
  <c r="IT9" i="139" s="1"/>
  <c r="IU9" i="139" s="1"/>
  <c r="IV9" i="139" s="1"/>
  <c r="IW9" i="139" s="1"/>
  <c r="IX9" i="139" s="1"/>
  <c r="IY9" i="139" s="1"/>
  <c r="IZ9" i="139" s="1"/>
  <c r="JA9" i="139" s="1"/>
  <c r="JB9" i="139" s="1"/>
  <c r="JC9" i="139" s="1"/>
  <c r="JD9" i="139" s="1"/>
  <c r="JE9" i="139" s="1"/>
  <c r="JF9" i="139" s="1"/>
  <c r="JG9" i="139" s="1"/>
  <c r="JH9" i="139" s="1"/>
  <c r="HA8" i="139"/>
  <c r="HB8" i="139" s="1"/>
  <c r="HC8" i="139" s="1"/>
  <c r="HD8" i="139" s="1"/>
  <c r="HE8" i="139" s="1"/>
  <c r="HF8" i="139" s="1"/>
  <c r="HG8" i="139" s="1"/>
  <c r="HH8" i="139" s="1"/>
  <c r="HI8" i="139" s="1"/>
  <c r="HJ8" i="139" s="1"/>
  <c r="HK8" i="139" s="1"/>
  <c r="HL8" i="139" s="1"/>
  <c r="HM8" i="139" s="1"/>
  <c r="HN8" i="139" s="1"/>
  <c r="HO8" i="139" s="1"/>
  <c r="HP8" i="139" s="1"/>
  <c r="HQ8" i="139" s="1"/>
  <c r="HR8" i="139" s="1"/>
  <c r="HS8" i="139" s="1"/>
  <c r="HT8" i="139" s="1"/>
  <c r="HU8" i="139" s="1"/>
  <c r="HV8" i="139" s="1"/>
  <c r="HW8" i="139" s="1"/>
  <c r="HX8" i="139" s="1"/>
  <c r="HY8" i="139" s="1"/>
  <c r="HZ8" i="139" s="1"/>
  <c r="IA8" i="139" s="1"/>
  <c r="IB8" i="139" s="1"/>
  <c r="IC8" i="139" s="1"/>
  <c r="ID8" i="139" s="1"/>
  <c r="IE8" i="139" s="1"/>
  <c r="IF8" i="139" s="1"/>
  <c r="IG8" i="139" s="1"/>
  <c r="IH8" i="139" s="1"/>
  <c r="II8" i="139" s="1"/>
  <c r="IJ8" i="139" s="1"/>
  <c r="IK8" i="139" s="1"/>
  <c r="IL8" i="139" s="1"/>
  <c r="IM8" i="139" s="1"/>
  <c r="IN8" i="139" s="1"/>
  <c r="IO8" i="139" s="1"/>
  <c r="IP8" i="139" s="1"/>
  <c r="IQ8" i="139" s="1"/>
  <c r="IR8" i="139" s="1"/>
  <c r="IS8" i="139" s="1"/>
  <c r="IT8" i="139" s="1"/>
  <c r="IU8" i="139" s="1"/>
  <c r="IV8" i="139" s="1"/>
  <c r="IW8" i="139" s="1"/>
  <c r="IX8" i="139" s="1"/>
  <c r="IY8" i="139" s="1"/>
  <c r="IZ8" i="139" s="1"/>
  <c r="JA8" i="139" s="1"/>
  <c r="JB8" i="139" s="1"/>
  <c r="JC8" i="139" s="1"/>
  <c r="JD8" i="139" s="1"/>
  <c r="JE8" i="139" s="1"/>
  <c r="JF8" i="139" s="1"/>
  <c r="JG8" i="139" s="1"/>
  <c r="JH8" i="139" s="1"/>
  <c r="HA7" i="139"/>
  <c r="HB7" i="139" s="1"/>
  <c r="HC7" i="139" s="1"/>
  <c r="HD7" i="139" s="1"/>
  <c r="HE7" i="139" s="1"/>
  <c r="HF7" i="139" s="1"/>
  <c r="HG7" i="139" s="1"/>
  <c r="HH7" i="139" s="1"/>
  <c r="HI7" i="139" s="1"/>
  <c r="HJ7" i="139" s="1"/>
  <c r="HK7" i="139" s="1"/>
  <c r="HL7" i="139" s="1"/>
  <c r="HM7" i="139" s="1"/>
  <c r="HN7" i="139" s="1"/>
  <c r="HO7" i="139" s="1"/>
  <c r="HP7" i="139" s="1"/>
  <c r="HQ7" i="139" s="1"/>
  <c r="HR7" i="139" s="1"/>
  <c r="HS7" i="139" s="1"/>
  <c r="HT7" i="139" s="1"/>
  <c r="HU7" i="139" s="1"/>
  <c r="HV7" i="139" s="1"/>
  <c r="HW7" i="139" s="1"/>
  <c r="HX7" i="139" s="1"/>
  <c r="HY7" i="139" s="1"/>
  <c r="HZ7" i="139" s="1"/>
  <c r="IA7" i="139" s="1"/>
  <c r="IB7" i="139" s="1"/>
  <c r="IC7" i="139" s="1"/>
  <c r="ID7" i="139" s="1"/>
  <c r="IE7" i="139" s="1"/>
  <c r="IF7" i="139" s="1"/>
  <c r="IG7" i="139" s="1"/>
  <c r="IH7" i="139" s="1"/>
  <c r="II7" i="139" s="1"/>
  <c r="IJ7" i="139" s="1"/>
  <c r="IK7" i="139" s="1"/>
  <c r="IL7" i="139" s="1"/>
  <c r="IM7" i="139" s="1"/>
  <c r="IN7" i="139" s="1"/>
  <c r="IO7" i="139" s="1"/>
  <c r="IP7" i="139" s="1"/>
  <c r="IQ7" i="139" s="1"/>
  <c r="IR7" i="139" s="1"/>
  <c r="IS7" i="139" s="1"/>
  <c r="IT7" i="139" s="1"/>
  <c r="IU7" i="139" s="1"/>
  <c r="IV7" i="139" s="1"/>
  <c r="IW7" i="139" s="1"/>
  <c r="IX7" i="139" s="1"/>
  <c r="IY7" i="139" s="1"/>
  <c r="IZ7" i="139" s="1"/>
  <c r="JA7" i="139" s="1"/>
  <c r="JB7" i="139" s="1"/>
  <c r="JC7" i="139" s="1"/>
  <c r="JD7" i="139" s="1"/>
  <c r="JE7" i="139" s="1"/>
  <c r="JF7" i="139" s="1"/>
  <c r="JG7" i="139" s="1"/>
  <c r="JH7" i="139" s="1"/>
  <c r="HA6" i="139"/>
  <c r="HB6" i="139" s="1"/>
  <c r="HC6" i="139" s="1"/>
  <c r="HD6" i="139" s="1"/>
  <c r="HE6" i="139" s="1"/>
  <c r="HF6" i="139" s="1"/>
  <c r="HG6" i="139" s="1"/>
  <c r="HH6" i="139" s="1"/>
  <c r="HI6" i="139" s="1"/>
  <c r="HJ6" i="139" s="1"/>
  <c r="HK6" i="139" s="1"/>
  <c r="HL6" i="139" s="1"/>
  <c r="HM6" i="139" s="1"/>
  <c r="HN6" i="139" s="1"/>
  <c r="HO6" i="139" s="1"/>
  <c r="HP6" i="139" s="1"/>
  <c r="HQ6" i="139" s="1"/>
  <c r="HR6" i="139" s="1"/>
  <c r="HS6" i="139" s="1"/>
  <c r="HT6" i="139" s="1"/>
  <c r="HU6" i="139" s="1"/>
  <c r="HV6" i="139" s="1"/>
  <c r="HW6" i="139" s="1"/>
  <c r="HX6" i="139" s="1"/>
  <c r="HY6" i="139" s="1"/>
  <c r="HZ6" i="139" s="1"/>
  <c r="IA6" i="139" s="1"/>
  <c r="IB6" i="139" s="1"/>
  <c r="IC6" i="139" s="1"/>
  <c r="ID6" i="139" s="1"/>
  <c r="IE6" i="139" s="1"/>
  <c r="IF6" i="139" s="1"/>
  <c r="IG6" i="139" s="1"/>
  <c r="IH6" i="139" s="1"/>
  <c r="II6" i="139" s="1"/>
  <c r="IJ6" i="139" s="1"/>
  <c r="IK6" i="139" s="1"/>
  <c r="IL6" i="139" s="1"/>
  <c r="IM6" i="139" s="1"/>
  <c r="IN6" i="139" s="1"/>
  <c r="IO6" i="139" s="1"/>
  <c r="IP6" i="139" s="1"/>
  <c r="IQ6" i="139" s="1"/>
  <c r="IR6" i="139" s="1"/>
  <c r="IS6" i="139" s="1"/>
  <c r="IT6" i="139" s="1"/>
  <c r="IU6" i="139" s="1"/>
  <c r="IV6" i="139" s="1"/>
  <c r="IW6" i="139" s="1"/>
  <c r="IX6" i="139" s="1"/>
  <c r="IY6" i="139" s="1"/>
  <c r="IZ6" i="139" s="1"/>
  <c r="JA6" i="139" s="1"/>
  <c r="JB6" i="139" s="1"/>
  <c r="JC6" i="139" s="1"/>
  <c r="JD6" i="139" s="1"/>
  <c r="JE6" i="139" s="1"/>
  <c r="JF6" i="139" s="1"/>
  <c r="JG6" i="139" s="1"/>
  <c r="JH6" i="139" s="1"/>
  <c r="HA5" i="139"/>
  <c r="HB5" i="139" s="1"/>
  <c r="HC5" i="139" s="1"/>
  <c r="HD5" i="139" s="1"/>
  <c r="HE5" i="139" s="1"/>
  <c r="HF5" i="139" s="1"/>
  <c r="HG5" i="139" s="1"/>
  <c r="HH5" i="139" s="1"/>
  <c r="HI5" i="139" s="1"/>
  <c r="HJ5" i="139" s="1"/>
  <c r="HK5" i="139" s="1"/>
  <c r="HL5" i="139" s="1"/>
  <c r="HM5" i="139" s="1"/>
  <c r="HN5" i="139" s="1"/>
  <c r="HO5" i="139" s="1"/>
  <c r="HP5" i="139" s="1"/>
  <c r="HQ5" i="139" s="1"/>
  <c r="HR5" i="139" s="1"/>
  <c r="HS5" i="139" s="1"/>
  <c r="HT5" i="139" s="1"/>
  <c r="HU5" i="139" s="1"/>
  <c r="HV5" i="139" s="1"/>
  <c r="HW5" i="139" s="1"/>
  <c r="HX5" i="139" s="1"/>
  <c r="HY5" i="139" s="1"/>
  <c r="HZ5" i="139" s="1"/>
  <c r="IA5" i="139" s="1"/>
  <c r="IB5" i="139" s="1"/>
  <c r="IC5" i="139" s="1"/>
  <c r="ID5" i="139" s="1"/>
  <c r="IE5" i="139" s="1"/>
  <c r="IF5" i="139" s="1"/>
  <c r="IG5" i="139" s="1"/>
  <c r="IH5" i="139" s="1"/>
  <c r="II5" i="139" s="1"/>
  <c r="IJ5" i="139" s="1"/>
  <c r="IK5" i="139" s="1"/>
  <c r="IL5" i="139" s="1"/>
  <c r="IM5" i="139" s="1"/>
  <c r="IN5" i="139" s="1"/>
  <c r="IO5" i="139" s="1"/>
  <c r="IP5" i="139" s="1"/>
  <c r="IQ5" i="139" s="1"/>
  <c r="IR5" i="139" s="1"/>
  <c r="IS5" i="139" s="1"/>
  <c r="IT5" i="139" s="1"/>
  <c r="IU5" i="139" s="1"/>
  <c r="IV5" i="139" s="1"/>
  <c r="IW5" i="139" s="1"/>
  <c r="IX5" i="139" s="1"/>
  <c r="IY5" i="139" s="1"/>
  <c r="IZ5" i="139" s="1"/>
  <c r="JA5" i="139" s="1"/>
  <c r="JB5" i="139" s="1"/>
  <c r="JC5" i="139" s="1"/>
  <c r="JD5" i="139" s="1"/>
  <c r="JE5" i="139" s="1"/>
  <c r="JF5" i="139" s="1"/>
  <c r="JG5" i="139" s="1"/>
  <c r="JH5" i="139" s="1"/>
  <c r="HA4" i="139"/>
  <c r="HB4" i="139" s="1"/>
  <c r="HC4" i="139" s="1"/>
  <c r="HD4" i="139" s="1"/>
  <c r="HE4" i="139" s="1"/>
  <c r="HF4" i="139" s="1"/>
  <c r="HG4" i="139" s="1"/>
  <c r="HH4" i="139" s="1"/>
  <c r="HI4" i="139" s="1"/>
  <c r="HJ4" i="139" s="1"/>
  <c r="HK4" i="139" s="1"/>
  <c r="HL4" i="139" s="1"/>
  <c r="HM4" i="139" s="1"/>
  <c r="HN4" i="139" s="1"/>
  <c r="HO4" i="139" s="1"/>
  <c r="HP4" i="139" s="1"/>
  <c r="HQ4" i="139" s="1"/>
  <c r="HR4" i="139" s="1"/>
  <c r="HS4" i="139" s="1"/>
  <c r="HT4" i="139" s="1"/>
  <c r="HU4" i="139" s="1"/>
  <c r="HV4" i="139" s="1"/>
  <c r="HW4" i="139" s="1"/>
  <c r="HX4" i="139" s="1"/>
  <c r="HY4" i="139" s="1"/>
  <c r="HZ4" i="139" s="1"/>
  <c r="IA4" i="139" s="1"/>
  <c r="IB4" i="139" s="1"/>
  <c r="IC4" i="139" s="1"/>
  <c r="ID4" i="139" s="1"/>
  <c r="IE4" i="139" s="1"/>
  <c r="IF4" i="139" s="1"/>
  <c r="IG4" i="139" s="1"/>
  <c r="IH4" i="139" s="1"/>
  <c r="II4" i="139" s="1"/>
  <c r="IJ4" i="139" s="1"/>
  <c r="IK4" i="139" s="1"/>
  <c r="IL4" i="139" s="1"/>
  <c r="IM4" i="139" s="1"/>
  <c r="IN4" i="139" s="1"/>
  <c r="IO4" i="139" s="1"/>
  <c r="IP4" i="139" s="1"/>
  <c r="IQ4" i="139" s="1"/>
  <c r="IR4" i="139" s="1"/>
  <c r="IS4" i="139" s="1"/>
  <c r="IT4" i="139" s="1"/>
  <c r="IU4" i="139" s="1"/>
  <c r="IV4" i="139" s="1"/>
  <c r="IW4" i="139" s="1"/>
  <c r="IX4" i="139" s="1"/>
  <c r="IY4" i="139" s="1"/>
  <c r="IZ4" i="139" s="1"/>
  <c r="JA4" i="139" s="1"/>
  <c r="JB4" i="139" s="1"/>
  <c r="JC4" i="139" s="1"/>
  <c r="JD4" i="139" s="1"/>
  <c r="JE4" i="139" s="1"/>
  <c r="JF4" i="139" s="1"/>
  <c r="JG4" i="139" s="1"/>
  <c r="JH4" i="139" s="1"/>
  <c r="HA3" i="139"/>
  <c r="HB3" i="139" s="1"/>
  <c r="HC3" i="139" s="1"/>
  <c r="HD3" i="139" s="1"/>
  <c r="HE3" i="139" s="1"/>
  <c r="HF3" i="139" s="1"/>
  <c r="HG3" i="139" s="1"/>
  <c r="HH3" i="139" s="1"/>
  <c r="HI3" i="139" s="1"/>
  <c r="HJ3" i="139" s="1"/>
  <c r="HK3" i="139" s="1"/>
  <c r="HL3" i="139" s="1"/>
  <c r="HM3" i="139" s="1"/>
  <c r="HN3" i="139" s="1"/>
  <c r="HO3" i="139" s="1"/>
  <c r="HP3" i="139" s="1"/>
  <c r="HQ3" i="139" s="1"/>
  <c r="HR3" i="139" s="1"/>
  <c r="HS3" i="139" s="1"/>
  <c r="HT3" i="139" s="1"/>
  <c r="HU3" i="139" s="1"/>
  <c r="HV3" i="139" s="1"/>
  <c r="HW3" i="139" s="1"/>
  <c r="HX3" i="139" s="1"/>
  <c r="HY3" i="139" s="1"/>
  <c r="HZ3" i="139" s="1"/>
  <c r="IA3" i="139" s="1"/>
  <c r="IB3" i="139" s="1"/>
  <c r="IC3" i="139" s="1"/>
  <c r="ID3" i="139" s="1"/>
  <c r="IE3" i="139" s="1"/>
  <c r="IF3" i="139" s="1"/>
  <c r="IG3" i="139" s="1"/>
  <c r="IH3" i="139" s="1"/>
  <c r="II3" i="139" s="1"/>
  <c r="IJ3" i="139" s="1"/>
  <c r="IK3" i="139" s="1"/>
  <c r="IL3" i="139" s="1"/>
  <c r="IM3" i="139" s="1"/>
  <c r="IN3" i="139" s="1"/>
  <c r="IO3" i="139" s="1"/>
  <c r="IP3" i="139" s="1"/>
  <c r="IQ3" i="139" s="1"/>
  <c r="IR3" i="139" s="1"/>
  <c r="IS3" i="139" s="1"/>
  <c r="IT3" i="139" s="1"/>
  <c r="IU3" i="139" s="1"/>
  <c r="IV3" i="139" s="1"/>
  <c r="IW3" i="139" s="1"/>
  <c r="IX3" i="139" s="1"/>
  <c r="IY3" i="139" s="1"/>
  <c r="IZ3" i="139" s="1"/>
  <c r="JA3" i="139" s="1"/>
  <c r="JB3" i="139" s="1"/>
  <c r="JC3" i="139" s="1"/>
  <c r="JD3" i="139" s="1"/>
  <c r="JE3" i="139" s="1"/>
  <c r="JF3" i="139" s="1"/>
  <c r="JG3" i="139" s="1"/>
  <c r="JH3" i="139" s="1"/>
  <c r="D63" i="1" l="1"/>
  <c r="IU91" i="139" l="1"/>
  <c r="GZ28" i="139"/>
  <c r="GZ36" i="139" s="1"/>
  <c r="GZ63" i="139" s="1"/>
  <c r="HD28" i="139"/>
  <c r="HD36" i="139" s="1"/>
  <c r="HD63" i="139" s="1"/>
  <c r="HH28" i="139"/>
  <c r="HI28" i="139"/>
  <c r="HI31" i="139" s="1"/>
  <c r="HI58" i="139" s="1"/>
  <c r="HL28" i="139"/>
  <c r="HL30" i="139" s="1"/>
  <c r="HL57" i="139" s="1"/>
  <c r="HP28" i="139"/>
  <c r="HP40" i="139" s="1"/>
  <c r="HP67" i="139" s="1"/>
  <c r="HT28" i="139"/>
  <c r="HT32" i="139" s="1"/>
  <c r="HT59" i="139" s="1"/>
  <c r="HX28" i="139"/>
  <c r="HX36" i="139" s="1"/>
  <c r="HX63" i="139" s="1"/>
  <c r="IB28" i="139"/>
  <c r="IB36" i="139" s="1"/>
  <c r="IB63" i="139" s="1"/>
  <c r="IC28" i="139"/>
  <c r="IF28" i="139"/>
  <c r="IF35" i="139" s="1"/>
  <c r="IF62" i="139" s="1"/>
  <c r="IJ28" i="139"/>
  <c r="IJ30" i="139" s="1"/>
  <c r="IJ57" i="139" s="1"/>
  <c r="IN28" i="139"/>
  <c r="IN39" i="139" s="1"/>
  <c r="IN66" i="139" s="1"/>
  <c r="IR28" i="139"/>
  <c r="IR32" i="139" s="1"/>
  <c r="IR59" i="139" s="1"/>
  <c r="IV28" i="139"/>
  <c r="IV36" i="139" s="1"/>
  <c r="IV63" i="139" s="1"/>
  <c r="IW28" i="139"/>
  <c r="IW31" i="139" s="1"/>
  <c r="IW58" i="139" s="1"/>
  <c r="IZ28" i="139"/>
  <c r="IZ35" i="139" s="1"/>
  <c r="IZ62" i="139" s="1"/>
  <c r="JD28" i="139"/>
  <c r="JD40" i="139" s="1"/>
  <c r="JD67" i="139" s="1"/>
  <c r="JH28" i="139"/>
  <c r="JH35" i="139" s="1"/>
  <c r="JH62" i="139" s="1"/>
  <c r="HH30" i="139"/>
  <c r="HH57" i="139" s="1"/>
  <c r="JD31" i="139"/>
  <c r="JD58" i="139" s="1"/>
  <c r="HX35" i="139"/>
  <c r="HX62" i="139" s="1"/>
  <c r="HP38" i="139"/>
  <c r="HP65" i="139" s="1"/>
  <c r="IR38" i="139"/>
  <c r="IR65" i="139" s="1"/>
  <c r="JD38" i="139"/>
  <c r="JD65" i="139" s="1"/>
  <c r="IJ39" i="139"/>
  <c r="IJ66" i="139" s="1"/>
  <c r="HD40" i="139"/>
  <c r="HD67" i="139" s="1"/>
  <c r="IB40" i="139"/>
  <c r="IB67" i="139" s="1"/>
  <c r="HA83" i="139"/>
  <c r="HB83" i="139"/>
  <c r="HD83" i="139"/>
  <c r="HE83" i="139"/>
  <c r="HF83" i="139"/>
  <c r="HH83" i="139"/>
  <c r="HI83" i="139"/>
  <c r="HJ83" i="139"/>
  <c r="HL83" i="139"/>
  <c r="HM83" i="139"/>
  <c r="HN83" i="139"/>
  <c r="HP83" i="139"/>
  <c r="HQ83" i="139"/>
  <c r="HR83" i="139"/>
  <c r="HT83" i="139"/>
  <c r="HU83" i="139"/>
  <c r="HV83" i="139"/>
  <c r="HX83" i="139"/>
  <c r="HY83" i="139"/>
  <c r="HZ83" i="139"/>
  <c r="IB83" i="139"/>
  <c r="IC83" i="139"/>
  <c r="ID83" i="139"/>
  <c r="IF83" i="139"/>
  <c r="IG83" i="139"/>
  <c r="IH83" i="139"/>
  <c r="IJ83" i="139"/>
  <c r="IK83" i="139"/>
  <c r="IL83" i="139"/>
  <c r="IN83" i="139"/>
  <c r="IO83" i="139"/>
  <c r="IP83" i="139"/>
  <c r="IR83" i="139"/>
  <c r="IS83" i="139"/>
  <c r="IT83" i="139"/>
  <c r="IV83" i="139"/>
  <c r="IW83" i="139"/>
  <c r="IX83" i="139"/>
  <c r="IZ83" i="139"/>
  <c r="JA83" i="139"/>
  <c r="JB83" i="139"/>
  <c r="JD83" i="139"/>
  <c r="JE83" i="139"/>
  <c r="JF83" i="139"/>
  <c r="JH83" i="139"/>
  <c r="HA84" i="139"/>
  <c r="HC84" i="139"/>
  <c r="HD84" i="139"/>
  <c r="HE84" i="139"/>
  <c r="HG84" i="139"/>
  <c r="HH84" i="139"/>
  <c r="HI84" i="139"/>
  <c r="HK84" i="139"/>
  <c r="HL84" i="139"/>
  <c r="HM84" i="139"/>
  <c r="HO84" i="139"/>
  <c r="HP84" i="139"/>
  <c r="HQ84" i="139"/>
  <c r="HS84" i="139"/>
  <c r="HT84" i="139"/>
  <c r="HU84" i="139"/>
  <c r="HW84" i="139"/>
  <c r="HX84" i="139"/>
  <c r="HY84" i="139"/>
  <c r="IA84" i="139"/>
  <c r="IB84" i="139"/>
  <c r="IC84" i="139"/>
  <c r="IE84" i="139"/>
  <c r="IF84" i="139"/>
  <c r="IG84" i="139"/>
  <c r="II84" i="139"/>
  <c r="IJ84" i="139"/>
  <c r="IK84" i="139"/>
  <c r="IM84" i="139"/>
  <c r="IN84" i="139"/>
  <c r="IO84" i="139"/>
  <c r="IQ84" i="139"/>
  <c r="IR84" i="139"/>
  <c r="IS84" i="139"/>
  <c r="IU84" i="139"/>
  <c r="IV84" i="139"/>
  <c r="IW84" i="139"/>
  <c r="IY84" i="139"/>
  <c r="IZ84" i="139"/>
  <c r="JA84" i="139"/>
  <c r="JC84" i="139"/>
  <c r="JD84" i="139"/>
  <c r="JE84" i="139"/>
  <c r="JG84" i="139"/>
  <c r="JH84" i="139"/>
  <c r="HB85" i="139"/>
  <c r="HC85" i="139"/>
  <c r="HD85" i="139"/>
  <c r="HF85" i="139"/>
  <c r="HG85" i="139"/>
  <c r="HH85" i="139"/>
  <c r="HJ85" i="139"/>
  <c r="HK85" i="139"/>
  <c r="HL85" i="139"/>
  <c r="HN85" i="139"/>
  <c r="HO85" i="139"/>
  <c r="HP85" i="139"/>
  <c r="HR85" i="139"/>
  <c r="HS85" i="139"/>
  <c r="HT85" i="139"/>
  <c r="HV85" i="139"/>
  <c r="HW85" i="139"/>
  <c r="HX85" i="139"/>
  <c r="HZ85" i="139"/>
  <c r="IA85" i="139"/>
  <c r="IB85" i="139"/>
  <c r="ID85" i="139"/>
  <c r="IE85" i="139"/>
  <c r="IF85" i="139"/>
  <c r="IH85" i="139"/>
  <c r="II85" i="139"/>
  <c r="IJ85" i="139"/>
  <c r="IL85" i="139"/>
  <c r="IM85" i="139"/>
  <c r="IN85" i="139"/>
  <c r="IP85" i="139"/>
  <c r="IQ85" i="139"/>
  <c r="IR85" i="139"/>
  <c r="IT85" i="139"/>
  <c r="IU85" i="139"/>
  <c r="IV85" i="139"/>
  <c r="IX85" i="139"/>
  <c r="IY85" i="139"/>
  <c r="IZ85" i="139"/>
  <c r="JB85" i="139"/>
  <c r="JC85" i="139"/>
  <c r="JD85" i="139"/>
  <c r="JF85" i="139"/>
  <c r="JG85" i="139"/>
  <c r="JH85" i="139"/>
  <c r="HA86" i="139"/>
  <c r="HB86" i="139"/>
  <c r="HC86" i="139"/>
  <c r="HE86" i="139"/>
  <c r="HF86" i="139"/>
  <c r="HG86" i="139"/>
  <c r="HI86" i="139"/>
  <c r="HJ86" i="139"/>
  <c r="HK86" i="139"/>
  <c r="HM86" i="139"/>
  <c r="HN86" i="139"/>
  <c r="HO86" i="139"/>
  <c r="HQ86" i="139"/>
  <c r="HR86" i="139"/>
  <c r="HS86" i="139"/>
  <c r="HU86" i="139"/>
  <c r="HV86" i="139"/>
  <c r="HW86" i="139"/>
  <c r="HY86" i="139"/>
  <c r="HZ86" i="139"/>
  <c r="IA86" i="139"/>
  <c r="IC86" i="139"/>
  <c r="ID86" i="139"/>
  <c r="IE86" i="139"/>
  <c r="IG86" i="139"/>
  <c r="IH86" i="139"/>
  <c r="II86" i="139"/>
  <c r="IK86" i="139"/>
  <c r="IL86" i="139"/>
  <c r="IM86" i="139"/>
  <c r="IO86" i="139"/>
  <c r="IP86" i="139"/>
  <c r="IQ86" i="139"/>
  <c r="IS86" i="139"/>
  <c r="IT86" i="139"/>
  <c r="IU86" i="139"/>
  <c r="IW86" i="139"/>
  <c r="IX86" i="139"/>
  <c r="IY86" i="139"/>
  <c r="JA86" i="139"/>
  <c r="JB86" i="139"/>
  <c r="JC86" i="139"/>
  <c r="JE86" i="139"/>
  <c r="JF86" i="139"/>
  <c r="JG86" i="139"/>
  <c r="HA87" i="139"/>
  <c r="HB87" i="139"/>
  <c r="HD87" i="139"/>
  <c r="HE87" i="139"/>
  <c r="HF87" i="139"/>
  <c r="HH87" i="139"/>
  <c r="HI87" i="139"/>
  <c r="HJ87" i="139"/>
  <c r="HL87" i="139"/>
  <c r="HM87" i="139"/>
  <c r="HN87" i="139"/>
  <c r="HP87" i="139"/>
  <c r="HQ87" i="139"/>
  <c r="HR87" i="139"/>
  <c r="HT87" i="139"/>
  <c r="HU87" i="139"/>
  <c r="HV87" i="139"/>
  <c r="HX87" i="139"/>
  <c r="HY87" i="139"/>
  <c r="HZ87" i="139"/>
  <c r="IB87" i="139"/>
  <c r="IC87" i="139"/>
  <c r="ID87" i="139"/>
  <c r="IF87" i="139"/>
  <c r="IG87" i="139"/>
  <c r="IH87" i="139"/>
  <c r="IJ87" i="139"/>
  <c r="IK87" i="139"/>
  <c r="IL87" i="139"/>
  <c r="IN87" i="139"/>
  <c r="IO87" i="139"/>
  <c r="IP87" i="139"/>
  <c r="IR87" i="139"/>
  <c r="IS87" i="139"/>
  <c r="IT87" i="139"/>
  <c r="IV87" i="139"/>
  <c r="IW87" i="139"/>
  <c r="IX87" i="139"/>
  <c r="IZ87" i="139"/>
  <c r="JA87" i="139"/>
  <c r="JB87" i="139"/>
  <c r="JD87" i="139"/>
  <c r="JE87" i="139"/>
  <c r="JF87" i="139"/>
  <c r="JH87" i="139"/>
  <c r="HA88" i="139"/>
  <c r="HC88" i="139"/>
  <c r="HD88" i="139"/>
  <c r="HE88" i="139"/>
  <c r="HG88" i="139"/>
  <c r="HH88" i="139"/>
  <c r="HI88" i="139"/>
  <c r="HK88" i="139"/>
  <c r="HL88" i="139"/>
  <c r="HM88" i="139"/>
  <c r="HO88" i="139"/>
  <c r="HP88" i="139"/>
  <c r="HQ88" i="139"/>
  <c r="HS88" i="139"/>
  <c r="HT88" i="139"/>
  <c r="HU88" i="139"/>
  <c r="HW88" i="139"/>
  <c r="HX88" i="139"/>
  <c r="HY88" i="139"/>
  <c r="IA88" i="139"/>
  <c r="IB88" i="139"/>
  <c r="IC88" i="139"/>
  <c r="IE88" i="139"/>
  <c r="IF88" i="139"/>
  <c r="IG88" i="139"/>
  <c r="II88" i="139"/>
  <c r="IJ88" i="139"/>
  <c r="IK88" i="139"/>
  <c r="IM88" i="139"/>
  <c r="IN88" i="139"/>
  <c r="IO88" i="139"/>
  <c r="IQ88" i="139"/>
  <c r="IR88" i="139"/>
  <c r="IS88" i="139"/>
  <c r="IU88" i="139"/>
  <c r="IV88" i="139"/>
  <c r="IW88" i="139"/>
  <c r="IY88" i="139"/>
  <c r="IZ88" i="139"/>
  <c r="JA88" i="139"/>
  <c r="JC88" i="139"/>
  <c r="JD88" i="139"/>
  <c r="JE88" i="139"/>
  <c r="JG88" i="139"/>
  <c r="JH88" i="139"/>
  <c r="HB89" i="139"/>
  <c r="HC89" i="139"/>
  <c r="HD89" i="139"/>
  <c r="HF89" i="139"/>
  <c r="HG89" i="139"/>
  <c r="HH89" i="139"/>
  <c r="HJ89" i="139"/>
  <c r="HK89" i="139"/>
  <c r="HL89" i="139"/>
  <c r="HN89" i="139"/>
  <c r="HO89" i="139"/>
  <c r="HP89" i="139"/>
  <c r="HR89" i="139"/>
  <c r="HS89" i="139"/>
  <c r="HT89" i="139"/>
  <c r="HV89" i="139"/>
  <c r="HW89" i="139"/>
  <c r="HX89" i="139"/>
  <c r="HZ89" i="139"/>
  <c r="IA89" i="139"/>
  <c r="IB89" i="139"/>
  <c r="ID89" i="139"/>
  <c r="IE89" i="139"/>
  <c r="IF89" i="139"/>
  <c r="IH89" i="139"/>
  <c r="II89" i="139"/>
  <c r="IJ89" i="139"/>
  <c r="IL89" i="139"/>
  <c r="IM89" i="139"/>
  <c r="IN89" i="139"/>
  <c r="IP89" i="139"/>
  <c r="IQ89" i="139"/>
  <c r="IR89" i="139"/>
  <c r="IT89" i="139"/>
  <c r="IU89" i="139"/>
  <c r="IV89" i="139"/>
  <c r="IX89" i="139"/>
  <c r="IY89" i="139"/>
  <c r="IZ89" i="139"/>
  <c r="JB89" i="139"/>
  <c r="JC89" i="139"/>
  <c r="JD89" i="139"/>
  <c r="JF89" i="139"/>
  <c r="JG89" i="139"/>
  <c r="JH89" i="139"/>
  <c r="HA90" i="139"/>
  <c r="HB90" i="139"/>
  <c r="HC90" i="139"/>
  <c r="HE90" i="139"/>
  <c r="HF90" i="139"/>
  <c r="HG90" i="139"/>
  <c r="HI90" i="139"/>
  <c r="HJ90" i="139"/>
  <c r="HK90" i="139"/>
  <c r="HM90" i="139"/>
  <c r="HN90" i="139"/>
  <c r="HO90" i="139"/>
  <c r="HQ90" i="139"/>
  <c r="HR90" i="139"/>
  <c r="HS90" i="139"/>
  <c r="HU90" i="139"/>
  <c r="HV90" i="139"/>
  <c r="HW90" i="139"/>
  <c r="HY90" i="139"/>
  <c r="HZ90" i="139"/>
  <c r="IA90" i="139"/>
  <c r="IC90" i="139"/>
  <c r="ID90" i="139"/>
  <c r="IE90" i="139"/>
  <c r="IG90" i="139"/>
  <c r="IH90" i="139"/>
  <c r="II90" i="139"/>
  <c r="IK90" i="139"/>
  <c r="IL90" i="139"/>
  <c r="IM90" i="139"/>
  <c r="IO90" i="139"/>
  <c r="IP90" i="139"/>
  <c r="IQ90" i="139"/>
  <c r="IS90" i="139"/>
  <c r="IT90" i="139"/>
  <c r="IU90" i="139"/>
  <c r="IW90" i="139"/>
  <c r="IX90" i="139"/>
  <c r="IY90" i="139"/>
  <c r="JA90" i="139"/>
  <c r="JB90" i="139"/>
  <c r="JC90" i="139"/>
  <c r="JE90" i="139"/>
  <c r="JF90" i="139"/>
  <c r="JG90" i="139"/>
  <c r="HA91" i="139"/>
  <c r="HB91" i="139"/>
  <c r="HD91" i="139"/>
  <c r="HE91" i="139"/>
  <c r="HF91" i="139"/>
  <c r="HH91" i="139"/>
  <c r="HI91" i="139"/>
  <c r="HJ91" i="139"/>
  <c r="HL91" i="139"/>
  <c r="HM91" i="139"/>
  <c r="HN91" i="139"/>
  <c r="HP91" i="139"/>
  <c r="HQ91" i="139"/>
  <c r="HR91" i="139"/>
  <c r="HT91" i="139"/>
  <c r="HU91" i="139"/>
  <c r="HV91" i="139"/>
  <c r="HX91" i="139"/>
  <c r="HY91" i="139"/>
  <c r="HZ91" i="139"/>
  <c r="IB91" i="139"/>
  <c r="IC91" i="139"/>
  <c r="ID91" i="139"/>
  <c r="IF91" i="139"/>
  <c r="IG91" i="139"/>
  <c r="IH91" i="139"/>
  <c r="IJ91" i="139"/>
  <c r="IK91" i="139"/>
  <c r="IL91" i="139"/>
  <c r="IN91" i="139"/>
  <c r="IO91" i="139"/>
  <c r="IP91" i="139"/>
  <c r="IR91" i="139"/>
  <c r="IS91" i="139"/>
  <c r="IT91" i="139"/>
  <c r="IV91" i="139"/>
  <c r="IW91" i="139"/>
  <c r="IX91" i="139"/>
  <c r="IZ91" i="139"/>
  <c r="JA91" i="139"/>
  <c r="JB91" i="139"/>
  <c r="JD91" i="139"/>
  <c r="JE91" i="139"/>
  <c r="JF91" i="139"/>
  <c r="JH91" i="139"/>
  <c r="HA92" i="139"/>
  <c r="HC92" i="139"/>
  <c r="HD92" i="139"/>
  <c r="HE92" i="139"/>
  <c r="HG92" i="139"/>
  <c r="HH92" i="139"/>
  <c r="HI92" i="139"/>
  <c r="HK92" i="139"/>
  <c r="HL92" i="139"/>
  <c r="HM92" i="139"/>
  <c r="HO92" i="139"/>
  <c r="HP92" i="139"/>
  <c r="HQ92" i="139"/>
  <c r="HS92" i="139"/>
  <c r="HT92" i="139"/>
  <c r="HU92" i="139"/>
  <c r="HW92" i="139"/>
  <c r="HX92" i="139"/>
  <c r="HY92" i="139"/>
  <c r="IA92" i="139"/>
  <c r="IB92" i="139"/>
  <c r="IC92" i="139"/>
  <c r="IE92" i="139"/>
  <c r="IF92" i="139"/>
  <c r="IG92" i="139"/>
  <c r="II92" i="139"/>
  <c r="IJ92" i="139"/>
  <c r="IK92" i="139"/>
  <c r="IM92" i="139"/>
  <c r="IN92" i="139"/>
  <c r="IO92" i="139"/>
  <c r="IQ92" i="139"/>
  <c r="IR92" i="139"/>
  <c r="IS92" i="139"/>
  <c r="IU92" i="139"/>
  <c r="IV92" i="139"/>
  <c r="IW92" i="139"/>
  <c r="IY92" i="139"/>
  <c r="IZ92" i="139"/>
  <c r="JA92" i="139"/>
  <c r="JC92" i="139"/>
  <c r="JD92" i="139"/>
  <c r="JE92" i="139"/>
  <c r="JG92" i="139"/>
  <c r="JH92" i="139"/>
  <c r="HB93" i="139"/>
  <c r="HC93" i="139"/>
  <c r="HD93" i="139"/>
  <c r="HF93" i="139"/>
  <c r="HG93" i="139"/>
  <c r="HH93" i="139"/>
  <c r="HJ93" i="139"/>
  <c r="HK93" i="139"/>
  <c r="HL93" i="139"/>
  <c r="HN93" i="139"/>
  <c r="HO93" i="139"/>
  <c r="HP93" i="139"/>
  <c r="HR93" i="139"/>
  <c r="HS93" i="139"/>
  <c r="HT93" i="139"/>
  <c r="HV93" i="139"/>
  <c r="HW93" i="139"/>
  <c r="HX93" i="139"/>
  <c r="HZ93" i="139"/>
  <c r="IA93" i="139"/>
  <c r="IB93" i="139"/>
  <c r="ID93" i="139"/>
  <c r="IE93" i="139"/>
  <c r="IF93" i="139"/>
  <c r="IH93" i="139"/>
  <c r="II93" i="139"/>
  <c r="IJ93" i="139"/>
  <c r="IL93" i="139"/>
  <c r="IM93" i="139"/>
  <c r="IN93" i="139"/>
  <c r="IP93" i="139"/>
  <c r="IQ93" i="139"/>
  <c r="IR93" i="139"/>
  <c r="IT93" i="139"/>
  <c r="IU93" i="139"/>
  <c r="IV93" i="139"/>
  <c r="IX93" i="139"/>
  <c r="IY93" i="139"/>
  <c r="IZ93" i="139"/>
  <c r="JB93" i="139"/>
  <c r="JC93" i="139"/>
  <c r="JD93" i="139"/>
  <c r="JF93" i="139"/>
  <c r="JG93" i="139"/>
  <c r="JH93" i="139"/>
  <c r="HA94" i="139"/>
  <c r="HB94" i="139"/>
  <c r="HC94" i="139"/>
  <c r="HE94" i="139"/>
  <c r="HF94" i="139"/>
  <c r="HG94" i="139"/>
  <c r="HI94" i="139"/>
  <c r="HJ94" i="139"/>
  <c r="HK94" i="139"/>
  <c r="HM94" i="139"/>
  <c r="HN94" i="139"/>
  <c r="HO94" i="139"/>
  <c r="HQ94" i="139"/>
  <c r="HR94" i="139"/>
  <c r="HS94" i="139"/>
  <c r="HU94" i="139"/>
  <c r="HV94" i="139"/>
  <c r="HW94" i="139"/>
  <c r="HY94" i="139"/>
  <c r="HZ94" i="139"/>
  <c r="IA94" i="139"/>
  <c r="IC94" i="139"/>
  <c r="ID94" i="139"/>
  <c r="IE94" i="139"/>
  <c r="IG94" i="139"/>
  <c r="IH94" i="139"/>
  <c r="II94" i="139"/>
  <c r="IK94" i="139"/>
  <c r="IL94" i="139"/>
  <c r="IM94" i="139"/>
  <c r="IO94" i="139"/>
  <c r="IP94" i="139"/>
  <c r="IQ94" i="139"/>
  <c r="IS94" i="139"/>
  <c r="IT94" i="139"/>
  <c r="IU94" i="139"/>
  <c r="IW94" i="139"/>
  <c r="IX94" i="139"/>
  <c r="IY94" i="139"/>
  <c r="JA94" i="139"/>
  <c r="JB94" i="139"/>
  <c r="JC94" i="139"/>
  <c r="JE94" i="139"/>
  <c r="JF94" i="139"/>
  <c r="JG94" i="139"/>
  <c r="IW34" i="139" l="1"/>
  <c r="IW61" i="139" s="1"/>
  <c r="HI33" i="139"/>
  <c r="HI60" i="139" s="1"/>
  <c r="IZ38" i="139"/>
  <c r="IZ65" i="139" s="1"/>
  <c r="HL35" i="139"/>
  <c r="HL62" i="139" s="1"/>
  <c r="IZ31" i="139"/>
  <c r="IZ58" i="139" s="1"/>
  <c r="HL40" i="139"/>
  <c r="HL67" i="139" s="1"/>
  <c r="IZ34" i="139"/>
  <c r="IZ61" i="139" s="1"/>
  <c r="IZ30" i="139"/>
  <c r="IZ57" i="139" s="1"/>
  <c r="HL38" i="139"/>
  <c r="HL65" i="139" s="1"/>
  <c r="IF34" i="139"/>
  <c r="IF61" i="139" s="1"/>
  <c r="IF39" i="139"/>
  <c r="IF66" i="139" s="1"/>
  <c r="HD31" i="139"/>
  <c r="HD58" i="139" s="1"/>
  <c r="IZ40" i="139"/>
  <c r="IZ67" i="139" s="1"/>
  <c r="HX39" i="139"/>
  <c r="HX66" i="139" s="1"/>
  <c r="HD38" i="139"/>
  <c r="HD65" i="139" s="1"/>
  <c r="IJ34" i="139"/>
  <c r="IJ61" i="139" s="1"/>
  <c r="GZ31" i="139"/>
  <c r="GZ58" i="139" s="1"/>
  <c r="IR39" i="139"/>
  <c r="IR66" i="139" s="1"/>
  <c r="HL39" i="139"/>
  <c r="HL66" i="139" s="1"/>
  <c r="HX38" i="139"/>
  <c r="HX65" i="139" s="1"/>
  <c r="GZ35" i="139"/>
  <c r="GZ62" i="139" s="1"/>
  <c r="HP34" i="139"/>
  <c r="HP61" i="139" s="1"/>
  <c r="HT31" i="139"/>
  <c r="HT58" i="139" s="1"/>
  <c r="HT30" i="139"/>
  <c r="HT57" i="139" s="1"/>
  <c r="IR40" i="139"/>
  <c r="IR67" i="139" s="1"/>
  <c r="GZ39" i="139"/>
  <c r="GZ66" i="139" s="1"/>
  <c r="HT38" i="139"/>
  <c r="HT65" i="139" s="1"/>
  <c r="IJ35" i="139"/>
  <c r="IJ62" i="139" s="1"/>
  <c r="JD34" i="139"/>
  <c r="JD61" i="139" s="1"/>
  <c r="HD34" i="139"/>
  <c r="HD61" i="139" s="1"/>
  <c r="HL31" i="139"/>
  <c r="HL58" i="139" s="1"/>
  <c r="JH40" i="139"/>
  <c r="JH67" i="139" s="1"/>
  <c r="JD39" i="139"/>
  <c r="JD66" i="139" s="1"/>
  <c r="HP39" i="139"/>
  <c r="HP66" i="139" s="1"/>
  <c r="IJ38" i="139"/>
  <c r="IJ65" i="139" s="1"/>
  <c r="HD35" i="139"/>
  <c r="HD62" i="139" s="1"/>
  <c r="IJ31" i="139"/>
  <c r="IJ58" i="139" s="1"/>
  <c r="IJ40" i="139"/>
  <c r="IJ67" i="139" s="1"/>
  <c r="IZ39" i="139"/>
  <c r="IZ66" i="139" s="1"/>
  <c r="HT39" i="139"/>
  <c r="HT66" i="139" s="1"/>
  <c r="JH38" i="139"/>
  <c r="JH65" i="139" s="1"/>
  <c r="IF38" i="139"/>
  <c r="IF65" i="139" s="1"/>
  <c r="GZ38" i="139"/>
  <c r="GZ65" i="139" s="1"/>
  <c r="IR35" i="139"/>
  <c r="IR62" i="139" s="1"/>
  <c r="HI35" i="139"/>
  <c r="HI62" i="139" s="1"/>
  <c r="IR34" i="139"/>
  <c r="IR61" i="139" s="1"/>
  <c r="HL34" i="139"/>
  <c r="HL61" i="139" s="1"/>
  <c r="HP32" i="139"/>
  <c r="HP59" i="139" s="1"/>
  <c r="HP31" i="139"/>
  <c r="HP58" i="139" s="1"/>
  <c r="IN30" i="139"/>
  <c r="IN57" i="139" s="1"/>
  <c r="HI30" i="139"/>
  <c r="HI57" i="139" s="1"/>
  <c r="IW41" i="139"/>
  <c r="IW68" i="139" s="1"/>
  <c r="IW37" i="139"/>
  <c r="IW64" i="139" s="1"/>
  <c r="HI34" i="139"/>
  <c r="HI61" i="139" s="1"/>
  <c r="IC41" i="139"/>
  <c r="IC68" i="139" s="1"/>
  <c r="IC37" i="139"/>
  <c r="IC64" i="139" s="1"/>
  <c r="IC30" i="139"/>
  <c r="IC57" i="139" s="1"/>
  <c r="HI39" i="139"/>
  <c r="HI66" i="139" s="1"/>
  <c r="IC34" i="139"/>
  <c r="IC61" i="139" s="1"/>
  <c r="IW33" i="139"/>
  <c r="IW60" i="139" s="1"/>
  <c r="JH39" i="139"/>
  <c r="JH66" i="139" s="1"/>
  <c r="HD39" i="139"/>
  <c r="HD66" i="139" s="1"/>
  <c r="IN38" i="139"/>
  <c r="IN65" i="139" s="1"/>
  <c r="JD35" i="139"/>
  <c r="JD62" i="139" s="1"/>
  <c r="HT35" i="139"/>
  <c r="HT62" i="139" s="1"/>
  <c r="HX34" i="139"/>
  <c r="HX61" i="139" s="1"/>
  <c r="IC33" i="139"/>
  <c r="IC60" i="139" s="1"/>
  <c r="IC31" i="139"/>
  <c r="IC58" i="139" s="1"/>
  <c r="JH30" i="139"/>
  <c r="JH57" i="139" s="1"/>
  <c r="HP30" i="139"/>
  <c r="HP57" i="139" s="1"/>
  <c r="HI41" i="139"/>
  <c r="HI68" i="139" s="1"/>
  <c r="HT40" i="139"/>
  <c r="HT67" i="139" s="1"/>
  <c r="IW39" i="139"/>
  <c r="IW66" i="139" s="1"/>
  <c r="IB39" i="139"/>
  <c r="IB66" i="139" s="1"/>
  <c r="HH39" i="139"/>
  <c r="HH66" i="139" s="1"/>
  <c r="IW38" i="139"/>
  <c r="IW65" i="139" s="1"/>
  <c r="IC38" i="139"/>
  <c r="IC65" i="139" s="1"/>
  <c r="HI38" i="139"/>
  <c r="HI65" i="139" s="1"/>
  <c r="HI37" i="139"/>
  <c r="HI64" i="139" s="1"/>
  <c r="IN35" i="139"/>
  <c r="IN62" i="139" s="1"/>
  <c r="HP35" i="139"/>
  <c r="HP62" i="139" s="1"/>
  <c r="JH34" i="139"/>
  <c r="JH61" i="139" s="1"/>
  <c r="IN34" i="139"/>
  <c r="IN61" i="139" s="1"/>
  <c r="HT34" i="139"/>
  <c r="HT61" i="139" s="1"/>
  <c r="GZ34" i="139"/>
  <c r="GZ61" i="139" s="1"/>
  <c r="JH31" i="139"/>
  <c r="JH58" i="139" s="1"/>
  <c r="IF31" i="139"/>
  <c r="IF58" i="139" s="1"/>
  <c r="HH31" i="139"/>
  <c r="HH58" i="139" s="1"/>
  <c r="IW30" i="139"/>
  <c r="IW57" i="139" s="1"/>
  <c r="IB30" i="139"/>
  <c r="IB57" i="139" s="1"/>
  <c r="GZ30" i="139"/>
  <c r="GZ57" i="139" s="1"/>
  <c r="IV39" i="139"/>
  <c r="IV66" i="139" s="1"/>
  <c r="IV38" i="139"/>
  <c r="IV65" i="139" s="1"/>
  <c r="IB38" i="139"/>
  <c r="IB65" i="139" s="1"/>
  <c r="HH38" i="139"/>
  <c r="HH65" i="139" s="1"/>
  <c r="IV30" i="139"/>
  <c r="IV57" i="139" s="1"/>
  <c r="IB31" i="139"/>
  <c r="IB58" i="139" s="1"/>
  <c r="IB35" i="139"/>
  <c r="IB62" i="139" s="1"/>
  <c r="HH35" i="139"/>
  <c r="HH62" i="139" s="1"/>
  <c r="IV31" i="139"/>
  <c r="IV58" i="139" s="1"/>
  <c r="IV35" i="139"/>
  <c r="IV62" i="139" s="1"/>
  <c r="IV34" i="139"/>
  <c r="IV61" i="139" s="1"/>
  <c r="IB34" i="139"/>
  <c r="IB61" i="139" s="1"/>
  <c r="HH34" i="139"/>
  <c r="HH61" i="139" s="1"/>
  <c r="IV32" i="139"/>
  <c r="IV59" i="139" s="1"/>
  <c r="IN31" i="139"/>
  <c r="IN58" i="139" s="1"/>
  <c r="JD30" i="139"/>
  <c r="JD57" i="139" s="1"/>
  <c r="IF30" i="139"/>
  <c r="IF57" i="139" s="1"/>
  <c r="IR31" i="139"/>
  <c r="IR58" i="139" s="1"/>
  <c r="HX31" i="139"/>
  <c r="HX58" i="139" s="1"/>
  <c r="IR30" i="139"/>
  <c r="IR57" i="139" s="1"/>
  <c r="HX30" i="139"/>
  <c r="HX57" i="139" s="1"/>
  <c r="HD30" i="139"/>
  <c r="HD57" i="139" s="1"/>
  <c r="IN40" i="139"/>
  <c r="IN67" i="139" s="1"/>
  <c r="IC39" i="139"/>
  <c r="IC66" i="139" s="1"/>
  <c r="IR36" i="139"/>
  <c r="IR63" i="139" s="1"/>
  <c r="HT36" i="139"/>
  <c r="HT63" i="139" s="1"/>
  <c r="IW35" i="139"/>
  <c r="IW62" i="139" s="1"/>
  <c r="IN32" i="139"/>
  <c r="IN59" i="139" s="1"/>
  <c r="HL32" i="139"/>
  <c r="HL59" i="139" s="1"/>
  <c r="IF40" i="139"/>
  <c r="IF67" i="139" s="1"/>
  <c r="IN36" i="139"/>
  <c r="IN63" i="139" s="1"/>
  <c r="HP36" i="139"/>
  <c r="HP63" i="139" s="1"/>
  <c r="IC35" i="139"/>
  <c r="IC62" i="139" s="1"/>
  <c r="IJ32" i="139"/>
  <c r="IJ59" i="139" s="1"/>
  <c r="HH32" i="139"/>
  <c r="HH59" i="139" s="1"/>
  <c r="HX40" i="139"/>
  <c r="HX67" i="139" s="1"/>
  <c r="JH36" i="139"/>
  <c r="JH63" i="139" s="1"/>
  <c r="IJ36" i="139"/>
  <c r="IJ63" i="139" s="1"/>
  <c r="HL36" i="139"/>
  <c r="HL63" i="139" s="1"/>
  <c r="JH32" i="139"/>
  <c r="JH59" i="139" s="1"/>
  <c r="IF32" i="139"/>
  <c r="IF59" i="139" s="1"/>
  <c r="HD32" i="139"/>
  <c r="HD59" i="139" s="1"/>
  <c r="JD36" i="139"/>
  <c r="JD63" i="139" s="1"/>
  <c r="IF36" i="139"/>
  <c r="IF63" i="139" s="1"/>
  <c r="HH36" i="139"/>
  <c r="HH63" i="139" s="1"/>
  <c r="JD32" i="139"/>
  <c r="JD59" i="139" s="1"/>
  <c r="IB32" i="139"/>
  <c r="IB59" i="139" s="1"/>
  <c r="GZ32" i="139"/>
  <c r="GZ59" i="139" s="1"/>
  <c r="HH40" i="139"/>
  <c r="HH67" i="139" s="1"/>
  <c r="IZ36" i="139"/>
  <c r="IZ63" i="139" s="1"/>
  <c r="IZ32" i="139"/>
  <c r="IZ59" i="139" s="1"/>
  <c r="HX32" i="139"/>
  <c r="HX59" i="139" s="1"/>
  <c r="IV40" i="139"/>
  <c r="IV67" i="139" s="1"/>
  <c r="GZ40" i="139"/>
  <c r="GZ67" i="139" s="1"/>
  <c r="JH41" i="139"/>
  <c r="JH68" i="139" s="1"/>
  <c r="JH94" i="139"/>
  <c r="JD41" i="139"/>
  <c r="JD68" i="139" s="1"/>
  <c r="JD94" i="139"/>
  <c r="IR41" i="139"/>
  <c r="IR68" i="139" s="1"/>
  <c r="IR94" i="139"/>
  <c r="IJ41" i="139"/>
  <c r="IJ68" i="139" s="1"/>
  <c r="IJ94" i="139"/>
  <c r="HP41" i="139"/>
  <c r="HP68" i="139" s="1"/>
  <c r="HP94" i="139"/>
  <c r="HD41" i="139"/>
  <c r="HD68" i="139" s="1"/>
  <c r="HD94" i="139"/>
  <c r="IS93" i="139"/>
  <c r="IG93" i="139"/>
  <c r="HY93" i="139"/>
  <c r="HI40" i="139"/>
  <c r="HI67" i="139" s="1"/>
  <c r="HI93" i="139"/>
  <c r="HE93" i="139"/>
  <c r="IX92" i="139"/>
  <c r="IH92" i="139"/>
  <c r="HR92" i="139"/>
  <c r="HF92" i="139"/>
  <c r="II91" i="139"/>
  <c r="IA91" i="139"/>
  <c r="HS91" i="139"/>
  <c r="HG91" i="139"/>
  <c r="JD37" i="139"/>
  <c r="JD64" i="139" s="1"/>
  <c r="JD90" i="139"/>
  <c r="IZ37" i="139"/>
  <c r="IZ64" i="139" s="1"/>
  <c r="IZ90" i="139"/>
  <c r="IN37" i="139"/>
  <c r="IN64" i="139" s="1"/>
  <c r="IN90" i="139"/>
  <c r="IB37" i="139"/>
  <c r="IB64" i="139" s="1"/>
  <c r="IB90" i="139"/>
  <c r="HP37" i="139"/>
  <c r="HP64" i="139" s="1"/>
  <c r="HP90" i="139"/>
  <c r="HD37" i="139"/>
  <c r="HD64" i="139" s="1"/>
  <c r="HD90" i="139"/>
  <c r="JE89" i="139"/>
  <c r="IO89" i="139"/>
  <c r="HY89" i="139"/>
  <c r="HQ89" i="139"/>
  <c r="HE89" i="139"/>
  <c r="HA89" i="139"/>
  <c r="IX88" i="139"/>
  <c r="ID88" i="139"/>
  <c r="HV88" i="139"/>
  <c r="HB88" i="139"/>
  <c r="JC87" i="139"/>
  <c r="IQ87" i="139"/>
  <c r="IE87" i="139"/>
  <c r="HS87" i="139"/>
  <c r="HK87" i="139"/>
  <c r="JH33" i="139"/>
  <c r="JH60" i="139" s="1"/>
  <c r="JH86" i="139"/>
  <c r="IV33" i="139"/>
  <c r="IV60" i="139" s="1"/>
  <c r="IV86" i="139"/>
  <c r="IF33" i="139"/>
  <c r="IF60" i="139" s="1"/>
  <c r="IF86" i="139"/>
  <c r="HT33" i="139"/>
  <c r="HT60" i="139" s="1"/>
  <c r="HT86" i="139"/>
  <c r="HH33" i="139"/>
  <c r="HH60" i="139" s="1"/>
  <c r="HH86" i="139"/>
  <c r="JE85" i="139"/>
  <c r="IW32" i="139"/>
  <c r="IW59" i="139" s="1"/>
  <c r="IW85" i="139"/>
  <c r="IO85" i="139"/>
  <c r="HY85" i="139"/>
  <c r="HQ85" i="139"/>
  <c r="HE85" i="139"/>
  <c r="JF84" i="139"/>
  <c r="IP84" i="139"/>
  <c r="IH84" i="139"/>
  <c r="HV84" i="139"/>
  <c r="HJ84" i="139"/>
  <c r="JC28" i="139"/>
  <c r="JC38" i="139" s="1"/>
  <c r="JC65" i="139" s="1"/>
  <c r="JC83" i="139"/>
  <c r="IU28" i="139"/>
  <c r="IU37" i="139" s="1"/>
  <c r="IU64" i="139" s="1"/>
  <c r="IU83" i="139"/>
  <c r="IL28" i="139"/>
  <c r="IM28" i="139"/>
  <c r="IM34" i="139" s="1"/>
  <c r="IM61" i="139" s="1"/>
  <c r="IM83" i="139"/>
  <c r="II28" i="139"/>
  <c r="II83" i="139"/>
  <c r="IE28" i="139"/>
  <c r="IE37" i="139" s="1"/>
  <c r="IE64" i="139" s="1"/>
  <c r="IE83" i="139"/>
  <c r="IA28" i="139"/>
  <c r="IA83" i="139"/>
  <c r="HW28" i="139"/>
  <c r="HW38" i="139" s="1"/>
  <c r="HW65" i="139" s="1"/>
  <c r="HW83" i="139"/>
  <c r="HS28" i="139"/>
  <c r="HS34" i="139" s="1"/>
  <c r="HS61" i="139" s="1"/>
  <c r="HS83" i="139"/>
  <c r="HO28" i="139"/>
  <c r="HO83" i="139"/>
  <c r="HC28" i="139"/>
  <c r="HC41" i="139" s="1"/>
  <c r="HC68" i="139" s="1"/>
  <c r="HC83" i="139"/>
  <c r="IZ41" i="139"/>
  <c r="IZ68" i="139" s="1"/>
  <c r="IZ94" i="139"/>
  <c r="IF41" i="139"/>
  <c r="IF68" i="139" s="1"/>
  <c r="IF94" i="139"/>
  <c r="HT41" i="139"/>
  <c r="HT68" i="139" s="1"/>
  <c r="HT94" i="139"/>
  <c r="HL41" i="139"/>
  <c r="HL68" i="139" s="1"/>
  <c r="HL94" i="139"/>
  <c r="JE93" i="139"/>
  <c r="JA93" i="139"/>
  <c r="IO93" i="139"/>
  <c r="IK93" i="139"/>
  <c r="HQ93" i="139"/>
  <c r="JF92" i="139"/>
  <c r="IT92" i="139"/>
  <c r="IP92" i="139"/>
  <c r="ID92" i="139"/>
  <c r="HV92" i="139"/>
  <c r="HJ92" i="139"/>
  <c r="JG91" i="139"/>
  <c r="IY91" i="139"/>
  <c r="IQ91" i="139"/>
  <c r="IE91" i="139"/>
  <c r="HO91" i="139"/>
  <c r="HC91" i="139"/>
  <c r="IR37" i="139"/>
  <c r="IR64" i="139" s="1"/>
  <c r="IR90" i="139"/>
  <c r="IF37" i="139"/>
  <c r="IF64" i="139" s="1"/>
  <c r="IF90" i="139"/>
  <c r="HT37" i="139"/>
  <c r="HT64" i="139" s="1"/>
  <c r="HT90" i="139"/>
  <c r="HL37" i="139"/>
  <c r="HL64" i="139" s="1"/>
  <c r="HL90" i="139"/>
  <c r="JA89" i="139"/>
  <c r="IW36" i="139"/>
  <c r="IW63" i="139" s="1"/>
  <c r="IW89" i="139"/>
  <c r="IK89" i="139"/>
  <c r="IC36" i="139"/>
  <c r="IC63" i="139" s="1"/>
  <c r="IC89" i="139"/>
  <c r="HM89" i="139"/>
  <c r="JF88" i="139"/>
  <c r="IP88" i="139"/>
  <c r="IH88" i="139"/>
  <c r="HR88" i="139"/>
  <c r="HN88" i="139"/>
  <c r="HF88" i="139"/>
  <c r="IY87" i="139"/>
  <c r="IM87" i="139"/>
  <c r="IA34" i="139"/>
  <c r="IA61" i="139" s="1"/>
  <c r="IA87" i="139"/>
  <c r="HG87" i="139"/>
  <c r="IZ33" i="139"/>
  <c r="IZ60" i="139" s="1"/>
  <c r="IZ86" i="139"/>
  <c r="IJ33" i="139"/>
  <c r="IJ60" i="139" s="1"/>
  <c r="IJ86" i="139"/>
  <c r="HX33" i="139"/>
  <c r="HX60" i="139" s="1"/>
  <c r="HX86" i="139"/>
  <c r="HL33" i="139"/>
  <c r="HL60" i="139" s="1"/>
  <c r="HL86" i="139"/>
  <c r="HD33" i="139"/>
  <c r="HD60" i="139" s="1"/>
  <c r="HD86" i="139"/>
  <c r="IS85" i="139"/>
  <c r="IK85" i="139"/>
  <c r="IC32" i="139"/>
  <c r="IC59" i="139" s="1"/>
  <c r="IC85" i="139"/>
  <c r="HM85" i="139"/>
  <c r="HA85" i="139"/>
  <c r="JB84" i="139"/>
  <c r="IT84" i="139"/>
  <c r="IL84" i="139"/>
  <c r="HZ84" i="139"/>
  <c r="HN84" i="139"/>
  <c r="HB84" i="139"/>
  <c r="IY28" i="139"/>
  <c r="IY83" i="139"/>
  <c r="HK28" i="139"/>
  <c r="HK83" i="139"/>
  <c r="IV41" i="139"/>
  <c r="IV68" i="139" s="1"/>
  <c r="IV94" i="139"/>
  <c r="IN41" i="139"/>
  <c r="IN68" i="139" s="1"/>
  <c r="IN94" i="139"/>
  <c r="IB41" i="139"/>
  <c r="IB68" i="139" s="1"/>
  <c r="IB94" i="139"/>
  <c r="HX41" i="139"/>
  <c r="HX68" i="139" s="1"/>
  <c r="HX94" i="139"/>
  <c r="HH41" i="139"/>
  <c r="HH68" i="139" s="1"/>
  <c r="HH94" i="139"/>
  <c r="GZ41" i="139"/>
  <c r="GZ68" i="139" s="1"/>
  <c r="IW40" i="139"/>
  <c r="IW67" i="139" s="1"/>
  <c r="IW93" i="139"/>
  <c r="IC40" i="139"/>
  <c r="IC67" i="139" s="1"/>
  <c r="IC93" i="139"/>
  <c r="HU93" i="139"/>
  <c r="HM93" i="139"/>
  <c r="HA93" i="139"/>
  <c r="JB92" i="139"/>
  <c r="IL92" i="139"/>
  <c r="HZ92" i="139"/>
  <c r="HN92" i="139"/>
  <c r="HB92" i="139"/>
  <c r="JC91" i="139"/>
  <c r="IM91" i="139"/>
  <c r="HW91" i="139"/>
  <c r="HK91" i="139"/>
  <c r="JH37" i="139"/>
  <c r="JH64" i="139" s="1"/>
  <c r="JH90" i="139"/>
  <c r="IV37" i="139"/>
  <c r="IV64" i="139" s="1"/>
  <c r="IV90" i="139"/>
  <c r="IJ37" i="139"/>
  <c r="IJ64" i="139" s="1"/>
  <c r="IJ90" i="139"/>
  <c r="HX37" i="139"/>
  <c r="HX64" i="139" s="1"/>
  <c r="HX90" i="139"/>
  <c r="HH37" i="139"/>
  <c r="HH64" i="139" s="1"/>
  <c r="HH90" i="139"/>
  <c r="GZ37" i="139"/>
  <c r="GZ64" i="139" s="1"/>
  <c r="IS89" i="139"/>
  <c r="IG89" i="139"/>
  <c r="HU89" i="139"/>
  <c r="HI36" i="139"/>
  <c r="HI63" i="139" s="1"/>
  <c r="HI89" i="139"/>
  <c r="JB88" i="139"/>
  <c r="IT88" i="139"/>
  <c r="IL88" i="139"/>
  <c r="HZ88" i="139"/>
  <c r="HJ88" i="139"/>
  <c r="JG87" i="139"/>
  <c r="IU87" i="139"/>
  <c r="II34" i="139"/>
  <c r="II61" i="139" s="1"/>
  <c r="II87" i="139"/>
  <c r="HW34" i="139"/>
  <c r="HW61" i="139" s="1"/>
  <c r="HW87" i="139"/>
  <c r="HO34" i="139"/>
  <c r="HO61" i="139" s="1"/>
  <c r="HO87" i="139"/>
  <c r="HC34" i="139"/>
  <c r="HC61" i="139" s="1"/>
  <c r="HC87" i="139"/>
  <c r="JD33" i="139"/>
  <c r="JD60" i="139" s="1"/>
  <c r="JD86" i="139"/>
  <c r="IR33" i="139"/>
  <c r="IR60" i="139" s="1"/>
  <c r="IR86" i="139"/>
  <c r="IN33" i="139"/>
  <c r="IN60" i="139" s="1"/>
  <c r="IN86" i="139"/>
  <c r="IB33" i="139"/>
  <c r="IB60" i="139" s="1"/>
  <c r="IB86" i="139"/>
  <c r="HP33" i="139"/>
  <c r="HP60" i="139" s="1"/>
  <c r="HP86" i="139"/>
  <c r="GZ33" i="139"/>
  <c r="GZ60" i="139" s="1"/>
  <c r="JA85" i="139"/>
  <c r="IG85" i="139"/>
  <c r="HU85" i="139"/>
  <c r="HI32" i="139"/>
  <c r="HI59" i="139" s="1"/>
  <c r="HI85" i="139"/>
  <c r="IX84" i="139"/>
  <c r="ID84" i="139"/>
  <c r="HR84" i="139"/>
  <c r="HF84" i="139"/>
  <c r="JG28" i="139"/>
  <c r="JG34" i="139" s="1"/>
  <c r="JG61" i="139" s="1"/>
  <c r="JG83" i="139"/>
  <c r="IQ28" i="139"/>
  <c r="IQ83" i="139"/>
  <c r="HG28" i="139"/>
  <c r="HG33" i="139" s="1"/>
  <c r="HG60" i="139" s="1"/>
  <c r="HG83" i="139"/>
  <c r="IY41" i="139"/>
  <c r="IY68" i="139" s="1"/>
  <c r="IU41" i="139"/>
  <c r="IU68" i="139" s="1"/>
  <c r="HO41" i="139"/>
  <c r="HO68" i="139" s="1"/>
  <c r="IA33" i="139"/>
  <c r="IA60" i="139" s="1"/>
  <c r="HC33" i="139"/>
  <c r="HC60" i="139" s="1"/>
  <c r="JG37" i="139"/>
  <c r="JG64" i="139" s="1"/>
  <c r="IY37" i="139"/>
  <c r="IY64" i="139" s="1"/>
  <c r="II37" i="139"/>
  <c r="II64" i="139" s="1"/>
  <c r="IA37" i="139"/>
  <c r="IA64" i="139" s="1"/>
  <c r="HO37" i="139"/>
  <c r="HO64" i="139" s="1"/>
  <c r="HG37" i="139"/>
  <c r="HG64" i="139" s="1"/>
  <c r="HC37" i="139"/>
  <c r="HC64" i="139" s="1"/>
  <c r="IY33" i="139"/>
  <c r="IY60" i="139" s="1"/>
  <c r="IU33" i="139"/>
  <c r="IU60" i="139" s="1"/>
  <c r="II33" i="139"/>
  <c r="II60" i="139" s="1"/>
  <c r="HW33" i="139"/>
  <c r="HW60" i="139" s="1"/>
  <c r="HO33" i="139"/>
  <c r="HO60" i="139" s="1"/>
  <c r="JE28" i="139"/>
  <c r="JF28" i="139"/>
  <c r="JA28" i="139"/>
  <c r="IX28" i="139"/>
  <c r="IS28" i="139"/>
  <c r="IT28" i="139"/>
  <c r="IT30" i="139" s="1"/>
  <c r="IT57" i="139" s="1"/>
  <c r="IO28" i="139"/>
  <c r="IP28" i="139"/>
  <c r="IK28" i="139"/>
  <c r="IK31" i="139" s="1"/>
  <c r="IK58" i="139" s="1"/>
  <c r="IL30" i="139"/>
  <c r="IL57" i="139" s="1"/>
  <c r="IG28" i="139"/>
  <c r="IH28" i="139"/>
  <c r="IH31" i="139" s="1"/>
  <c r="IH58" i="139" s="1"/>
  <c r="ID28" i="139"/>
  <c r="HY28" i="139"/>
  <c r="HZ28" i="139"/>
  <c r="HZ39" i="139" s="1"/>
  <c r="HZ66" i="139" s="1"/>
  <c r="HU28" i="139"/>
  <c r="HV28" i="139"/>
  <c r="HQ28" i="139"/>
  <c r="HQ35" i="139" s="1"/>
  <c r="HQ62" i="139" s="1"/>
  <c r="HR28" i="139"/>
  <c r="HM28" i="139"/>
  <c r="HJ28" i="139"/>
  <c r="HE28" i="139"/>
  <c r="HF28" i="139"/>
  <c r="HA28" i="139"/>
  <c r="HB28" i="139"/>
  <c r="HB31" i="139" s="1"/>
  <c r="HB58" i="139" s="1"/>
  <c r="JB28" i="139"/>
  <c r="JB38" i="139" s="1"/>
  <c r="JB65" i="139" s="1"/>
  <c r="HN28" i="139"/>
  <c r="HN39" i="139" s="1"/>
  <c r="HN66" i="139" s="1"/>
  <c r="IE41" i="139" l="1"/>
  <c r="IE68" i="139" s="1"/>
  <c r="IE38" i="139"/>
  <c r="IE65" i="139" s="1"/>
  <c r="IE33" i="139"/>
  <c r="IE60" i="139" s="1"/>
  <c r="HS33" i="139"/>
  <c r="HS60" i="139" s="1"/>
  <c r="HS37" i="139"/>
  <c r="HS64" i="139" s="1"/>
  <c r="JC37" i="139"/>
  <c r="JC64" i="139" s="1"/>
  <c r="HC38" i="139"/>
  <c r="HC65" i="139" s="1"/>
  <c r="HU35" i="139"/>
  <c r="HU62" i="139" s="1"/>
  <c r="IL35" i="139"/>
  <c r="IL62" i="139" s="1"/>
  <c r="IL39" i="139"/>
  <c r="IL66" i="139" s="1"/>
  <c r="IL31" i="139"/>
  <c r="IL58" i="139" s="1"/>
  <c r="HK37" i="139"/>
  <c r="HK64" i="139" s="1"/>
  <c r="IL34" i="139"/>
  <c r="IL61" i="139" s="1"/>
  <c r="JE31" i="139"/>
  <c r="JE58" i="139" s="1"/>
  <c r="IL38" i="139"/>
  <c r="IL65" i="139" s="1"/>
  <c r="IU38" i="139"/>
  <c r="IU65" i="139" s="1"/>
  <c r="HK38" i="139"/>
  <c r="HK65" i="139" s="1"/>
  <c r="HO38" i="139"/>
  <c r="HO65" i="139" s="1"/>
  <c r="HZ30" i="139"/>
  <c r="HZ57" i="139" s="1"/>
  <c r="JG41" i="139"/>
  <c r="JG68" i="139" s="1"/>
  <c r="JG33" i="139"/>
  <c r="JG60" i="139" s="1"/>
  <c r="JG30" i="139"/>
  <c r="JG57" i="139" s="1"/>
  <c r="IX34" i="139"/>
  <c r="IX61" i="139" s="1"/>
  <c r="HG30" i="139"/>
  <c r="HG57" i="139" s="1"/>
  <c r="IU34" i="139"/>
  <c r="IU61" i="139" s="1"/>
  <c r="IO31" i="139"/>
  <c r="IO58" i="139" s="1"/>
  <c r="HR34" i="139"/>
  <c r="HR61" i="139" s="1"/>
  <c r="JE35" i="139"/>
  <c r="JE62" i="139" s="1"/>
  <c r="IX38" i="139"/>
  <c r="IX65" i="139" s="1"/>
  <c r="JG38" i="139"/>
  <c r="JG65" i="139" s="1"/>
  <c r="JA40" i="139"/>
  <c r="JA67" i="139" s="1"/>
  <c r="IQ34" i="139"/>
  <c r="IQ61" i="139" s="1"/>
  <c r="ID35" i="139"/>
  <c r="ID62" i="139" s="1"/>
  <c r="HQ36" i="139"/>
  <c r="HQ63" i="139" s="1"/>
  <c r="HG38" i="139"/>
  <c r="HG65" i="139" s="1"/>
  <c r="HF39" i="139"/>
  <c r="HF66" i="139" s="1"/>
  <c r="ID34" i="139"/>
  <c r="ID61" i="139" s="1"/>
  <c r="HB38" i="139"/>
  <c r="HB65" i="139" s="1"/>
  <c r="HZ31" i="139"/>
  <c r="HZ58" i="139" s="1"/>
  <c r="HG34" i="139"/>
  <c r="HG61" i="139" s="1"/>
  <c r="IK36" i="139"/>
  <c r="IK63" i="139" s="1"/>
  <c r="HB30" i="139"/>
  <c r="HB57" i="139" s="1"/>
  <c r="IH34" i="139"/>
  <c r="IH61" i="139" s="1"/>
  <c r="HR38" i="139"/>
  <c r="HR65" i="139" s="1"/>
  <c r="ID31" i="139"/>
  <c r="ID58" i="139" s="1"/>
  <c r="HU36" i="139"/>
  <c r="HU63" i="139" s="1"/>
  <c r="HA40" i="139"/>
  <c r="HA67" i="139" s="1"/>
  <c r="IY30" i="139"/>
  <c r="IY57" i="139" s="1"/>
  <c r="HA32" i="139"/>
  <c r="HA59" i="139" s="1"/>
  <c r="HF35" i="139"/>
  <c r="HF62" i="139" s="1"/>
  <c r="IA30" i="139"/>
  <c r="IA57" i="139" s="1"/>
  <c r="JC30" i="139"/>
  <c r="JC57" i="139" s="1"/>
  <c r="HZ38" i="139"/>
  <c r="HZ65" i="139" s="1"/>
  <c r="IQ38" i="139"/>
  <c r="IQ65" i="139" s="1"/>
  <c r="IK40" i="139"/>
  <c r="IK67" i="139" s="1"/>
  <c r="HB35" i="139"/>
  <c r="HB62" i="139" s="1"/>
  <c r="HA36" i="139"/>
  <c r="HA63" i="139" s="1"/>
  <c r="IO36" i="139"/>
  <c r="IO63" i="139" s="1"/>
  <c r="IA38" i="139"/>
  <c r="IA65" i="139" s="1"/>
  <c r="IH39" i="139"/>
  <c r="IH66" i="139" s="1"/>
  <c r="IH38" i="139"/>
  <c r="IH65" i="139" s="1"/>
  <c r="IK39" i="139"/>
  <c r="IK66" i="139" s="1"/>
  <c r="HJ35" i="139"/>
  <c r="HJ62" i="139" s="1"/>
  <c r="JB35" i="139"/>
  <c r="JB62" i="139" s="1"/>
  <c r="HR30" i="139"/>
  <c r="HR57" i="139" s="1"/>
  <c r="HF34" i="139"/>
  <c r="HF61" i="139" s="1"/>
  <c r="IK35" i="139"/>
  <c r="IK62" i="139" s="1"/>
  <c r="JA39" i="139"/>
  <c r="JA66" i="139" s="1"/>
  <c r="HF31" i="139"/>
  <c r="HF58" i="139" s="1"/>
  <c r="HU40" i="139"/>
  <c r="HU67" i="139" s="1"/>
  <c r="IT31" i="139"/>
  <c r="IT58" i="139" s="1"/>
  <c r="HR35" i="139"/>
  <c r="HR62" i="139" s="1"/>
  <c r="JA36" i="139"/>
  <c r="JA63" i="139" s="1"/>
  <c r="HC30" i="139"/>
  <c r="HC57" i="139" s="1"/>
  <c r="HE33" i="139"/>
  <c r="HE60" i="139" s="1"/>
  <c r="HE30" i="139"/>
  <c r="HE57" i="139" s="1"/>
  <c r="HE38" i="139"/>
  <c r="HE65" i="139" s="1"/>
  <c r="HE37" i="139"/>
  <c r="HE64" i="139" s="1"/>
  <c r="HE41" i="139"/>
  <c r="HE68" i="139" s="1"/>
  <c r="HE34" i="139"/>
  <c r="HE61" i="139" s="1"/>
  <c r="HM33" i="139"/>
  <c r="HM60" i="139" s="1"/>
  <c r="HM34" i="139"/>
  <c r="HM61" i="139" s="1"/>
  <c r="HM38" i="139"/>
  <c r="HM65" i="139" s="1"/>
  <c r="HM37" i="139"/>
  <c r="HM64" i="139" s="1"/>
  <c r="HM41" i="139"/>
  <c r="HM68" i="139" s="1"/>
  <c r="HM30" i="139"/>
  <c r="HM57" i="139" s="1"/>
  <c r="HV32" i="139"/>
  <c r="HV59" i="139" s="1"/>
  <c r="HV33" i="139"/>
  <c r="HV60" i="139" s="1"/>
  <c r="HV40" i="139"/>
  <c r="HV67" i="139" s="1"/>
  <c r="HV37" i="139"/>
  <c r="HV64" i="139" s="1"/>
  <c r="HV41" i="139"/>
  <c r="HV68" i="139" s="1"/>
  <c r="HV36" i="139"/>
  <c r="HV63" i="139" s="1"/>
  <c r="HY33" i="139"/>
  <c r="HY60" i="139" s="1"/>
  <c r="HY30" i="139"/>
  <c r="HY57" i="139" s="1"/>
  <c r="HY34" i="139"/>
  <c r="HY61" i="139" s="1"/>
  <c r="HY41" i="139"/>
  <c r="HY68" i="139" s="1"/>
  <c r="HY38" i="139"/>
  <c r="HY65" i="139" s="1"/>
  <c r="HY39" i="139"/>
  <c r="HY66" i="139" s="1"/>
  <c r="HY37" i="139"/>
  <c r="HY64" i="139" s="1"/>
  <c r="IG33" i="139"/>
  <c r="IG60" i="139" s="1"/>
  <c r="IG30" i="139"/>
  <c r="IG57" i="139" s="1"/>
  <c r="IG38" i="139"/>
  <c r="IG65" i="139" s="1"/>
  <c r="IG41" i="139"/>
  <c r="IG68" i="139" s="1"/>
  <c r="IG37" i="139"/>
  <c r="IG64" i="139" s="1"/>
  <c r="IG34" i="139"/>
  <c r="IG61" i="139" s="1"/>
  <c r="IG39" i="139"/>
  <c r="IG66" i="139" s="1"/>
  <c r="IP32" i="139"/>
  <c r="IP59" i="139" s="1"/>
  <c r="IP37" i="139"/>
  <c r="IP64" i="139" s="1"/>
  <c r="IP36" i="139"/>
  <c r="IP63" i="139" s="1"/>
  <c r="IP40" i="139"/>
  <c r="IP67" i="139" s="1"/>
  <c r="IP33" i="139"/>
  <c r="IP60" i="139" s="1"/>
  <c r="IP41" i="139"/>
  <c r="IP68" i="139" s="1"/>
  <c r="IS33" i="139"/>
  <c r="IS60" i="139" s="1"/>
  <c r="IS34" i="139"/>
  <c r="IS61" i="139" s="1"/>
  <c r="IS37" i="139"/>
  <c r="IS64" i="139" s="1"/>
  <c r="IS41" i="139"/>
  <c r="IS68" i="139" s="1"/>
  <c r="IS38" i="139"/>
  <c r="IS65" i="139" s="1"/>
  <c r="IS30" i="139"/>
  <c r="IS57" i="139" s="1"/>
  <c r="JF32" i="139"/>
  <c r="JF59" i="139" s="1"/>
  <c r="JF33" i="139"/>
  <c r="JF60" i="139" s="1"/>
  <c r="JF37" i="139"/>
  <c r="JF64" i="139" s="1"/>
  <c r="JF36" i="139"/>
  <c r="JF63" i="139" s="1"/>
  <c r="JF40" i="139"/>
  <c r="JF67" i="139" s="1"/>
  <c r="JF41" i="139"/>
  <c r="JF68" i="139" s="1"/>
  <c r="HE31" i="139"/>
  <c r="HE58" i="139" s="1"/>
  <c r="IG31" i="139"/>
  <c r="IG58" i="139" s="1"/>
  <c r="HM35" i="139"/>
  <c r="HM62" i="139" s="1"/>
  <c r="HY35" i="139"/>
  <c r="HY62" i="139" s="1"/>
  <c r="IG32" i="139"/>
  <c r="IG59" i="139" s="1"/>
  <c r="IS36" i="139"/>
  <c r="IS63" i="139" s="1"/>
  <c r="IS32" i="139"/>
  <c r="IS59" i="139" s="1"/>
  <c r="IP35" i="139"/>
  <c r="IP62" i="139" s="1"/>
  <c r="HM36" i="139"/>
  <c r="HM63" i="139" s="1"/>
  <c r="HV39" i="139"/>
  <c r="HV66" i="139" s="1"/>
  <c r="IP39" i="139"/>
  <c r="IP66" i="139" s="1"/>
  <c r="JF39" i="139"/>
  <c r="JF66" i="139" s="1"/>
  <c r="HW31" i="139"/>
  <c r="HW58" i="139" s="1"/>
  <c r="HW32" i="139"/>
  <c r="HW59" i="139" s="1"/>
  <c r="HW35" i="139"/>
  <c r="HW62" i="139" s="1"/>
  <c r="HW36" i="139"/>
  <c r="HW63" i="139" s="1"/>
  <c r="HW39" i="139"/>
  <c r="HW66" i="139" s="1"/>
  <c r="HW40" i="139"/>
  <c r="HW67" i="139" s="1"/>
  <c r="IM31" i="139"/>
  <c r="IM58" i="139" s="1"/>
  <c r="IM32" i="139"/>
  <c r="IM59" i="139" s="1"/>
  <c r="IM36" i="139"/>
  <c r="IM63" i="139" s="1"/>
  <c r="IM35" i="139"/>
  <c r="IM62" i="139" s="1"/>
  <c r="IM39" i="139"/>
  <c r="IM66" i="139" s="1"/>
  <c r="IM40" i="139"/>
  <c r="IM67" i="139" s="1"/>
  <c r="IM33" i="139"/>
  <c r="IM60" i="139" s="1"/>
  <c r="IU31" i="139"/>
  <c r="IU58" i="139" s="1"/>
  <c r="IU32" i="139"/>
  <c r="IU59" i="139" s="1"/>
  <c r="IU36" i="139"/>
  <c r="IU63" i="139" s="1"/>
  <c r="IU35" i="139"/>
  <c r="IU62" i="139" s="1"/>
  <c r="IU39" i="139"/>
  <c r="IU66" i="139" s="1"/>
  <c r="IU40" i="139"/>
  <c r="IU67" i="139" s="1"/>
  <c r="HV31" i="139"/>
  <c r="HV58" i="139" s="1"/>
  <c r="IP31" i="139"/>
  <c r="IP58" i="139" s="1"/>
  <c r="HE32" i="139"/>
  <c r="HE59" i="139" s="1"/>
  <c r="HY32" i="139"/>
  <c r="HY59" i="139" s="1"/>
  <c r="HE40" i="139"/>
  <c r="HE67" i="139" s="1"/>
  <c r="HY40" i="139"/>
  <c r="HY67" i="139" s="1"/>
  <c r="IS40" i="139"/>
  <c r="IS67" i="139" s="1"/>
  <c r="HN32" i="139"/>
  <c r="HN59" i="139" s="1"/>
  <c r="HN33" i="139"/>
  <c r="HN60" i="139" s="1"/>
  <c r="HN40" i="139"/>
  <c r="HN67" i="139" s="1"/>
  <c r="HN37" i="139"/>
  <c r="HN64" i="139" s="1"/>
  <c r="HN36" i="139"/>
  <c r="HN63" i="139" s="1"/>
  <c r="HN41" i="139"/>
  <c r="HN68" i="139" s="1"/>
  <c r="HB32" i="139"/>
  <c r="HB59" i="139" s="1"/>
  <c r="HB33" i="139"/>
  <c r="HB60" i="139" s="1"/>
  <c r="HB37" i="139"/>
  <c r="HB64" i="139" s="1"/>
  <c r="HB36" i="139"/>
  <c r="HB63" i="139" s="1"/>
  <c r="HB40" i="139"/>
  <c r="HB67" i="139" s="1"/>
  <c r="HB41" i="139"/>
  <c r="HB68" i="139" s="1"/>
  <c r="HJ30" i="139"/>
  <c r="HJ57" i="139" s="1"/>
  <c r="HR32" i="139"/>
  <c r="HR59" i="139" s="1"/>
  <c r="HR37" i="139"/>
  <c r="HR64" i="139" s="1"/>
  <c r="HR36" i="139"/>
  <c r="HR63" i="139" s="1"/>
  <c r="HR40" i="139"/>
  <c r="HR67" i="139" s="1"/>
  <c r="HR33" i="139"/>
  <c r="HR60" i="139" s="1"/>
  <c r="HR41" i="139"/>
  <c r="HR68" i="139" s="1"/>
  <c r="HU33" i="139"/>
  <c r="HU60" i="139" s="1"/>
  <c r="HU30" i="139"/>
  <c r="HU57" i="139" s="1"/>
  <c r="HU34" i="139"/>
  <c r="HU61" i="139" s="1"/>
  <c r="HU38" i="139"/>
  <c r="HU65" i="139" s="1"/>
  <c r="HU37" i="139"/>
  <c r="HU64" i="139" s="1"/>
  <c r="HU41" i="139"/>
  <c r="HU68" i="139" s="1"/>
  <c r="HU31" i="139"/>
  <c r="HU58" i="139" s="1"/>
  <c r="ID30" i="139"/>
  <c r="ID57" i="139" s="1"/>
  <c r="IO33" i="139"/>
  <c r="IO60" i="139" s="1"/>
  <c r="IO30" i="139"/>
  <c r="IO57" i="139" s="1"/>
  <c r="IO34" i="139"/>
  <c r="IO61" i="139" s="1"/>
  <c r="IO41" i="139"/>
  <c r="IO68" i="139" s="1"/>
  <c r="IO37" i="139"/>
  <c r="IO64" i="139" s="1"/>
  <c r="IO38" i="139"/>
  <c r="IO65" i="139" s="1"/>
  <c r="IO39" i="139"/>
  <c r="IO66" i="139" s="1"/>
  <c r="IX32" i="139"/>
  <c r="IX59" i="139" s="1"/>
  <c r="IX33" i="139"/>
  <c r="IX60" i="139" s="1"/>
  <c r="IX37" i="139"/>
  <c r="IX64" i="139" s="1"/>
  <c r="IX36" i="139"/>
  <c r="IX63" i="139" s="1"/>
  <c r="IX40" i="139"/>
  <c r="IX67" i="139" s="1"/>
  <c r="IX41" i="139"/>
  <c r="IX68" i="139" s="1"/>
  <c r="JF30" i="139"/>
  <c r="JF57" i="139" s="1"/>
  <c r="HM31" i="139"/>
  <c r="HM58" i="139" s="1"/>
  <c r="HN34" i="139"/>
  <c r="HN61" i="139" s="1"/>
  <c r="JF34" i="139"/>
  <c r="JF61" i="139" s="1"/>
  <c r="IO35" i="139"/>
  <c r="IO62" i="139" s="1"/>
  <c r="HF38" i="139"/>
  <c r="HF65" i="139" s="1"/>
  <c r="HV38" i="139"/>
  <c r="HV65" i="139" s="1"/>
  <c r="HE39" i="139"/>
  <c r="HE66" i="139" s="1"/>
  <c r="IS39" i="139"/>
  <c r="IS66" i="139" s="1"/>
  <c r="HW41" i="139"/>
  <c r="HW68" i="139" s="1"/>
  <c r="JG31" i="139"/>
  <c r="JG58" i="139" s="1"/>
  <c r="JG32" i="139"/>
  <c r="JG59" i="139" s="1"/>
  <c r="JG39" i="139"/>
  <c r="JG66" i="139" s="1"/>
  <c r="JG35" i="139"/>
  <c r="JG62" i="139" s="1"/>
  <c r="JG36" i="139"/>
  <c r="JG63" i="139" s="1"/>
  <c r="JG40" i="139"/>
  <c r="JG67" i="139" s="1"/>
  <c r="IY31" i="139"/>
  <c r="IY58" i="139" s="1"/>
  <c r="IY39" i="139"/>
  <c r="IY66" i="139" s="1"/>
  <c r="IY35" i="139"/>
  <c r="IY62" i="139" s="1"/>
  <c r="IY32" i="139"/>
  <c r="IY59" i="139" s="1"/>
  <c r="IY40" i="139"/>
  <c r="IY67" i="139" s="1"/>
  <c r="IY36" i="139"/>
  <c r="IY63" i="139" s="1"/>
  <c r="HS31" i="139"/>
  <c r="HS58" i="139" s="1"/>
  <c r="HS39" i="139"/>
  <c r="HS66" i="139" s="1"/>
  <c r="HS35" i="139"/>
  <c r="HS62" i="139" s="1"/>
  <c r="HS40" i="139"/>
  <c r="HS67" i="139" s="1"/>
  <c r="HS32" i="139"/>
  <c r="HS59" i="139" s="1"/>
  <c r="HS36" i="139"/>
  <c r="HS63" i="139" s="1"/>
  <c r="HS41" i="139"/>
  <c r="HS68" i="139" s="1"/>
  <c r="HW30" i="139"/>
  <c r="HW57" i="139" s="1"/>
  <c r="II31" i="139"/>
  <c r="II58" i="139" s="1"/>
  <c r="II39" i="139"/>
  <c r="II66" i="139" s="1"/>
  <c r="II32" i="139"/>
  <c r="II59" i="139" s="1"/>
  <c r="II36" i="139"/>
  <c r="II63" i="139" s="1"/>
  <c r="II40" i="139"/>
  <c r="II67" i="139" s="1"/>
  <c r="II35" i="139"/>
  <c r="II62" i="139" s="1"/>
  <c r="II41" i="139"/>
  <c r="II68" i="139" s="1"/>
  <c r="IL32" i="139"/>
  <c r="IL59" i="139" s="1"/>
  <c r="IL33" i="139"/>
  <c r="IL60" i="139" s="1"/>
  <c r="IL40" i="139"/>
  <c r="IL67" i="139" s="1"/>
  <c r="IL41" i="139"/>
  <c r="IL68" i="139" s="1"/>
  <c r="IL36" i="139"/>
  <c r="IL63" i="139" s="1"/>
  <c r="IL37" i="139"/>
  <c r="IL64" i="139" s="1"/>
  <c r="IU30" i="139"/>
  <c r="IU57" i="139" s="1"/>
  <c r="JB32" i="139"/>
  <c r="JB59" i="139" s="1"/>
  <c r="JB40" i="139"/>
  <c r="JB67" i="139" s="1"/>
  <c r="JB41" i="139"/>
  <c r="JB68" i="139" s="1"/>
  <c r="JB37" i="139"/>
  <c r="JB64" i="139" s="1"/>
  <c r="JB34" i="139"/>
  <c r="JB61" i="139" s="1"/>
  <c r="JB36" i="139"/>
  <c r="JB63" i="139" s="1"/>
  <c r="JB33" i="139"/>
  <c r="JB60" i="139" s="1"/>
  <c r="HA33" i="139"/>
  <c r="HA60" i="139" s="1"/>
  <c r="HA30" i="139"/>
  <c r="HA57" i="139" s="1"/>
  <c r="HA34" i="139"/>
  <c r="HA61" i="139" s="1"/>
  <c r="HA41" i="139"/>
  <c r="HA68" i="139" s="1"/>
  <c r="HA37" i="139"/>
  <c r="HA64" i="139" s="1"/>
  <c r="HA38" i="139"/>
  <c r="HA65" i="139" s="1"/>
  <c r="HA39" i="139"/>
  <c r="HA66" i="139" s="1"/>
  <c r="HJ32" i="139"/>
  <c r="HJ59" i="139" s="1"/>
  <c r="HJ37" i="139"/>
  <c r="HJ64" i="139" s="1"/>
  <c r="HJ33" i="139"/>
  <c r="HJ60" i="139" s="1"/>
  <c r="HJ36" i="139"/>
  <c r="HJ63" i="139" s="1"/>
  <c r="HJ40" i="139"/>
  <c r="HJ67" i="139" s="1"/>
  <c r="HJ41" i="139"/>
  <c r="HJ68" i="139" s="1"/>
  <c r="HQ33" i="139"/>
  <c r="HQ60" i="139" s="1"/>
  <c r="HQ30" i="139"/>
  <c r="HQ57" i="139" s="1"/>
  <c r="HQ41" i="139"/>
  <c r="HQ68" i="139" s="1"/>
  <c r="HQ34" i="139"/>
  <c r="HQ61" i="139" s="1"/>
  <c r="HQ38" i="139"/>
  <c r="HQ65" i="139" s="1"/>
  <c r="HQ37" i="139"/>
  <c r="HQ64" i="139" s="1"/>
  <c r="HQ39" i="139"/>
  <c r="HQ66" i="139" s="1"/>
  <c r="ID32" i="139"/>
  <c r="ID59" i="139" s="1"/>
  <c r="ID33" i="139"/>
  <c r="ID60" i="139" s="1"/>
  <c r="ID40" i="139"/>
  <c r="ID67" i="139" s="1"/>
  <c r="ID41" i="139"/>
  <c r="ID68" i="139" s="1"/>
  <c r="ID36" i="139"/>
  <c r="ID63" i="139" s="1"/>
  <c r="ID37" i="139"/>
  <c r="ID64" i="139" s="1"/>
  <c r="IK33" i="139"/>
  <c r="IK60" i="139" s="1"/>
  <c r="IK30" i="139"/>
  <c r="IK57" i="139" s="1"/>
  <c r="IK38" i="139"/>
  <c r="IK65" i="139" s="1"/>
  <c r="IK34" i="139"/>
  <c r="IK61" i="139" s="1"/>
  <c r="IK37" i="139"/>
  <c r="IK64" i="139" s="1"/>
  <c r="IK41" i="139"/>
  <c r="IK68" i="139" s="1"/>
  <c r="JB30" i="139"/>
  <c r="JB57" i="139" s="1"/>
  <c r="JE33" i="139"/>
  <c r="JE60" i="139" s="1"/>
  <c r="JE30" i="139"/>
  <c r="JE57" i="139" s="1"/>
  <c r="JE34" i="139"/>
  <c r="JE61" i="139" s="1"/>
  <c r="JE41" i="139"/>
  <c r="JE68" i="139" s="1"/>
  <c r="JE37" i="139"/>
  <c r="JE64" i="139" s="1"/>
  <c r="JE38" i="139"/>
  <c r="JE65" i="139" s="1"/>
  <c r="JE39" i="139"/>
  <c r="JE66" i="139" s="1"/>
  <c r="HQ31" i="139"/>
  <c r="HQ58" i="139" s="1"/>
  <c r="IP34" i="139"/>
  <c r="IP61" i="139" s="1"/>
  <c r="HA35" i="139"/>
  <c r="HA62" i="139" s="1"/>
  <c r="IS35" i="139"/>
  <c r="IS62" i="139" s="1"/>
  <c r="HW37" i="139"/>
  <c r="HW64" i="139" s="1"/>
  <c r="IM37" i="139"/>
  <c r="IM64" i="139" s="1"/>
  <c r="HJ38" i="139"/>
  <c r="HJ65" i="139" s="1"/>
  <c r="IP38" i="139"/>
  <c r="IP65" i="139" s="1"/>
  <c r="JF38" i="139"/>
  <c r="JF65" i="139" s="1"/>
  <c r="HJ34" i="139"/>
  <c r="HJ61" i="139" s="1"/>
  <c r="HM39" i="139"/>
  <c r="HM66" i="139" s="1"/>
  <c r="IQ31" i="139"/>
  <c r="IQ58" i="139" s="1"/>
  <c r="IQ32" i="139"/>
  <c r="IQ59" i="139" s="1"/>
  <c r="IQ39" i="139"/>
  <c r="IQ66" i="139" s="1"/>
  <c r="IQ36" i="139"/>
  <c r="IQ63" i="139" s="1"/>
  <c r="IQ41" i="139"/>
  <c r="IQ68" i="139" s="1"/>
  <c r="IQ40" i="139"/>
  <c r="IQ67" i="139" s="1"/>
  <c r="IQ35" i="139"/>
  <c r="IQ62" i="139" s="1"/>
  <c r="HR31" i="139"/>
  <c r="HR58" i="139" s="1"/>
  <c r="IX31" i="139"/>
  <c r="IX58" i="139" s="1"/>
  <c r="HU32" i="139"/>
  <c r="HU59" i="139" s="1"/>
  <c r="JA32" i="139"/>
  <c r="JA59" i="139" s="1"/>
  <c r="HZ35" i="139"/>
  <c r="HZ62" i="139" s="1"/>
  <c r="IT35" i="139"/>
  <c r="IT62" i="139" s="1"/>
  <c r="IG36" i="139"/>
  <c r="IG63" i="139" s="1"/>
  <c r="IM38" i="139"/>
  <c r="IM65" i="139" s="1"/>
  <c r="HB39" i="139"/>
  <c r="HB66" i="139" s="1"/>
  <c r="JB39" i="139"/>
  <c r="JB66" i="139" s="1"/>
  <c r="HM40" i="139"/>
  <c r="HM67" i="139" s="1"/>
  <c r="HK31" i="139"/>
  <c r="HK58" i="139" s="1"/>
  <c r="HK35" i="139"/>
  <c r="HK62" i="139" s="1"/>
  <c r="HK32" i="139"/>
  <c r="HK59" i="139" s="1"/>
  <c r="HK39" i="139"/>
  <c r="HK66" i="139" s="1"/>
  <c r="HK36" i="139"/>
  <c r="HK63" i="139" s="1"/>
  <c r="HK41" i="139"/>
  <c r="HK68" i="139" s="1"/>
  <c r="HK33" i="139"/>
  <c r="HK60" i="139" s="1"/>
  <c r="HK40" i="139"/>
  <c r="HK67" i="139" s="1"/>
  <c r="HN31" i="139"/>
  <c r="HN58" i="139" s="1"/>
  <c r="JB31" i="139"/>
  <c r="JB58" i="139" s="1"/>
  <c r="HM32" i="139"/>
  <c r="HM59" i="139" s="1"/>
  <c r="IK32" i="139"/>
  <c r="IK59" i="139" s="1"/>
  <c r="IY34" i="139"/>
  <c r="IY61" i="139" s="1"/>
  <c r="HN35" i="139"/>
  <c r="HN62" i="139" s="1"/>
  <c r="IH35" i="139"/>
  <c r="IH62" i="139" s="1"/>
  <c r="JF35" i="139"/>
  <c r="JF62" i="139" s="1"/>
  <c r="IY38" i="139"/>
  <c r="IY65" i="139" s="1"/>
  <c r="HJ39" i="139"/>
  <c r="HJ66" i="139" s="1"/>
  <c r="ID39" i="139"/>
  <c r="ID66" i="139" s="1"/>
  <c r="IT39" i="139"/>
  <c r="IT66" i="139" s="1"/>
  <c r="HQ40" i="139"/>
  <c r="HQ67" i="139" s="1"/>
  <c r="IO40" i="139"/>
  <c r="IO67" i="139" s="1"/>
  <c r="JE40" i="139"/>
  <c r="JE67" i="139" s="1"/>
  <c r="HO31" i="139"/>
  <c r="HO58" i="139" s="1"/>
  <c r="HO32" i="139"/>
  <c r="HO59" i="139" s="1"/>
  <c r="HO36" i="139"/>
  <c r="HO63" i="139" s="1"/>
  <c r="HO35" i="139"/>
  <c r="HO62" i="139" s="1"/>
  <c r="HO39" i="139"/>
  <c r="HO66" i="139" s="1"/>
  <c r="HO40" i="139"/>
  <c r="HO67" i="139" s="1"/>
  <c r="HS30" i="139"/>
  <c r="HS57" i="139" s="1"/>
  <c r="IE31" i="139"/>
  <c r="IE58" i="139" s="1"/>
  <c r="IE32" i="139"/>
  <c r="IE59" i="139" s="1"/>
  <c r="IE36" i="139"/>
  <c r="IE63" i="139" s="1"/>
  <c r="IE35" i="139"/>
  <c r="IE62" i="139" s="1"/>
  <c r="IE39" i="139"/>
  <c r="IE66" i="139" s="1"/>
  <c r="IE40" i="139"/>
  <c r="IE67" i="139" s="1"/>
  <c r="II30" i="139"/>
  <c r="II57" i="139" s="1"/>
  <c r="IM30" i="139"/>
  <c r="IM57" i="139" s="1"/>
  <c r="HJ31" i="139"/>
  <c r="HJ58" i="139" s="1"/>
  <c r="JF31" i="139"/>
  <c r="JF58" i="139" s="1"/>
  <c r="HQ32" i="139"/>
  <c r="HQ59" i="139" s="1"/>
  <c r="IO32" i="139"/>
  <c r="IO59" i="139" s="1"/>
  <c r="JE32" i="139"/>
  <c r="JE59" i="139" s="1"/>
  <c r="HK34" i="139"/>
  <c r="HK61" i="139" s="1"/>
  <c r="IE34" i="139"/>
  <c r="IE61" i="139" s="1"/>
  <c r="JC34" i="139"/>
  <c r="JC61" i="139" s="1"/>
  <c r="HV35" i="139"/>
  <c r="HV62" i="139" s="1"/>
  <c r="IX35" i="139"/>
  <c r="IX62" i="139" s="1"/>
  <c r="HE36" i="139"/>
  <c r="HE63" i="139" s="1"/>
  <c r="HY36" i="139"/>
  <c r="HY63" i="139" s="1"/>
  <c r="JE36" i="139"/>
  <c r="JE63" i="139" s="1"/>
  <c r="HS38" i="139"/>
  <c r="HS65" i="139" s="1"/>
  <c r="II38" i="139"/>
  <c r="II65" i="139" s="1"/>
  <c r="HR39" i="139"/>
  <c r="HR66" i="139" s="1"/>
  <c r="IX39" i="139"/>
  <c r="IX66" i="139" s="1"/>
  <c r="IG40" i="139"/>
  <c r="IG67" i="139" s="1"/>
  <c r="IX30" i="139"/>
  <c r="IX57" i="139" s="1"/>
  <c r="HF32" i="139"/>
  <c r="HF59" i="139" s="1"/>
  <c r="HF40" i="139"/>
  <c r="HF67" i="139" s="1"/>
  <c r="HF33" i="139"/>
  <c r="HF60" i="139" s="1"/>
  <c r="HF37" i="139"/>
  <c r="HF64" i="139" s="1"/>
  <c r="HF36" i="139"/>
  <c r="HF63" i="139" s="1"/>
  <c r="HF41" i="139"/>
  <c r="HF68" i="139" s="1"/>
  <c r="HF30" i="139"/>
  <c r="HF57" i="139" s="1"/>
  <c r="HN30" i="139"/>
  <c r="HN57" i="139" s="1"/>
  <c r="HV30" i="139"/>
  <c r="HV57" i="139" s="1"/>
  <c r="HZ32" i="139"/>
  <c r="HZ59" i="139" s="1"/>
  <c r="HZ37" i="139"/>
  <c r="HZ64" i="139" s="1"/>
  <c r="HZ33" i="139"/>
  <c r="HZ60" i="139" s="1"/>
  <c r="HZ36" i="139"/>
  <c r="HZ63" i="139" s="1"/>
  <c r="HZ40" i="139"/>
  <c r="HZ67" i="139" s="1"/>
  <c r="HZ41" i="139"/>
  <c r="HZ68" i="139" s="1"/>
  <c r="HZ34" i="139"/>
  <c r="HZ61" i="139" s="1"/>
  <c r="IH32" i="139"/>
  <c r="IH59" i="139" s="1"/>
  <c r="IH37" i="139"/>
  <c r="IH64" i="139" s="1"/>
  <c r="IH33" i="139"/>
  <c r="IH60" i="139" s="1"/>
  <c r="IH36" i="139"/>
  <c r="IH63" i="139" s="1"/>
  <c r="IH40" i="139"/>
  <c r="IH67" i="139" s="1"/>
  <c r="IH30" i="139"/>
  <c r="IH57" i="139" s="1"/>
  <c r="IH41" i="139"/>
  <c r="IH68" i="139" s="1"/>
  <c r="IP30" i="139"/>
  <c r="IP57" i="139" s="1"/>
  <c r="IT32" i="139"/>
  <c r="IT59" i="139" s="1"/>
  <c r="IT33" i="139"/>
  <c r="IT60" i="139" s="1"/>
  <c r="IT40" i="139"/>
  <c r="IT67" i="139" s="1"/>
  <c r="IT41" i="139"/>
  <c r="IT68" i="139" s="1"/>
  <c r="IT36" i="139"/>
  <c r="IT63" i="139" s="1"/>
  <c r="IT37" i="139"/>
  <c r="IT64" i="139" s="1"/>
  <c r="JA33" i="139"/>
  <c r="JA60" i="139" s="1"/>
  <c r="JA30" i="139"/>
  <c r="JA57" i="139" s="1"/>
  <c r="JA38" i="139"/>
  <c r="JA65" i="139" s="1"/>
  <c r="JA34" i="139"/>
  <c r="JA61" i="139" s="1"/>
  <c r="JA37" i="139"/>
  <c r="JA64" i="139" s="1"/>
  <c r="JA41" i="139"/>
  <c r="JA68" i="139" s="1"/>
  <c r="HA31" i="139"/>
  <c r="HA58" i="139" s="1"/>
  <c r="HY31" i="139"/>
  <c r="HY58" i="139" s="1"/>
  <c r="IS31" i="139"/>
  <c r="IS58" i="139" s="1"/>
  <c r="IQ33" i="139"/>
  <c r="IQ60" i="139" s="1"/>
  <c r="HB34" i="139"/>
  <c r="HB61" i="139" s="1"/>
  <c r="HV34" i="139"/>
  <c r="HV61" i="139" s="1"/>
  <c r="IT34" i="139"/>
  <c r="IT61" i="139" s="1"/>
  <c r="HE35" i="139"/>
  <c r="HE62" i="139" s="1"/>
  <c r="IG35" i="139"/>
  <c r="IG62" i="139" s="1"/>
  <c r="JA35" i="139"/>
  <c r="JA62" i="139" s="1"/>
  <c r="IQ37" i="139"/>
  <c r="IQ64" i="139" s="1"/>
  <c r="HN38" i="139"/>
  <c r="HN65" i="139" s="1"/>
  <c r="ID38" i="139"/>
  <c r="ID65" i="139" s="1"/>
  <c r="IT38" i="139"/>
  <c r="IT65" i="139" s="1"/>
  <c r="JA31" i="139"/>
  <c r="JA58" i="139" s="1"/>
  <c r="HU39" i="139"/>
  <c r="HU66" i="139" s="1"/>
  <c r="IM41" i="139"/>
  <c r="IM68" i="139" s="1"/>
  <c r="HG31" i="139"/>
  <c r="HG58" i="139" s="1"/>
  <c r="HG32" i="139"/>
  <c r="HG59" i="139" s="1"/>
  <c r="HG35" i="139"/>
  <c r="HG62" i="139" s="1"/>
  <c r="HG36" i="139"/>
  <c r="HG63" i="139" s="1"/>
  <c r="HG39" i="139"/>
  <c r="HG66" i="139" s="1"/>
  <c r="HG40" i="139"/>
  <c r="HG67" i="139" s="1"/>
  <c r="HG41" i="139"/>
  <c r="HG68" i="139" s="1"/>
  <c r="IQ30" i="139"/>
  <c r="IQ57" i="139" s="1"/>
  <c r="HK30" i="139"/>
  <c r="HK57" i="139" s="1"/>
  <c r="HC31" i="139"/>
  <c r="HC58" i="139" s="1"/>
  <c r="HC39" i="139"/>
  <c r="HC66" i="139" s="1"/>
  <c r="HC32" i="139"/>
  <c r="HC59" i="139" s="1"/>
  <c r="HC36" i="139"/>
  <c r="HC63" i="139" s="1"/>
  <c r="HC35" i="139"/>
  <c r="HC62" i="139" s="1"/>
  <c r="HC40" i="139"/>
  <c r="HC67" i="139" s="1"/>
  <c r="HO30" i="139"/>
  <c r="HO57" i="139" s="1"/>
  <c r="IA31" i="139"/>
  <c r="IA58" i="139" s="1"/>
  <c r="IA35" i="139"/>
  <c r="IA62" i="139" s="1"/>
  <c r="IA32" i="139"/>
  <c r="IA59" i="139" s="1"/>
  <c r="IA39" i="139"/>
  <c r="IA66" i="139" s="1"/>
  <c r="IA36" i="139"/>
  <c r="IA63" i="139" s="1"/>
  <c r="IA41" i="139"/>
  <c r="IA68" i="139" s="1"/>
  <c r="IA40" i="139"/>
  <c r="IA67" i="139" s="1"/>
  <c r="IE30" i="139"/>
  <c r="IE57" i="139" s="1"/>
  <c r="JC31" i="139"/>
  <c r="JC58" i="139" s="1"/>
  <c r="JC32" i="139"/>
  <c r="JC59" i="139" s="1"/>
  <c r="JC36" i="139"/>
  <c r="JC63" i="139" s="1"/>
  <c r="JC35" i="139"/>
  <c r="JC62" i="139" s="1"/>
  <c r="JC39" i="139"/>
  <c r="JC66" i="139" s="1"/>
  <c r="JC40" i="139"/>
  <c r="JC67" i="139" s="1"/>
  <c r="JC33" i="139"/>
  <c r="JC60" i="139" s="1"/>
  <c r="JC41" i="139"/>
  <c r="JC68" i="139" s="1"/>
  <c r="GY28" i="139" l="1"/>
  <c r="GX28" i="139"/>
  <c r="GW28" i="139" s="1"/>
  <c r="GV28" i="139" s="1"/>
  <c r="GV36" i="139" l="1"/>
  <c r="GV63" i="139" s="1"/>
  <c r="GU28" i="139"/>
  <c r="GV37" i="139"/>
  <c r="GV64" i="139" s="1"/>
  <c r="GV33" i="139"/>
  <c r="GV60" i="139" s="1"/>
  <c r="GT28" i="139"/>
  <c r="GT40" i="139" s="1"/>
  <c r="GT67" i="139" s="1"/>
  <c r="GV38" i="139"/>
  <c r="GV65" i="139" s="1"/>
  <c r="GV41" i="139"/>
  <c r="GV68" i="139" s="1"/>
  <c r="GU38" i="139"/>
  <c r="GU65" i="139" s="1"/>
  <c r="GV32" i="139"/>
  <c r="GV59" i="139" s="1"/>
  <c r="GV39" i="139"/>
  <c r="GV66" i="139" s="1"/>
  <c r="GV31" i="139"/>
  <c r="GV58" i="139" s="1"/>
  <c r="GV35" i="139"/>
  <c r="GV62" i="139" s="1"/>
  <c r="GV30" i="139"/>
  <c r="GV57" i="139" s="1"/>
  <c r="GV40" i="139"/>
  <c r="GV67" i="139" s="1"/>
  <c r="GV34" i="139"/>
  <c r="GV61" i="139" s="1"/>
  <c r="GY39" i="139"/>
  <c r="GY66" i="139" s="1"/>
  <c r="GY32" i="139"/>
  <c r="GY59" i="139" s="1"/>
  <c r="GY41" i="139"/>
  <c r="GY68" i="139" s="1"/>
  <c r="GY31" i="139"/>
  <c r="GY58" i="139" s="1"/>
  <c r="GY34" i="139"/>
  <c r="GY61" i="139" s="1"/>
  <c r="GY37" i="139"/>
  <c r="GY64" i="139" s="1"/>
  <c r="GY35" i="139"/>
  <c r="GY62" i="139" s="1"/>
  <c r="GU30" i="139"/>
  <c r="GU57" i="139" s="1"/>
  <c r="GU36" i="139"/>
  <c r="GU63" i="139" s="1"/>
  <c r="GU34" i="139"/>
  <c r="GU61" i="139" s="1"/>
  <c r="GU35" i="139"/>
  <c r="GU62" i="139" s="1"/>
  <c r="GU37" i="139"/>
  <c r="GU64" i="139" s="1"/>
  <c r="GU33" i="139"/>
  <c r="GU60" i="139" s="1"/>
  <c r="GU41" i="139"/>
  <c r="GU68" i="139" s="1"/>
  <c r="GY33" i="139"/>
  <c r="GY60" i="139" s="1"/>
  <c r="GY36" i="139"/>
  <c r="GY63" i="139" s="1"/>
  <c r="GY30" i="139"/>
  <c r="GY57" i="139" s="1"/>
  <c r="GY40" i="139"/>
  <c r="GY67" i="139" s="1"/>
  <c r="GY38" i="139"/>
  <c r="GY65" i="139" s="1"/>
  <c r="GU31" i="139"/>
  <c r="GU58" i="139" s="1"/>
  <c r="GU39" i="139"/>
  <c r="GU66" i="139" s="1"/>
  <c r="GX38" i="139"/>
  <c r="GX65" i="139" s="1"/>
  <c r="GU40" i="139"/>
  <c r="GU67" i="139" s="1"/>
  <c r="GU32" i="139"/>
  <c r="GU59" i="139" s="1"/>
  <c r="GX32" i="139"/>
  <c r="GX59" i="139" s="1"/>
  <c r="GX36" i="139"/>
  <c r="GX63" i="139" s="1"/>
  <c r="GX30" i="139"/>
  <c r="GX57" i="139" s="1"/>
  <c r="GX34" i="139"/>
  <c r="GX61" i="139" s="1"/>
  <c r="GX40" i="139"/>
  <c r="GX67" i="139" s="1"/>
  <c r="GX31" i="139"/>
  <c r="GX58" i="139" s="1"/>
  <c r="GX37" i="139"/>
  <c r="GX64" i="139" s="1"/>
  <c r="GX41" i="139"/>
  <c r="GX68" i="139" s="1"/>
  <c r="GX35" i="139"/>
  <c r="GX62" i="139" s="1"/>
  <c r="GX39" i="139"/>
  <c r="GX66" i="139" s="1"/>
  <c r="GX33" i="139"/>
  <c r="GX60" i="139" s="1"/>
  <c r="GW30" i="139"/>
  <c r="GW57" i="139" s="1"/>
  <c r="GW32" i="139"/>
  <c r="GW59" i="139" s="1"/>
  <c r="GW34" i="139"/>
  <c r="GW61" i="139" s="1"/>
  <c r="GW36" i="139"/>
  <c r="GW63" i="139" s="1"/>
  <c r="GW38" i="139"/>
  <c r="GW65" i="139" s="1"/>
  <c r="GW31" i="139"/>
  <c r="GW58" i="139" s="1"/>
  <c r="GW33" i="139"/>
  <c r="GW60" i="139" s="1"/>
  <c r="GW35" i="139"/>
  <c r="GW62" i="139" s="1"/>
  <c r="GW37" i="139"/>
  <c r="GW64" i="139" s="1"/>
  <c r="GW41" i="139"/>
  <c r="GW68" i="139" s="1"/>
  <c r="GW39" i="139"/>
  <c r="GW66" i="139" s="1"/>
  <c r="GW40" i="139"/>
  <c r="GW67" i="139" s="1"/>
  <c r="GT32" i="139" l="1"/>
  <c r="GT59" i="139" s="1"/>
  <c r="GT37" i="139"/>
  <c r="GT64" i="139" s="1"/>
  <c r="GT39" i="139"/>
  <c r="GT66" i="139" s="1"/>
  <c r="GT36" i="139"/>
  <c r="GT63" i="139" s="1"/>
  <c r="GT35" i="139"/>
  <c r="GT62" i="139" s="1"/>
  <c r="GT41" i="139"/>
  <c r="GT68" i="139" s="1"/>
  <c r="GT31" i="139"/>
  <c r="GT58" i="139" s="1"/>
  <c r="GT38" i="139"/>
  <c r="GT65" i="139" s="1"/>
  <c r="GT33" i="139"/>
  <c r="GT60" i="139" s="1"/>
  <c r="GT34" i="139"/>
  <c r="GT61" i="139" s="1"/>
  <c r="GS28" i="139"/>
  <c r="GS33" i="139" s="1"/>
  <c r="GS60" i="139" s="1"/>
  <c r="GS36" i="139" l="1"/>
  <c r="GS63" i="139" s="1"/>
  <c r="GS37" i="139"/>
  <c r="GS64" i="139" s="1"/>
  <c r="GR28" i="139"/>
  <c r="GR30" i="139" s="1"/>
  <c r="GR57" i="139" s="1"/>
  <c r="GS35" i="139"/>
  <c r="GS62" i="139" s="1"/>
  <c r="GS32" i="139"/>
  <c r="GS59" i="139" s="1"/>
  <c r="GS34" i="139"/>
  <c r="GS61" i="139" s="1"/>
  <c r="GS41" i="139"/>
  <c r="GS68" i="139" s="1"/>
  <c r="GS39" i="139"/>
  <c r="GS66" i="139" s="1"/>
  <c r="GS40" i="139"/>
  <c r="GS67" i="139" s="1"/>
  <c r="GS38" i="139"/>
  <c r="GS65" i="139" s="1"/>
  <c r="GT30" i="139"/>
  <c r="GT57" i="139" s="1"/>
  <c r="GS31" i="139"/>
  <c r="GS58" i="139" s="1"/>
  <c r="GS30" i="139"/>
  <c r="GS57" i="139" s="1"/>
  <c r="GR37" i="139" l="1"/>
  <c r="GR64" i="139" s="1"/>
  <c r="GR39" i="139"/>
  <c r="GR66" i="139" s="1"/>
  <c r="GQ28" i="139"/>
  <c r="GR35" i="139"/>
  <c r="GR62" i="139" s="1"/>
  <c r="GR41" i="139"/>
  <c r="GR68" i="139" s="1"/>
  <c r="GR38" i="139"/>
  <c r="GR65" i="139" s="1"/>
  <c r="GR36" i="139"/>
  <c r="GR63" i="139" s="1"/>
  <c r="GR40" i="139"/>
  <c r="GR67" i="139" s="1"/>
  <c r="GR32" i="139"/>
  <c r="GR59" i="139" s="1"/>
  <c r="GR34" i="139"/>
  <c r="GR61" i="139" s="1"/>
  <c r="GR33" i="139"/>
  <c r="GR60" i="139" s="1"/>
  <c r="GR31" i="139"/>
  <c r="GR58" i="139" s="1"/>
  <c r="JN56" i="139"/>
  <c r="GQ35" i="139" l="1"/>
  <c r="GQ62" i="139" s="1"/>
  <c r="GQ37" i="139"/>
  <c r="GQ64" i="139" s="1"/>
  <c r="GQ38" i="139"/>
  <c r="GQ65" i="139" s="1"/>
  <c r="GQ34" i="139"/>
  <c r="GQ61" i="139" s="1"/>
  <c r="GQ33" i="139"/>
  <c r="GQ60" i="139" s="1"/>
  <c r="GQ40" i="139"/>
  <c r="GQ67" i="139" s="1"/>
  <c r="GQ30" i="139"/>
  <c r="GQ57" i="139" s="1"/>
  <c r="GQ36" i="139"/>
  <c r="GQ63" i="139" s="1"/>
  <c r="GQ39" i="139"/>
  <c r="GQ66" i="139" s="1"/>
  <c r="GP28" i="139"/>
  <c r="GQ41" i="139"/>
  <c r="GQ68" i="139" s="1"/>
  <c r="GQ31" i="139"/>
  <c r="GQ58" i="139" s="1"/>
  <c r="GQ32" i="139"/>
  <c r="GQ59" i="139" s="1"/>
  <c r="GO28" i="139" l="1"/>
  <c r="GP32" i="139"/>
  <c r="GP59" i="139" s="1"/>
  <c r="GP37" i="139"/>
  <c r="GP64" i="139" s="1"/>
  <c r="GP41" i="139"/>
  <c r="GP68" i="139" s="1"/>
  <c r="GP39" i="139"/>
  <c r="GP66" i="139" s="1"/>
  <c r="GP33" i="139"/>
  <c r="GP60" i="139" s="1"/>
  <c r="GP40" i="139"/>
  <c r="GP67" i="139" s="1"/>
  <c r="GP36" i="139"/>
  <c r="GP63" i="139" s="1"/>
  <c r="GP31" i="139"/>
  <c r="GP58" i="139" s="1"/>
  <c r="GP38" i="139"/>
  <c r="GP65" i="139" s="1"/>
  <c r="GP30" i="139"/>
  <c r="GP57" i="139" s="1"/>
  <c r="GP34" i="139"/>
  <c r="GP61" i="139" s="1"/>
  <c r="GP35" i="139"/>
  <c r="GP62" i="139" s="1"/>
  <c r="GO31" i="139" l="1"/>
  <c r="GO58" i="139" s="1"/>
  <c r="GO40" i="139"/>
  <c r="GO67" i="139" s="1"/>
  <c r="GO37" i="139"/>
  <c r="GO64" i="139" s="1"/>
  <c r="GO30" i="139"/>
  <c r="GO57" i="139" s="1"/>
  <c r="GN28" i="139"/>
  <c r="GO33" i="139"/>
  <c r="GO60" i="139" s="1"/>
  <c r="GO32" i="139"/>
  <c r="GO59" i="139" s="1"/>
  <c r="GO41" i="139"/>
  <c r="GO68" i="139" s="1"/>
  <c r="GO39" i="139"/>
  <c r="GO66" i="139" s="1"/>
  <c r="GO38" i="139"/>
  <c r="GO65" i="139" s="1"/>
  <c r="GO35" i="139"/>
  <c r="GO62" i="139" s="1"/>
  <c r="GO34" i="139"/>
  <c r="GO61" i="139" s="1"/>
  <c r="GO36" i="139"/>
  <c r="GO63" i="139" s="1"/>
  <c r="GN38" i="139" l="1"/>
  <c r="GN65" i="139" s="1"/>
  <c r="GN37" i="139"/>
  <c r="GN64" i="139" s="1"/>
  <c r="GN33" i="139"/>
  <c r="GN60" i="139" s="1"/>
  <c r="GN32" i="139"/>
  <c r="GN59" i="139" s="1"/>
  <c r="GN30" i="139"/>
  <c r="GN57" i="139" s="1"/>
  <c r="GN39" i="139"/>
  <c r="GN66" i="139" s="1"/>
  <c r="GN41" i="139"/>
  <c r="GN68" i="139" s="1"/>
  <c r="GM28" i="139"/>
  <c r="GN36" i="139"/>
  <c r="GN63" i="139" s="1"/>
  <c r="GN35" i="139"/>
  <c r="GN62" i="139" s="1"/>
  <c r="GN31" i="139"/>
  <c r="GN58" i="139" s="1"/>
  <c r="GN40" i="139"/>
  <c r="GN67" i="139" s="1"/>
  <c r="GN34" i="139"/>
  <c r="GN61" i="139" s="1"/>
  <c r="GL28" i="139" l="1"/>
  <c r="GM35" i="139"/>
  <c r="GM62" i="139" s="1"/>
  <c r="GM34" i="139"/>
  <c r="GM61" i="139" s="1"/>
  <c r="GM30" i="139"/>
  <c r="GM57" i="139" s="1"/>
  <c r="GM32" i="139"/>
  <c r="GM59" i="139" s="1"/>
  <c r="GM37" i="139"/>
  <c r="GM64" i="139" s="1"/>
  <c r="GM39" i="139"/>
  <c r="GM66" i="139" s="1"/>
  <c r="GM31" i="139"/>
  <c r="GM58" i="139" s="1"/>
  <c r="GM38" i="139"/>
  <c r="GM65" i="139" s="1"/>
  <c r="GM41" i="139"/>
  <c r="GM68" i="139" s="1"/>
  <c r="GM36" i="139"/>
  <c r="GM63" i="139" s="1"/>
  <c r="GM33" i="139"/>
  <c r="GM60" i="139" s="1"/>
  <c r="GM40" i="139"/>
  <c r="GM67" i="139" s="1"/>
  <c r="GL37" i="139" l="1"/>
  <c r="GL64" i="139" s="1"/>
  <c r="GL31" i="139"/>
  <c r="GL58" i="139" s="1"/>
  <c r="GL39" i="139"/>
  <c r="GL66" i="139" s="1"/>
  <c r="GL40" i="139"/>
  <c r="GL67" i="139" s="1"/>
  <c r="GL36" i="139"/>
  <c r="GL63" i="139" s="1"/>
  <c r="GL41" i="139"/>
  <c r="GL68" i="139" s="1"/>
  <c r="GK28" i="139"/>
  <c r="GL32" i="139"/>
  <c r="GL59" i="139" s="1"/>
  <c r="GL33" i="139"/>
  <c r="GL60" i="139" s="1"/>
  <c r="GL35" i="139"/>
  <c r="GL62" i="139" s="1"/>
  <c r="GL34" i="139"/>
  <c r="GL61" i="139" s="1"/>
  <c r="GL30" i="139"/>
  <c r="GL57" i="139" s="1"/>
  <c r="GL38" i="139"/>
  <c r="GL65" i="139" s="1"/>
  <c r="GK38" i="139" l="1"/>
  <c r="GK65" i="139" s="1"/>
  <c r="GK33" i="139"/>
  <c r="GK60" i="139" s="1"/>
  <c r="GK40" i="139"/>
  <c r="GK67" i="139" s="1"/>
  <c r="GK35" i="139"/>
  <c r="GK62" i="139" s="1"/>
  <c r="GK39" i="139"/>
  <c r="GK66" i="139" s="1"/>
  <c r="GJ28" i="139"/>
  <c r="GK32" i="139"/>
  <c r="GK59" i="139" s="1"/>
  <c r="GK30" i="139"/>
  <c r="GK57" i="139" s="1"/>
  <c r="GK41" i="139"/>
  <c r="GK68" i="139" s="1"/>
  <c r="GK31" i="139"/>
  <c r="GK58" i="139" s="1"/>
  <c r="GK37" i="139"/>
  <c r="GK64" i="139" s="1"/>
  <c r="GK34" i="139"/>
  <c r="GK61" i="139" s="1"/>
  <c r="GK36" i="139"/>
  <c r="GK63" i="139" s="1"/>
  <c r="GJ36" i="139" l="1"/>
  <c r="GJ63" i="139" s="1"/>
  <c r="GJ38" i="139"/>
  <c r="GJ65" i="139" s="1"/>
  <c r="GJ30" i="139"/>
  <c r="GJ57" i="139" s="1"/>
  <c r="GI28" i="139"/>
  <c r="GJ39" i="139"/>
  <c r="GJ66" i="139" s="1"/>
  <c r="GJ37" i="139"/>
  <c r="GJ64" i="139" s="1"/>
  <c r="GJ32" i="139"/>
  <c r="GJ59" i="139" s="1"/>
  <c r="GJ41" i="139"/>
  <c r="GJ68" i="139" s="1"/>
  <c r="GJ35" i="139"/>
  <c r="GJ62" i="139" s="1"/>
  <c r="GJ34" i="139"/>
  <c r="GJ61" i="139" s="1"/>
  <c r="GJ33" i="139"/>
  <c r="GJ60" i="139" s="1"/>
  <c r="GJ31" i="139"/>
  <c r="GJ58" i="139" s="1"/>
  <c r="GJ40" i="139"/>
  <c r="GJ67" i="139" s="1"/>
  <c r="GI32" i="139" l="1"/>
  <c r="GI59" i="139" s="1"/>
  <c r="GI40" i="139"/>
  <c r="GI67" i="139" s="1"/>
  <c r="GI34" i="139"/>
  <c r="GI61" i="139" s="1"/>
  <c r="GI35" i="139"/>
  <c r="GI62" i="139" s="1"/>
  <c r="GI33" i="139"/>
  <c r="GI60" i="139" s="1"/>
  <c r="GH28" i="139"/>
  <c r="GI31" i="139"/>
  <c r="GI58" i="139" s="1"/>
  <c r="GI30" i="139"/>
  <c r="GI57" i="139" s="1"/>
  <c r="GI38" i="139"/>
  <c r="GI65" i="139" s="1"/>
  <c r="GI37" i="139"/>
  <c r="GI64" i="139" s="1"/>
  <c r="GI41" i="139"/>
  <c r="GI68" i="139" s="1"/>
  <c r="GI36" i="139"/>
  <c r="GI63" i="139" s="1"/>
  <c r="GI39" i="139"/>
  <c r="GI66" i="139" s="1"/>
  <c r="GH31" i="139" l="1"/>
  <c r="GH58" i="139" s="1"/>
  <c r="GG28" i="139"/>
  <c r="GH30" i="139"/>
  <c r="GH57" i="139" s="1"/>
  <c r="GH40" i="139"/>
  <c r="GH67" i="139" s="1"/>
  <c r="GH39" i="139"/>
  <c r="GH66" i="139" s="1"/>
  <c r="GH36" i="139"/>
  <c r="GH63" i="139" s="1"/>
  <c r="GH38" i="139"/>
  <c r="GH65" i="139" s="1"/>
  <c r="GH34" i="139"/>
  <c r="GH61" i="139" s="1"/>
  <c r="GH35" i="139"/>
  <c r="GH62" i="139" s="1"/>
  <c r="GH41" i="139"/>
  <c r="GH68" i="139" s="1"/>
  <c r="GH32" i="139"/>
  <c r="GH59" i="139" s="1"/>
  <c r="GH37" i="139"/>
  <c r="GH64" i="139" s="1"/>
  <c r="GH33" i="139"/>
  <c r="GH60" i="139" s="1"/>
  <c r="GG36" i="139" l="1"/>
  <c r="GG63" i="139" s="1"/>
  <c r="GG37" i="139"/>
  <c r="GG64" i="139" s="1"/>
  <c r="GG35" i="139"/>
  <c r="GG62" i="139" s="1"/>
  <c r="GG32" i="139"/>
  <c r="GG59" i="139" s="1"/>
  <c r="GG41" i="139"/>
  <c r="GG68" i="139" s="1"/>
  <c r="GG38" i="139"/>
  <c r="GG65" i="139" s="1"/>
  <c r="GG31" i="139"/>
  <c r="GG58" i="139" s="1"/>
  <c r="GG39" i="139"/>
  <c r="GG66" i="139" s="1"/>
  <c r="GF28" i="139"/>
  <c r="GG34" i="139"/>
  <c r="GG61" i="139" s="1"/>
  <c r="GG33" i="139"/>
  <c r="GG60" i="139" s="1"/>
  <c r="GG40" i="139"/>
  <c r="GG67" i="139" s="1"/>
  <c r="GG30" i="139"/>
  <c r="GG57" i="139" s="1"/>
  <c r="GF39" i="139" l="1"/>
  <c r="GF66" i="139" s="1"/>
  <c r="GF38" i="139"/>
  <c r="GF65" i="139" s="1"/>
  <c r="GF32" i="139"/>
  <c r="GF59" i="139" s="1"/>
  <c r="GF36" i="139"/>
  <c r="GF63" i="139" s="1"/>
  <c r="GE28" i="139"/>
  <c r="GF30" i="139"/>
  <c r="GF57" i="139" s="1"/>
  <c r="GF35" i="139"/>
  <c r="GF62" i="139" s="1"/>
  <c r="GF33" i="139"/>
  <c r="GF60" i="139" s="1"/>
  <c r="GF31" i="139"/>
  <c r="GF58" i="139" s="1"/>
  <c r="GF41" i="139"/>
  <c r="GF68" i="139" s="1"/>
  <c r="GF40" i="139"/>
  <c r="GF67" i="139" s="1"/>
  <c r="GF37" i="139"/>
  <c r="GF64" i="139" s="1"/>
  <c r="GF34" i="139"/>
  <c r="GF61" i="139" s="1"/>
  <c r="GE34" i="139" l="1"/>
  <c r="GE61" i="139" s="1"/>
  <c r="GE40" i="139"/>
  <c r="GE67" i="139" s="1"/>
  <c r="GE38" i="139"/>
  <c r="GE65" i="139" s="1"/>
  <c r="GE41" i="139"/>
  <c r="GE68" i="139" s="1"/>
  <c r="GD28" i="139"/>
  <c r="GE39" i="139"/>
  <c r="GE66" i="139" s="1"/>
  <c r="GE32" i="139"/>
  <c r="GE59" i="139" s="1"/>
  <c r="GE31" i="139"/>
  <c r="GE58" i="139" s="1"/>
  <c r="GE36" i="139"/>
  <c r="GE63" i="139" s="1"/>
  <c r="GE37" i="139"/>
  <c r="GE64" i="139" s="1"/>
  <c r="GE33" i="139"/>
  <c r="GE60" i="139" s="1"/>
  <c r="GE35" i="139"/>
  <c r="GE62" i="139" s="1"/>
  <c r="GE30" i="139"/>
  <c r="GE57" i="139" s="1"/>
  <c r="GD35" i="139" l="1"/>
  <c r="GD62" i="139" s="1"/>
  <c r="GD32" i="139"/>
  <c r="GD59" i="139" s="1"/>
  <c r="GD38" i="139"/>
  <c r="GD65" i="139" s="1"/>
  <c r="GD34" i="139"/>
  <c r="GD61" i="139" s="1"/>
  <c r="GC28" i="139"/>
  <c r="GD31" i="139"/>
  <c r="GD58" i="139" s="1"/>
  <c r="GD39" i="139"/>
  <c r="GD66" i="139" s="1"/>
  <c r="GD41" i="139"/>
  <c r="GD68" i="139" s="1"/>
  <c r="GD36" i="139"/>
  <c r="GD63" i="139" s="1"/>
  <c r="GD40" i="139"/>
  <c r="GD67" i="139" s="1"/>
  <c r="GD37" i="139"/>
  <c r="GD64" i="139" s="1"/>
  <c r="GD30" i="139"/>
  <c r="GD57" i="139" s="1"/>
  <c r="GD33" i="139"/>
  <c r="GD60" i="139" s="1"/>
  <c r="GC36" i="139" l="1"/>
  <c r="GC63" i="139" s="1"/>
  <c r="GC33" i="139"/>
  <c r="GC60" i="139" s="1"/>
  <c r="GC35" i="139"/>
  <c r="GC62" i="139" s="1"/>
  <c r="GC39" i="139"/>
  <c r="GC66" i="139" s="1"/>
  <c r="GC34" i="139"/>
  <c r="GC61" i="139" s="1"/>
  <c r="GC31" i="139"/>
  <c r="GC58" i="139" s="1"/>
  <c r="GB28" i="139"/>
  <c r="GC41" i="139"/>
  <c r="GC68" i="139" s="1"/>
  <c r="GC37" i="139"/>
  <c r="GC64" i="139" s="1"/>
  <c r="GC32" i="139"/>
  <c r="GC59" i="139" s="1"/>
  <c r="GC40" i="139"/>
  <c r="GC67" i="139" s="1"/>
  <c r="GC38" i="139"/>
  <c r="GC65" i="139" s="1"/>
  <c r="GC30" i="139"/>
  <c r="GC57" i="139" s="1"/>
  <c r="GB39" i="139" l="1"/>
  <c r="GB66" i="139" s="1"/>
  <c r="GB33" i="139"/>
  <c r="GB60" i="139" s="1"/>
  <c r="GB35" i="139"/>
  <c r="GB62" i="139" s="1"/>
  <c r="GB31" i="139"/>
  <c r="GB58" i="139" s="1"/>
  <c r="GB30" i="139"/>
  <c r="GB57" i="139" s="1"/>
  <c r="GB34" i="139"/>
  <c r="GB61" i="139" s="1"/>
  <c r="GA28" i="139"/>
  <c r="GB36" i="139"/>
  <c r="GB63" i="139" s="1"/>
  <c r="GB32" i="139"/>
  <c r="GB59" i="139" s="1"/>
  <c r="GB38" i="139"/>
  <c r="GB65" i="139" s="1"/>
  <c r="GB40" i="139"/>
  <c r="GB67" i="139" s="1"/>
  <c r="GB41" i="139"/>
  <c r="GB68" i="139" s="1"/>
  <c r="GB37" i="139"/>
  <c r="GB64" i="139" s="1"/>
  <c r="GA30" i="139" l="1"/>
  <c r="GA57" i="139" s="1"/>
  <c r="GZ83" i="139" s="1"/>
  <c r="GA32" i="139"/>
  <c r="GA59" i="139" s="1"/>
  <c r="GZ85" i="139" s="1"/>
  <c r="GA38" i="139"/>
  <c r="GA65" i="139" s="1"/>
  <c r="GZ91" i="139" s="1"/>
  <c r="GA34" i="139"/>
  <c r="GA61" i="139" s="1"/>
  <c r="GZ87" i="139" s="1"/>
  <c r="GA40" i="139"/>
  <c r="GA67" i="139" s="1"/>
  <c r="GZ93" i="139" s="1"/>
  <c r="GA37" i="139"/>
  <c r="GA64" i="139" s="1"/>
  <c r="GZ90" i="139" s="1"/>
  <c r="GA41" i="139"/>
  <c r="GA68" i="139" s="1"/>
  <c r="GZ94" i="139" s="1"/>
  <c r="GA35" i="139"/>
  <c r="GA62" i="139" s="1"/>
  <c r="GZ88" i="139" s="1"/>
  <c r="GA33" i="139"/>
  <c r="GA60" i="139" s="1"/>
  <c r="GZ86" i="139" s="1"/>
  <c r="FZ28" i="139"/>
  <c r="GA36" i="139"/>
  <c r="GA63" i="139" s="1"/>
  <c r="GZ89" i="139" s="1"/>
  <c r="GA39" i="139"/>
  <c r="GA66" i="139" s="1"/>
  <c r="GZ92" i="139" s="1"/>
  <c r="GA31" i="139"/>
  <c r="GA58" i="139" s="1"/>
  <c r="GZ84" i="139" s="1"/>
  <c r="FZ41" i="139" l="1"/>
  <c r="FZ68" i="139" s="1"/>
  <c r="GY94" i="139" s="1"/>
  <c r="FZ31" i="139"/>
  <c r="FZ58" i="139" s="1"/>
  <c r="GY84" i="139" s="1"/>
  <c r="FY28" i="139"/>
  <c r="FZ32" i="139"/>
  <c r="FZ59" i="139" s="1"/>
  <c r="GY85" i="139" s="1"/>
  <c r="FZ34" i="139"/>
  <c r="FZ61" i="139" s="1"/>
  <c r="GY87" i="139" s="1"/>
  <c r="FZ39" i="139"/>
  <c r="FZ66" i="139" s="1"/>
  <c r="GY92" i="139" s="1"/>
  <c r="FZ33" i="139"/>
  <c r="FZ60" i="139" s="1"/>
  <c r="GY86" i="139" s="1"/>
  <c r="FZ36" i="139"/>
  <c r="FZ63" i="139" s="1"/>
  <c r="GY89" i="139" s="1"/>
  <c r="FZ30" i="139"/>
  <c r="FZ57" i="139" s="1"/>
  <c r="GY83" i="139" s="1"/>
  <c r="FZ37" i="139"/>
  <c r="FZ64" i="139" s="1"/>
  <c r="GY90" i="139" s="1"/>
  <c r="FZ35" i="139"/>
  <c r="FZ62" i="139" s="1"/>
  <c r="GY88" i="139" s="1"/>
  <c r="FZ38" i="139"/>
  <c r="FZ65" i="139" s="1"/>
  <c r="GY91" i="139" s="1"/>
  <c r="FZ40" i="139"/>
  <c r="FZ67" i="139" s="1"/>
  <c r="GY93" i="139" s="1"/>
  <c r="FY37" i="139" l="1"/>
  <c r="FY64" i="139" s="1"/>
  <c r="GX90" i="139" s="1"/>
  <c r="FY41" i="139"/>
  <c r="FY68" i="139" s="1"/>
  <c r="GX94" i="139" s="1"/>
  <c r="FY40" i="139"/>
  <c r="FY67" i="139" s="1"/>
  <c r="GX93" i="139" s="1"/>
  <c r="FY35" i="139"/>
  <c r="FY62" i="139" s="1"/>
  <c r="GX88" i="139" s="1"/>
  <c r="FY31" i="139"/>
  <c r="FY58" i="139" s="1"/>
  <c r="GX84" i="139" s="1"/>
  <c r="FY33" i="139"/>
  <c r="FY60" i="139" s="1"/>
  <c r="GX86" i="139" s="1"/>
  <c r="FX28" i="139"/>
  <c r="FY39" i="139"/>
  <c r="FY66" i="139" s="1"/>
  <c r="GX92" i="139" s="1"/>
  <c r="FY36" i="139"/>
  <c r="FY63" i="139" s="1"/>
  <c r="GX89" i="139" s="1"/>
  <c r="FY32" i="139"/>
  <c r="FY59" i="139" s="1"/>
  <c r="GX85" i="139" s="1"/>
  <c r="FY38" i="139"/>
  <c r="FY65" i="139" s="1"/>
  <c r="GX91" i="139" s="1"/>
  <c r="FY30" i="139"/>
  <c r="FY57" i="139" s="1"/>
  <c r="GX83" i="139" s="1"/>
  <c r="FY34" i="139"/>
  <c r="FY61" i="139" s="1"/>
  <c r="GX87" i="139" s="1"/>
  <c r="FX41" i="139" l="1"/>
  <c r="FX68" i="139" s="1"/>
  <c r="GW94" i="139" s="1"/>
  <c r="FX30" i="139"/>
  <c r="FX57" i="139" s="1"/>
  <c r="GW83" i="139" s="1"/>
  <c r="FW28" i="139"/>
  <c r="FX40" i="139"/>
  <c r="FX67" i="139" s="1"/>
  <c r="GW93" i="139" s="1"/>
  <c r="FX36" i="139"/>
  <c r="FX63" i="139" s="1"/>
  <c r="GW89" i="139" s="1"/>
  <c r="FX32" i="139"/>
  <c r="FX59" i="139" s="1"/>
  <c r="GW85" i="139" s="1"/>
  <c r="FX31" i="139"/>
  <c r="FX58" i="139" s="1"/>
  <c r="GW84" i="139" s="1"/>
  <c r="FX33" i="139"/>
  <c r="FX60" i="139" s="1"/>
  <c r="GW86" i="139" s="1"/>
  <c r="FX34" i="139"/>
  <c r="FX61" i="139" s="1"/>
  <c r="GW87" i="139" s="1"/>
  <c r="FX37" i="139"/>
  <c r="FX64" i="139" s="1"/>
  <c r="GW90" i="139" s="1"/>
  <c r="FX39" i="139"/>
  <c r="FX66" i="139" s="1"/>
  <c r="GW92" i="139" s="1"/>
  <c r="FX35" i="139"/>
  <c r="FX62" i="139" s="1"/>
  <c r="GW88" i="139" s="1"/>
  <c r="FX38" i="139"/>
  <c r="FX65" i="139" s="1"/>
  <c r="GW91" i="139" s="1"/>
  <c r="FW35" i="139" l="1"/>
  <c r="FW62" i="139" s="1"/>
  <c r="GV88" i="139" s="1"/>
  <c r="FW38" i="139"/>
  <c r="FW65" i="139" s="1"/>
  <c r="GV91" i="139" s="1"/>
  <c r="FW39" i="139"/>
  <c r="FW66" i="139" s="1"/>
  <c r="GV92" i="139" s="1"/>
  <c r="FW40" i="139"/>
  <c r="FW67" i="139" s="1"/>
  <c r="GV93" i="139" s="1"/>
  <c r="FW33" i="139"/>
  <c r="FW60" i="139" s="1"/>
  <c r="GV86" i="139" s="1"/>
  <c r="FV28" i="139"/>
  <c r="FW37" i="139"/>
  <c r="FW64" i="139" s="1"/>
  <c r="GV90" i="139" s="1"/>
  <c r="FW32" i="139"/>
  <c r="FW59" i="139" s="1"/>
  <c r="GV85" i="139" s="1"/>
  <c r="FW41" i="139"/>
  <c r="FW68" i="139" s="1"/>
  <c r="GV94" i="139" s="1"/>
  <c r="FW34" i="139"/>
  <c r="FW61" i="139" s="1"/>
  <c r="GV87" i="139" s="1"/>
  <c r="FW36" i="139"/>
  <c r="FW63" i="139" s="1"/>
  <c r="GV89" i="139" s="1"/>
  <c r="FW30" i="139"/>
  <c r="FW57" i="139" s="1"/>
  <c r="GV83" i="139" s="1"/>
  <c r="FW31" i="139"/>
  <c r="FW58" i="139" s="1"/>
  <c r="GV84" i="139" s="1"/>
  <c r="FV32" i="139" l="1"/>
  <c r="FV59" i="139" s="1"/>
  <c r="GU85" i="139" s="1"/>
  <c r="FV34" i="139"/>
  <c r="FV61" i="139" s="1"/>
  <c r="GU87" i="139" s="1"/>
  <c r="FV38" i="139"/>
  <c r="FV65" i="139" s="1"/>
  <c r="GU91" i="139" s="1"/>
  <c r="FU28" i="139"/>
  <c r="FV36" i="139"/>
  <c r="FV63" i="139" s="1"/>
  <c r="GU89" i="139" s="1"/>
  <c r="FV30" i="139"/>
  <c r="FV57" i="139" s="1"/>
  <c r="GU83" i="139" s="1"/>
  <c r="FV41" i="139"/>
  <c r="FV68" i="139" s="1"/>
  <c r="GU94" i="139" s="1"/>
  <c r="FV33" i="139"/>
  <c r="FV60" i="139" s="1"/>
  <c r="GU86" i="139" s="1"/>
  <c r="FV35" i="139"/>
  <c r="FV62" i="139" s="1"/>
  <c r="GU88" i="139" s="1"/>
  <c r="FV39" i="139"/>
  <c r="FV66" i="139" s="1"/>
  <c r="GU92" i="139" s="1"/>
  <c r="FV37" i="139"/>
  <c r="FV64" i="139" s="1"/>
  <c r="GU90" i="139" s="1"/>
  <c r="FV40" i="139"/>
  <c r="FV67" i="139" s="1"/>
  <c r="GU93" i="139" s="1"/>
  <c r="FV31" i="139"/>
  <c r="FV58" i="139" s="1"/>
  <c r="GU84" i="139" s="1"/>
  <c r="FU35" i="139" l="1"/>
  <c r="FU62" i="139" s="1"/>
  <c r="GT88" i="139" s="1"/>
  <c r="FU30" i="139"/>
  <c r="FU57" i="139" s="1"/>
  <c r="GT83" i="139" s="1"/>
  <c r="FU37" i="139"/>
  <c r="FU64" i="139" s="1"/>
  <c r="GT90" i="139" s="1"/>
  <c r="FT28" i="139"/>
  <c r="FU32" i="139"/>
  <c r="FU59" i="139" s="1"/>
  <c r="GT85" i="139" s="1"/>
  <c r="FU36" i="139"/>
  <c r="FU63" i="139" s="1"/>
  <c r="GT89" i="139" s="1"/>
  <c r="FU38" i="139"/>
  <c r="FU65" i="139" s="1"/>
  <c r="GT91" i="139" s="1"/>
  <c r="FU41" i="139"/>
  <c r="FU68" i="139" s="1"/>
  <c r="GT94" i="139" s="1"/>
  <c r="FU34" i="139"/>
  <c r="FU61" i="139" s="1"/>
  <c r="GT87" i="139" s="1"/>
  <c r="FU33" i="139"/>
  <c r="FU60" i="139" s="1"/>
  <c r="GT86" i="139" s="1"/>
  <c r="FU40" i="139"/>
  <c r="FU67" i="139" s="1"/>
  <c r="GT93" i="139" s="1"/>
  <c r="FU31" i="139"/>
  <c r="FU58" i="139" s="1"/>
  <c r="GT84" i="139" s="1"/>
  <c r="FU39" i="139"/>
  <c r="FU66" i="139" s="1"/>
  <c r="GT92" i="139" s="1"/>
  <c r="FT33" i="139" l="1"/>
  <c r="FT60" i="139" s="1"/>
  <c r="GS86" i="139" s="1"/>
  <c r="FT36" i="139"/>
  <c r="FT63" i="139" s="1"/>
  <c r="GS89" i="139" s="1"/>
  <c r="FT32" i="139"/>
  <c r="FT59" i="139" s="1"/>
  <c r="GS85" i="139" s="1"/>
  <c r="FT39" i="139"/>
  <c r="FT66" i="139" s="1"/>
  <c r="GS92" i="139" s="1"/>
  <c r="FT38" i="139"/>
  <c r="FT65" i="139" s="1"/>
  <c r="GS91" i="139" s="1"/>
  <c r="FT35" i="139"/>
  <c r="FT62" i="139" s="1"/>
  <c r="GS88" i="139" s="1"/>
  <c r="FT34" i="139"/>
  <c r="FT61" i="139" s="1"/>
  <c r="GS87" i="139" s="1"/>
  <c r="FS28" i="139"/>
  <c r="FT41" i="139"/>
  <c r="FT68" i="139" s="1"/>
  <c r="GS94" i="139" s="1"/>
  <c r="FT31" i="139"/>
  <c r="FT58" i="139" s="1"/>
  <c r="GS84" i="139" s="1"/>
  <c r="FT37" i="139"/>
  <c r="FT64" i="139" s="1"/>
  <c r="GS90" i="139" s="1"/>
  <c r="FT30" i="139"/>
  <c r="FT57" i="139" s="1"/>
  <c r="GS83" i="139" s="1"/>
  <c r="FT40" i="139"/>
  <c r="FT67" i="139" s="1"/>
  <c r="GS93" i="139" s="1"/>
  <c r="FS40" i="139" l="1"/>
  <c r="FS67" i="139" s="1"/>
  <c r="GR93" i="139" s="1"/>
  <c r="FS37" i="139"/>
  <c r="FS64" i="139" s="1"/>
  <c r="GR90" i="139" s="1"/>
  <c r="FR28" i="139"/>
  <c r="FS41" i="139"/>
  <c r="FS68" i="139" s="1"/>
  <c r="GR94" i="139" s="1"/>
  <c r="FS33" i="139"/>
  <c r="FS60" i="139" s="1"/>
  <c r="GR86" i="139" s="1"/>
  <c r="FS34" i="139"/>
  <c r="FS61" i="139" s="1"/>
  <c r="GR87" i="139" s="1"/>
  <c r="FS32" i="139"/>
  <c r="FS59" i="139" s="1"/>
  <c r="GR85" i="139" s="1"/>
  <c r="FS36" i="139"/>
  <c r="FS63" i="139" s="1"/>
  <c r="GR89" i="139" s="1"/>
  <c r="FS35" i="139"/>
  <c r="FS62" i="139" s="1"/>
  <c r="GR88" i="139" s="1"/>
  <c r="FS31" i="139"/>
  <c r="FS58" i="139" s="1"/>
  <c r="GR84" i="139" s="1"/>
  <c r="FS39" i="139"/>
  <c r="FS66" i="139" s="1"/>
  <c r="GR92" i="139" s="1"/>
  <c r="FS30" i="139"/>
  <c r="FS57" i="139" s="1"/>
  <c r="GR83" i="139" s="1"/>
  <c r="FS38" i="139"/>
  <c r="FS65" i="139" s="1"/>
  <c r="GR91" i="139" s="1"/>
  <c r="FR36" i="139" l="1"/>
  <c r="FR63" i="139" s="1"/>
  <c r="GQ89" i="139" s="1"/>
  <c r="FR39" i="139"/>
  <c r="FR66" i="139" s="1"/>
  <c r="GQ92" i="139" s="1"/>
  <c r="FR30" i="139"/>
  <c r="FR57" i="139" s="1"/>
  <c r="GQ83" i="139" s="1"/>
  <c r="FR37" i="139"/>
  <c r="FR64" i="139" s="1"/>
  <c r="GQ90" i="139" s="1"/>
  <c r="FQ28" i="139"/>
  <c r="FR34" i="139"/>
  <c r="FR61" i="139" s="1"/>
  <c r="GQ87" i="139" s="1"/>
  <c r="FR33" i="139"/>
  <c r="FR60" i="139" s="1"/>
  <c r="GQ86" i="139" s="1"/>
  <c r="FR38" i="139"/>
  <c r="FR65" i="139" s="1"/>
  <c r="GQ91" i="139" s="1"/>
  <c r="FR31" i="139"/>
  <c r="FR58" i="139" s="1"/>
  <c r="GQ84" i="139" s="1"/>
  <c r="FR40" i="139"/>
  <c r="FR67" i="139" s="1"/>
  <c r="GQ93" i="139" s="1"/>
  <c r="FR41" i="139"/>
  <c r="FR68" i="139" s="1"/>
  <c r="GQ94" i="139" s="1"/>
  <c r="FR32" i="139"/>
  <c r="FR59" i="139" s="1"/>
  <c r="GQ85" i="139" s="1"/>
  <c r="FR35" i="139"/>
  <c r="FR62" i="139" s="1"/>
  <c r="GQ88" i="139" s="1"/>
  <c r="FQ37" i="139" l="1"/>
  <c r="FQ64" i="139" s="1"/>
  <c r="GP90" i="139" s="1"/>
  <c r="FQ38" i="139"/>
  <c r="FQ65" i="139" s="1"/>
  <c r="GP91" i="139" s="1"/>
  <c r="FQ39" i="139"/>
  <c r="FQ66" i="139" s="1"/>
  <c r="GP92" i="139" s="1"/>
  <c r="FQ36" i="139"/>
  <c r="FQ63" i="139" s="1"/>
  <c r="GP89" i="139" s="1"/>
  <c r="FP28" i="139"/>
  <c r="FQ33" i="139"/>
  <c r="FQ60" i="139" s="1"/>
  <c r="GP86" i="139" s="1"/>
  <c r="FQ40" i="139"/>
  <c r="FQ67" i="139" s="1"/>
  <c r="GP93" i="139" s="1"/>
  <c r="FQ32" i="139"/>
  <c r="FQ59" i="139" s="1"/>
  <c r="GP85" i="139" s="1"/>
  <c r="FQ41" i="139"/>
  <c r="FQ68" i="139" s="1"/>
  <c r="GP94" i="139" s="1"/>
  <c r="FQ34" i="139"/>
  <c r="FQ61" i="139" s="1"/>
  <c r="GP87" i="139" s="1"/>
  <c r="FQ31" i="139"/>
  <c r="FQ58" i="139" s="1"/>
  <c r="GP84" i="139" s="1"/>
  <c r="FQ30" i="139"/>
  <c r="FQ57" i="139" s="1"/>
  <c r="GP83" i="139" s="1"/>
  <c r="FQ35" i="139"/>
  <c r="FQ62" i="139" s="1"/>
  <c r="GP88" i="139" s="1"/>
  <c r="FP36" i="139" l="1"/>
  <c r="FP63" i="139" s="1"/>
  <c r="GO89" i="139" s="1"/>
  <c r="FP34" i="139"/>
  <c r="FP61" i="139" s="1"/>
  <c r="GO87" i="139" s="1"/>
  <c r="FP35" i="139"/>
  <c r="FP62" i="139" s="1"/>
  <c r="GO88" i="139" s="1"/>
  <c r="FP30" i="139"/>
  <c r="FP57" i="139" s="1"/>
  <c r="GO83" i="139" s="1"/>
  <c r="FP38" i="139"/>
  <c r="FP65" i="139" s="1"/>
  <c r="GO91" i="139" s="1"/>
  <c r="FP39" i="139"/>
  <c r="FP66" i="139" s="1"/>
  <c r="GO92" i="139" s="1"/>
  <c r="FP31" i="139"/>
  <c r="FP58" i="139" s="1"/>
  <c r="GO84" i="139" s="1"/>
  <c r="FO28" i="139"/>
  <c r="FP40" i="139"/>
  <c r="FP67" i="139" s="1"/>
  <c r="GO93" i="139" s="1"/>
  <c r="FP32" i="139"/>
  <c r="FP59" i="139" s="1"/>
  <c r="GO85" i="139" s="1"/>
  <c r="FP33" i="139"/>
  <c r="FP60" i="139" s="1"/>
  <c r="GO86" i="139" s="1"/>
  <c r="FP41" i="139"/>
  <c r="FP68" i="139" s="1"/>
  <c r="GO94" i="139" s="1"/>
  <c r="FP37" i="139"/>
  <c r="FP64" i="139" s="1"/>
  <c r="GO90" i="139" s="1"/>
  <c r="FO32" i="139" l="1"/>
  <c r="FO59" i="139" s="1"/>
  <c r="GN85" i="139" s="1"/>
  <c r="FO34" i="139"/>
  <c r="FO61" i="139" s="1"/>
  <c r="GN87" i="139" s="1"/>
  <c r="FO41" i="139"/>
  <c r="FO68" i="139" s="1"/>
  <c r="GN94" i="139" s="1"/>
  <c r="FN28" i="139"/>
  <c r="FO36" i="139"/>
  <c r="FO63" i="139" s="1"/>
  <c r="GN89" i="139" s="1"/>
  <c r="FO37" i="139"/>
  <c r="FO64" i="139" s="1"/>
  <c r="GN90" i="139" s="1"/>
  <c r="FO35" i="139"/>
  <c r="FO62" i="139" s="1"/>
  <c r="GN88" i="139" s="1"/>
  <c r="FO40" i="139"/>
  <c r="FO67" i="139" s="1"/>
  <c r="GN93" i="139" s="1"/>
  <c r="FO39" i="139"/>
  <c r="FO66" i="139" s="1"/>
  <c r="GN92" i="139" s="1"/>
  <c r="FO30" i="139"/>
  <c r="FO57" i="139" s="1"/>
  <c r="GN83" i="139" s="1"/>
  <c r="FO38" i="139"/>
  <c r="FO65" i="139" s="1"/>
  <c r="GN91" i="139" s="1"/>
  <c r="FO31" i="139"/>
  <c r="FO58" i="139" s="1"/>
  <c r="GN84" i="139" s="1"/>
  <c r="FO33" i="139"/>
  <c r="FO60" i="139" s="1"/>
  <c r="GN86" i="139" s="1"/>
  <c r="FN41" i="139" l="1"/>
  <c r="FN68" i="139" s="1"/>
  <c r="GM94" i="139" s="1"/>
  <c r="FN38" i="139"/>
  <c r="FN65" i="139" s="1"/>
  <c r="GM91" i="139" s="1"/>
  <c r="FM28" i="139"/>
  <c r="FN34" i="139"/>
  <c r="FN61" i="139" s="1"/>
  <c r="GM87" i="139" s="1"/>
  <c r="FN31" i="139"/>
  <c r="FN58" i="139" s="1"/>
  <c r="GM84" i="139" s="1"/>
  <c r="FN33" i="139"/>
  <c r="FN60" i="139" s="1"/>
  <c r="GM86" i="139" s="1"/>
  <c r="FN32" i="139"/>
  <c r="FN59" i="139" s="1"/>
  <c r="GM85" i="139" s="1"/>
  <c r="FN37" i="139"/>
  <c r="FN64" i="139" s="1"/>
  <c r="GM90" i="139" s="1"/>
  <c r="FN30" i="139"/>
  <c r="FN57" i="139" s="1"/>
  <c r="GM83" i="139" s="1"/>
  <c r="FN35" i="139"/>
  <c r="FN62" i="139" s="1"/>
  <c r="GM88" i="139" s="1"/>
  <c r="FN40" i="139"/>
  <c r="FN67" i="139" s="1"/>
  <c r="GM93" i="139" s="1"/>
  <c r="FN39" i="139"/>
  <c r="FN66" i="139" s="1"/>
  <c r="GM92" i="139" s="1"/>
  <c r="FN36" i="139"/>
  <c r="FN63" i="139" s="1"/>
  <c r="GM89" i="139" s="1"/>
  <c r="FM40" i="139" l="1"/>
  <c r="FM67" i="139" s="1"/>
  <c r="GL93" i="139" s="1"/>
  <c r="FM36" i="139"/>
  <c r="FM63" i="139" s="1"/>
  <c r="GL89" i="139" s="1"/>
  <c r="FM39" i="139"/>
  <c r="FM66" i="139" s="1"/>
  <c r="GL92" i="139" s="1"/>
  <c r="FL28" i="139"/>
  <c r="FM31" i="139"/>
  <c r="FM58" i="139" s="1"/>
  <c r="GL84" i="139" s="1"/>
  <c r="FM33" i="139"/>
  <c r="FM60" i="139" s="1"/>
  <c r="GL86" i="139" s="1"/>
  <c r="FM35" i="139"/>
  <c r="FM62" i="139" s="1"/>
  <c r="GL88" i="139" s="1"/>
  <c r="FM41" i="139"/>
  <c r="FM68" i="139" s="1"/>
  <c r="GL94" i="139" s="1"/>
  <c r="FM38" i="139"/>
  <c r="FM65" i="139" s="1"/>
  <c r="GL91" i="139" s="1"/>
  <c r="FM37" i="139"/>
  <c r="FM64" i="139" s="1"/>
  <c r="GL90" i="139" s="1"/>
  <c r="FM30" i="139"/>
  <c r="FM57" i="139" s="1"/>
  <c r="GL83" i="139" s="1"/>
  <c r="FM32" i="139"/>
  <c r="FM59" i="139" s="1"/>
  <c r="GL85" i="139" s="1"/>
  <c r="FM34" i="139"/>
  <c r="FM61" i="139" s="1"/>
  <c r="GL87" i="139" s="1"/>
  <c r="FL30" i="139" l="1"/>
  <c r="FL57" i="139" s="1"/>
  <c r="GK83" i="139" s="1"/>
  <c r="FK28" i="139"/>
  <c r="FL37" i="139"/>
  <c r="FL64" i="139" s="1"/>
  <c r="GK90" i="139" s="1"/>
  <c r="FL41" i="139"/>
  <c r="FL68" i="139" s="1"/>
  <c r="GK94" i="139" s="1"/>
  <c r="FL32" i="139"/>
  <c r="FL59" i="139" s="1"/>
  <c r="GK85" i="139" s="1"/>
  <c r="FL35" i="139"/>
  <c r="FL62" i="139" s="1"/>
  <c r="GK88" i="139" s="1"/>
  <c r="FL31" i="139"/>
  <c r="FL58" i="139" s="1"/>
  <c r="GK84" i="139" s="1"/>
  <c r="FL34" i="139"/>
  <c r="FL61" i="139" s="1"/>
  <c r="GK87" i="139" s="1"/>
  <c r="FL36" i="139"/>
  <c r="FL63" i="139" s="1"/>
  <c r="GK89" i="139" s="1"/>
  <c r="FL40" i="139"/>
  <c r="FL67" i="139" s="1"/>
  <c r="GK93" i="139" s="1"/>
  <c r="FL33" i="139"/>
  <c r="FL60" i="139" s="1"/>
  <c r="GK86" i="139" s="1"/>
  <c r="FL38" i="139"/>
  <c r="FL65" i="139" s="1"/>
  <c r="GK91" i="139" s="1"/>
  <c r="FL39" i="139"/>
  <c r="FL66" i="139" s="1"/>
  <c r="GK92" i="139" s="1"/>
  <c r="FK34" i="139" l="1"/>
  <c r="FK61" i="139" s="1"/>
  <c r="GJ87" i="139" s="1"/>
  <c r="FK33" i="139"/>
  <c r="FK60" i="139" s="1"/>
  <c r="GJ86" i="139" s="1"/>
  <c r="FK40" i="139"/>
  <c r="FK67" i="139" s="1"/>
  <c r="GJ93" i="139" s="1"/>
  <c r="FK38" i="139"/>
  <c r="FK65" i="139" s="1"/>
  <c r="GJ91" i="139" s="1"/>
  <c r="FK30" i="139"/>
  <c r="FK57" i="139" s="1"/>
  <c r="GJ83" i="139" s="1"/>
  <c r="FK35" i="139"/>
  <c r="FK62" i="139" s="1"/>
  <c r="GJ88" i="139" s="1"/>
  <c r="FK31" i="139"/>
  <c r="FK58" i="139" s="1"/>
  <c r="GJ84" i="139" s="1"/>
  <c r="FK32" i="139"/>
  <c r="FK59" i="139" s="1"/>
  <c r="GJ85" i="139" s="1"/>
  <c r="FK41" i="139"/>
  <c r="FK68" i="139" s="1"/>
  <c r="GJ94" i="139" s="1"/>
  <c r="FJ28" i="139"/>
  <c r="FK39" i="139"/>
  <c r="FK66" i="139" s="1"/>
  <c r="GJ92" i="139" s="1"/>
  <c r="FK37" i="139"/>
  <c r="FK64" i="139" s="1"/>
  <c r="GJ90" i="139" s="1"/>
  <c r="FK36" i="139"/>
  <c r="FK63" i="139" s="1"/>
  <c r="GJ89" i="139" s="1"/>
  <c r="FJ34" i="139" l="1"/>
  <c r="FJ61" i="139" s="1"/>
  <c r="GI87" i="139" s="1"/>
  <c r="FJ32" i="139"/>
  <c r="FJ59" i="139" s="1"/>
  <c r="GI85" i="139" s="1"/>
  <c r="FJ33" i="139"/>
  <c r="FJ60" i="139" s="1"/>
  <c r="GI86" i="139" s="1"/>
  <c r="FI28" i="139"/>
  <c r="FJ35" i="139"/>
  <c r="FJ62" i="139" s="1"/>
  <c r="GI88" i="139" s="1"/>
  <c r="FJ40" i="139"/>
  <c r="FJ67" i="139" s="1"/>
  <c r="GI93" i="139" s="1"/>
  <c r="FJ31" i="139"/>
  <c r="FJ58" i="139" s="1"/>
  <c r="GI84" i="139" s="1"/>
  <c r="FJ41" i="139"/>
  <c r="FJ68" i="139" s="1"/>
  <c r="GI94" i="139" s="1"/>
  <c r="FJ30" i="139"/>
  <c r="FJ57" i="139" s="1"/>
  <c r="GI83" i="139" s="1"/>
  <c r="FJ36" i="139"/>
  <c r="FJ63" i="139" s="1"/>
  <c r="GI89" i="139" s="1"/>
  <c r="FJ38" i="139"/>
  <c r="FJ65" i="139" s="1"/>
  <c r="GI91" i="139" s="1"/>
  <c r="FJ37" i="139"/>
  <c r="FJ64" i="139" s="1"/>
  <c r="GI90" i="139" s="1"/>
  <c r="FJ39" i="139"/>
  <c r="FJ66" i="139" s="1"/>
  <c r="GI92" i="139" s="1"/>
  <c r="FI32" i="139" l="1"/>
  <c r="FI59" i="139" s="1"/>
  <c r="GH85" i="139" s="1"/>
  <c r="FI38" i="139"/>
  <c r="FI65" i="139" s="1"/>
  <c r="GH91" i="139" s="1"/>
  <c r="FI30" i="139"/>
  <c r="FI57" i="139" s="1"/>
  <c r="GH83" i="139" s="1"/>
  <c r="FI41" i="139"/>
  <c r="FI68" i="139" s="1"/>
  <c r="GH94" i="139" s="1"/>
  <c r="FI36" i="139"/>
  <c r="FI63" i="139" s="1"/>
  <c r="GH89" i="139" s="1"/>
  <c r="FI35" i="139"/>
  <c r="FI62" i="139" s="1"/>
  <c r="GH88" i="139" s="1"/>
  <c r="FI34" i="139"/>
  <c r="FI61" i="139" s="1"/>
  <c r="GH87" i="139" s="1"/>
  <c r="FI40" i="139"/>
  <c r="FI67" i="139" s="1"/>
  <c r="GH93" i="139" s="1"/>
  <c r="FI31" i="139"/>
  <c r="FI58" i="139" s="1"/>
  <c r="GH84" i="139" s="1"/>
  <c r="FH28" i="139"/>
  <c r="FI39" i="139"/>
  <c r="FI66" i="139" s="1"/>
  <c r="GH92" i="139" s="1"/>
  <c r="FI37" i="139"/>
  <c r="FI64" i="139" s="1"/>
  <c r="GH90" i="139" s="1"/>
  <c r="FI33" i="139"/>
  <c r="FI60" i="139" s="1"/>
  <c r="GH86" i="139" s="1"/>
  <c r="FH34" i="139" l="1"/>
  <c r="FH61" i="139" s="1"/>
  <c r="GG87" i="139" s="1"/>
  <c r="FH36" i="139"/>
  <c r="FH63" i="139" s="1"/>
  <c r="GG89" i="139" s="1"/>
  <c r="FH39" i="139"/>
  <c r="FH66" i="139" s="1"/>
  <c r="GG92" i="139" s="1"/>
  <c r="FH33" i="139"/>
  <c r="FH60" i="139" s="1"/>
  <c r="GG86" i="139" s="1"/>
  <c r="FH31" i="139"/>
  <c r="FH58" i="139" s="1"/>
  <c r="GG84" i="139" s="1"/>
  <c r="FH35" i="139"/>
  <c r="FH62" i="139" s="1"/>
  <c r="GG88" i="139" s="1"/>
  <c r="FH41" i="139"/>
  <c r="FH68" i="139" s="1"/>
  <c r="GG94" i="139" s="1"/>
  <c r="FH38" i="139"/>
  <c r="FH65" i="139" s="1"/>
  <c r="GG91" i="139" s="1"/>
  <c r="FG28" i="139"/>
  <c r="FH30" i="139"/>
  <c r="FH57" i="139" s="1"/>
  <c r="GG83" i="139" s="1"/>
  <c r="FH32" i="139"/>
  <c r="FH59" i="139" s="1"/>
  <c r="GG85" i="139" s="1"/>
  <c r="FH40" i="139"/>
  <c r="FH67" i="139" s="1"/>
  <c r="GG93" i="139" s="1"/>
  <c r="FH37" i="139"/>
  <c r="FH64" i="139" s="1"/>
  <c r="GG90" i="139" s="1"/>
  <c r="FG41" i="139" l="1"/>
  <c r="FG68" i="139" s="1"/>
  <c r="GF94" i="139" s="1"/>
  <c r="FG35" i="139"/>
  <c r="FG62" i="139" s="1"/>
  <c r="GF88" i="139" s="1"/>
  <c r="FG31" i="139"/>
  <c r="FG58" i="139" s="1"/>
  <c r="GF84" i="139" s="1"/>
  <c r="FF28" i="139"/>
  <c r="FG30" i="139"/>
  <c r="FG57" i="139" s="1"/>
  <c r="GF83" i="139" s="1"/>
  <c r="FG36" i="139"/>
  <c r="FG63" i="139" s="1"/>
  <c r="GF89" i="139" s="1"/>
  <c r="FG40" i="139"/>
  <c r="FG67" i="139" s="1"/>
  <c r="GF93" i="139" s="1"/>
  <c r="FG33" i="139"/>
  <c r="FG60" i="139" s="1"/>
  <c r="GF86" i="139" s="1"/>
  <c r="FG38" i="139"/>
  <c r="FG65" i="139" s="1"/>
  <c r="GF91" i="139" s="1"/>
  <c r="FG39" i="139"/>
  <c r="FG66" i="139" s="1"/>
  <c r="GF92" i="139" s="1"/>
  <c r="FG34" i="139"/>
  <c r="FG61" i="139" s="1"/>
  <c r="GF87" i="139" s="1"/>
  <c r="FG37" i="139"/>
  <c r="FG64" i="139" s="1"/>
  <c r="GF90" i="139" s="1"/>
  <c r="FG32" i="139"/>
  <c r="FG59" i="139" s="1"/>
  <c r="GF85" i="139" s="1"/>
  <c r="FF40" i="139" l="1"/>
  <c r="FF67" i="139" s="1"/>
  <c r="GE93" i="139" s="1"/>
  <c r="FF35" i="139"/>
  <c r="FF62" i="139" s="1"/>
  <c r="GE88" i="139" s="1"/>
  <c r="FF39" i="139"/>
  <c r="FF66" i="139" s="1"/>
  <c r="GE92" i="139" s="1"/>
  <c r="FF41" i="139"/>
  <c r="FF68" i="139" s="1"/>
  <c r="GE94" i="139" s="1"/>
  <c r="FF37" i="139"/>
  <c r="FF64" i="139" s="1"/>
  <c r="GE90" i="139" s="1"/>
  <c r="FE28" i="139"/>
  <c r="FF32" i="139"/>
  <c r="FF59" i="139" s="1"/>
  <c r="GE85" i="139" s="1"/>
  <c r="FF38" i="139"/>
  <c r="FF65" i="139" s="1"/>
  <c r="GE91" i="139" s="1"/>
  <c r="FF34" i="139"/>
  <c r="FF61" i="139" s="1"/>
  <c r="GE87" i="139" s="1"/>
  <c r="FF33" i="139"/>
  <c r="FF60" i="139" s="1"/>
  <c r="GE86" i="139" s="1"/>
  <c r="FF30" i="139"/>
  <c r="FF57" i="139" s="1"/>
  <c r="GE83" i="139" s="1"/>
  <c r="FF36" i="139"/>
  <c r="FF63" i="139" s="1"/>
  <c r="GE89" i="139" s="1"/>
  <c r="FF31" i="139"/>
  <c r="FF58" i="139" s="1"/>
  <c r="GE84" i="139" s="1"/>
  <c r="FE36" i="139" l="1"/>
  <c r="FE63" i="139" s="1"/>
  <c r="GD89" i="139" s="1"/>
  <c r="FD28" i="139"/>
  <c r="FE37" i="139"/>
  <c r="FE64" i="139" s="1"/>
  <c r="GD90" i="139" s="1"/>
  <c r="FE40" i="139"/>
  <c r="FE67" i="139" s="1"/>
  <c r="GD93" i="139" s="1"/>
  <c r="FE33" i="139"/>
  <c r="FE60" i="139" s="1"/>
  <c r="GD86" i="139" s="1"/>
  <c r="FE32" i="139"/>
  <c r="FE59" i="139" s="1"/>
  <c r="GD85" i="139" s="1"/>
  <c r="FE41" i="139"/>
  <c r="FE68" i="139" s="1"/>
  <c r="GD94" i="139" s="1"/>
  <c r="FE35" i="139"/>
  <c r="FE62" i="139" s="1"/>
  <c r="GD88" i="139" s="1"/>
  <c r="FE31" i="139"/>
  <c r="FE58" i="139" s="1"/>
  <c r="GD84" i="139" s="1"/>
  <c r="FE39" i="139"/>
  <c r="FE66" i="139" s="1"/>
  <c r="GD92" i="139" s="1"/>
  <c r="FE38" i="139"/>
  <c r="FE65" i="139" s="1"/>
  <c r="GD91" i="139" s="1"/>
  <c r="FE34" i="139"/>
  <c r="FE61" i="139" s="1"/>
  <c r="GD87" i="139" s="1"/>
  <c r="FE30" i="139"/>
  <c r="FE57" i="139" s="1"/>
  <c r="GD83" i="139" s="1"/>
  <c r="FD39" i="139" l="1"/>
  <c r="FD66" i="139" s="1"/>
  <c r="GC92" i="139" s="1"/>
  <c r="FD32" i="139"/>
  <c r="FD59" i="139" s="1"/>
  <c r="GC85" i="139" s="1"/>
  <c r="FD37" i="139"/>
  <c r="FD64" i="139" s="1"/>
  <c r="GC90" i="139" s="1"/>
  <c r="FC28" i="139"/>
  <c r="FD41" i="139"/>
  <c r="FD68" i="139" s="1"/>
  <c r="GC94" i="139" s="1"/>
  <c r="FD36" i="139"/>
  <c r="FD63" i="139" s="1"/>
  <c r="GC89" i="139" s="1"/>
  <c r="FD33" i="139"/>
  <c r="FD60" i="139" s="1"/>
  <c r="GC86" i="139" s="1"/>
  <c r="FD35" i="139"/>
  <c r="FD62" i="139" s="1"/>
  <c r="GC88" i="139" s="1"/>
  <c r="FD34" i="139"/>
  <c r="FD61" i="139" s="1"/>
  <c r="GC87" i="139" s="1"/>
  <c r="FD31" i="139"/>
  <c r="FD58" i="139" s="1"/>
  <c r="GC84" i="139" s="1"/>
  <c r="FD30" i="139"/>
  <c r="FD57" i="139" s="1"/>
  <c r="GC83" i="139" s="1"/>
  <c r="FD40" i="139"/>
  <c r="FD67" i="139" s="1"/>
  <c r="GC93" i="139" s="1"/>
  <c r="FD38" i="139"/>
  <c r="FD65" i="139" s="1"/>
  <c r="GC91" i="139" s="1"/>
  <c r="FC41" i="139" l="1"/>
  <c r="FC68" i="139" s="1"/>
  <c r="GB94" i="139" s="1"/>
  <c r="FC38" i="139"/>
  <c r="FC65" i="139" s="1"/>
  <c r="GB91" i="139" s="1"/>
  <c r="FC37" i="139"/>
  <c r="FC64" i="139" s="1"/>
  <c r="GB90" i="139" s="1"/>
  <c r="FC33" i="139"/>
  <c r="FC60" i="139" s="1"/>
  <c r="GB86" i="139" s="1"/>
  <c r="FB28" i="139"/>
  <c r="FC39" i="139"/>
  <c r="FC66" i="139" s="1"/>
  <c r="GB92" i="139" s="1"/>
  <c r="FC35" i="139"/>
  <c r="FC62" i="139" s="1"/>
  <c r="GB88" i="139" s="1"/>
  <c r="FC36" i="139"/>
  <c r="FC63" i="139" s="1"/>
  <c r="GB89" i="139" s="1"/>
  <c r="FC34" i="139"/>
  <c r="FC61" i="139" s="1"/>
  <c r="GB87" i="139" s="1"/>
  <c r="FC31" i="139"/>
  <c r="FC58" i="139" s="1"/>
  <c r="GB84" i="139" s="1"/>
  <c r="FC32" i="139"/>
  <c r="FC59" i="139" s="1"/>
  <c r="GB85" i="139" s="1"/>
  <c r="FC30" i="139"/>
  <c r="FC57" i="139" s="1"/>
  <c r="GB83" i="139" s="1"/>
  <c r="FC40" i="139"/>
  <c r="FC67" i="139" s="1"/>
  <c r="GB93" i="139" s="1"/>
  <c r="JI33" i="139"/>
  <c r="JI35" i="139"/>
  <c r="JI32" i="139"/>
  <c r="FB38" i="139" l="1"/>
  <c r="FB65" i="139" s="1"/>
  <c r="GA91" i="139" s="1"/>
  <c r="FB32" i="139"/>
  <c r="FB59" i="139" s="1"/>
  <c r="GA85" i="139" s="1"/>
  <c r="FB35" i="139"/>
  <c r="FB62" i="139" s="1"/>
  <c r="GA88" i="139" s="1"/>
  <c r="FA28" i="139"/>
  <c r="FB41" i="139"/>
  <c r="FB68" i="139" s="1"/>
  <c r="GA94" i="139" s="1"/>
  <c r="FB33" i="139"/>
  <c r="FB60" i="139" s="1"/>
  <c r="GA86" i="139" s="1"/>
  <c r="FB34" i="139"/>
  <c r="FB61" i="139" s="1"/>
  <c r="GA87" i="139" s="1"/>
  <c r="FB31" i="139"/>
  <c r="FB58" i="139" s="1"/>
  <c r="GA84" i="139" s="1"/>
  <c r="FB30" i="139"/>
  <c r="FB57" i="139" s="1"/>
  <c r="GA83" i="139" s="1"/>
  <c r="FB36" i="139"/>
  <c r="FB63" i="139" s="1"/>
  <c r="GA89" i="139" s="1"/>
  <c r="FB37" i="139"/>
  <c r="FB64" i="139" s="1"/>
  <c r="GA90" i="139" s="1"/>
  <c r="FB39" i="139"/>
  <c r="FB66" i="139" s="1"/>
  <c r="GA92" i="139" s="1"/>
  <c r="FB40" i="139"/>
  <c r="FB67" i="139" s="1"/>
  <c r="GA93" i="139" s="1"/>
  <c r="JI37" i="139"/>
  <c r="JI36" i="139"/>
  <c r="JI39" i="139"/>
  <c r="JI38" i="139"/>
  <c r="JI34" i="139"/>
  <c r="JI30" i="139"/>
  <c r="JI40" i="139"/>
  <c r="JI41" i="139"/>
  <c r="JI31" i="139"/>
  <c r="JI64" i="139"/>
  <c r="JI57" i="139"/>
  <c r="JI59" i="139"/>
  <c r="JI60" i="139"/>
  <c r="JI68" i="139"/>
  <c r="JI58" i="139"/>
  <c r="JI63" i="139"/>
  <c r="JI65" i="139"/>
  <c r="JI62" i="139"/>
  <c r="JI61" i="139"/>
  <c r="JI66" i="139"/>
  <c r="JI67" i="139"/>
  <c r="FA32" i="139" l="1"/>
  <c r="FA59" i="139" s="1"/>
  <c r="FZ85" i="139" s="1"/>
  <c r="FA37" i="139"/>
  <c r="FA64" i="139" s="1"/>
  <c r="FZ90" i="139" s="1"/>
  <c r="EZ28" i="139"/>
  <c r="FA35" i="139"/>
  <c r="FA62" i="139" s="1"/>
  <c r="FZ88" i="139" s="1"/>
  <c r="FA39" i="139"/>
  <c r="FA66" i="139" s="1"/>
  <c r="FZ92" i="139" s="1"/>
  <c r="FA40" i="139"/>
  <c r="FA67" i="139" s="1"/>
  <c r="FZ93" i="139" s="1"/>
  <c r="FA33" i="139"/>
  <c r="FA60" i="139" s="1"/>
  <c r="FZ86" i="139" s="1"/>
  <c r="FA41" i="139"/>
  <c r="FA68" i="139" s="1"/>
  <c r="FZ94" i="139" s="1"/>
  <c r="FA31" i="139"/>
  <c r="FA58" i="139" s="1"/>
  <c r="FZ84" i="139" s="1"/>
  <c r="FA36" i="139"/>
  <c r="FA63" i="139" s="1"/>
  <c r="FZ89" i="139" s="1"/>
  <c r="FA38" i="139"/>
  <c r="FA65" i="139" s="1"/>
  <c r="FZ91" i="139" s="1"/>
  <c r="FA34" i="139"/>
  <c r="FA61" i="139" s="1"/>
  <c r="FZ87" i="139" s="1"/>
  <c r="FA30" i="139"/>
  <c r="FA57" i="139" s="1"/>
  <c r="FZ83" i="139" s="1"/>
  <c r="EZ37" i="139" l="1"/>
  <c r="EZ64" i="139" s="1"/>
  <c r="FY90" i="139" s="1"/>
  <c r="EZ38" i="139"/>
  <c r="EZ65" i="139" s="1"/>
  <c r="FY91" i="139" s="1"/>
  <c r="EZ30" i="139"/>
  <c r="EZ57" i="139" s="1"/>
  <c r="FY83" i="139" s="1"/>
  <c r="EZ40" i="139"/>
  <c r="EZ67" i="139" s="1"/>
  <c r="FY93" i="139" s="1"/>
  <c r="EZ31" i="139"/>
  <c r="EZ58" i="139" s="1"/>
  <c r="FY84" i="139" s="1"/>
  <c r="EZ36" i="139"/>
  <c r="EZ63" i="139" s="1"/>
  <c r="FY89" i="139" s="1"/>
  <c r="EY28" i="139"/>
  <c r="EZ41" i="139"/>
  <c r="EZ68" i="139" s="1"/>
  <c r="FY94" i="139" s="1"/>
  <c r="EZ33" i="139"/>
  <c r="EZ60" i="139" s="1"/>
  <c r="FY86" i="139" s="1"/>
  <c r="EZ32" i="139"/>
  <c r="EZ59" i="139" s="1"/>
  <c r="FY85" i="139" s="1"/>
  <c r="EZ34" i="139"/>
  <c r="EZ61" i="139" s="1"/>
  <c r="FY87" i="139" s="1"/>
  <c r="EZ39" i="139"/>
  <c r="EZ66" i="139" s="1"/>
  <c r="FY92" i="139" s="1"/>
  <c r="EZ35" i="139"/>
  <c r="EZ62" i="139" s="1"/>
  <c r="FY88" i="139" s="1"/>
  <c r="EY38" i="139" l="1"/>
  <c r="EY65" i="139" s="1"/>
  <c r="FX91" i="139" s="1"/>
  <c r="EY40" i="139"/>
  <c r="EY67" i="139" s="1"/>
  <c r="FX93" i="139" s="1"/>
  <c r="EY33" i="139"/>
  <c r="EY60" i="139" s="1"/>
  <c r="FX86" i="139" s="1"/>
  <c r="EY39" i="139"/>
  <c r="EY66" i="139" s="1"/>
  <c r="FX92" i="139" s="1"/>
  <c r="EY31" i="139"/>
  <c r="EY58" i="139" s="1"/>
  <c r="FX84" i="139" s="1"/>
  <c r="EY36" i="139"/>
  <c r="EY63" i="139" s="1"/>
  <c r="FX89" i="139" s="1"/>
  <c r="EY41" i="139"/>
  <c r="EY68" i="139" s="1"/>
  <c r="FX94" i="139" s="1"/>
  <c r="EY37" i="139"/>
  <c r="EY64" i="139" s="1"/>
  <c r="FX90" i="139" s="1"/>
  <c r="EY34" i="139"/>
  <c r="EY61" i="139" s="1"/>
  <c r="FX87" i="139" s="1"/>
  <c r="EY32" i="139"/>
  <c r="EY59" i="139" s="1"/>
  <c r="FX85" i="139" s="1"/>
  <c r="EY35" i="139"/>
  <c r="EY62" i="139" s="1"/>
  <c r="FX88" i="139" s="1"/>
  <c r="EY30" i="139"/>
  <c r="EY57" i="139" s="1"/>
  <c r="FX83" i="139" s="1"/>
  <c r="EX28" i="139"/>
  <c r="EX39" i="139" l="1"/>
  <c r="EX66" i="139" s="1"/>
  <c r="FW92" i="139" s="1"/>
  <c r="EX34" i="139"/>
  <c r="EX61" i="139" s="1"/>
  <c r="FW87" i="139" s="1"/>
  <c r="EX37" i="139"/>
  <c r="EX64" i="139" s="1"/>
  <c r="FW90" i="139" s="1"/>
  <c r="EX41" i="139"/>
  <c r="EX68" i="139" s="1"/>
  <c r="FW94" i="139" s="1"/>
  <c r="EX33" i="139"/>
  <c r="EX60" i="139" s="1"/>
  <c r="FW86" i="139" s="1"/>
  <c r="EX36" i="139"/>
  <c r="EX63" i="139" s="1"/>
  <c r="FW89" i="139" s="1"/>
  <c r="EW28" i="139"/>
  <c r="EX31" i="139"/>
  <c r="EX58" i="139" s="1"/>
  <c r="FW84" i="139" s="1"/>
  <c r="EX35" i="139"/>
  <c r="EX62" i="139" s="1"/>
  <c r="FW88" i="139" s="1"/>
  <c r="EX40" i="139"/>
  <c r="EX67" i="139" s="1"/>
  <c r="FW93" i="139" s="1"/>
  <c r="EX32" i="139"/>
  <c r="EX59" i="139" s="1"/>
  <c r="FW85" i="139" s="1"/>
  <c r="EX38" i="139"/>
  <c r="EX65" i="139" s="1"/>
  <c r="FW91" i="139" s="1"/>
  <c r="EX30" i="139"/>
  <c r="EX57" i="139" s="1"/>
  <c r="FW83" i="139" s="1"/>
  <c r="EW31" i="139" l="1"/>
  <c r="EW58" i="139" s="1"/>
  <c r="FV84" i="139" s="1"/>
  <c r="EW32" i="139"/>
  <c r="EW59" i="139" s="1"/>
  <c r="FV85" i="139" s="1"/>
  <c r="EW35" i="139"/>
  <c r="EW62" i="139" s="1"/>
  <c r="FV88" i="139" s="1"/>
  <c r="EW41" i="139"/>
  <c r="EW68" i="139" s="1"/>
  <c r="FV94" i="139" s="1"/>
  <c r="EW33" i="139"/>
  <c r="EW60" i="139" s="1"/>
  <c r="FV86" i="139" s="1"/>
  <c r="EW39" i="139"/>
  <c r="EW66" i="139" s="1"/>
  <c r="FV92" i="139" s="1"/>
  <c r="EW38" i="139"/>
  <c r="EW65" i="139" s="1"/>
  <c r="FV91" i="139" s="1"/>
  <c r="EW30" i="139"/>
  <c r="EW57" i="139" s="1"/>
  <c r="FV83" i="139" s="1"/>
  <c r="EW40" i="139"/>
  <c r="EW67" i="139" s="1"/>
  <c r="FV93" i="139" s="1"/>
  <c r="EW34" i="139"/>
  <c r="EW61" i="139" s="1"/>
  <c r="FV87" i="139" s="1"/>
  <c r="EW37" i="139"/>
  <c r="EW64" i="139" s="1"/>
  <c r="FV90" i="139" s="1"/>
  <c r="EV28" i="139"/>
  <c r="EW36" i="139"/>
  <c r="EW63" i="139" s="1"/>
  <c r="FV89" i="139" s="1"/>
  <c r="EV36" i="139" l="1"/>
  <c r="EV63" i="139" s="1"/>
  <c r="FU89" i="139" s="1"/>
  <c r="EV33" i="139"/>
  <c r="EV60" i="139" s="1"/>
  <c r="FU86" i="139" s="1"/>
  <c r="EV37" i="139"/>
  <c r="EV64" i="139" s="1"/>
  <c r="FU90" i="139" s="1"/>
  <c r="EV31" i="139"/>
  <c r="EV58" i="139" s="1"/>
  <c r="FU84" i="139" s="1"/>
  <c r="EV34" i="139"/>
  <c r="EV61" i="139" s="1"/>
  <c r="FU87" i="139" s="1"/>
  <c r="EV41" i="139"/>
  <c r="EV68" i="139" s="1"/>
  <c r="FU94" i="139" s="1"/>
  <c r="EV35" i="139"/>
  <c r="EV62" i="139" s="1"/>
  <c r="FU88" i="139" s="1"/>
  <c r="EV40" i="139"/>
  <c r="EV67" i="139" s="1"/>
  <c r="FU93" i="139" s="1"/>
  <c r="EV30" i="139"/>
  <c r="EV57" i="139" s="1"/>
  <c r="FU83" i="139" s="1"/>
  <c r="EV32" i="139"/>
  <c r="EV59" i="139" s="1"/>
  <c r="FU85" i="139" s="1"/>
  <c r="EV39" i="139"/>
  <c r="EV66" i="139" s="1"/>
  <c r="FU92" i="139" s="1"/>
  <c r="EU28" i="139"/>
  <c r="EV38" i="139"/>
  <c r="EV65" i="139" s="1"/>
  <c r="FU91" i="139" s="1"/>
  <c r="EU31" i="139" l="1"/>
  <c r="EU58" i="139" s="1"/>
  <c r="FT84" i="139" s="1"/>
  <c r="EU36" i="139"/>
  <c r="EU63" i="139" s="1"/>
  <c r="FT89" i="139" s="1"/>
  <c r="EU32" i="139"/>
  <c r="EU59" i="139" s="1"/>
  <c r="FT85" i="139" s="1"/>
  <c r="EU35" i="139"/>
  <c r="EU62" i="139" s="1"/>
  <c r="FT88" i="139" s="1"/>
  <c r="EU39" i="139"/>
  <c r="EU66" i="139" s="1"/>
  <c r="FT92" i="139" s="1"/>
  <c r="EU37" i="139"/>
  <c r="EU64" i="139" s="1"/>
  <c r="FT90" i="139" s="1"/>
  <c r="EU30" i="139"/>
  <c r="EU57" i="139" s="1"/>
  <c r="FT83" i="139" s="1"/>
  <c r="EU38" i="139"/>
  <c r="EU65" i="139" s="1"/>
  <c r="FT91" i="139" s="1"/>
  <c r="EU41" i="139"/>
  <c r="EU68" i="139" s="1"/>
  <c r="FT94" i="139" s="1"/>
  <c r="EU40" i="139"/>
  <c r="EU67" i="139" s="1"/>
  <c r="FT93" i="139" s="1"/>
  <c r="ET28" i="139"/>
  <c r="EU33" i="139"/>
  <c r="EU60" i="139" s="1"/>
  <c r="FT86" i="139" s="1"/>
  <c r="EU34" i="139"/>
  <c r="EU61" i="139" s="1"/>
  <c r="FT87" i="139" s="1"/>
  <c r="ET41" i="139" l="1"/>
  <c r="ET68" i="139" s="1"/>
  <c r="FS94" i="139" s="1"/>
  <c r="ET36" i="139"/>
  <c r="ET63" i="139" s="1"/>
  <c r="FS89" i="139" s="1"/>
  <c r="ET34" i="139"/>
  <c r="ET61" i="139" s="1"/>
  <c r="FS87" i="139" s="1"/>
  <c r="ET35" i="139"/>
  <c r="ET62" i="139" s="1"/>
  <c r="FS88" i="139" s="1"/>
  <c r="ET38" i="139"/>
  <c r="ET65" i="139" s="1"/>
  <c r="FS91" i="139" s="1"/>
  <c r="ET39" i="139"/>
  <c r="ET66" i="139" s="1"/>
  <c r="FS92" i="139" s="1"/>
  <c r="ET33" i="139"/>
  <c r="ET60" i="139" s="1"/>
  <c r="FS86" i="139" s="1"/>
  <c r="ET31" i="139"/>
  <c r="ET58" i="139" s="1"/>
  <c r="FS84" i="139" s="1"/>
  <c r="ET30" i="139"/>
  <c r="ET57" i="139" s="1"/>
  <c r="FS83" i="139" s="1"/>
  <c r="ET32" i="139"/>
  <c r="ET59" i="139" s="1"/>
  <c r="FS85" i="139" s="1"/>
  <c r="ET40" i="139"/>
  <c r="ET67" i="139" s="1"/>
  <c r="FS93" i="139" s="1"/>
  <c r="ET37" i="139"/>
  <c r="ET64" i="139" s="1"/>
  <c r="FS90" i="139" s="1"/>
  <c r="ES28" i="139"/>
  <c r="ES31" i="139" l="1"/>
  <c r="ES58" i="139" s="1"/>
  <c r="FR84" i="139" s="1"/>
  <c r="ES41" i="139"/>
  <c r="ES68" i="139" s="1"/>
  <c r="FR94" i="139" s="1"/>
  <c r="ES33" i="139"/>
  <c r="ES60" i="139" s="1"/>
  <c r="FR86" i="139" s="1"/>
  <c r="ES36" i="139"/>
  <c r="ES63" i="139" s="1"/>
  <c r="FR89" i="139" s="1"/>
  <c r="ES40" i="139"/>
  <c r="ES67" i="139" s="1"/>
  <c r="FR93" i="139" s="1"/>
  <c r="ER28" i="139"/>
  <c r="ES39" i="139"/>
  <c r="ES66" i="139" s="1"/>
  <c r="FR92" i="139" s="1"/>
  <c r="ES37" i="139"/>
  <c r="ES64" i="139" s="1"/>
  <c r="FR90" i="139" s="1"/>
  <c r="ES32" i="139"/>
  <c r="ES59" i="139" s="1"/>
  <c r="FR85" i="139" s="1"/>
  <c r="ES30" i="139"/>
  <c r="ES57" i="139" s="1"/>
  <c r="FR83" i="139" s="1"/>
  <c r="ES34" i="139"/>
  <c r="ES61" i="139" s="1"/>
  <c r="FR87" i="139" s="1"/>
  <c r="ES38" i="139"/>
  <c r="ES65" i="139" s="1"/>
  <c r="FR91" i="139" s="1"/>
  <c r="ES35" i="139"/>
  <c r="ES62" i="139" s="1"/>
  <c r="FR88" i="139" s="1"/>
  <c r="ER38" i="139" l="1"/>
  <c r="ER65" i="139" s="1"/>
  <c r="FQ91" i="139" s="1"/>
  <c r="EQ28" i="139"/>
  <c r="ER30" i="139"/>
  <c r="ER57" i="139" s="1"/>
  <c r="FQ83" i="139" s="1"/>
  <c r="ER35" i="139"/>
  <c r="ER62" i="139" s="1"/>
  <c r="FQ88" i="139" s="1"/>
  <c r="ER31" i="139"/>
  <c r="ER58" i="139" s="1"/>
  <c r="FQ84" i="139" s="1"/>
  <c r="ER32" i="139"/>
  <c r="ER59" i="139" s="1"/>
  <c r="FQ85" i="139" s="1"/>
  <c r="ER41" i="139"/>
  <c r="ER68" i="139" s="1"/>
  <c r="FQ94" i="139" s="1"/>
  <c r="ER33" i="139"/>
  <c r="ER60" i="139" s="1"/>
  <c r="FQ86" i="139" s="1"/>
  <c r="ER34" i="139"/>
  <c r="ER61" i="139" s="1"/>
  <c r="FQ87" i="139" s="1"/>
  <c r="ER37" i="139"/>
  <c r="ER64" i="139" s="1"/>
  <c r="FQ90" i="139" s="1"/>
  <c r="ER39" i="139"/>
  <c r="ER66" i="139" s="1"/>
  <c r="FQ92" i="139" s="1"/>
  <c r="ER36" i="139"/>
  <c r="ER63" i="139" s="1"/>
  <c r="FQ89" i="139" s="1"/>
  <c r="ER40" i="139"/>
  <c r="ER67" i="139" s="1"/>
  <c r="FQ93" i="139" s="1"/>
  <c r="EQ34" i="139" l="1"/>
  <c r="EQ61" i="139" s="1"/>
  <c r="FP87" i="139" s="1"/>
  <c r="EQ36" i="139"/>
  <c r="EQ63" i="139" s="1"/>
  <c r="FP89" i="139" s="1"/>
  <c r="EQ40" i="139"/>
  <c r="EQ67" i="139" s="1"/>
  <c r="FP93" i="139" s="1"/>
  <c r="EQ41" i="139"/>
  <c r="EQ68" i="139" s="1"/>
  <c r="FP94" i="139" s="1"/>
  <c r="EQ30" i="139"/>
  <c r="EQ57" i="139" s="1"/>
  <c r="FP83" i="139" s="1"/>
  <c r="EQ33" i="139"/>
  <c r="EQ60" i="139" s="1"/>
  <c r="FP86" i="139" s="1"/>
  <c r="EQ31" i="139"/>
  <c r="EQ58" i="139" s="1"/>
  <c r="FP84" i="139" s="1"/>
  <c r="EQ39" i="139"/>
  <c r="EQ66" i="139" s="1"/>
  <c r="FP92" i="139" s="1"/>
  <c r="EQ32" i="139"/>
  <c r="EQ59" i="139" s="1"/>
  <c r="FP85" i="139" s="1"/>
  <c r="EQ35" i="139"/>
  <c r="EQ62" i="139" s="1"/>
  <c r="FP88" i="139" s="1"/>
  <c r="EP28" i="139"/>
  <c r="EQ38" i="139"/>
  <c r="EQ65" i="139" s="1"/>
  <c r="FP91" i="139" s="1"/>
  <c r="EQ37" i="139"/>
  <c r="EQ64" i="139" s="1"/>
  <c r="FP90" i="139" s="1"/>
  <c r="EP40" i="139" l="1"/>
  <c r="EP67" i="139" s="1"/>
  <c r="FO93" i="139" s="1"/>
  <c r="EP37" i="139"/>
  <c r="EP64" i="139" s="1"/>
  <c r="FO90" i="139" s="1"/>
  <c r="EP39" i="139"/>
  <c r="EP66" i="139" s="1"/>
  <c r="FO92" i="139" s="1"/>
  <c r="EP38" i="139"/>
  <c r="EP65" i="139" s="1"/>
  <c r="FO91" i="139" s="1"/>
  <c r="EP36" i="139"/>
  <c r="EP63" i="139" s="1"/>
  <c r="FO89" i="139" s="1"/>
  <c r="EP34" i="139"/>
  <c r="EP61" i="139" s="1"/>
  <c r="FO87" i="139" s="1"/>
  <c r="EO28" i="139"/>
  <c r="EP35" i="139"/>
  <c r="EP62" i="139" s="1"/>
  <c r="FO88" i="139" s="1"/>
  <c r="EP31" i="139"/>
  <c r="EP58" i="139" s="1"/>
  <c r="FO84" i="139" s="1"/>
  <c r="EP33" i="139"/>
  <c r="EP60" i="139" s="1"/>
  <c r="FO86" i="139" s="1"/>
  <c r="EP41" i="139"/>
  <c r="EP68" i="139" s="1"/>
  <c r="FO94" i="139" s="1"/>
  <c r="EP32" i="139"/>
  <c r="EP59" i="139" s="1"/>
  <c r="FO85" i="139" s="1"/>
  <c r="EP30" i="139"/>
  <c r="EP57" i="139" s="1"/>
  <c r="FO83" i="139" s="1"/>
  <c r="EO37" i="139" l="1"/>
  <c r="EO64" i="139" s="1"/>
  <c r="FN90" i="139" s="1"/>
  <c r="EO41" i="139"/>
  <c r="EO68" i="139" s="1"/>
  <c r="FN94" i="139" s="1"/>
  <c r="EO40" i="139"/>
  <c r="EO67" i="139" s="1"/>
  <c r="FN93" i="139" s="1"/>
  <c r="EO38" i="139"/>
  <c r="EO65" i="139" s="1"/>
  <c r="FN91" i="139" s="1"/>
  <c r="EO31" i="139"/>
  <c r="EO58" i="139" s="1"/>
  <c r="FN84" i="139" s="1"/>
  <c r="EO33" i="139"/>
  <c r="EO60" i="139" s="1"/>
  <c r="FN86" i="139" s="1"/>
  <c r="EO34" i="139"/>
  <c r="EO61" i="139" s="1"/>
  <c r="FN87" i="139" s="1"/>
  <c r="EO30" i="139"/>
  <c r="EO57" i="139" s="1"/>
  <c r="FN83" i="139" s="1"/>
  <c r="EO36" i="139"/>
  <c r="EO63" i="139" s="1"/>
  <c r="FN89" i="139" s="1"/>
  <c r="EO32" i="139"/>
  <c r="EO59" i="139" s="1"/>
  <c r="FN85" i="139" s="1"/>
  <c r="EO35" i="139"/>
  <c r="EO62" i="139" s="1"/>
  <c r="FN88" i="139" s="1"/>
  <c r="EO39" i="139"/>
  <c r="EO66" i="139" s="1"/>
  <c r="FN92" i="139" s="1"/>
  <c r="EN28" i="139"/>
  <c r="EN39" i="139" l="1"/>
  <c r="EN66" i="139" s="1"/>
  <c r="FM92" i="139" s="1"/>
  <c r="EN38" i="139"/>
  <c r="EN65" i="139" s="1"/>
  <c r="FM91" i="139" s="1"/>
  <c r="EN37" i="139"/>
  <c r="EN64" i="139" s="1"/>
  <c r="FM90" i="139" s="1"/>
  <c r="EN33" i="139"/>
  <c r="EN60" i="139" s="1"/>
  <c r="FM86" i="139" s="1"/>
  <c r="EN30" i="139"/>
  <c r="EN57" i="139" s="1"/>
  <c r="FM83" i="139" s="1"/>
  <c r="EN32" i="139"/>
  <c r="EN59" i="139" s="1"/>
  <c r="FM85" i="139" s="1"/>
  <c r="EN41" i="139"/>
  <c r="EN68" i="139" s="1"/>
  <c r="FM94" i="139" s="1"/>
  <c r="EN40" i="139"/>
  <c r="EN67" i="139" s="1"/>
  <c r="FM93" i="139" s="1"/>
  <c r="EM28" i="139"/>
  <c r="EN31" i="139"/>
  <c r="EN58" i="139" s="1"/>
  <c r="FM84" i="139" s="1"/>
  <c r="EN35" i="139"/>
  <c r="EN62" i="139" s="1"/>
  <c r="FM88" i="139" s="1"/>
  <c r="EN34" i="139"/>
  <c r="EN61" i="139" s="1"/>
  <c r="FM87" i="139" s="1"/>
  <c r="EN36" i="139"/>
  <c r="EN63" i="139" s="1"/>
  <c r="FM89" i="139" s="1"/>
  <c r="EM32" i="139" l="1"/>
  <c r="EM59" i="139" s="1"/>
  <c r="FL85" i="139" s="1"/>
  <c r="EM31" i="139"/>
  <c r="EM58" i="139" s="1"/>
  <c r="FL84" i="139" s="1"/>
  <c r="EM37" i="139"/>
  <c r="EM64" i="139" s="1"/>
  <c r="FL90" i="139" s="1"/>
  <c r="EM34" i="139"/>
  <c r="EM61" i="139" s="1"/>
  <c r="FL87" i="139" s="1"/>
  <c r="EM38" i="139"/>
  <c r="EM65" i="139" s="1"/>
  <c r="FL91" i="139" s="1"/>
  <c r="EM33" i="139"/>
  <c r="EM60" i="139" s="1"/>
  <c r="FL86" i="139" s="1"/>
  <c r="EM30" i="139"/>
  <c r="EM57" i="139" s="1"/>
  <c r="FL83" i="139" s="1"/>
  <c r="EM39" i="139"/>
  <c r="EM66" i="139" s="1"/>
  <c r="FL92" i="139" s="1"/>
  <c r="EM36" i="139"/>
  <c r="EM63" i="139" s="1"/>
  <c r="FL89" i="139" s="1"/>
  <c r="EM41" i="139"/>
  <c r="EM68" i="139" s="1"/>
  <c r="FL94" i="139" s="1"/>
  <c r="EM35" i="139"/>
  <c r="EM62" i="139" s="1"/>
  <c r="FL88" i="139" s="1"/>
  <c r="EL28" i="139"/>
  <c r="EM40" i="139"/>
  <c r="EM67" i="139" s="1"/>
  <c r="FL93" i="139" s="1"/>
  <c r="EL36" i="139" l="1"/>
  <c r="EL63" i="139" s="1"/>
  <c r="FK89" i="139" s="1"/>
  <c r="EL37" i="139"/>
  <c r="EL64" i="139" s="1"/>
  <c r="FK90" i="139" s="1"/>
  <c r="EL30" i="139"/>
  <c r="EL57" i="139" s="1"/>
  <c r="FK83" i="139" s="1"/>
  <c r="EL32" i="139"/>
  <c r="EL59" i="139" s="1"/>
  <c r="FK85" i="139" s="1"/>
  <c r="EL41" i="139"/>
  <c r="EL68" i="139" s="1"/>
  <c r="FK94" i="139" s="1"/>
  <c r="EL39" i="139"/>
  <c r="EL66" i="139" s="1"/>
  <c r="FK92" i="139" s="1"/>
  <c r="EL31" i="139"/>
  <c r="EL58" i="139" s="1"/>
  <c r="FK84" i="139" s="1"/>
  <c r="EL34" i="139"/>
  <c r="EL61" i="139" s="1"/>
  <c r="FK87" i="139" s="1"/>
  <c r="EL38" i="139"/>
  <c r="EL65" i="139" s="1"/>
  <c r="FK91" i="139" s="1"/>
  <c r="EL40" i="139"/>
  <c r="EL67" i="139" s="1"/>
  <c r="FK93" i="139" s="1"/>
  <c r="EL35" i="139"/>
  <c r="EL62" i="139" s="1"/>
  <c r="FK88" i="139" s="1"/>
  <c r="EL33" i="139"/>
  <c r="EL60" i="139" s="1"/>
  <c r="FK86" i="139" s="1"/>
  <c r="EK28" i="139"/>
  <c r="EJ28" i="139" l="1"/>
  <c r="EK39" i="139"/>
  <c r="EK66" i="139" s="1"/>
  <c r="FJ92" i="139" s="1"/>
  <c r="EK41" i="139"/>
  <c r="EK68" i="139" s="1"/>
  <c r="FJ94" i="139" s="1"/>
  <c r="EK38" i="139"/>
  <c r="EK65" i="139" s="1"/>
  <c r="FJ91" i="139" s="1"/>
  <c r="EK34" i="139"/>
  <c r="EK61" i="139" s="1"/>
  <c r="FJ87" i="139" s="1"/>
  <c r="EK32" i="139"/>
  <c r="EK59" i="139" s="1"/>
  <c r="FJ85" i="139" s="1"/>
  <c r="EK31" i="139"/>
  <c r="EK58" i="139" s="1"/>
  <c r="FJ84" i="139" s="1"/>
  <c r="EK37" i="139"/>
  <c r="EK64" i="139" s="1"/>
  <c r="FJ90" i="139" s="1"/>
  <c r="EK40" i="139"/>
  <c r="EK67" i="139" s="1"/>
  <c r="FJ93" i="139" s="1"/>
  <c r="EK35" i="139"/>
  <c r="EK62" i="139" s="1"/>
  <c r="FJ88" i="139" s="1"/>
  <c r="EK33" i="139"/>
  <c r="EK60" i="139" s="1"/>
  <c r="FJ86" i="139" s="1"/>
  <c r="EK30" i="139"/>
  <c r="EK57" i="139" s="1"/>
  <c r="FJ83" i="139" s="1"/>
  <c r="EK36" i="139"/>
  <c r="EK63" i="139" s="1"/>
  <c r="FJ89" i="139" s="1"/>
  <c r="EJ34" i="139" l="1"/>
  <c r="EJ61" i="139" s="1"/>
  <c r="FI87" i="139" s="1"/>
  <c r="EJ36" i="139"/>
  <c r="EJ63" i="139" s="1"/>
  <c r="FI89" i="139" s="1"/>
  <c r="EJ30" i="139"/>
  <c r="EJ57" i="139" s="1"/>
  <c r="FI83" i="139" s="1"/>
  <c r="EJ37" i="139"/>
  <c r="EJ64" i="139" s="1"/>
  <c r="FI90" i="139" s="1"/>
  <c r="EJ32" i="139"/>
  <c r="EJ59" i="139" s="1"/>
  <c r="FI85" i="139" s="1"/>
  <c r="EJ39" i="139"/>
  <c r="EJ66" i="139" s="1"/>
  <c r="FI92" i="139" s="1"/>
  <c r="EI28" i="139"/>
  <c r="EJ33" i="139"/>
  <c r="EJ60" i="139" s="1"/>
  <c r="FI86" i="139" s="1"/>
  <c r="EJ38" i="139"/>
  <c r="EJ65" i="139" s="1"/>
  <c r="FI91" i="139" s="1"/>
  <c r="EJ35" i="139"/>
  <c r="EJ62" i="139" s="1"/>
  <c r="FI88" i="139" s="1"/>
  <c r="EJ41" i="139"/>
  <c r="EJ68" i="139" s="1"/>
  <c r="FI94" i="139" s="1"/>
  <c r="EJ40" i="139"/>
  <c r="EJ67" i="139" s="1"/>
  <c r="FI93" i="139" s="1"/>
  <c r="EJ31" i="139"/>
  <c r="EJ58" i="139" s="1"/>
  <c r="FI84" i="139" s="1"/>
  <c r="EI35" i="139" l="1"/>
  <c r="EI62" i="139" s="1"/>
  <c r="FH88" i="139" s="1"/>
  <c r="EI38" i="139"/>
  <c r="EI65" i="139" s="1"/>
  <c r="FH91" i="139" s="1"/>
  <c r="EI30" i="139"/>
  <c r="EI57" i="139" s="1"/>
  <c r="FH83" i="139" s="1"/>
  <c r="EI31" i="139"/>
  <c r="EI58" i="139" s="1"/>
  <c r="FH84" i="139" s="1"/>
  <c r="EI32" i="139"/>
  <c r="EI59" i="139" s="1"/>
  <c r="FH85" i="139" s="1"/>
  <c r="EI41" i="139"/>
  <c r="EI68" i="139" s="1"/>
  <c r="FH94" i="139" s="1"/>
  <c r="EH28" i="139"/>
  <c r="EI33" i="139"/>
  <c r="EI60" i="139" s="1"/>
  <c r="FH86" i="139" s="1"/>
  <c r="EI36" i="139"/>
  <c r="EI63" i="139" s="1"/>
  <c r="FH89" i="139" s="1"/>
  <c r="EI34" i="139"/>
  <c r="EI61" i="139" s="1"/>
  <c r="FH87" i="139" s="1"/>
  <c r="EI39" i="139"/>
  <c r="EI66" i="139" s="1"/>
  <c r="FH92" i="139" s="1"/>
  <c r="EI40" i="139"/>
  <c r="EI67" i="139" s="1"/>
  <c r="FH93" i="139" s="1"/>
  <c r="EI37" i="139"/>
  <c r="EI64" i="139" s="1"/>
  <c r="FH90" i="139" s="1"/>
  <c r="EH30" i="139" l="1"/>
  <c r="EH57" i="139" s="1"/>
  <c r="FG83" i="139" s="1"/>
  <c r="EH32" i="139"/>
  <c r="EH59" i="139" s="1"/>
  <c r="FG85" i="139" s="1"/>
  <c r="EH38" i="139"/>
  <c r="EH65" i="139" s="1"/>
  <c r="FG91" i="139" s="1"/>
  <c r="EH36" i="139"/>
  <c r="EH63" i="139" s="1"/>
  <c r="FG89" i="139" s="1"/>
  <c r="EH37" i="139"/>
  <c r="EH64" i="139" s="1"/>
  <c r="FG90" i="139" s="1"/>
  <c r="EG28" i="139"/>
  <c r="EH34" i="139"/>
  <c r="EH61" i="139" s="1"/>
  <c r="FG87" i="139" s="1"/>
  <c r="EH40" i="139"/>
  <c r="EH67" i="139" s="1"/>
  <c r="FG93" i="139" s="1"/>
  <c r="EH41" i="139"/>
  <c r="EH68" i="139" s="1"/>
  <c r="FG94" i="139" s="1"/>
  <c r="EH39" i="139"/>
  <c r="EH66" i="139" s="1"/>
  <c r="FG92" i="139" s="1"/>
  <c r="EH35" i="139"/>
  <c r="EH62" i="139" s="1"/>
  <c r="FG88" i="139" s="1"/>
  <c r="EH31" i="139"/>
  <c r="EH58" i="139" s="1"/>
  <c r="FG84" i="139" s="1"/>
  <c r="EH33" i="139"/>
  <c r="EH60" i="139" s="1"/>
  <c r="FG86" i="139" s="1"/>
  <c r="EG32" i="139" l="1"/>
  <c r="EG59" i="139" s="1"/>
  <c r="FF85" i="139" s="1"/>
  <c r="EG37" i="139"/>
  <c r="EG64" i="139" s="1"/>
  <c r="FF90" i="139" s="1"/>
  <c r="EF28" i="139"/>
  <c r="EG41" i="139"/>
  <c r="EG68" i="139" s="1"/>
  <c r="FF94" i="139" s="1"/>
  <c r="EG35" i="139"/>
  <c r="EG62" i="139" s="1"/>
  <c r="FF88" i="139" s="1"/>
  <c r="EG31" i="139"/>
  <c r="EG58" i="139" s="1"/>
  <c r="FF84" i="139" s="1"/>
  <c r="EG39" i="139"/>
  <c r="EG66" i="139" s="1"/>
  <c r="FF92" i="139" s="1"/>
  <c r="EG40" i="139"/>
  <c r="EG67" i="139" s="1"/>
  <c r="FF93" i="139" s="1"/>
  <c r="EG30" i="139"/>
  <c r="EG57" i="139" s="1"/>
  <c r="FF83" i="139" s="1"/>
  <c r="EG34" i="139"/>
  <c r="EG61" i="139" s="1"/>
  <c r="FF87" i="139" s="1"/>
  <c r="EG36" i="139"/>
  <c r="EG63" i="139" s="1"/>
  <c r="FF89" i="139" s="1"/>
  <c r="EG38" i="139"/>
  <c r="EG65" i="139" s="1"/>
  <c r="FF91" i="139" s="1"/>
  <c r="EG33" i="139"/>
  <c r="EG60" i="139" s="1"/>
  <c r="FF86" i="139" s="1"/>
  <c r="EF38" i="139" l="1"/>
  <c r="EF65" i="139" s="1"/>
  <c r="FE91" i="139" s="1"/>
  <c r="EF34" i="139"/>
  <c r="EF61" i="139" s="1"/>
  <c r="FE87" i="139" s="1"/>
  <c r="EF40" i="139"/>
  <c r="EF67" i="139" s="1"/>
  <c r="FE93" i="139" s="1"/>
  <c r="EF32" i="139"/>
  <c r="EF59" i="139" s="1"/>
  <c r="FE85" i="139" s="1"/>
  <c r="EF35" i="139"/>
  <c r="EF62" i="139" s="1"/>
  <c r="FE88" i="139" s="1"/>
  <c r="EF33" i="139"/>
  <c r="EF60" i="139" s="1"/>
  <c r="FE86" i="139" s="1"/>
  <c r="EF39" i="139"/>
  <c r="EF66" i="139" s="1"/>
  <c r="FE92" i="139" s="1"/>
  <c r="EE28" i="139"/>
  <c r="EF41" i="139"/>
  <c r="EF68" i="139" s="1"/>
  <c r="FE94" i="139" s="1"/>
  <c r="EF30" i="139"/>
  <c r="EF57" i="139" s="1"/>
  <c r="FE83" i="139" s="1"/>
  <c r="EF36" i="139"/>
  <c r="EF63" i="139" s="1"/>
  <c r="FE89" i="139" s="1"/>
  <c r="EF37" i="139"/>
  <c r="EF64" i="139" s="1"/>
  <c r="FE90" i="139" s="1"/>
  <c r="EF31" i="139"/>
  <c r="EF58" i="139" s="1"/>
  <c r="FE84" i="139" s="1"/>
  <c r="ED28" i="139" l="1"/>
  <c r="EE35" i="139"/>
  <c r="EE62" i="139" s="1"/>
  <c r="FD88" i="139" s="1"/>
  <c r="EE31" i="139"/>
  <c r="EE58" i="139" s="1"/>
  <c r="FD84" i="139" s="1"/>
  <c r="EE33" i="139"/>
  <c r="EE60" i="139" s="1"/>
  <c r="FD86" i="139" s="1"/>
  <c r="EE32" i="139"/>
  <c r="EE59" i="139" s="1"/>
  <c r="FD85" i="139" s="1"/>
  <c r="EE38" i="139"/>
  <c r="EE65" i="139" s="1"/>
  <c r="FD91" i="139" s="1"/>
  <c r="EE30" i="139"/>
  <c r="EE57" i="139" s="1"/>
  <c r="FD83" i="139" s="1"/>
  <c r="EE34" i="139"/>
  <c r="EE61" i="139" s="1"/>
  <c r="FD87" i="139" s="1"/>
  <c r="EE40" i="139"/>
  <c r="EE67" i="139" s="1"/>
  <c r="FD93" i="139" s="1"/>
  <c r="EE37" i="139"/>
  <c r="EE64" i="139" s="1"/>
  <c r="FD90" i="139" s="1"/>
  <c r="EE36" i="139"/>
  <c r="EE63" i="139" s="1"/>
  <c r="FD89" i="139" s="1"/>
  <c r="EE39" i="139"/>
  <c r="EE66" i="139" s="1"/>
  <c r="FD92" i="139" s="1"/>
  <c r="EE41" i="139"/>
  <c r="EE68" i="139" s="1"/>
  <c r="FD94" i="139" s="1"/>
  <c r="ED33" i="139" l="1"/>
  <c r="ED60" i="139" s="1"/>
  <c r="FC86" i="139" s="1"/>
  <c r="ED32" i="139"/>
  <c r="ED59" i="139" s="1"/>
  <c r="FC85" i="139" s="1"/>
  <c r="EC28" i="139"/>
  <c r="ED30" i="139"/>
  <c r="ED57" i="139" s="1"/>
  <c r="FC83" i="139" s="1"/>
  <c r="ED37" i="139"/>
  <c r="ED64" i="139" s="1"/>
  <c r="FC90" i="139" s="1"/>
  <c r="ED34" i="139"/>
  <c r="ED61" i="139" s="1"/>
  <c r="FC87" i="139" s="1"/>
  <c r="ED38" i="139"/>
  <c r="ED65" i="139" s="1"/>
  <c r="FC91" i="139" s="1"/>
  <c r="ED35" i="139"/>
  <c r="ED62" i="139" s="1"/>
  <c r="FC88" i="139" s="1"/>
  <c r="ED41" i="139"/>
  <c r="ED68" i="139" s="1"/>
  <c r="FC94" i="139" s="1"/>
  <c r="ED40" i="139"/>
  <c r="ED67" i="139" s="1"/>
  <c r="FC93" i="139" s="1"/>
  <c r="ED39" i="139"/>
  <c r="ED66" i="139" s="1"/>
  <c r="FC92" i="139" s="1"/>
  <c r="ED31" i="139"/>
  <c r="ED58" i="139" s="1"/>
  <c r="FC84" i="139" s="1"/>
  <c r="ED36" i="139"/>
  <c r="ED63" i="139" s="1"/>
  <c r="FC89" i="139" s="1"/>
  <c r="EC32" i="139" l="1"/>
  <c r="EC59" i="139" s="1"/>
  <c r="FB85" i="139" s="1"/>
  <c r="EC33" i="139"/>
  <c r="EC60" i="139" s="1"/>
  <c r="FB86" i="139" s="1"/>
  <c r="EC37" i="139"/>
  <c r="EC64" i="139" s="1"/>
  <c r="FB90" i="139" s="1"/>
  <c r="EC35" i="139"/>
  <c r="EC62" i="139" s="1"/>
  <c r="FB88" i="139" s="1"/>
  <c r="EC40" i="139"/>
  <c r="EC67" i="139" s="1"/>
  <c r="FB93" i="139" s="1"/>
  <c r="EC39" i="139"/>
  <c r="EC66" i="139" s="1"/>
  <c r="FB92" i="139" s="1"/>
  <c r="EC30" i="139"/>
  <c r="EC57" i="139" s="1"/>
  <c r="FB83" i="139" s="1"/>
  <c r="EC41" i="139"/>
  <c r="EC68" i="139" s="1"/>
  <c r="FB94" i="139" s="1"/>
  <c r="EC34" i="139"/>
  <c r="EC61" i="139" s="1"/>
  <c r="FB87" i="139" s="1"/>
  <c r="EC38" i="139"/>
  <c r="EC65" i="139" s="1"/>
  <c r="FB91" i="139" s="1"/>
  <c r="EC36" i="139"/>
  <c r="EC63" i="139" s="1"/>
  <c r="FB89" i="139" s="1"/>
  <c r="EC31" i="139"/>
  <c r="EC58" i="139" s="1"/>
  <c r="FB84" i="139" s="1"/>
  <c r="EB28" i="139"/>
  <c r="EA28" i="139" l="1"/>
  <c r="EB37" i="139"/>
  <c r="EB64" i="139" s="1"/>
  <c r="FA90" i="139" s="1"/>
  <c r="EB41" i="139"/>
  <c r="EB68" i="139" s="1"/>
  <c r="FA94" i="139" s="1"/>
  <c r="EB30" i="139"/>
  <c r="EB57" i="139" s="1"/>
  <c r="FA83" i="139" s="1"/>
  <c r="EB33" i="139"/>
  <c r="EB60" i="139" s="1"/>
  <c r="FA86" i="139" s="1"/>
  <c r="EB39" i="139"/>
  <c r="EB66" i="139" s="1"/>
  <c r="FA92" i="139" s="1"/>
  <c r="EB34" i="139"/>
  <c r="EB61" i="139" s="1"/>
  <c r="FA87" i="139" s="1"/>
  <c r="EB32" i="139"/>
  <c r="EB59" i="139" s="1"/>
  <c r="FA85" i="139" s="1"/>
  <c r="EB31" i="139"/>
  <c r="EB58" i="139" s="1"/>
  <c r="FA84" i="139" s="1"/>
  <c r="EB40" i="139"/>
  <c r="EB67" i="139" s="1"/>
  <c r="FA93" i="139" s="1"/>
  <c r="EB36" i="139"/>
  <c r="EB63" i="139" s="1"/>
  <c r="FA89" i="139" s="1"/>
  <c r="EB38" i="139"/>
  <c r="EB65" i="139" s="1"/>
  <c r="FA91" i="139" s="1"/>
  <c r="EB35" i="139"/>
  <c r="EB62" i="139" s="1"/>
  <c r="FA88" i="139" s="1"/>
  <c r="EA33" i="139" l="1"/>
  <c r="EA60" i="139" s="1"/>
  <c r="EZ86" i="139" s="1"/>
  <c r="EA35" i="139"/>
  <c r="EA62" i="139" s="1"/>
  <c r="EZ88" i="139" s="1"/>
  <c r="EA34" i="139"/>
  <c r="EA61" i="139" s="1"/>
  <c r="EZ87" i="139" s="1"/>
  <c r="EA30" i="139"/>
  <c r="EA57" i="139" s="1"/>
  <c r="EZ83" i="139" s="1"/>
  <c r="DZ28" i="139"/>
  <c r="EA37" i="139"/>
  <c r="EA64" i="139" s="1"/>
  <c r="EZ90" i="139" s="1"/>
  <c r="EA40" i="139"/>
  <c r="EA67" i="139" s="1"/>
  <c r="EZ93" i="139" s="1"/>
  <c r="EA32" i="139"/>
  <c r="EA59" i="139" s="1"/>
  <c r="EZ85" i="139" s="1"/>
  <c r="EA31" i="139"/>
  <c r="EA58" i="139" s="1"/>
  <c r="EZ84" i="139" s="1"/>
  <c r="EA39" i="139"/>
  <c r="EA66" i="139" s="1"/>
  <c r="EZ92" i="139" s="1"/>
  <c r="EA38" i="139"/>
  <c r="EA65" i="139" s="1"/>
  <c r="EZ91" i="139" s="1"/>
  <c r="EA41" i="139"/>
  <c r="EA68" i="139" s="1"/>
  <c r="EZ94" i="139" s="1"/>
  <c r="EA36" i="139"/>
  <c r="EA63" i="139" s="1"/>
  <c r="EZ89" i="139" s="1"/>
  <c r="DZ38" i="139" l="1"/>
  <c r="DZ65" i="139" s="1"/>
  <c r="EY91" i="139" s="1"/>
  <c r="DZ32" i="139"/>
  <c r="DZ59" i="139" s="1"/>
  <c r="EY85" i="139" s="1"/>
  <c r="DZ40" i="139"/>
  <c r="DZ67" i="139" s="1"/>
  <c r="EY93" i="139" s="1"/>
  <c r="DZ31" i="139"/>
  <c r="DZ58" i="139" s="1"/>
  <c r="EY84" i="139" s="1"/>
  <c r="DZ39" i="139"/>
  <c r="DZ66" i="139" s="1"/>
  <c r="EY92" i="139" s="1"/>
  <c r="DY28" i="139"/>
  <c r="DZ35" i="139"/>
  <c r="DZ62" i="139" s="1"/>
  <c r="EY88" i="139" s="1"/>
  <c r="DZ36" i="139"/>
  <c r="DZ63" i="139" s="1"/>
  <c r="EY89" i="139" s="1"/>
  <c r="DZ41" i="139"/>
  <c r="DZ68" i="139" s="1"/>
  <c r="EY94" i="139" s="1"/>
  <c r="DZ30" i="139"/>
  <c r="DZ57" i="139" s="1"/>
  <c r="EY83" i="139" s="1"/>
  <c r="DZ37" i="139"/>
  <c r="DZ64" i="139" s="1"/>
  <c r="EY90" i="139" s="1"/>
  <c r="DZ34" i="139"/>
  <c r="DZ61" i="139" s="1"/>
  <c r="EY87" i="139" s="1"/>
  <c r="DZ33" i="139"/>
  <c r="DZ60" i="139" s="1"/>
  <c r="EY86" i="139" s="1"/>
  <c r="DX28" i="139" l="1"/>
  <c r="DY36" i="139"/>
  <c r="DY63" i="139" s="1"/>
  <c r="EX89" i="139" s="1"/>
  <c r="DY38" i="139"/>
  <c r="DY65" i="139" s="1"/>
  <c r="EX91" i="139" s="1"/>
  <c r="DY34" i="139"/>
  <c r="DY61" i="139" s="1"/>
  <c r="EX87" i="139" s="1"/>
  <c r="DY39" i="139"/>
  <c r="DY66" i="139" s="1"/>
  <c r="EX92" i="139" s="1"/>
  <c r="DY37" i="139"/>
  <c r="DY64" i="139" s="1"/>
  <c r="EX90" i="139" s="1"/>
  <c r="DY33" i="139"/>
  <c r="DY60" i="139" s="1"/>
  <c r="EX86" i="139" s="1"/>
  <c r="DY35" i="139"/>
  <c r="DY62" i="139" s="1"/>
  <c r="EX88" i="139" s="1"/>
  <c r="DY40" i="139"/>
  <c r="DY67" i="139" s="1"/>
  <c r="EX93" i="139" s="1"/>
  <c r="DY32" i="139"/>
  <c r="DY59" i="139" s="1"/>
  <c r="EX85" i="139" s="1"/>
  <c r="DY30" i="139"/>
  <c r="DY57" i="139" s="1"/>
  <c r="EX83" i="139" s="1"/>
  <c r="DY41" i="139"/>
  <c r="DY68" i="139" s="1"/>
  <c r="EX94" i="139" s="1"/>
  <c r="DY31" i="139"/>
  <c r="DY58" i="139" s="1"/>
  <c r="EX84" i="139" s="1"/>
  <c r="DX37" i="139" l="1"/>
  <c r="DX64" i="139" s="1"/>
  <c r="EW90" i="139" s="1"/>
  <c r="DX36" i="139"/>
  <c r="DX63" i="139" s="1"/>
  <c r="EW89" i="139" s="1"/>
  <c r="DX39" i="139"/>
  <c r="DX66" i="139" s="1"/>
  <c r="EW92" i="139" s="1"/>
  <c r="DW28" i="139"/>
  <c r="DX30" i="139"/>
  <c r="DX57" i="139" s="1"/>
  <c r="EW83" i="139" s="1"/>
  <c r="DX40" i="139"/>
  <c r="DX67" i="139" s="1"/>
  <c r="EW93" i="139" s="1"/>
  <c r="DX38" i="139"/>
  <c r="DX65" i="139" s="1"/>
  <c r="EW91" i="139" s="1"/>
  <c r="DX33" i="139"/>
  <c r="DX60" i="139" s="1"/>
  <c r="EW86" i="139" s="1"/>
  <c r="DX32" i="139"/>
  <c r="DX59" i="139" s="1"/>
  <c r="EW85" i="139" s="1"/>
  <c r="DX31" i="139"/>
  <c r="DX58" i="139" s="1"/>
  <c r="EW84" i="139" s="1"/>
  <c r="DX35" i="139"/>
  <c r="DX62" i="139" s="1"/>
  <c r="EW88" i="139" s="1"/>
  <c r="DX34" i="139"/>
  <c r="DX61" i="139" s="1"/>
  <c r="EW87" i="139" s="1"/>
  <c r="DX41" i="139"/>
  <c r="DX68" i="139" s="1"/>
  <c r="EW94" i="139" s="1"/>
  <c r="DW30" i="139" l="1"/>
  <c r="DW57" i="139" s="1"/>
  <c r="EV83" i="139" s="1"/>
  <c r="DW38" i="139"/>
  <c r="DW65" i="139" s="1"/>
  <c r="EV91" i="139" s="1"/>
  <c r="DV28" i="139"/>
  <c r="DW37" i="139"/>
  <c r="DW64" i="139" s="1"/>
  <c r="EV90" i="139" s="1"/>
  <c r="DW34" i="139"/>
  <c r="DW61" i="139" s="1"/>
  <c r="EV87" i="139" s="1"/>
  <c r="DW36" i="139"/>
  <c r="DW63" i="139" s="1"/>
  <c r="EV89" i="139" s="1"/>
  <c r="DW32" i="139"/>
  <c r="DW59" i="139" s="1"/>
  <c r="EV85" i="139" s="1"/>
  <c r="DW41" i="139"/>
  <c r="DW68" i="139" s="1"/>
  <c r="EV94" i="139" s="1"/>
  <c r="DW35" i="139"/>
  <c r="DW62" i="139" s="1"/>
  <c r="EV88" i="139" s="1"/>
  <c r="DW40" i="139"/>
  <c r="DW67" i="139" s="1"/>
  <c r="EV93" i="139" s="1"/>
  <c r="DW39" i="139"/>
  <c r="DW66" i="139" s="1"/>
  <c r="EV92" i="139" s="1"/>
  <c r="DW33" i="139"/>
  <c r="DW60" i="139" s="1"/>
  <c r="EV86" i="139" s="1"/>
  <c r="DW31" i="139"/>
  <c r="DW58" i="139" s="1"/>
  <c r="EV84" i="139" s="1"/>
  <c r="DU28" i="139" l="1"/>
  <c r="DV35" i="139"/>
  <c r="DV62" i="139" s="1"/>
  <c r="EU88" i="139" s="1"/>
  <c r="DV38" i="139"/>
  <c r="DV65" i="139" s="1"/>
  <c r="EU91" i="139" s="1"/>
  <c r="DV30" i="139"/>
  <c r="DV57" i="139" s="1"/>
  <c r="EU83" i="139" s="1"/>
  <c r="DV33" i="139"/>
  <c r="DV60" i="139" s="1"/>
  <c r="EU86" i="139" s="1"/>
  <c r="DV34" i="139"/>
  <c r="DV61" i="139" s="1"/>
  <c r="EU87" i="139" s="1"/>
  <c r="DV36" i="139"/>
  <c r="DV63" i="139" s="1"/>
  <c r="EU89" i="139" s="1"/>
  <c r="DV31" i="139"/>
  <c r="DV58" i="139" s="1"/>
  <c r="EU84" i="139" s="1"/>
  <c r="DV40" i="139"/>
  <c r="DV67" i="139" s="1"/>
  <c r="EU93" i="139" s="1"/>
  <c r="DV32" i="139"/>
  <c r="DV59" i="139" s="1"/>
  <c r="EU85" i="139" s="1"/>
  <c r="DV39" i="139"/>
  <c r="DV66" i="139" s="1"/>
  <c r="EU92" i="139" s="1"/>
  <c r="DV41" i="139"/>
  <c r="DV68" i="139" s="1"/>
  <c r="EU94" i="139" s="1"/>
  <c r="DV37" i="139"/>
  <c r="DV64" i="139" s="1"/>
  <c r="EU90" i="139" s="1"/>
  <c r="DU34" i="139" l="1"/>
  <c r="DU61" i="139" s="1"/>
  <c r="ET87" i="139" s="1"/>
  <c r="DT28" i="139"/>
  <c r="DU39" i="139"/>
  <c r="DU66" i="139" s="1"/>
  <c r="ET92" i="139" s="1"/>
  <c r="DU31" i="139"/>
  <c r="DU58" i="139" s="1"/>
  <c r="ET84" i="139" s="1"/>
  <c r="DU32" i="139"/>
  <c r="DU59" i="139" s="1"/>
  <c r="ET85" i="139" s="1"/>
  <c r="DU37" i="139"/>
  <c r="DU64" i="139" s="1"/>
  <c r="ET90" i="139" s="1"/>
  <c r="DU36" i="139"/>
  <c r="DU63" i="139" s="1"/>
  <c r="ET89" i="139" s="1"/>
  <c r="DU40" i="139"/>
  <c r="DU67" i="139" s="1"/>
  <c r="ET93" i="139" s="1"/>
  <c r="DU41" i="139"/>
  <c r="DU68" i="139" s="1"/>
  <c r="ET94" i="139" s="1"/>
  <c r="DU35" i="139"/>
  <c r="DU62" i="139" s="1"/>
  <c r="ET88" i="139" s="1"/>
  <c r="DU33" i="139"/>
  <c r="DU60" i="139" s="1"/>
  <c r="ET86" i="139" s="1"/>
  <c r="DU30" i="139"/>
  <c r="DU57" i="139" s="1"/>
  <c r="ET83" i="139" s="1"/>
  <c r="DU38" i="139"/>
  <c r="DU65" i="139" s="1"/>
  <c r="ET91" i="139" s="1"/>
  <c r="DT37" i="139" l="1"/>
  <c r="DT64" i="139" s="1"/>
  <c r="ES90" i="139" s="1"/>
  <c r="DT32" i="139"/>
  <c r="DT59" i="139" s="1"/>
  <c r="ES85" i="139" s="1"/>
  <c r="DT31" i="139"/>
  <c r="DT58" i="139" s="1"/>
  <c r="ES84" i="139" s="1"/>
  <c r="DT33" i="139"/>
  <c r="DT60" i="139" s="1"/>
  <c r="ES86" i="139" s="1"/>
  <c r="DT34" i="139"/>
  <c r="DT61" i="139" s="1"/>
  <c r="ES87" i="139" s="1"/>
  <c r="DS28" i="139"/>
  <c r="DT35" i="139"/>
  <c r="DT62" i="139" s="1"/>
  <c r="ES88" i="139" s="1"/>
  <c r="DT36" i="139"/>
  <c r="DT63" i="139" s="1"/>
  <c r="ES89" i="139" s="1"/>
  <c r="DT40" i="139"/>
  <c r="DT67" i="139" s="1"/>
  <c r="ES93" i="139" s="1"/>
  <c r="DT39" i="139"/>
  <c r="DT66" i="139" s="1"/>
  <c r="ES92" i="139" s="1"/>
  <c r="DT41" i="139"/>
  <c r="DT68" i="139" s="1"/>
  <c r="ES94" i="139" s="1"/>
  <c r="DT38" i="139"/>
  <c r="DT65" i="139" s="1"/>
  <c r="ES91" i="139" s="1"/>
  <c r="DT30" i="139"/>
  <c r="DT57" i="139" s="1"/>
  <c r="ES83" i="139" s="1"/>
  <c r="DS40" i="139" l="1"/>
  <c r="DS67" i="139" s="1"/>
  <c r="ER93" i="139" s="1"/>
  <c r="DS36" i="139"/>
  <c r="DS63" i="139" s="1"/>
  <c r="ER89" i="139" s="1"/>
  <c r="DS31" i="139"/>
  <c r="DS58" i="139" s="1"/>
  <c r="ER84" i="139" s="1"/>
  <c r="DS41" i="139"/>
  <c r="DS68" i="139" s="1"/>
  <c r="ER94" i="139" s="1"/>
  <c r="DS39" i="139"/>
  <c r="DS66" i="139" s="1"/>
  <c r="ER92" i="139" s="1"/>
  <c r="DS30" i="139"/>
  <c r="DS57" i="139" s="1"/>
  <c r="ER83" i="139" s="1"/>
  <c r="DS38" i="139"/>
  <c r="DS65" i="139" s="1"/>
  <c r="ER91" i="139" s="1"/>
  <c r="DS37" i="139"/>
  <c r="DS64" i="139" s="1"/>
  <c r="ER90" i="139" s="1"/>
  <c r="DS34" i="139"/>
  <c r="DS61" i="139" s="1"/>
  <c r="ER87" i="139" s="1"/>
  <c r="DS33" i="139"/>
  <c r="DS60" i="139" s="1"/>
  <c r="ER86" i="139" s="1"/>
  <c r="DS35" i="139"/>
  <c r="DS62" i="139" s="1"/>
  <c r="ER88" i="139" s="1"/>
  <c r="DR28" i="139"/>
  <c r="DS32" i="139"/>
  <c r="DS59" i="139" s="1"/>
  <c r="ER85" i="139" s="1"/>
  <c r="DR36" i="139" l="1"/>
  <c r="DR63" i="139" s="1"/>
  <c r="EQ89" i="139" s="1"/>
  <c r="DR38" i="139"/>
  <c r="DR65" i="139" s="1"/>
  <c r="EQ91" i="139" s="1"/>
  <c r="DR32" i="139"/>
  <c r="DR59" i="139" s="1"/>
  <c r="EQ85" i="139" s="1"/>
  <c r="DR31" i="139"/>
  <c r="DR58" i="139" s="1"/>
  <c r="EQ84" i="139" s="1"/>
  <c r="DR37" i="139"/>
  <c r="DR64" i="139" s="1"/>
  <c r="EQ90" i="139" s="1"/>
  <c r="DR41" i="139"/>
  <c r="DR68" i="139" s="1"/>
  <c r="EQ94" i="139" s="1"/>
  <c r="DR35" i="139"/>
  <c r="DR62" i="139" s="1"/>
  <c r="EQ88" i="139" s="1"/>
  <c r="DR40" i="139"/>
  <c r="DR67" i="139" s="1"/>
  <c r="EQ93" i="139" s="1"/>
  <c r="DQ28" i="139"/>
  <c r="DR34" i="139"/>
  <c r="DR61" i="139" s="1"/>
  <c r="EQ87" i="139" s="1"/>
  <c r="DR39" i="139"/>
  <c r="DR66" i="139" s="1"/>
  <c r="EQ92" i="139" s="1"/>
  <c r="DR33" i="139"/>
  <c r="DR60" i="139" s="1"/>
  <c r="EQ86" i="139" s="1"/>
  <c r="DR30" i="139"/>
  <c r="DR57" i="139" s="1"/>
  <c r="EQ83" i="139" s="1"/>
  <c r="DQ37" i="139" l="1"/>
  <c r="DQ64" i="139" s="1"/>
  <c r="EP90" i="139" s="1"/>
  <c r="DQ33" i="139"/>
  <c r="DQ60" i="139" s="1"/>
  <c r="EP86" i="139" s="1"/>
  <c r="DQ39" i="139"/>
  <c r="DQ66" i="139" s="1"/>
  <c r="EP92" i="139" s="1"/>
  <c r="DQ38" i="139"/>
  <c r="DQ65" i="139" s="1"/>
  <c r="EP91" i="139" s="1"/>
  <c r="DQ41" i="139"/>
  <c r="DQ68" i="139" s="1"/>
  <c r="EP94" i="139" s="1"/>
  <c r="DP28" i="139"/>
  <c r="DQ31" i="139"/>
  <c r="DQ58" i="139" s="1"/>
  <c r="EP84" i="139" s="1"/>
  <c r="DQ30" i="139"/>
  <c r="DQ57" i="139" s="1"/>
  <c r="EP83" i="139" s="1"/>
  <c r="DQ32" i="139"/>
  <c r="DQ59" i="139" s="1"/>
  <c r="EP85" i="139" s="1"/>
  <c r="DQ34" i="139"/>
  <c r="DQ61" i="139" s="1"/>
  <c r="EP87" i="139" s="1"/>
  <c r="DQ35" i="139"/>
  <c r="DQ62" i="139" s="1"/>
  <c r="EP88" i="139" s="1"/>
  <c r="DQ36" i="139"/>
  <c r="DQ63" i="139" s="1"/>
  <c r="EP89" i="139" s="1"/>
  <c r="DQ40" i="139"/>
  <c r="DQ67" i="139" s="1"/>
  <c r="EP93" i="139" s="1"/>
  <c r="DP32" i="139" l="1"/>
  <c r="DP59" i="139" s="1"/>
  <c r="EO85" i="139" s="1"/>
  <c r="DP33" i="139"/>
  <c r="DP60" i="139" s="1"/>
  <c r="EO86" i="139" s="1"/>
  <c r="DO28" i="139"/>
  <c r="DP35" i="139"/>
  <c r="DP62" i="139" s="1"/>
  <c r="EO88" i="139" s="1"/>
  <c r="DP36" i="139"/>
  <c r="DP63" i="139" s="1"/>
  <c r="EO89" i="139" s="1"/>
  <c r="DP37" i="139"/>
  <c r="DP64" i="139" s="1"/>
  <c r="EO90" i="139" s="1"/>
  <c r="DP39" i="139"/>
  <c r="DP66" i="139" s="1"/>
  <c r="EO92" i="139" s="1"/>
  <c r="DP40" i="139"/>
  <c r="DP67" i="139" s="1"/>
  <c r="EO93" i="139" s="1"/>
  <c r="DP41" i="139"/>
  <c r="DP68" i="139" s="1"/>
  <c r="EO94" i="139" s="1"/>
  <c r="DP31" i="139"/>
  <c r="DP58" i="139" s="1"/>
  <c r="EO84" i="139" s="1"/>
  <c r="DP38" i="139"/>
  <c r="DP65" i="139" s="1"/>
  <c r="EO91" i="139" s="1"/>
  <c r="DP34" i="139"/>
  <c r="DP61" i="139" s="1"/>
  <c r="EO87" i="139" s="1"/>
  <c r="DP30" i="139"/>
  <c r="DP57" i="139" s="1"/>
  <c r="EO83" i="139" s="1"/>
  <c r="DO31" i="139" l="1"/>
  <c r="DO58" i="139" s="1"/>
  <c r="EN84" i="139" s="1"/>
  <c r="DN28" i="139"/>
  <c r="DO32" i="139"/>
  <c r="DO59" i="139" s="1"/>
  <c r="EN85" i="139" s="1"/>
  <c r="DO38" i="139"/>
  <c r="DO65" i="139" s="1"/>
  <c r="EN91" i="139" s="1"/>
  <c r="DO35" i="139"/>
  <c r="DO62" i="139" s="1"/>
  <c r="EN88" i="139" s="1"/>
  <c r="DO34" i="139"/>
  <c r="DO61" i="139" s="1"/>
  <c r="EN87" i="139" s="1"/>
  <c r="DO36" i="139"/>
  <c r="DO63" i="139" s="1"/>
  <c r="EN89" i="139" s="1"/>
  <c r="DO33" i="139"/>
  <c r="DO60" i="139" s="1"/>
  <c r="EN86" i="139" s="1"/>
  <c r="DO37" i="139"/>
  <c r="DO64" i="139" s="1"/>
  <c r="EN90" i="139" s="1"/>
  <c r="DO41" i="139"/>
  <c r="DO68" i="139" s="1"/>
  <c r="EN94" i="139" s="1"/>
  <c r="DO39" i="139"/>
  <c r="DO66" i="139" s="1"/>
  <c r="EN92" i="139" s="1"/>
  <c r="DO40" i="139"/>
  <c r="DO67" i="139" s="1"/>
  <c r="EN93" i="139" s="1"/>
  <c r="DO30" i="139"/>
  <c r="DO57" i="139" s="1"/>
  <c r="EN83" i="139" s="1"/>
  <c r="DN41" i="139" l="1"/>
  <c r="DN68" i="139" s="1"/>
  <c r="EM94" i="139" s="1"/>
  <c r="DN34" i="139"/>
  <c r="DN61" i="139" s="1"/>
  <c r="EM87" i="139" s="1"/>
  <c r="DN40" i="139"/>
  <c r="DN67" i="139" s="1"/>
  <c r="EM93" i="139" s="1"/>
  <c r="DN36" i="139"/>
  <c r="DN63" i="139" s="1"/>
  <c r="EM89" i="139" s="1"/>
  <c r="DN30" i="139"/>
  <c r="DN57" i="139" s="1"/>
  <c r="EM83" i="139" s="1"/>
  <c r="DN31" i="139"/>
  <c r="DN58" i="139" s="1"/>
  <c r="EM84" i="139" s="1"/>
  <c r="DN38" i="139"/>
  <c r="DN65" i="139" s="1"/>
  <c r="EM91" i="139" s="1"/>
  <c r="DN33" i="139"/>
  <c r="DN60" i="139" s="1"/>
  <c r="EM86" i="139" s="1"/>
  <c r="DN35" i="139"/>
  <c r="DN62" i="139" s="1"/>
  <c r="EM88" i="139" s="1"/>
  <c r="DN39" i="139"/>
  <c r="DN66" i="139" s="1"/>
  <c r="EM92" i="139" s="1"/>
  <c r="DN37" i="139"/>
  <c r="DN64" i="139" s="1"/>
  <c r="EM90" i="139" s="1"/>
  <c r="DN32" i="139"/>
  <c r="DN59" i="139" s="1"/>
  <c r="EM85" i="139" s="1"/>
  <c r="DM28" i="139"/>
  <c r="DM41" i="139" l="1"/>
  <c r="DM68" i="139" s="1"/>
  <c r="EL94" i="139" s="1"/>
  <c r="DM32" i="139"/>
  <c r="DM59" i="139" s="1"/>
  <c r="EL85" i="139" s="1"/>
  <c r="DM36" i="139"/>
  <c r="DM63" i="139" s="1"/>
  <c r="EL89" i="139" s="1"/>
  <c r="DM37" i="139"/>
  <c r="DM64" i="139" s="1"/>
  <c r="EL90" i="139" s="1"/>
  <c r="DM38" i="139"/>
  <c r="DM65" i="139" s="1"/>
  <c r="EL91" i="139" s="1"/>
  <c r="DM40" i="139"/>
  <c r="DM67" i="139" s="1"/>
  <c r="EL93" i="139" s="1"/>
  <c r="DM34" i="139"/>
  <c r="DM61" i="139" s="1"/>
  <c r="EL87" i="139" s="1"/>
  <c r="DM39" i="139"/>
  <c r="DM66" i="139" s="1"/>
  <c r="EL92" i="139" s="1"/>
  <c r="DM35" i="139"/>
  <c r="DM62" i="139" s="1"/>
  <c r="EL88" i="139" s="1"/>
  <c r="DM31" i="139"/>
  <c r="DM58" i="139" s="1"/>
  <c r="EL84" i="139" s="1"/>
  <c r="DM30" i="139"/>
  <c r="DM57" i="139" s="1"/>
  <c r="EL83" i="139" s="1"/>
  <c r="DL28" i="139"/>
  <c r="DM33" i="139"/>
  <c r="DM60" i="139" s="1"/>
  <c r="EL86" i="139" s="1"/>
  <c r="DL30" i="139" l="1"/>
  <c r="DL57" i="139" s="1"/>
  <c r="EK83" i="139" s="1"/>
  <c r="DL32" i="139"/>
  <c r="DL59" i="139" s="1"/>
  <c r="EK85" i="139" s="1"/>
  <c r="DL35" i="139"/>
  <c r="DL62" i="139" s="1"/>
  <c r="EK88" i="139" s="1"/>
  <c r="DL40" i="139"/>
  <c r="DL67" i="139" s="1"/>
  <c r="EK93" i="139" s="1"/>
  <c r="DL36" i="139"/>
  <c r="DL63" i="139" s="1"/>
  <c r="EK89" i="139" s="1"/>
  <c r="DL38" i="139"/>
  <c r="DL65" i="139" s="1"/>
  <c r="EK91" i="139" s="1"/>
  <c r="DL34" i="139"/>
  <c r="DL61" i="139" s="1"/>
  <c r="EK87" i="139" s="1"/>
  <c r="DL33" i="139"/>
  <c r="DL60" i="139" s="1"/>
  <c r="EK86" i="139" s="1"/>
  <c r="DL31" i="139"/>
  <c r="DL58" i="139" s="1"/>
  <c r="EK84" i="139" s="1"/>
  <c r="DK28" i="139"/>
  <c r="DL37" i="139"/>
  <c r="DL64" i="139" s="1"/>
  <c r="EK90" i="139" s="1"/>
  <c r="DL41" i="139"/>
  <c r="DL68" i="139" s="1"/>
  <c r="EK94" i="139" s="1"/>
  <c r="DL39" i="139"/>
  <c r="DL66" i="139" s="1"/>
  <c r="EK92" i="139" s="1"/>
  <c r="DK36" i="139" l="1"/>
  <c r="DK63" i="139" s="1"/>
  <c r="EJ89" i="139" s="1"/>
  <c r="DK40" i="139"/>
  <c r="DK67" i="139" s="1"/>
  <c r="EJ93" i="139" s="1"/>
  <c r="DK31" i="139"/>
  <c r="DK58" i="139" s="1"/>
  <c r="EJ84" i="139" s="1"/>
  <c r="DK34" i="139"/>
  <c r="DK61" i="139" s="1"/>
  <c r="EJ87" i="139" s="1"/>
  <c r="DK38" i="139"/>
  <c r="DK65" i="139" s="1"/>
  <c r="EJ91" i="139" s="1"/>
  <c r="DK33" i="139"/>
  <c r="DK60" i="139" s="1"/>
  <c r="EJ86" i="139" s="1"/>
  <c r="DK35" i="139"/>
  <c r="DK62" i="139" s="1"/>
  <c r="EJ88" i="139" s="1"/>
  <c r="DK37" i="139"/>
  <c r="DK64" i="139" s="1"/>
  <c r="EJ90" i="139" s="1"/>
  <c r="DK32" i="139"/>
  <c r="DK59" i="139" s="1"/>
  <c r="EJ85" i="139" s="1"/>
  <c r="DK30" i="139"/>
  <c r="DK57" i="139" s="1"/>
  <c r="EJ83" i="139" s="1"/>
  <c r="DJ28" i="139"/>
  <c r="DK41" i="139"/>
  <c r="DK68" i="139" s="1"/>
  <c r="EJ94" i="139" s="1"/>
  <c r="DK39" i="139"/>
  <c r="DK66" i="139" s="1"/>
  <c r="EJ92" i="139" s="1"/>
  <c r="DJ35" i="139" l="1"/>
  <c r="DJ62" i="139" s="1"/>
  <c r="EI88" i="139" s="1"/>
  <c r="DJ31" i="139"/>
  <c r="DJ58" i="139" s="1"/>
  <c r="EI84" i="139" s="1"/>
  <c r="DJ41" i="139"/>
  <c r="DJ68" i="139" s="1"/>
  <c r="EI94" i="139" s="1"/>
  <c r="DJ33" i="139"/>
  <c r="DJ60" i="139" s="1"/>
  <c r="EI86" i="139" s="1"/>
  <c r="DI28" i="139"/>
  <c r="DJ34" i="139"/>
  <c r="DJ61" i="139" s="1"/>
  <c r="EI87" i="139" s="1"/>
  <c r="DJ32" i="139"/>
  <c r="DJ59" i="139" s="1"/>
  <c r="EI85" i="139" s="1"/>
  <c r="DJ38" i="139"/>
  <c r="DJ65" i="139" s="1"/>
  <c r="EI91" i="139" s="1"/>
  <c r="DJ39" i="139"/>
  <c r="DJ66" i="139" s="1"/>
  <c r="EI92" i="139" s="1"/>
  <c r="DJ37" i="139"/>
  <c r="DJ64" i="139" s="1"/>
  <c r="EI90" i="139" s="1"/>
  <c r="DJ36" i="139"/>
  <c r="DJ63" i="139" s="1"/>
  <c r="EI89" i="139" s="1"/>
  <c r="DJ30" i="139"/>
  <c r="DJ57" i="139" s="1"/>
  <c r="EI83" i="139" s="1"/>
  <c r="DJ40" i="139"/>
  <c r="DJ67" i="139" s="1"/>
  <c r="EI93" i="139" s="1"/>
  <c r="DI39" i="139" l="1"/>
  <c r="DI66" i="139" s="1"/>
  <c r="EH92" i="139" s="1"/>
  <c r="DI41" i="139"/>
  <c r="DI68" i="139" s="1"/>
  <c r="EH94" i="139" s="1"/>
  <c r="DI34" i="139"/>
  <c r="DI61" i="139" s="1"/>
  <c r="EH87" i="139" s="1"/>
  <c r="DI36" i="139"/>
  <c r="DI63" i="139" s="1"/>
  <c r="EH89" i="139" s="1"/>
  <c r="DI38" i="139"/>
  <c r="DI65" i="139" s="1"/>
  <c r="EH91" i="139" s="1"/>
  <c r="DI30" i="139"/>
  <c r="DI57" i="139" s="1"/>
  <c r="EH83" i="139" s="1"/>
  <c r="DI40" i="139"/>
  <c r="DI67" i="139" s="1"/>
  <c r="EH93" i="139" s="1"/>
  <c r="DH28" i="139"/>
  <c r="DI33" i="139"/>
  <c r="DI60" i="139" s="1"/>
  <c r="EH86" i="139" s="1"/>
  <c r="DI35" i="139"/>
  <c r="DI62" i="139" s="1"/>
  <c r="EH88" i="139" s="1"/>
  <c r="DI31" i="139"/>
  <c r="DI58" i="139" s="1"/>
  <c r="EH84" i="139" s="1"/>
  <c r="DI37" i="139"/>
  <c r="DI64" i="139" s="1"/>
  <c r="EH90" i="139" s="1"/>
  <c r="DI32" i="139"/>
  <c r="DI59" i="139" s="1"/>
  <c r="EH85" i="139" s="1"/>
  <c r="DH36" i="139" l="1"/>
  <c r="DH63" i="139" s="1"/>
  <c r="EG89" i="139" s="1"/>
  <c r="DH41" i="139"/>
  <c r="DH68" i="139" s="1"/>
  <c r="EG94" i="139" s="1"/>
  <c r="DH30" i="139"/>
  <c r="DH57" i="139" s="1"/>
  <c r="EG83" i="139" s="1"/>
  <c r="DH32" i="139"/>
  <c r="DH59" i="139" s="1"/>
  <c r="EG85" i="139" s="1"/>
  <c r="DH37" i="139"/>
  <c r="DH64" i="139" s="1"/>
  <c r="EG90" i="139" s="1"/>
  <c r="DG28" i="139"/>
  <c r="DH34" i="139"/>
  <c r="DH61" i="139" s="1"/>
  <c r="EG87" i="139" s="1"/>
  <c r="DH33" i="139"/>
  <c r="DH60" i="139" s="1"/>
  <c r="EG86" i="139" s="1"/>
  <c r="DH39" i="139"/>
  <c r="DH66" i="139" s="1"/>
  <c r="EG92" i="139" s="1"/>
  <c r="DH31" i="139"/>
  <c r="DH58" i="139" s="1"/>
  <c r="EG84" i="139" s="1"/>
  <c r="DH40" i="139"/>
  <c r="DH67" i="139" s="1"/>
  <c r="EG93" i="139" s="1"/>
  <c r="DH38" i="139"/>
  <c r="DH65" i="139" s="1"/>
  <c r="EG91" i="139" s="1"/>
  <c r="DH35" i="139"/>
  <c r="DH62" i="139" s="1"/>
  <c r="EG88" i="139" s="1"/>
  <c r="DG39" i="139" l="1"/>
  <c r="DG66" i="139" s="1"/>
  <c r="EF92" i="139" s="1"/>
  <c r="DG35" i="139"/>
  <c r="DG62" i="139" s="1"/>
  <c r="EF88" i="139" s="1"/>
  <c r="DG34" i="139"/>
  <c r="DG61" i="139" s="1"/>
  <c r="EF87" i="139" s="1"/>
  <c r="DG33" i="139"/>
  <c r="DG60" i="139" s="1"/>
  <c r="EF86" i="139" s="1"/>
  <c r="DG36" i="139"/>
  <c r="DG63" i="139" s="1"/>
  <c r="EF89" i="139" s="1"/>
  <c r="DG41" i="139"/>
  <c r="DG68" i="139" s="1"/>
  <c r="EF94" i="139" s="1"/>
  <c r="DG31" i="139"/>
  <c r="DG58" i="139" s="1"/>
  <c r="EF84" i="139" s="1"/>
  <c r="DG32" i="139"/>
  <c r="DG59" i="139" s="1"/>
  <c r="EF85" i="139" s="1"/>
  <c r="DG40" i="139"/>
  <c r="DG67" i="139" s="1"/>
  <c r="EF93" i="139" s="1"/>
  <c r="DF28" i="139"/>
  <c r="DG30" i="139"/>
  <c r="DG57" i="139" s="1"/>
  <c r="EF83" i="139" s="1"/>
  <c r="DG37" i="139"/>
  <c r="DG64" i="139" s="1"/>
  <c r="EF90" i="139" s="1"/>
  <c r="DG38" i="139"/>
  <c r="DG65" i="139" s="1"/>
  <c r="EF91" i="139" s="1"/>
  <c r="DF36" i="139" l="1"/>
  <c r="DF63" i="139" s="1"/>
  <c r="EE89" i="139" s="1"/>
  <c r="DF39" i="139"/>
  <c r="DF66" i="139" s="1"/>
  <c r="EE92" i="139" s="1"/>
  <c r="DF33" i="139"/>
  <c r="DF60" i="139" s="1"/>
  <c r="EE86" i="139" s="1"/>
  <c r="DF31" i="139"/>
  <c r="DF58" i="139" s="1"/>
  <c r="EE84" i="139" s="1"/>
  <c r="DF35" i="139"/>
  <c r="DF62" i="139" s="1"/>
  <c r="EE88" i="139" s="1"/>
  <c r="DE28" i="139"/>
  <c r="DF37" i="139"/>
  <c r="DF64" i="139" s="1"/>
  <c r="EE90" i="139" s="1"/>
  <c r="DF32" i="139"/>
  <c r="DF59" i="139" s="1"/>
  <c r="EE85" i="139" s="1"/>
  <c r="DF40" i="139"/>
  <c r="DF67" i="139" s="1"/>
  <c r="EE93" i="139" s="1"/>
  <c r="DF34" i="139"/>
  <c r="DF61" i="139" s="1"/>
  <c r="EE87" i="139" s="1"/>
  <c r="DF38" i="139"/>
  <c r="DF65" i="139" s="1"/>
  <c r="EE91" i="139" s="1"/>
  <c r="DF30" i="139"/>
  <c r="DF57" i="139" s="1"/>
  <c r="EE83" i="139" s="1"/>
  <c r="DF41" i="139"/>
  <c r="DF68" i="139" s="1"/>
  <c r="EE94" i="139" s="1"/>
  <c r="DE33" i="139" l="1"/>
  <c r="DE60" i="139" s="1"/>
  <c r="ED86" i="139" s="1"/>
  <c r="DE36" i="139"/>
  <c r="DE63" i="139" s="1"/>
  <c r="ED89" i="139" s="1"/>
  <c r="DE37" i="139"/>
  <c r="DE64" i="139" s="1"/>
  <c r="ED90" i="139" s="1"/>
  <c r="DE40" i="139"/>
  <c r="DE67" i="139" s="1"/>
  <c r="ED93" i="139" s="1"/>
  <c r="DE31" i="139"/>
  <c r="DE58" i="139" s="1"/>
  <c r="ED84" i="139" s="1"/>
  <c r="DE34" i="139"/>
  <c r="DE61" i="139" s="1"/>
  <c r="ED87" i="139" s="1"/>
  <c r="DE39" i="139"/>
  <c r="DE66" i="139" s="1"/>
  <c r="ED92" i="139" s="1"/>
  <c r="DE41" i="139"/>
  <c r="DE68" i="139" s="1"/>
  <c r="ED94" i="139" s="1"/>
  <c r="DE35" i="139"/>
  <c r="DE62" i="139" s="1"/>
  <c r="ED88" i="139" s="1"/>
  <c r="DE38" i="139"/>
  <c r="DE65" i="139" s="1"/>
  <c r="ED91" i="139" s="1"/>
  <c r="DD28" i="139"/>
  <c r="DE30" i="139"/>
  <c r="DE57" i="139" s="1"/>
  <c r="ED83" i="139" s="1"/>
  <c r="DE32" i="139"/>
  <c r="DE59" i="139" s="1"/>
  <c r="ED85" i="139" s="1"/>
  <c r="DD33" i="139" l="1"/>
  <c r="DD60" i="139" s="1"/>
  <c r="EC86" i="139" s="1"/>
  <c r="DD31" i="139"/>
  <c r="DD58" i="139" s="1"/>
  <c r="EC84" i="139" s="1"/>
  <c r="DD38" i="139"/>
  <c r="DD65" i="139" s="1"/>
  <c r="EC91" i="139" s="1"/>
  <c r="DD34" i="139"/>
  <c r="DD61" i="139" s="1"/>
  <c r="EC87" i="139" s="1"/>
  <c r="DD36" i="139"/>
  <c r="DD63" i="139" s="1"/>
  <c r="EC89" i="139" s="1"/>
  <c r="DC28" i="139"/>
  <c r="DD40" i="139"/>
  <c r="DD67" i="139" s="1"/>
  <c r="EC93" i="139" s="1"/>
  <c r="DD32" i="139"/>
  <c r="DD59" i="139" s="1"/>
  <c r="EC85" i="139" s="1"/>
  <c r="DD39" i="139"/>
  <c r="DD66" i="139" s="1"/>
  <c r="EC92" i="139" s="1"/>
  <c r="DD35" i="139"/>
  <c r="DD62" i="139" s="1"/>
  <c r="EC88" i="139" s="1"/>
  <c r="DD30" i="139"/>
  <c r="DD57" i="139" s="1"/>
  <c r="EC83" i="139" s="1"/>
  <c r="DD41" i="139"/>
  <c r="DD68" i="139" s="1"/>
  <c r="EC94" i="139" s="1"/>
  <c r="DD37" i="139"/>
  <c r="DD64" i="139" s="1"/>
  <c r="EC90" i="139" s="1"/>
  <c r="DC32" i="139" l="1"/>
  <c r="DC59" i="139" s="1"/>
  <c r="EB85" i="139" s="1"/>
  <c r="DC33" i="139"/>
  <c r="DC60" i="139" s="1"/>
  <c r="EB86" i="139" s="1"/>
  <c r="DC35" i="139"/>
  <c r="DC62" i="139" s="1"/>
  <c r="EB88" i="139" s="1"/>
  <c r="DB28" i="139"/>
  <c r="DC34" i="139"/>
  <c r="DC61" i="139" s="1"/>
  <c r="EB87" i="139" s="1"/>
  <c r="DC38" i="139"/>
  <c r="DC65" i="139" s="1"/>
  <c r="EB91" i="139" s="1"/>
  <c r="DC37" i="139"/>
  <c r="DC64" i="139" s="1"/>
  <c r="EB90" i="139" s="1"/>
  <c r="DC31" i="139"/>
  <c r="DC58" i="139" s="1"/>
  <c r="EB84" i="139" s="1"/>
  <c r="DC41" i="139"/>
  <c r="DC68" i="139" s="1"/>
  <c r="EB94" i="139" s="1"/>
  <c r="DC36" i="139"/>
  <c r="DC63" i="139" s="1"/>
  <c r="EB89" i="139" s="1"/>
  <c r="DC30" i="139"/>
  <c r="DC57" i="139" s="1"/>
  <c r="EB83" i="139" s="1"/>
  <c r="DC39" i="139"/>
  <c r="DC66" i="139" s="1"/>
  <c r="EB92" i="139" s="1"/>
  <c r="DC40" i="139"/>
  <c r="DC67" i="139" s="1"/>
  <c r="EB93" i="139" s="1"/>
  <c r="DB34" i="139" l="1"/>
  <c r="DB61" i="139" s="1"/>
  <c r="EA87" i="139" s="1"/>
  <c r="DB39" i="139"/>
  <c r="DB66" i="139" s="1"/>
  <c r="EA92" i="139" s="1"/>
  <c r="DB41" i="139"/>
  <c r="DB68" i="139" s="1"/>
  <c r="EA94" i="139" s="1"/>
  <c r="DB32" i="139"/>
  <c r="DB59" i="139" s="1"/>
  <c r="EA85" i="139" s="1"/>
  <c r="DA28" i="139"/>
  <c r="DB33" i="139"/>
  <c r="DB60" i="139" s="1"/>
  <c r="EA86" i="139" s="1"/>
  <c r="DB36" i="139"/>
  <c r="DB63" i="139" s="1"/>
  <c r="EA89" i="139" s="1"/>
  <c r="DB37" i="139"/>
  <c r="DB64" i="139" s="1"/>
  <c r="EA90" i="139" s="1"/>
  <c r="DB30" i="139"/>
  <c r="DB57" i="139" s="1"/>
  <c r="EA83" i="139" s="1"/>
  <c r="DB31" i="139"/>
  <c r="DB58" i="139" s="1"/>
  <c r="EA84" i="139" s="1"/>
  <c r="DB35" i="139"/>
  <c r="DB62" i="139" s="1"/>
  <c r="EA88" i="139" s="1"/>
  <c r="DB38" i="139"/>
  <c r="DB65" i="139" s="1"/>
  <c r="EA91" i="139" s="1"/>
  <c r="DB40" i="139"/>
  <c r="DB67" i="139" s="1"/>
  <c r="EA93" i="139" s="1"/>
  <c r="DA31" i="139" l="1"/>
  <c r="DA58" i="139" s="1"/>
  <c r="DZ84" i="139" s="1"/>
  <c r="DA30" i="139"/>
  <c r="DA57" i="139" s="1"/>
  <c r="DZ83" i="139" s="1"/>
  <c r="CZ28" i="139"/>
  <c r="DA40" i="139"/>
  <c r="DA67" i="139" s="1"/>
  <c r="DZ93" i="139" s="1"/>
  <c r="DA37" i="139"/>
  <c r="DA64" i="139" s="1"/>
  <c r="DZ90" i="139" s="1"/>
  <c r="DA39" i="139"/>
  <c r="DA66" i="139" s="1"/>
  <c r="DZ92" i="139" s="1"/>
  <c r="DA35" i="139"/>
  <c r="DA62" i="139" s="1"/>
  <c r="DZ88" i="139" s="1"/>
  <c r="DA34" i="139"/>
  <c r="DA61" i="139" s="1"/>
  <c r="DZ87" i="139" s="1"/>
  <c r="DA32" i="139"/>
  <c r="DA59" i="139" s="1"/>
  <c r="DZ85" i="139" s="1"/>
  <c r="DA36" i="139"/>
  <c r="DA63" i="139" s="1"/>
  <c r="DZ89" i="139" s="1"/>
  <c r="DA33" i="139"/>
  <c r="DA60" i="139" s="1"/>
  <c r="DZ86" i="139" s="1"/>
  <c r="DA38" i="139"/>
  <c r="DA65" i="139" s="1"/>
  <c r="DZ91" i="139" s="1"/>
  <c r="DA41" i="139"/>
  <c r="DA68" i="139" s="1"/>
  <c r="DZ94" i="139" s="1"/>
  <c r="CZ36" i="139" l="1"/>
  <c r="CZ63" i="139" s="1"/>
  <c r="DY89" i="139" s="1"/>
  <c r="CZ38" i="139"/>
  <c r="CZ65" i="139" s="1"/>
  <c r="DY91" i="139" s="1"/>
  <c r="CY28" i="139"/>
  <c r="CZ32" i="139"/>
  <c r="CZ59" i="139" s="1"/>
  <c r="DY85" i="139" s="1"/>
  <c r="CZ39" i="139"/>
  <c r="CZ66" i="139" s="1"/>
  <c r="DY92" i="139" s="1"/>
  <c r="CZ40" i="139"/>
  <c r="CZ67" i="139" s="1"/>
  <c r="DY93" i="139" s="1"/>
  <c r="CZ31" i="139"/>
  <c r="CZ58" i="139" s="1"/>
  <c r="DY84" i="139" s="1"/>
  <c r="CZ35" i="139"/>
  <c r="CZ62" i="139" s="1"/>
  <c r="DY88" i="139" s="1"/>
  <c r="CZ34" i="139"/>
  <c r="CZ61" i="139" s="1"/>
  <c r="DY87" i="139" s="1"/>
  <c r="CZ30" i="139"/>
  <c r="CZ57" i="139" s="1"/>
  <c r="DY83" i="139" s="1"/>
  <c r="CZ33" i="139"/>
  <c r="CZ60" i="139" s="1"/>
  <c r="DY86" i="139" s="1"/>
  <c r="CZ37" i="139"/>
  <c r="CZ64" i="139" s="1"/>
  <c r="DY90" i="139" s="1"/>
  <c r="CZ41" i="139"/>
  <c r="CZ68" i="139" s="1"/>
  <c r="DY94" i="139" s="1"/>
  <c r="CY36" i="139" l="1"/>
  <c r="CY63" i="139" s="1"/>
  <c r="DX89" i="139" s="1"/>
  <c r="CY37" i="139"/>
  <c r="CY64" i="139" s="1"/>
  <c r="DX90" i="139" s="1"/>
  <c r="CY35" i="139"/>
  <c r="CY62" i="139" s="1"/>
  <c r="DX88" i="139" s="1"/>
  <c r="CY39" i="139"/>
  <c r="CY66" i="139" s="1"/>
  <c r="DX92" i="139" s="1"/>
  <c r="CY40" i="139"/>
  <c r="CY67" i="139" s="1"/>
  <c r="DX93" i="139" s="1"/>
  <c r="CY34" i="139"/>
  <c r="CY61" i="139" s="1"/>
  <c r="DX87" i="139" s="1"/>
  <c r="CY38" i="139"/>
  <c r="CY65" i="139" s="1"/>
  <c r="DX91" i="139" s="1"/>
  <c r="CY31" i="139"/>
  <c r="CY58" i="139" s="1"/>
  <c r="DX84" i="139" s="1"/>
  <c r="CX28" i="139"/>
  <c r="CY33" i="139"/>
  <c r="CY60" i="139" s="1"/>
  <c r="DX86" i="139" s="1"/>
  <c r="CY41" i="139"/>
  <c r="CY68" i="139" s="1"/>
  <c r="DX94" i="139" s="1"/>
  <c r="CY30" i="139"/>
  <c r="CY57" i="139" s="1"/>
  <c r="DX83" i="139" s="1"/>
  <c r="CY32" i="139"/>
  <c r="CY59" i="139" s="1"/>
  <c r="DX85" i="139" s="1"/>
  <c r="CX41" i="139" l="1"/>
  <c r="CX68" i="139" s="1"/>
  <c r="DW94" i="139" s="1"/>
  <c r="CX40" i="139"/>
  <c r="CX67" i="139" s="1"/>
  <c r="DW93" i="139" s="1"/>
  <c r="CX30" i="139"/>
  <c r="CX57" i="139" s="1"/>
  <c r="DW83" i="139" s="1"/>
  <c r="CW28" i="139"/>
  <c r="CX35" i="139"/>
  <c r="CX62" i="139" s="1"/>
  <c r="DW88" i="139" s="1"/>
  <c r="CX39" i="139"/>
  <c r="CX66" i="139" s="1"/>
  <c r="DW92" i="139" s="1"/>
  <c r="CX33" i="139"/>
  <c r="CX60" i="139" s="1"/>
  <c r="DW86" i="139" s="1"/>
  <c r="CX38" i="139"/>
  <c r="CX65" i="139" s="1"/>
  <c r="DW91" i="139" s="1"/>
  <c r="CX36" i="139"/>
  <c r="CX63" i="139" s="1"/>
  <c r="DW89" i="139" s="1"/>
  <c r="CX32" i="139"/>
  <c r="CX59" i="139" s="1"/>
  <c r="DW85" i="139" s="1"/>
  <c r="CX34" i="139"/>
  <c r="CX61" i="139" s="1"/>
  <c r="DW87" i="139" s="1"/>
  <c r="CX31" i="139"/>
  <c r="CX58" i="139" s="1"/>
  <c r="DW84" i="139" s="1"/>
  <c r="CX37" i="139"/>
  <c r="CX64" i="139" s="1"/>
  <c r="DW90" i="139" s="1"/>
  <c r="CW36" i="139" l="1"/>
  <c r="CW63" i="139" s="1"/>
  <c r="DV89" i="139" s="1"/>
  <c r="CW33" i="139"/>
  <c r="CW60" i="139" s="1"/>
  <c r="DV86" i="139" s="1"/>
  <c r="CV28" i="139"/>
  <c r="CW40" i="139"/>
  <c r="CW67" i="139" s="1"/>
  <c r="DV93" i="139" s="1"/>
  <c r="CW35" i="139"/>
  <c r="CW62" i="139" s="1"/>
  <c r="DV88" i="139" s="1"/>
  <c r="CW31" i="139"/>
  <c r="CW58" i="139" s="1"/>
  <c r="DV84" i="139" s="1"/>
  <c r="CW38" i="139"/>
  <c r="CW65" i="139" s="1"/>
  <c r="DV91" i="139" s="1"/>
  <c r="CW34" i="139"/>
  <c r="CW61" i="139" s="1"/>
  <c r="DV87" i="139" s="1"/>
  <c r="CW37" i="139"/>
  <c r="CW64" i="139" s="1"/>
  <c r="DV90" i="139" s="1"/>
  <c r="CW41" i="139"/>
  <c r="CW68" i="139" s="1"/>
  <c r="DV94" i="139" s="1"/>
  <c r="CW30" i="139"/>
  <c r="CW57" i="139" s="1"/>
  <c r="DV83" i="139" s="1"/>
  <c r="CW39" i="139"/>
  <c r="CW66" i="139" s="1"/>
  <c r="DV92" i="139" s="1"/>
  <c r="CW32" i="139"/>
  <c r="CW59" i="139" s="1"/>
  <c r="DV85" i="139" s="1"/>
  <c r="CV33" i="139" l="1"/>
  <c r="CV60" i="139" s="1"/>
  <c r="DU86" i="139" s="1"/>
  <c r="CV32" i="139"/>
  <c r="CV59" i="139" s="1"/>
  <c r="DU85" i="139" s="1"/>
  <c r="CV38" i="139"/>
  <c r="CV65" i="139" s="1"/>
  <c r="DU91" i="139" s="1"/>
  <c r="CU28" i="139"/>
  <c r="CV34" i="139"/>
  <c r="CV61" i="139" s="1"/>
  <c r="DU87" i="139" s="1"/>
  <c r="CV41" i="139"/>
  <c r="CV68" i="139" s="1"/>
  <c r="DU94" i="139" s="1"/>
  <c r="CV37" i="139"/>
  <c r="CV64" i="139" s="1"/>
  <c r="DU90" i="139" s="1"/>
  <c r="CV31" i="139"/>
  <c r="CV58" i="139" s="1"/>
  <c r="DU84" i="139" s="1"/>
  <c r="CV30" i="139"/>
  <c r="CV57" i="139" s="1"/>
  <c r="DU83" i="139" s="1"/>
  <c r="CV35" i="139"/>
  <c r="CV62" i="139" s="1"/>
  <c r="DU88" i="139" s="1"/>
  <c r="CV39" i="139"/>
  <c r="CV66" i="139" s="1"/>
  <c r="DU92" i="139" s="1"/>
  <c r="CV40" i="139"/>
  <c r="CV67" i="139" s="1"/>
  <c r="DU93" i="139" s="1"/>
  <c r="CV36" i="139"/>
  <c r="CV63" i="139" s="1"/>
  <c r="DU89" i="139" s="1"/>
  <c r="CU39" i="139" l="1"/>
  <c r="CU66" i="139" s="1"/>
  <c r="DT92" i="139" s="1"/>
  <c r="CU37" i="139"/>
  <c r="CU64" i="139" s="1"/>
  <c r="DT90" i="139" s="1"/>
  <c r="CT28" i="139"/>
  <c r="CU30" i="139"/>
  <c r="CU57" i="139" s="1"/>
  <c r="DT83" i="139" s="1"/>
  <c r="CU35" i="139"/>
  <c r="CU62" i="139" s="1"/>
  <c r="DT88" i="139" s="1"/>
  <c r="CU41" i="139"/>
  <c r="CU68" i="139" s="1"/>
  <c r="DT94" i="139" s="1"/>
  <c r="CU36" i="139"/>
  <c r="CU63" i="139" s="1"/>
  <c r="DT89" i="139" s="1"/>
  <c r="CU34" i="139"/>
  <c r="CU61" i="139" s="1"/>
  <c r="DT87" i="139" s="1"/>
  <c r="CU33" i="139"/>
  <c r="CU60" i="139" s="1"/>
  <c r="DT86" i="139" s="1"/>
  <c r="CU40" i="139"/>
  <c r="CU67" i="139" s="1"/>
  <c r="DT93" i="139" s="1"/>
  <c r="CU32" i="139"/>
  <c r="CU59" i="139" s="1"/>
  <c r="DT85" i="139" s="1"/>
  <c r="CU38" i="139"/>
  <c r="CU65" i="139" s="1"/>
  <c r="DT91" i="139" s="1"/>
  <c r="CU31" i="139"/>
  <c r="CU58" i="139" s="1"/>
  <c r="DT84" i="139" s="1"/>
  <c r="CT30" i="139" l="1"/>
  <c r="CT57" i="139" s="1"/>
  <c r="DS83" i="139" s="1"/>
  <c r="CT31" i="139"/>
  <c r="CT58" i="139" s="1"/>
  <c r="DS84" i="139" s="1"/>
  <c r="CT40" i="139"/>
  <c r="CT67" i="139" s="1"/>
  <c r="DS93" i="139" s="1"/>
  <c r="CT35" i="139"/>
  <c r="CT62" i="139" s="1"/>
  <c r="DS88" i="139" s="1"/>
  <c r="CT33" i="139"/>
  <c r="CT60" i="139" s="1"/>
  <c r="DS86" i="139" s="1"/>
  <c r="CT41" i="139"/>
  <c r="CT68" i="139" s="1"/>
  <c r="DS94" i="139" s="1"/>
  <c r="CT38" i="139"/>
  <c r="CT65" i="139" s="1"/>
  <c r="DS91" i="139" s="1"/>
  <c r="CT34" i="139"/>
  <c r="CT61" i="139" s="1"/>
  <c r="DS87" i="139" s="1"/>
  <c r="CT37" i="139"/>
  <c r="CT64" i="139" s="1"/>
  <c r="DS90" i="139" s="1"/>
  <c r="CS28" i="139"/>
  <c r="CT36" i="139"/>
  <c r="CT63" i="139" s="1"/>
  <c r="DS89" i="139" s="1"/>
  <c r="CT39" i="139"/>
  <c r="CT66" i="139" s="1"/>
  <c r="DS92" i="139" s="1"/>
  <c r="CT32" i="139"/>
  <c r="CT59" i="139" s="1"/>
  <c r="DS85" i="139" s="1"/>
  <c r="CS37" i="139" l="1"/>
  <c r="CS64" i="139" s="1"/>
  <c r="DR90" i="139" s="1"/>
  <c r="CS41" i="139"/>
  <c r="CS68" i="139" s="1"/>
  <c r="DR94" i="139" s="1"/>
  <c r="CS31" i="139"/>
  <c r="CS58" i="139" s="1"/>
  <c r="DR84" i="139" s="1"/>
  <c r="CS30" i="139"/>
  <c r="CS57" i="139" s="1"/>
  <c r="DR83" i="139" s="1"/>
  <c r="CS32" i="139"/>
  <c r="CS59" i="139" s="1"/>
  <c r="DR85" i="139" s="1"/>
  <c r="CS36" i="139"/>
  <c r="CS63" i="139" s="1"/>
  <c r="DR89" i="139" s="1"/>
  <c r="CS33" i="139"/>
  <c r="CS60" i="139" s="1"/>
  <c r="DR86" i="139" s="1"/>
  <c r="CS39" i="139"/>
  <c r="CS66" i="139" s="1"/>
  <c r="DR92" i="139" s="1"/>
  <c r="CS35" i="139"/>
  <c r="CS62" i="139" s="1"/>
  <c r="DR88" i="139" s="1"/>
  <c r="CS40" i="139"/>
  <c r="CS67" i="139" s="1"/>
  <c r="DR93" i="139" s="1"/>
  <c r="CS38" i="139"/>
  <c r="CS65" i="139" s="1"/>
  <c r="DR91" i="139" s="1"/>
  <c r="CR28" i="139"/>
  <c r="CS34" i="139"/>
  <c r="CS61" i="139" s="1"/>
  <c r="DR87" i="139" s="1"/>
  <c r="CR38" i="139" l="1"/>
  <c r="CR65" i="139" s="1"/>
  <c r="DQ91" i="139" s="1"/>
  <c r="CR32" i="139"/>
  <c r="CR59" i="139" s="1"/>
  <c r="DQ85" i="139" s="1"/>
  <c r="CR40" i="139"/>
  <c r="CR67" i="139" s="1"/>
  <c r="DQ93" i="139" s="1"/>
  <c r="CR41" i="139"/>
  <c r="CR68" i="139" s="1"/>
  <c r="DQ94" i="139" s="1"/>
  <c r="CR39" i="139"/>
  <c r="CR66" i="139" s="1"/>
  <c r="DQ92" i="139" s="1"/>
  <c r="CQ28" i="139"/>
  <c r="CR35" i="139"/>
  <c r="CR62" i="139" s="1"/>
  <c r="DQ88" i="139" s="1"/>
  <c r="CR34" i="139"/>
  <c r="CR61" i="139" s="1"/>
  <c r="DQ87" i="139" s="1"/>
  <c r="CR30" i="139"/>
  <c r="CR57" i="139" s="1"/>
  <c r="DQ83" i="139" s="1"/>
  <c r="CR37" i="139"/>
  <c r="CR64" i="139" s="1"/>
  <c r="DQ90" i="139" s="1"/>
  <c r="CR36" i="139"/>
  <c r="CR63" i="139" s="1"/>
  <c r="DQ89" i="139" s="1"/>
  <c r="CR33" i="139"/>
  <c r="CR60" i="139" s="1"/>
  <c r="DQ86" i="139" s="1"/>
  <c r="CR31" i="139"/>
  <c r="CR58" i="139" s="1"/>
  <c r="DQ84" i="139" s="1"/>
  <c r="CQ36" i="139" l="1"/>
  <c r="CQ63" i="139" s="1"/>
  <c r="DP89" i="139" s="1"/>
  <c r="CP28" i="139"/>
  <c r="CQ41" i="139"/>
  <c r="CQ68" i="139" s="1"/>
  <c r="DP94" i="139" s="1"/>
  <c r="CQ35" i="139"/>
  <c r="CQ62" i="139" s="1"/>
  <c r="DP88" i="139" s="1"/>
  <c r="CQ34" i="139"/>
  <c r="CQ61" i="139" s="1"/>
  <c r="DP87" i="139" s="1"/>
  <c r="CQ33" i="139"/>
  <c r="CQ60" i="139" s="1"/>
  <c r="DP86" i="139" s="1"/>
  <c r="CQ32" i="139"/>
  <c r="CQ59" i="139" s="1"/>
  <c r="DP85" i="139" s="1"/>
  <c r="CQ31" i="139"/>
  <c r="CQ58" i="139" s="1"/>
  <c r="DP84" i="139" s="1"/>
  <c r="CQ39" i="139"/>
  <c r="CQ66" i="139" s="1"/>
  <c r="DP92" i="139" s="1"/>
  <c r="CQ38" i="139"/>
  <c r="CQ65" i="139" s="1"/>
  <c r="DP91" i="139" s="1"/>
  <c r="CQ37" i="139"/>
  <c r="CQ64" i="139" s="1"/>
  <c r="DP90" i="139" s="1"/>
  <c r="CQ30" i="139"/>
  <c r="CQ57" i="139" s="1"/>
  <c r="DP83" i="139" s="1"/>
  <c r="CQ40" i="139"/>
  <c r="CQ67" i="139" s="1"/>
  <c r="DP93" i="139" s="1"/>
  <c r="CP39" i="139" l="1"/>
  <c r="CP66" i="139" s="1"/>
  <c r="DO92" i="139" s="1"/>
  <c r="CP41" i="139"/>
  <c r="CP68" i="139" s="1"/>
  <c r="DO94" i="139" s="1"/>
  <c r="CP32" i="139"/>
  <c r="CP59" i="139" s="1"/>
  <c r="DO85" i="139" s="1"/>
  <c r="CP31" i="139"/>
  <c r="CP58" i="139" s="1"/>
  <c r="DO84" i="139" s="1"/>
  <c r="CP33" i="139"/>
  <c r="CP60" i="139" s="1"/>
  <c r="DO86" i="139" s="1"/>
  <c r="CP37" i="139"/>
  <c r="CP64" i="139" s="1"/>
  <c r="DO90" i="139" s="1"/>
  <c r="CP35" i="139"/>
  <c r="CP62" i="139" s="1"/>
  <c r="DO88" i="139" s="1"/>
  <c r="CP36" i="139"/>
  <c r="CP63" i="139" s="1"/>
  <c r="DO89" i="139" s="1"/>
  <c r="CP34" i="139"/>
  <c r="CP61" i="139" s="1"/>
  <c r="DO87" i="139" s="1"/>
  <c r="CP30" i="139"/>
  <c r="CP57" i="139" s="1"/>
  <c r="DO83" i="139" s="1"/>
  <c r="CP38" i="139"/>
  <c r="CP65" i="139" s="1"/>
  <c r="DO91" i="139" s="1"/>
  <c r="CP40" i="139"/>
  <c r="CP67" i="139" s="1"/>
  <c r="DO93" i="139" s="1"/>
  <c r="CO28" i="139"/>
  <c r="CN28" i="139" l="1"/>
  <c r="CO38" i="139"/>
  <c r="CO65" i="139" s="1"/>
  <c r="DN91" i="139" s="1"/>
  <c r="CO31" i="139"/>
  <c r="CO58" i="139" s="1"/>
  <c r="DN84" i="139" s="1"/>
  <c r="CO34" i="139"/>
  <c r="CO61" i="139" s="1"/>
  <c r="DN87" i="139" s="1"/>
  <c r="CO30" i="139"/>
  <c r="CO57" i="139" s="1"/>
  <c r="DN83" i="139" s="1"/>
  <c r="CO35" i="139"/>
  <c r="CO62" i="139" s="1"/>
  <c r="DN88" i="139" s="1"/>
  <c r="CO33" i="139"/>
  <c r="CO60" i="139" s="1"/>
  <c r="DN86" i="139" s="1"/>
  <c r="CO40" i="139"/>
  <c r="CO67" i="139" s="1"/>
  <c r="DN93" i="139" s="1"/>
  <c r="CO32" i="139"/>
  <c r="CO59" i="139" s="1"/>
  <c r="DN85" i="139" s="1"/>
  <c r="CO36" i="139"/>
  <c r="CO63" i="139" s="1"/>
  <c r="DN89" i="139" s="1"/>
  <c r="CO37" i="139"/>
  <c r="CO64" i="139" s="1"/>
  <c r="DN90" i="139" s="1"/>
  <c r="CO39" i="139"/>
  <c r="CO66" i="139" s="1"/>
  <c r="DN92" i="139" s="1"/>
  <c r="CO41" i="139"/>
  <c r="CO68" i="139" s="1"/>
  <c r="DN94" i="139" s="1"/>
  <c r="CM28" i="139" l="1"/>
  <c r="CN37" i="139"/>
  <c r="CN64" i="139" s="1"/>
  <c r="DM90" i="139" s="1"/>
  <c r="CN41" i="139"/>
  <c r="CN68" i="139" s="1"/>
  <c r="DM94" i="139" s="1"/>
  <c r="CN38" i="139"/>
  <c r="CN65" i="139" s="1"/>
  <c r="DM91" i="139" s="1"/>
  <c r="CN34" i="139"/>
  <c r="CN61" i="139" s="1"/>
  <c r="DM87" i="139" s="1"/>
  <c r="CN32" i="139"/>
  <c r="CN59" i="139" s="1"/>
  <c r="DM85" i="139" s="1"/>
  <c r="CN35" i="139"/>
  <c r="CN62" i="139" s="1"/>
  <c r="DM88" i="139" s="1"/>
  <c r="CN30" i="139"/>
  <c r="CN57" i="139" s="1"/>
  <c r="DM83" i="139" s="1"/>
  <c r="CN40" i="139"/>
  <c r="CN67" i="139" s="1"/>
  <c r="DM93" i="139" s="1"/>
  <c r="CN31" i="139"/>
  <c r="CN58" i="139" s="1"/>
  <c r="DM84" i="139" s="1"/>
  <c r="CN39" i="139"/>
  <c r="CN66" i="139" s="1"/>
  <c r="DM92" i="139" s="1"/>
  <c r="CN33" i="139"/>
  <c r="CN60" i="139" s="1"/>
  <c r="DM86" i="139" s="1"/>
  <c r="CN36" i="139"/>
  <c r="CN63" i="139" s="1"/>
  <c r="DM89" i="139" s="1"/>
  <c r="CM39" i="139" l="1"/>
  <c r="CM66" i="139" s="1"/>
  <c r="DL92" i="139" s="1"/>
  <c r="CM36" i="139"/>
  <c r="CM63" i="139" s="1"/>
  <c r="DL89" i="139" s="1"/>
  <c r="CM41" i="139"/>
  <c r="CM68" i="139" s="1"/>
  <c r="DL94" i="139" s="1"/>
  <c r="CM38" i="139"/>
  <c r="CM65" i="139" s="1"/>
  <c r="DL91" i="139" s="1"/>
  <c r="CL28" i="139"/>
  <c r="CM40" i="139"/>
  <c r="CM67" i="139" s="1"/>
  <c r="DL93" i="139" s="1"/>
  <c r="CM34" i="139"/>
  <c r="CM61" i="139" s="1"/>
  <c r="DL87" i="139" s="1"/>
  <c r="CM32" i="139"/>
  <c r="CM59" i="139" s="1"/>
  <c r="DL85" i="139" s="1"/>
  <c r="CM33" i="139"/>
  <c r="CM60" i="139" s="1"/>
  <c r="DL86" i="139" s="1"/>
  <c r="CM30" i="139"/>
  <c r="CM57" i="139" s="1"/>
  <c r="DL83" i="139" s="1"/>
  <c r="CM31" i="139"/>
  <c r="CM58" i="139" s="1"/>
  <c r="DL84" i="139" s="1"/>
  <c r="CM37" i="139"/>
  <c r="CM64" i="139" s="1"/>
  <c r="DL90" i="139" s="1"/>
  <c r="CM35" i="139"/>
  <c r="CM62" i="139" s="1"/>
  <c r="DL88" i="139" s="1"/>
  <c r="CL39" i="139" l="1"/>
  <c r="CL66" i="139" s="1"/>
  <c r="DK92" i="139" s="1"/>
  <c r="CL40" i="139"/>
  <c r="CL67" i="139" s="1"/>
  <c r="DK93" i="139" s="1"/>
  <c r="CK28" i="139"/>
  <c r="CL36" i="139"/>
  <c r="CL63" i="139" s="1"/>
  <c r="DK89" i="139" s="1"/>
  <c r="CL37" i="139"/>
  <c r="CL64" i="139" s="1"/>
  <c r="DK90" i="139" s="1"/>
  <c r="CL41" i="139"/>
  <c r="CL68" i="139" s="1"/>
  <c r="DK94" i="139" s="1"/>
  <c r="CL33" i="139"/>
  <c r="CL60" i="139" s="1"/>
  <c r="DK86" i="139" s="1"/>
  <c r="CL34" i="139"/>
  <c r="CL61" i="139" s="1"/>
  <c r="DK87" i="139" s="1"/>
  <c r="CL35" i="139"/>
  <c r="CL62" i="139" s="1"/>
  <c r="DK88" i="139" s="1"/>
  <c r="CL31" i="139"/>
  <c r="CL58" i="139" s="1"/>
  <c r="DK84" i="139" s="1"/>
  <c r="CL38" i="139"/>
  <c r="CL65" i="139" s="1"/>
  <c r="DK91" i="139" s="1"/>
  <c r="CL30" i="139"/>
  <c r="CL57" i="139" s="1"/>
  <c r="DK83" i="139" s="1"/>
  <c r="CL32" i="139"/>
  <c r="CL59" i="139" s="1"/>
  <c r="DK85" i="139" s="1"/>
  <c r="CK33" i="139" l="1"/>
  <c r="CK60" i="139" s="1"/>
  <c r="DJ86" i="139" s="1"/>
  <c r="CK37" i="139"/>
  <c r="CK64" i="139" s="1"/>
  <c r="DJ90" i="139" s="1"/>
  <c r="CK40" i="139"/>
  <c r="CK67" i="139" s="1"/>
  <c r="DJ93" i="139" s="1"/>
  <c r="CK36" i="139"/>
  <c r="CK63" i="139" s="1"/>
  <c r="DJ89" i="139" s="1"/>
  <c r="CK39" i="139"/>
  <c r="CK66" i="139" s="1"/>
  <c r="DJ92" i="139" s="1"/>
  <c r="CK38" i="139"/>
  <c r="CK65" i="139" s="1"/>
  <c r="DJ91" i="139" s="1"/>
  <c r="CK41" i="139"/>
  <c r="CK68" i="139" s="1"/>
  <c r="DJ94" i="139" s="1"/>
  <c r="CK34" i="139"/>
  <c r="CK61" i="139" s="1"/>
  <c r="DJ87" i="139" s="1"/>
  <c r="CK31" i="139"/>
  <c r="CK58" i="139" s="1"/>
  <c r="DJ84" i="139" s="1"/>
  <c r="CK35" i="139"/>
  <c r="CK62" i="139" s="1"/>
  <c r="DJ88" i="139" s="1"/>
  <c r="CK30" i="139"/>
  <c r="CK57" i="139" s="1"/>
  <c r="DJ83" i="139" s="1"/>
  <c r="CK32" i="139"/>
  <c r="CK59" i="139" s="1"/>
  <c r="DJ85" i="139" s="1"/>
  <c r="CJ28" i="139"/>
  <c r="CJ34" i="139" l="1"/>
  <c r="CJ61" i="139" s="1"/>
  <c r="DI87" i="139" s="1"/>
  <c r="CJ30" i="139"/>
  <c r="CJ57" i="139" s="1"/>
  <c r="DI83" i="139" s="1"/>
  <c r="CJ31" i="139"/>
  <c r="CJ58" i="139" s="1"/>
  <c r="DI84" i="139" s="1"/>
  <c r="CJ36" i="139"/>
  <c r="CJ63" i="139" s="1"/>
  <c r="DI89" i="139" s="1"/>
  <c r="CI28" i="139"/>
  <c r="CJ37" i="139"/>
  <c r="CJ64" i="139" s="1"/>
  <c r="DI90" i="139" s="1"/>
  <c r="CJ32" i="139"/>
  <c r="CJ59" i="139" s="1"/>
  <c r="DI85" i="139" s="1"/>
  <c r="CJ39" i="139"/>
  <c r="CJ66" i="139" s="1"/>
  <c r="DI92" i="139" s="1"/>
  <c r="CJ38" i="139"/>
  <c r="CJ65" i="139" s="1"/>
  <c r="DI91" i="139" s="1"/>
  <c r="CJ35" i="139"/>
  <c r="CJ62" i="139" s="1"/>
  <c r="DI88" i="139" s="1"/>
  <c r="CJ40" i="139"/>
  <c r="CJ67" i="139" s="1"/>
  <c r="DI93" i="139" s="1"/>
  <c r="CJ41" i="139"/>
  <c r="CJ68" i="139" s="1"/>
  <c r="DI94" i="139" s="1"/>
  <c r="CJ33" i="139"/>
  <c r="CJ60" i="139" s="1"/>
  <c r="DI86" i="139" s="1"/>
  <c r="CI37" i="139" l="1"/>
  <c r="CI64" i="139" s="1"/>
  <c r="DH90" i="139" s="1"/>
  <c r="CI36" i="139"/>
  <c r="CI63" i="139" s="1"/>
  <c r="DH89" i="139" s="1"/>
  <c r="CI38" i="139"/>
  <c r="CI65" i="139" s="1"/>
  <c r="DH91" i="139" s="1"/>
  <c r="CI41" i="139"/>
  <c r="CI68" i="139" s="1"/>
  <c r="DH94" i="139" s="1"/>
  <c r="CI40" i="139"/>
  <c r="CI67" i="139" s="1"/>
  <c r="DH93" i="139" s="1"/>
  <c r="CI33" i="139"/>
  <c r="CI60" i="139" s="1"/>
  <c r="DH86" i="139" s="1"/>
  <c r="CI34" i="139"/>
  <c r="CI61" i="139" s="1"/>
  <c r="DH87" i="139" s="1"/>
  <c r="CI35" i="139"/>
  <c r="CI62" i="139" s="1"/>
  <c r="DH88" i="139" s="1"/>
  <c r="CH28" i="139"/>
  <c r="CI32" i="139"/>
  <c r="CI59" i="139" s="1"/>
  <c r="DH85" i="139" s="1"/>
  <c r="CI31" i="139"/>
  <c r="CI58" i="139" s="1"/>
  <c r="DH84" i="139" s="1"/>
  <c r="CI39" i="139"/>
  <c r="CI66" i="139" s="1"/>
  <c r="DH92" i="139" s="1"/>
  <c r="CI30" i="139"/>
  <c r="CI57" i="139" s="1"/>
  <c r="DH83" i="139" s="1"/>
  <c r="CH37" i="139" l="1"/>
  <c r="CH64" i="139" s="1"/>
  <c r="DG90" i="139" s="1"/>
  <c r="CH38" i="139"/>
  <c r="CH65" i="139" s="1"/>
  <c r="DG91" i="139" s="1"/>
  <c r="CH35" i="139"/>
  <c r="CH62" i="139" s="1"/>
  <c r="DG88" i="139" s="1"/>
  <c r="CH34" i="139"/>
  <c r="CH61" i="139" s="1"/>
  <c r="DG87" i="139" s="1"/>
  <c r="CG28" i="139"/>
  <c r="CH36" i="139"/>
  <c r="CH63" i="139" s="1"/>
  <c r="DG89" i="139" s="1"/>
  <c r="CH30" i="139"/>
  <c r="CH57" i="139" s="1"/>
  <c r="DG83" i="139" s="1"/>
  <c r="CH40" i="139"/>
  <c r="CH67" i="139" s="1"/>
  <c r="DG93" i="139" s="1"/>
  <c r="CH33" i="139"/>
  <c r="CH60" i="139" s="1"/>
  <c r="DG86" i="139" s="1"/>
  <c r="CH32" i="139"/>
  <c r="CH59" i="139" s="1"/>
  <c r="DG85" i="139" s="1"/>
  <c r="CH39" i="139"/>
  <c r="CH66" i="139" s="1"/>
  <c r="DG92" i="139" s="1"/>
  <c r="CH31" i="139"/>
  <c r="CH58" i="139" s="1"/>
  <c r="DG84" i="139" s="1"/>
  <c r="CH41" i="139"/>
  <c r="CH68" i="139" s="1"/>
  <c r="DG94" i="139" s="1"/>
  <c r="CG33" i="139" l="1"/>
  <c r="CG60" i="139" s="1"/>
  <c r="DF86" i="139" s="1"/>
  <c r="CG34" i="139"/>
  <c r="CG61" i="139" s="1"/>
  <c r="DF87" i="139" s="1"/>
  <c r="CG36" i="139"/>
  <c r="CG63" i="139" s="1"/>
  <c r="DF89" i="139" s="1"/>
  <c r="CG35" i="139"/>
  <c r="CG62" i="139" s="1"/>
  <c r="DF88" i="139" s="1"/>
  <c r="CG41" i="139"/>
  <c r="CG68" i="139" s="1"/>
  <c r="DF94" i="139" s="1"/>
  <c r="CG30" i="139"/>
  <c r="CG57" i="139" s="1"/>
  <c r="DF83" i="139" s="1"/>
  <c r="CF28" i="139"/>
  <c r="CG40" i="139"/>
  <c r="CG67" i="139" s="1"/>
  <c r="DF93" i="139" s="1"/>
  <c r="CG31" i="139"/>
  <c r="CG58" i="139" s="1"/>
  <c r="DF84" i="139" s="1"/>
  <c r="CG37" i="139"/>
  <c r="CG64" i="139" s="1"/>
  <c r="DF90" i="139" s="1"/>
  <c r="CG39" i="139"/>
  <c r="CG66" i="139" s="1"/>
  <c r="DF92" i="139" s="1"/>
  <c r="CG32" i="139"/>
  <c r="CG59" i="139" s="1"/>
  <c r="DF85" i="139" s="1"/>
  <c r="CG38" i="139"/>
  <c r="CG65" i="139" s="1"/>
  <c r="DF91" i="139" s="1"/>
  <c r="CF35" i="139" l="1"/>
  <c r="CF62" i="139" s="1"/>
  <c r="DE88" i="139" s="1"/>
  <c r="CF33" i="139"/>
  <c r="CF60" i="139" s="1"/>
  <c r="DE86" i="139" s="1"/>
  <c r="CF32" i="139"/>
  <c r="CF59" i="139" s="1"/>
  <c r="DE85" i="139" s="1"/>
  <c r="CF38" i="139"/>
  <c r="CF65" i="139" s="1"/>
  <c r="DE91" i="139" s="1"/>
  <c r="CF34" i="139"/>
  <c r="CF61" i="139" s="1"/>
  <c r="DE87" i="139" s="1"/>
  <c r="CF31" i="139"/>
  <c r="CF58" i="139" s="1"/>
  <c r="DE84" i="139" s="1"/>
  <c r="CF36" i="139"/>
  <c r="CF63" i="139" s="1"/>
  <c r="DE89" i="139" s="1"/>
  <c r="CF39" i="139"/>
  <c r="CF66" i="139" s="1"/>
  <c r="DE92" i="139" s="1"/>
  <c r="CF30" i="139"/>
  <c r="CF57" i="139" s="1"/>
  <c r="DE83" i="139" s="1"/>
  <c r="CF41" i="139"/>
  <c r="CF68" i="139" s="1"/>
  <c r="DE94" i="139" s="1"/>
  <c r="CF40" i="139"/>
  <c r="CF67" i="139" s="1"/>
  <c r="DE93" i="139" s="1"/>
  <c r="CF37" i="139"/>
  <c r="CF64" i="139" s="1"/>
  <c r="DE90" i="139" s="1"/>
  <c r="CE28" i="139"/>
  <c r="CE39" i="139" l="1"/>
  <c r="CE66" i="139" s="1"/>
  <c r="DD92" i="139" s="1"/>
  <c r="CE31" i="139"/>
  <c r="CE58" i="139" s="1"/>
  <c r="DD84" i="139" s="1"/>
  <c r="CE34" i="139"/>
  <c r="CE61" i="139" s="1"/>
  <c r="DD87" i="139" s="1"/>
  <c r="CE35" i="139"/>
  <c r="CE62" i="139" s="1"/>
  <c r="DD88" i="139" s="1"/>
  <c r="CE33" i="139"/>
  <c r="CE60" i="139" s="1"/>
  <c r="DD86" i="139" s="1"/>
  <c r="CE32" i="139"/>
  <c r="CE59" i="139" s="1"/>
  <c r="DD85" i="139" s="1"/>
  <c r="CE38" i="139"/>
  <c r="CE65" i="139" s="1"/>
  <c r="DD91" i="139" s="1"/>
  <c r="CE37" i="139"/>
  <c r="CE64" i="139" s="1"/>
  <c r="DD90" i="139" s="1"/>
  <c r="CE36" i="139"/>
  <c r="CE63" i="139" s="1"/>
  <c r="DD89" i="139" s="1"/>
  <c r="CD28" i="139"/>
  <c r="CE40" i="139"/>
  <c r="CE67" i="139" s="1"/>
  <c r="DD93" i="139" s="1"/>
  <c r="CE30" i="139"/>
  <c r="CE57" i="139" s="1"/>
  <c r="DD83" i="139" s="1"/>
  <c r="CE41" i="139"/>
  <c r="CE68" i="139" s="1"/>
  <c r="DD94" i="139" s="1"/>
  <c r="CD36" i="139" l="1"/>
  <c r="CD63" i="139" s="1"/>
  <c r="DC89" i="139" s="1"/>
  <c r="CD33" i="139"/>
  <c r="CD60" i="139" s="1"/>
  <c r="DC86" i="139" s="1"/>
  <c r="CD39" i="139"/>
  <c r="CD66" i="139" s="1"/>
  <c r="DC92" i="139" s="1"/>
  <c r="CD35" i="139"/>
  <c r="CD62" i="139" s="1"/>
  <c r="DC88" i="139" s="1"/>
  <c r="CD30" i="139"/>
  <c r="CD57" i="139" s="1"/>
  <c r="DC83" i="139" s="1"/>
  <c r="CD32" i="139"/>
  <c r="CD59" i="139" s="1"/>
  <c r="DC85" i="139" s="1"/>
  <c r="CD38" i="139"/>
  <c r="CD65" i="139" s="1"/>
  <c r="DC91" i="139" s="1"/>
  <c r="CD34" i="139"/>
  <c r="CD61" i="139" s="1"/>
  <c r="DC87" i="139" s="1"/>
  <c r="CD41" i="139"/>
  <c r="CD68" i="139" s="1"/>
  <c r="DC94" i="139" s="1"/>
  <c r="CD31" i="139"/>
  <c r="CD58" i="139" s="1"/>
  <c r="DC84" i="139" s="1"/>
  <c r="CC28" i="139"/>
  <c r="CD37" i="139"/>
  <c r="CD64" i="139" s="1"/>
  <c r="DC90" i="139" s="1"/>
  <c r="CD40" i="139"/>
  <c r="CD67" i="139" s="1"/>
  <c r="DC93" i="139" s="1"/>
  <c r="CC30" i="139" l="1"/>
  <c r="CC57" i="139" s="1"/>
  <c r="DB83" i="139" s="1"/>
  <c r="CB28" i="139"/>
  <c r="CC39" i="139"/>
  <c r="CC66" i="139" s="1"/>
  <c r="DB92" i="139" s="1"/>
  <c r="CC38" i="139"/>
  <c r="CC65" i="139" s="1"/>
  <c r="DB91" i="139" s="1"/>
  <c r="CC34" i="139"/>
  <c r="CC61" i="139" s="1"/>
  <c r="DB87" i="139" s="1"/>
  <c r="CC37" i="139"/>
  <c r="CC64" i="139" s="1"/>
  <c r="DB90" i="139" s="1"/>
  <c r="CC31" i="139"/>
  <c r="CC58" i="139" s="1"/>
  <c r="DB84" i="139" s="1"/>
  <c r="CC36" i="139"/>
  <c r="CC63" i="139" s="1"/>
  <c r="DB89" i="139" s="1"/>
  <c r="CC33" i="139"/>
  <c r="CC60" i="139" s="1"/>
  <c r="DB86" i="139" s="1"/>
  <c r="CC32" i="139"/>
  <c r="CC59" i="139" s="1"/>
  <c r="DB85" i="139" s="1"/>
  <c r="CC41" i="139"/>
  <c r="CC68" i="139" s="1"/>
  <c r="DB94" i="139" s="1"/>
  <c r="CC35" i="139"/>
  <c r="CC62" i="139" s="1"/>
  <c r="DB88" i="139" s="1"/>
  <c r="CC40" i="139"/>
  <c r="CC67" i="139" s="1"/>
  <c r="DB93" i="139" s="1"/>
  <c r="CA28" i="139" l="1"/>
  <c r="CB36" i="139"/>
  <c r="CB63" i="139" s="1"/>
  <c r="DA89" i="139" s="1"/>
  <c r="CB37" i="139"/>
  <c r="CB64" i="139" s="1"/>
  <c r="DA90" i="139" s="1"/>
  <c r="CB35" i="139"/>
  <c r="CB62" i="139" s="1"/>
  <c r="DA88" i="139" s="1"/>
  <c r="CB32" i="139"/>
  <c r="CB59" i="139" s="1"/>
  <c r="DA85" i="139" s="1"/>
  <c r="CB40" i="139"/>
  <c r="CB67" i="139" s="1"/>
  <c r="DA93" i="139" s="1"/>
  <c r="CB39" i="139"/>
  <c r="CB66" i="139" s="1"/>
  <c r="DA92" i="139" s="1"/>
  <c r="CB33" i="139"/>
  <c r="CB60" i="139" s="1"/>
  <c r="DA86" i="139" s="1"/>
  <c r="CB31" i="139"/>
  <c r="CB58" i="139" s="1"/>
  <c r="DA84" i="139" s="1"/>
  <c r="CB38" i="139"/>
  <c r="CB65" i="139" s="1"/>
  <c r="DA91" i="139" s="1"/>
  <c r="CB30" i="139"/>
  <c r="CB57" i="139" s="1"/>
  <c r="DA83" i="139" s="1"/>
  <c r="CB34" i="139"/>
  <c r="CB61" i="139" s="1"/>
  <c r="DA87" i="139" s="1"/>
  <c r="CB41" i="139"/>
  <c r="CB68" i="139" s="1"/>
  <c r="DA94" i="139" s="1"/>
  <c r="CA35" i="139" l="1"/>
  <c r="CA62" i="139" s="1"/>
  <c r="CZ88" i="139" s="1"/>
  <c r="CA31" i="139"/>
  <c r="CA58" i="139" s="1"/>
  <c r="CZ84" i="139" s="1"/>
  <c r="CA34" i="139"/>
  <c r="CA61" i="139" s="1"/>
  <c r="CZ87" i="139" s="1"/>
  <c r="BZ28" i="139"/>
  <c r="CA38" i="139"/>
  <c r="CA65" i="139" s="1"/>
  <c r="CZ91" i="139" s="1"/>
  <c r="CA30" i="139"/>
  <c r="CA57" i="139" s="1"/>
  <c r="CZ83" i="139" s="1"/>
  <c r="CA37" i="139"/>
  <c r="CA64" i="139" s="1"/>
  <c r="CZ90" i="139" s="1"/>
  <c r="CA39" i="139"/>
  <c r="CA66" i="139" s="1"/>
  <c r="CZ92" i="139" s="1"/>
  <c r="CA41" i="139"/>
  <c r="CA68" i="139" s="1"/>
  <c r="CZ94" i="139" s="1"/>
  <c r="CA33" i="139"/>
  <c r="CA60" i="139" s="1"/>
  <c r="CZ86" i="139" s="1"/>
  <c r="CA40" i="139"/>
  <c r="CA67" i="139" s="1"/>
  <c r="CZ93" i="139" s="1"/>
  <c r="CA32" i="139"/>
  <c r="CA59" i="139" s="1"/>
  <c r="CZ85" i="139" s="1"/>
  <c r="CA36" i="139"/>
  <c r="CA63" i="139" s="1"/>
  <c r="CZ89" i="139" s="1"/>
  <c r="BZ34" i="139" l="1"/>
  <c r="BZ61" i="139" s="1"/>
  <c r="CY87" i="139" s="1"/>
  <c r="BZ38" i="139"/>
  <c r="BZ65" i="139" s="1"/>
  <c r="CY91" i="139" s="1"/>
  <c r="BZ41" i="139"/>
  <c r="BZ68" i="139" s="1"/>
  <c r="CY94" i="139" s="1"/>
  <c r="BZ39" i="139"/>
  <c r="BZ66" i="139" s="1"/>
  <c r="CY92" i="139" s="1"/>
  <c r="BZ35" i="139"/>
  <c r="BZ62" i="139" s="1"/>
  <c r="CY88" i="139" s="1"/>
  <c r="BZ32" i="139"/>
  <c r="BZ59" i="139" s="1"/>
  <c r="CY85" i="139" s="1"/>
  <c r="BZ40" i="139"/>
  <c r="BZ67" i="139" s="1"/>
  <c r="CY93" i="139" s="1"/>
  <c r="BZ37" i="139"/>
  <c r="BZ64" i="139" s="1"/>
  <c r="CY90" i="139" s="1"/>
  <c r="BZ33" i="139"/>
  <c r="BZ60" i="139" s="1"/>
  <c r="CY86" i="139" s="1"/>
  <c r="BY28" i="139"/>
  <c r="BZ36" i="139"/>
  <c r="BZ63" i="139" s="1"/>
  <c r="CY89" i="139" s="1"/>
  <c r="BZ30" i="139"/>
  <c r="BZ57" i="139" s="1"/>
  <c r="CY83" i="139" s="1"/>
  <c r="BZ31" i="139"/>
  <c r="BZ58" i="139" s="1"/>
  <c r="CY84" i="139" s="1"/>
  <c r="BY34" i="139" l="1"/>
  <c r="BY61" i="139" s="1"/>
  <c r="CX87" i="139" s="1"/>
  <c r="BY35" i="139"/>
  <c r="BY62" i="139" s="1"/>
  <c r="CX88" i="139" s="1"/>
  <c r="BY38" i="139"/>
  <c r="BY65" i="139" s="1"/>
  <c r="CX91" i="139" s="1"/>
  <c r="BY41" i="139"/>
  <c r="BY68" i="139" s="1"/>
  <c r="CX94" i="139" s="1"/>
  <c r="BX28" i="139"/>
  <c r="BY39" i="139"/>
  <c r="BY66" i="139" s="1"/>
  <c r="CX92" i="139" s="1"/>
  <c r="BY33" i="139"/>
  <c r="BY60" i="139" s="1"/>
  <c r="CX86" i="139" s="1"/>
  <c r="BY30" i="139"/>
  <c r="BY57" i="139" s="1"/>
  <c r="CX83" i="139" s="1"/>
  <c r="BY31" i="139"/>
  <c r="BY58" i="139" s="1"/>
  <c r="CX84" i="139" s="1"/>
  <c r="BY37" i="139"/>
  <c r="BY64" i="139" s="1"/>
  <c r="CX90" i="139" s="1"/>
  <c r="BY40" i="139"/>
  <c r="BY67" i="139" s="1"/>
  <c r="CX93" i="139" s="1"/>
  <c r="BY36" i="139"/>
  <c r="BY63" i="139" s="1"/>
  <c r="CX89" i="139" s="1"/>
  <c r="BY32" i="139"/>
  <c r="BY59" i="139" s="1"/>
  <c r="CX85" i="139" s="1"/>
  <c r="BX30" i="139" l="1"/>
  <c r="BX57" i="139" s="1"/>
  <c r="CW83" i="139" s="1"/>
  <c r="BX31" i="139"/>
  <c r="BX58" i="139" s="1"/>
  <c r="CW84" i="139" s="1"/>
  <c r="BX32" i="139"/>
  <c r="BX59" i="139" s="1"/>
  <c r="CW85" i="139" s="1"/>
  <c r="BX41" i="139"/>
  <c r="BX68" i="139" s="1"/>
  <c r="CW94" i="139" s="1"/>
  <c r="BX40" i="139"/>
  <c r="BX67" i="139" s="1"/>
  <c r="CW93" i="139" s="1"/>
  <c r="BW28" i="139"/>
  <c r="BX39" i="139"/>
  <c r="BX66" i="139" s="1"/>
  <c r="CW92" i="139" s="1"/>
  <c r="BX35" i="139"/>
  <c r="BX62" i="139" s="1"/>
  <c r="CW88" i="139" s="1"/>
  <c r="BX33" i="139"/>
  <c r="BX60" i="139" s="1"/>
  <c r="CW86" i="139" s="1"/>
  <c r="BX36" i="139"/>
  <c r="BX63" i="139" s="1"/>
  <c r="CW89" i="139" s="1"/>
  <c r="BX37" i="139"/>
  <c r="BX64" i="139" s="1"/>
  <c r="CW90" i="139" s="1"/>
  <c r="BX38" i="139"/>
  <c r="BX65" i="139" s="1"/>
  <c r="CW91" i="139" s="1"/>
  <c r="BX34" i="139"/>
  <c r="BX61" i="139" s="1"/>
  <c r="CW87" i="139" s="1"/>
  <c r="BW35" i="139" l="1"/>
  <c r="BW62" i="139" s="1"/>
  <c r="CV88" i="139" s="1"/>
  <c r="BW39" i="139"/>
  <c r="BW66" i="139" s="1"/>
  <c r="CV92" i="139" s="1"/>
  <c r="BW38" i="139"/>
  <c r="BW65" i="139" s="1"/>
  <c r="CV91" i="139" s="1"/>
  <c r="BW30" i="139"/>
  <c r="BW57" i="139" s="1"/>
  <c r="CV83" i="139" s="1"/>
  <c r="BV28" i="139"/>
  <c r="BW41" i="139"/>
  <c r="BW68" i="139" s="1"/>
  <c r="CV94" i="139" s="1"/>
  <c r="BW40" i="139"/>
  <c r="BW67" i="139" s="1"/>
  <c r="CV93" i="139" s="1"/>
  <c r="BW31" i="139"/>
  <c r="BW58" i="139" s="1"/>
  <c r="CV84" i="139" s="1"/>
  <c r="BW36" i="139"/>
  <c r="BW63" i="139" s="1"/>
  <c r="CV89" i="139" s="1"/>
  <c r="BW37" i="139"/>
  <c r="BW64" i="139" s="1"/>
  <c r="CV90" i="139" s="1"/>
  <c r="BW34" i="139"/>
  <c r="BW61" i="139" s="1"/>
  <c r="CV87" i="139" s="1"/>
  <c r="BW32" i="139"/>
  <c r="BW59" i="139" s="1"/>
  <c r="CV85" i="139" s="1"/>
  <c r="BW33" i="139"/>
  <c r="BW60" i="139" s="1"/>
  <c r="CV86" i="139" s="1"/>
  <c r="BV41" i="139" l="1"/>
  <c r="BV68" i="139" s="1"/>
  <c r="CU94" i="139" s="1"/>
  <c r="BU28" i="139"/>
  <c r="BV40" i="139"/>
  <c r="BV67" i="139" s="1"/>
  <c r="CU93" i="139" s="1"/>
  <c r="BV35" i="139"/>
  <c r="BV62" i="139" s="1"/>
  <c r="CU88" i="139" s="1"/>
  <c r="BV34" i="139"/>
  <c r="BV61" i="139" s="1"/>
  <c r="CU87" i="139" s="1"/>
  <c r="BV30" i="139"/>
  <c r="BV57" i="139" s="1"/>
  <c r="CU83" i="139" s="1"/>
  <c r="BV36" i="139"/>
  <c r="BV63" i="139" s="1"/>
  <c r="CU89" i="139" s="1"/>
  <c r="BV38" i="139"/>
  <c r="BV65" i="139" s="1"/>
  <c r="CU91" i="139" s="1"/>
  <c r="BV39" i="139"/>
  <c r="BV66" i="139" s="1"/>
  <c r="CU92" i="139" s="1"/>
  <c r="BV33" i="139"/>
  <c r="BV60" i="139" s="1"/>
  <c r="CU86" i="139" s="1"/>
  <c r="BV31" i="139"/>
  <c r="BV58" i="139" s="1"/>
  <c r="CU84" i="139" s="1"/>
  <c r="BV32" i="139"/>
  <c r="BV59" i="139" s="1"/>
  <c r="CU85" i="139" s="1"/>
  <c r="BV37" i="139"/>
  <c r="BV64" i="139" s="1"/>
  <c r="CU90" i="139" s="1"/>
  <c r="BU38" i="139" l="1"/>
  <c r="BU65" i="139" s="1"/>
  <c r="CT91" i="139" s="1"/>
  <c r="BU37" i="139"/>
  <c r="BU64" i="139" s="1"/>
  <c r="CT90" i="139" s="1"/>
  <c r="BU35" i="139"/>
  <c r="BU62" i="139" s="1"/>
  <c r="CT88" i="139" s="1"/>
  <c r="BU39" i="139"/>
  <c r="BU66" i="139" s="1"/>
  <c r="CT92" i="139" s="1"/>
  <c r="BU40" i="139"/>
  <c r="BU67" i="139" s="1"/>
  <c r="CT93" i="139" s="1"/>
  <c r="BT28" i="139"/>
  <c r="BU31" i="139"/>
  <c r="BU58" i="139" s="1"/>
  <c r="CT84" i="139" s="1"/>
  <c r="BU30" i="139"/>
  <c r="BU57" i="139" s="1"/>
  <c r="CT83" i="139" s="1"/>
  <c r="BU41" i="139"/>
  <c r="BU68" i="139" s="1"/>
  <c r="CT94" i="139" s="1"/>
  <c r="BU32" i="139"/>
  <c r="BU59" i="139" s="1"/>
  <c r="CT85" i="139" s="1"/>
  <c r="BU36" i="139"/>
  <c r="BU63" i="139" s="1"/>
  <c r="CT89" i="139" s="1"/>
  <c r="BU33" i="139"/>
  <c r="BU60" i="139" s="1"/>
  <c r="CT86" i="139" s="1"/>
  <c r="BU34" i="139"/>
  <c r="BU61" i="139" s="1"/>
  <c r="CT87" i="139" s="1"/>
  <c r="BT36" i="139" l="1"/>
  <c r="BT63" i="139" s="1"/>
  <c r="CS89" i="139" s="1"/>
  <c r="BT32" i="139"/>
  <c r="BT59" i="139" s="1"/>
  <c r="CS85" i="139" s="1"/>
  <c r="BT37" i="139"/>
  <c r="BT64" i="139" s="1"/>
  <c r="CS90" i="139" s="1"/>
  <c r="BT33" i="139"/>
  <c r="BT60" i="139" s="1"/>
  <c r="CS86" i="139" s="1"/>
  <c r="BT34" i="139"/>
  <c r="BT61" i="139" s="1"/>
  <c r="CS87" i="139" s="1"/>
  <c r="BT41" i="139"/>
  <c r="BT68" i="139" s="1"/>
  <c r="CS94" i="139" s="1"/>
  <c r="BT30" i="139"/>
  <c r="BT57" i="139" s="1"/>
  <c r="CS83" i="139" s="1"/>
  <c r="BT31" i="139"/>
  <c r="BT58" i="139" s="1"/>
  <c r="CS84" i="139" s="1"/>
  <c r="BT40" i="139"/>
  <c r="BT67" i="139" s="1"/>
  <c r="CS93" i="139" s="1"/>
  <c r="BS28" i="139"/>
  <c r="BT38" i="139"/>
  <c r="BT65" i="139" s="1"/>
  <c r="CS91" i="139" s="1"/>
  <c r="BT39" i="139"/>
  <c r="BT66" i="139" s="1"/>
  <c r="CS92" i="139" s="1"/>
  <c r="BT35" i="139"/>
  <c r="BT62" i="139" s="1"/>
  <c r="CS88" i="139" s="1"/>
  <c r="BS40" i="139" l="1"/>
  <c r="BS67" i="139" s="1"/>
  <c r="CR93" i="139" s="1"/>
  <c r="BS31" i="139"/>
  <c r="BS58" i="139" s="1"/>
  <c r="CR84" i="139" s="1"/>
  <c r="BS38" i="139"/>
  <c r="BS65" i="139" s="1"/>
  <c r="CR91" i="139" s="1"/>
  <c r="BS39" i="139"/>
  <c r="BS66" i="139" s="1"/>
  <c r="CR92" i="139" s="1"/>
  <c r="BS41" i="139"/>
  <c r="BS68" i="139" s="1"/>
  <c r="CR94" i="139" s="1"/>
  <c r="BS33" i="139"/>
  <c r="BS60" i="139" s="1"/>
  <c r="CR86" i="139" s="1"/>
  <c r="BR28" i="139"/>
  <c r="BS32" i="139"/>
  <c r="BS59" i="139" s="1"/>
  <c r="CR85" i="139" s="1"/>
  <c r="BS36" i="139"/>
  <c r="BS63" i="139" s="1"/>
  <c r="CR89" i="139" s="1"/>
  <c r="BS30" i="139"/>
  <c r="BS57" i="139" s="1"/>
  <c r="CR83" i="139" s="1"/>
  <c r="BS35" i="139"/>
  <c r="BS62" i="139" s="1"/>
  <c r="CR88" i="139" s="1"/>
  <c r="BS34" i="139"/>
  <c r="BS61" i="139" s="1"/>
  <c r="CR87" i="139" s="1"/>
  <c r="BS37" i="139"/>
  <c r="BS64" i="139" s="1"/>
  <c r="CR90" i="139" s="1"/>
  <c r="BR32" i="139" l="1"/>
  <c r="BR59" i="139" s="1"/>
  <c r="CQ85" i="139" s="1"/>
  <c r="BR35" i="139"/>
  <c r="BR62" i="139" s="1"/>
  <c r="CQ88" i="139" s="1"/>
  <c r="BQ28" i="139"/>
  <c r="BR30" i="139"/>
  <c r="BR57" i="139" s="1"/>
  <c r="CQ83" i="139" s="1"/>
  <c r="BR38" i="139"/>
  <c r="BR65" i="139" s="1"/>
  <c r="CQ91" i="139" s="1"/>
  <c r="BR40" i="139"/>
  <c r="BR67" i="139" s="1"/>
  <c r="CQ93" i="139" s="1"/>
  <c r="BR33" i="139"/>
  <c r="BR60" i="139" s="1"/>
  <c r="CQ86" i="139" s="1"/>
  <c r="BR41" i="139"/>
  <c r="BR68" i="139" s="1"/>
  <c r="CQ94" i="139" s="1"/>
  <c r="BR34" i="139"/>
  <c r="BR61" i="139" s="1"/>
  <c r="CQ87" i="139" s="1"/>
  <c r="BR31" i="139"/>
  <c r="BR58" i="139" s="1"/>
  <c r="CQ84" i="139" s="1"/>
  <c r="BR36" i="139"/>
  <c r="BR63" i="139" s="1"/>
  <c r="CQ89" i="139" s="1"/>
  <c r="BR37" i="139"/>
  <c r="BR64" i="139" s="1"/>
  <c r="CQ90" i="139" s="1"/>
  <c r="BR39" i="139"/>
  <c r="BR66" i="139" s="1"/>
  <c r="CQ92" i="139" s="1"/>
  <c r="BQ35" i="139" l="1"/>
  <c r="BQ62" i="139" s="1"/>
  <c r="CP88" i="139" s="1"/>
  <c r="BQ32" i="139"/>
  <c r="BQ59" i="139" s="1"/>
  <c r="CP85" i="139" s="1"/>
  <c r="BP28" i="139"/>
  <c r="BQ30" i="139"/>
  <c r="BQ57" i="139" s="1"/>
  <c r="CP83" i="139" s="1"/>
  <c r="BQ33" i="139"/>
  <c r="BQ60" i="139" s="1"/>
  <c r="CP86" i="139" s="1"/>
  <c r="BQ31" i="139"/>
  <c r="BQ58" i="139" s="1"/>
  <c r="CP84" i="139" s="1"/>
  <c r="BQ40" i="139"/>
  <c r="BQ67" i="139" s="1"/>
  <c r="CP93" i="139" s="1"/>
  <c r="BQ41" i="139"/>
  <c r="BQ68" i="139" s="1"/>
  <c r="CP94" i="139" s="1"/>
  <c r="BQ38" i="139"/>
  <c r="BQ65" i="139" s="1"/>
  <c r="CP91" i="139" s="1"/>
  <c r="BQ34" i="139"/>
  <c r="BQ61" i="139" s="1"/>
  <c r="CP87" i="139" s="1"/>
  <c r="BQ37" i="139"/>
  <c r="BQ64" i="139" s="1"/>
  <c r="CP90" i="139" s="1"/>
  <c r="BQ36" i="139"/>
  <c r="BQ63" i="139" s="1"/>
  <c r="CP89" i="139" s="1"/>
  <c r="BQ39" i="139"/>
  <c r="BQ66" i="139" s="1"/>
  <c r="CP92" i="139" s="1"/>
  <c r="BP34" i="139" l="1"/>
  <c r="BP61" i="139" s="1"/>
  <c r="CO87" i="139" s="1"/>
  <c r="BP33" i="139"/>
  <c r="BP60" i="139" s="1"/>
  <c r="CO86" i="139" s="1"/>
  <c r="BP41" i="139"/>
  <c r="BP68" i="139" s="1"/>
  <c r="CO94" i="139" s="1"/>
  <c r="BO28" i="139"/>
  <c r="BP30" i="139"/>
  <c r="BP57" i="139" s="1"/>
  <c r="CO83" i="139" s="1"/>
  <c r="BP35" i="139"/>
  <c r="BP62" i="139" s="1"/>
  <c r="CO88" i="139" s="1"/>
  <c r="BP37" i="139"/>
  <c r="BP64" i="139" s="1"/>
  <c r="CO90" i="139" s="1"/>
  <c r="BP32" i="139"/>
  <c r="BP59" i="139" s="1"/>
  <c r="CO85" i="139" s="1"/>
  <c r="BP31" i="139"/>
  <c r="BP58" i="139" s="1"/>
  <c r="CO84" i="139" s="1"/>
  <c r="BP36" i="139"/>
  <c r="BP63" i="139" s="1"/>
  <c r="CO89" i="139" s="1"/>
  <c r="BP39" i="139"/>
  <c r="BP66" i="139" s="1"/>
  <c r="CO92" i="139" s="1"/>
  <c r="BP38" i="139"/>
  <c r="BP65" i="139" s="1"/>
  <c r="CO91" i="139" s="1"/>
  <c r="BP40" i="139"/>
  <c r="BP67" i="139" s="1"/>
  <c r="CO93" i="139" s="1"/>
  <c r="BO40" i="139" l="1"/>
  <c r="BO67" i="139" s="1"/>
  <c r="CN93" i="139" s="1"/>
  <c r="BO34" i="139"/>
  <c r="BO61" i="139" s="1"/>
  <c r="CN87" i="139" s="1"/>
  <c r="BO39" i="139"/>
  <c r="BO66" i="139" s="1"/>
  <c r="CN92" i="139" s="1"/>
  <c r="BO35" i="139"/>
  <c r="BO62" i="139" s="1"/>
  <c r="CN88" i="139" s="1"/>
  <c r="BO30" i="139"/>
  <c r="BO57" i="139" s="1"/>
  <c r="CN83" i="139" s="1"/>
  <c r="BN28" i="139"/>
  <c r="BO31" i="139"/>
  <c r="BO58" i="139" s="1"/>
  <c r="CN84" i="139" s="1"/>
  <c r="BO37" i="139"/>
  <c r="BO64" i="139" s="1"/>
  <c r="CN90" i="139" s="1"/>
  <c r="BO38" i="139"/>
  <c r="BO65" i="139" s="1"/>
  <c r="CN91" i="139" s="1"/>
  <c r="BO32" i="139"/>
  <c r="BO59" i="139" s="1"/>
  <c r="CN85" i="139" s="1"/>
  <c r="BO36" i="139"/>
  <c r="BO63" i="139" s="1"/>
  <c r="CN89" i="139" s="1"/>
  <c r="BO41" i="139"/>
  <c r="BO68" i="139" s="1"/>
  <c r="CN94" i="139" s="1"/>
  <c r="BO33" i="139"/>
  <c r="BO60" i="139" s="1"/>
  <c r="CN86" i="139" s="1"/>
  <c r="BN36" i="139" l="1"/>
  <c r="BN63" i="139" s="1"/>
  <c r="CM89" i="139" s="1"/>
  <c r="BN34" i="139"/>
  <c r="BN61" i="139" s="1"/>
  <c r="CM87" i="139" s="1"/>
  <c r="BN35" i="139"/>
  <c r="BN62" i="139" s="1"/>
  <c r="CM88" i="139" s="1"/>
  <c r="BN39" i="139"/>
  <c r="BN66" i="139" s="1"/>
  <c r="CM92" i="139" s="1"/>
  <c r="BN33" i="139"/>
  <c r="BN60" i="139" s="1"/>
  <c r="CM86" i="139" s="1"/>
  <c r="BN31" i="139"/>
  <c r="BN58" i="139" s="1"/>
  <c r="CM84" i="139" s="1"/>
  <c r="BN32" i="139"/>
  <c r="BN59" i="139" s="1"/>
  <c r="CM85" i="139" s="1"/>
  <c r="BN30" i="139"/>
  <c r="BN57" i="139" s="1"/>
  <c r="CM83" i="139" s="1"/>
  <c r="BN40" i="139"/>
  <c r="BN67" i="139" s="1"/>
  <c r="CM93" i="139" s="1"/>
  <c r="BN38" i="139"/>
  <c r="BN65" i="139" s="1"/>
  <c r="CM91" i="139" s="1"/>
  <c r="BM28" i="139"/>
  <c r="BN37" i="139"/>
  <c r="BN64" i="139" s="1"/>
  <c r="CM90" i="139" s="1"/>
  <c r="BN41" i="139"/>
  <c r="BN68" i="139" s="1"/>
  <c r="CM94" i="139" s="1"/>
  <c r="BM38" i="139" l="1"/>
  <c r="BM65" i="139" s="1"/>
  <c r="CL91" i="139" s="1"/>
  <c r="BM32" i="139"/>
  <c r="BM59" i="139" s="1"/>
  <c r="CL85" i="139" s="1"/>
  <c r="BM31" i="139"/>
  <c r="BM58" i="139" s="1"/>
  <c r="CL84" i="139" s="1"/>
  <c r="BL28" i="139"/>
  <c r="BM36" i="139"/>
  <c r="BM63" i="139" s="1"/>
  <c r="CL89" i="139" s="1"/>
  <c r="BM35" i="139"/>
  <c r="BM62" i="139" s="1"/>
  <c r="CL88" i="139" s="1"/>
  <c r="BM40" i="139"/>
  <c r="BM67" i="139" s="1"/>
  <c r="CL93" i="139" s="1"/>
  <c r="BM37" i="139"/>
  <c r="BM64" i="139" s="1"/>
  <c r="CL90" i="139" s="1"/>
  <c r="BM33" i="139"/>
  <c r="BM60" i="139" s="1"/>
  <c r="CL86" i="139" s="1"/>
  <c r="BM39" i="139"/>
  <c r="BM66" i="139" s="1"/>
  <c r="CL92" i="139" s="1"/>
  <c r="BM41" i="139"/>
  <c r="BM68" i="139" s="1"/>
  <c r="CL94" i="139" s="1"/>
  <c r="BM30" i="139"/>
  <c r="BM57" i="139" s="1"/>
  <c r="CL83" i="139" s="1"/>
  <c r="BM34" i="139"/>
  <c r="BM61" i="139" s="1"/>
  <c r="CL87" i="139" s="1"/>
  <c r="BL34" i="139" l="1"/>
  <c r="BL61" i="139" s="1"/>
  <c r="CK87" i="139" s="1"/>
  <c r="BL41" i="139"/>
  <c r="BL68" i="139" s="1"/>
  <c r="CK94" i="139" s="1"/>
  <c r="BL30" i="139"/>
  <c r="BL57" i="139" s="1"/>
  <c r="CK83" i="139" s="1"/>
  <c r="BL40" i="139"/>
  <c r="BL67" i="139" s="1"/>
  <c r="CK93" i="139" s="1"/>
  <c r="BL32" i="139"/>
  <c r="BL59" i="139" s="1"/>
  <c r="CK85" i="139" s="1"/>
  <c r="BL36" i="139"/>
  <c r="BL63" i="139" s="1"/>
  <c r="CK89" i="139" s="1"/>
  <c r="BL33" i="139"/>
  <c r="BL60" i="139" s="1"/>
  <c r="CK86" i="139" s="1"/>
  <c r="BL31" i="139"/>
  <c r="BL58" i="139" s="1"/>
  <c r="CK84" i="139" s="1"/>
  <c r="BL39" i="139"/>
  <c r="BL66" i="139" s="1"/>
  <c r="CK92" i="139" s="1"/>
  <c r="BL37" i="139"/>
  <c r="BL64" i="139" s="1"/>
  <c r="CK90" i="139" s="1"/>
  <c r="BL35" i="139"/>
  <c r="BL62" i="139" s="1"/>
  <c r="CK88" i="139" s="1"/>
  <c r="BK28" i="139"/>
  <c r="BL38" i="139"/>
  <c r="BL65" i="139" s="1"/>
  <c r="CK91" i="139" s="1"/>
  <c r="BK38" i="139" l="1"/>
  <c r="BK65" i="139" s="1"/>
  <c r="CJ91" i="139" s="1"/>
  <c r="BK41" i="139"/>
  <c r="BK68" i="139" s="1"/>
  <c r="CJ94" i="139" s="1"/>
  <c r="BK39" i="139"/>
  <c r="BK66" i="139" s="1"/>
  <c r="CJ92" i="139" s="1"/>
  <c r="BK30" i="139"/>
  <c r="BK57" i="139" s="1"/>
  <c r="CJ83" i="139" s="1"/>
  <c r="BK34" i="139"/>
  <c r="BK61" i="139" s="1"/>
  <c r="CJ87" i="139" s="1"/>
  <c r="BJ28" i="139"/>
  <c r="BK37" i="139"/>
  <c r="BK64" i="139" s="1"/>
  <c r="CJ90" i="139" s="1"/>
  <c r="BK35" i="139"/>
  <c r="BK62" i="139" s="1"/>
  <c r="CJ88" i="139" s="1"/>
  <c r="BK31" i="139"/>
  <c r="BK58" i="139" s="1"/>
  <c r="CJ84" i="139" s="1"/>
  <c r="BK40" i="139"/>
  <c r="BK67" i="139" s="1"/>
  <c r="CJ93" i="139" s="1"/>
  <c r="BK32" i="139"/>
  <c r="BK59" i="139" s="1"/>
  <c r="CJ85" i="139" s="1"/>
  <c r="BK33" i="139"/>
  <c r="BK60" i="139" s="1"/>
  <c r="CJ86" i="139" s="1"/>
  <c r="BK36" i="139"/>
  <c r="BK63" i="139" s="1"/>
  <c r="CJ89" i="139" s="1"/>
  <c r="BJ41" i="139" l="1"/>
  <c r="BJ68" i="139" s="1"/>
  <c r="CI94" i="139" s="1"/>
  <c r="BJ34" i="139"/>
  <c r="BJ61" i="139" s="1"/>
  <c r="CI87" i="139" s="1"/>
  <c r="BJ40" i="139"/>
  <c r="BJ67" i="139" s="1"/>
  <c r="CI93" i="139" s="1"/>
  <c r="BJ35" i="139"/>
  <c r="BJ62" i="139" s="1"/>
  <c r="CI88" i="139" s="1"/>
  <c r="BJ36" i="139"/>
  <c r="BJ63" i="139" s="1"/>
  <c r="CI89" i="139" s="1"/>
  <c r="BJ30" i="139"/>
  <c r="BJ57" i="139" s="1"/>
  <c r="CI83" i="139" s="1"/>
  <c r="BJ33" i="139"/>
  <c r="BJ60" i="139" s="1"/>
  <c r="CI86" i="139" s="1"/>
  <c r="BJ38" i="139"/>
  <c r="BJ65" i="139" s="1"/>
  <c r="CI91" i="139" s="1"/>
  <c r="BI28" i="139"/>
  <c r="BJ31" i="139"/>
  <c r="BJ58" i="139" s="1"/>
  <c r="CI84" i="139" s="1"/>
  <c r="BJ39" i="139"/>
  <c r="BJ66" i="139" s="1"/>
  <c r="CI92" i="139" s="1"/>
  <c r="BJ37" i="139"/>
  <c r="BJ64" i="139" s="1"/>
  <c r="CI90" i="139" s="1"/>
  <c r="BJ32" i="139"/>
  <c r="BJ59" i="139" s="1"/>
  <c r="CI85" i="139" s="1"/>
  <c r="BI37" i="139" l="1"/>
  <c r="BI64" i="139" s="1"/>
  <c r="CH90" i="139" s="1"/>
  <c r="BI33" i="139"/>
  <c r="BI60" i="139" s="1"/>
  <c r="CH86" i="139" s="1"/>
  <c r="BI32" i="139"/>
  <c r="BI59" i="139" s="1"/>
  <c r="CH85" i="139" s="1"/>
  <c r="BI35" i="139"/>
  <c r="BI62" i="139" s="1"/>
  <c r="CH88" i="139" s="1"/>
  <c r="BI38" i="139"/>
  <c r="BI65" i="139" s="1"/>
  <c r="CH91" i="139" s="1"/>
  <c r="BI41" i="139"/>
  <c r="BI68" i="139" s="1"/>
  <c r="CH94" i="139" s="1"/>
  <c r="BI30" i="139"/>
  <c r="BI57" i="139" s="1"/>
  <c r="CH83" i="139" s="1"/>
  <c r="BI40" i="139"/>
  <c r="BI67" i="139" s="1"/>
  <c r="CH93" i="139" s="1"/>
  <c r="BI39" i="139"/>
  <c r="BI66" i="139" s="1"/>
  <c r="CH92" i="139" s="1"/>
  <c r="BI34" i="139"/>
  <c r="BI61" i="139" s="1"/>
  <c r="CH87" i="139" s="1"/>
  <c r="BI31" i="139"/>
  <c r="BI58" i="139" s="1"/>
  <c r="CH84" i="139" s="1"/>
  <c r="BI36" i="139"/>
  <c r="BI63" i="139" s="1"/>
  <c r="CH89" i="139" s="1"/>
  <c r="BH28" i="139"/>
  <c r="BH38" i="139" l="1"/>
  <c r="BH65" i="139" s="1"/>
  <c r="CG91" i="139" s="1"/>
  <c r="BH34" i="139"/>
  <c r="BH61" i="139" s="1"/>
  <c r="CG87" i="139" s="1"/>
  <c r="BH30" i="139"/>
  <c r="BH57" i="139" s="1"/>
  <c r="CG83" i="139" s="1"/>
  <c r="BH39" i="139"/>
  <c r="BH66" i="139" s="1"/>
  <c r="CG92" i="139" s="1"/>
  <c r="BG28" i="139"/>
  <c r="BH36" i="139"/>
  <c r="BH63" i="139" s="1"/>
  <c r="CG89" i="139" s="1"/>
  <c r="BH35" i="139"/>
  <c r="BH62" i="139" s="1"/>
  <c r="CG88" i="139" s="1"/>
  <c r="BH40" i="139"/>
  <c r="BH67" i="139" s="1"/>
  <c r="CG93" i="139" s="1"/>
  <c r="BH37" i="139"/>
  <c r="BH64" i="139" s="1"/>
  <c r="CG90" i="139" s="1"/>
  <c r="BH31" i="139"/>
  <c r="BH58" i="139" s="1"/>
  <c r="CG84" i="139" s="1"/>
  <c r="BH32" i="139"/>
  <c r="BH59" i="139" s="1"/>
  <c r="CG85" i="139" s="1"/>
  <c r="BH33" i="139"/>
  <c r="BH60" i="139" s="1"/>
  <c r="CG86" i="139" s="1"/>
  <c r="BH41" i="139"/>
  <c r="BH68" i="139" s="1"/>
  <c r="CG94" i="139" s="1"/>
  <c r="BG40" i="139" l="1"/>
  <c r="BG67" i="139" s="1"/>
  <c r="CF93" i="139" s="1"/>
  <c r="BG31" i="139"/>
  <c r="BG58" i="139" s="1"/>
  <c r="CF84" i="139" s="1"/>
  <c r="BG33" i="139"/>
  <c r="BG60" i="139" s="1"/>
  <c r="CF86" i="139" s="1"/>
  <c r="BG32" i="139"/>
  <c r="BG59" i="139" s="1"/>
  <c r="CF85" i="139" s="1"/>
  <c r="BG36" i="139"/>
  <c r="BG63" i="139" s="1"/>
  <c r="CF89" i="139" s="1"/>
  <c r="BF28" i="139"/>
  <c r="BG35" i="139"/>
  <c r="BG62" i="139" s="1"/>
  <c r="CF88" i="139" s="1"/>
  <c r="BG30" i="139"/>
  <c r="BG57" i="139" s="1"/>
  <c r="CF83" i="139" s="1"/>
  <c r="BG34" i="139"/>
  <c r="BG61" i="139" s="1"/>
  <c r="CF87" i="139" s="1"/>
  <c r="BG38" i="139"/>
  <c r="BG65" i="139" s="1"/>
  <c r="CF91" i="139" s="1"/>
  <c r="BG41" i="139"/>
  <c r="BG68" i="139" s="1"/>
  <c r="CF94" i="139" s="1"/>
  <c r="BG37" i="139"/>
  <c r="BG64" i="139" s="1"/>
  <c r="CF90" i="139" s="1"/>
  <c r="BG39" i="139"/>
  <c r="BG66" i="139" s="1"/>
  <c r="CF92" i="139" s="1"/>
  <c r="BF38" i="139" l="1"/>
  <c r="BF65" i="139" s="1"/>
  <c r="CE91" i="139" s="1"/>
  <c r="BF39" i="139"/>
  <c r="BF66" i="139" s="1"/>
  <c r="CE92" i="139" s="1"/>
  <c r="BF41" i="139"/>
  <c r="BF68" i="139" s="1"/>
  <c r="CE94" i="139" s="1"/>
  <c r="BF34" i="139"/>
  <c r="BF61" i="139" s="1"/>
  <c r="CE87" i="139" s="1"/>
  <c r="BE28" i="139"/>
  <c r="BF37" i="139"/>
  <c r="BF64" i="139" s="1"/>
  <c r="CE90" i="139" s="1"/>
  <c r="BF30" i="139"/>
  <c r="BF57" i="139" s="1"/>
  <c r="CE83" i="139" s="1"/>
  <c r="BF33" i="139"/>
  <c r="BF60" i="139" s="1"/>
  <c r="CE86" i="139" s="1"/>
  <c r="BF40" i="139"/>
  <c r="BF67" i="139" s="1"/>
  <c r="CE93" i="139" s="1"/>
  <c r="BF32" i="139"/>
  <c r="BF59" i="139" s="1"/>
  <c r="CE85" i="139" s="1"/>
  <c r="BF31" i="139"/>
  <c r="BF58" i="139" s="1"/>
  <c r="CE84" i="139" s="1"/>
  <c r="BF35" i="139"/>
  <c r="BF62" i="139" s="1"/>
  <c r="CE88" i="139" s="1"/>
  <c r="BF36" i="139"/>
  <c r="BF63" i="139" s="1"/>
  <c r="CE89" i="139" s="1"/>
  <c r="BE40" i="139" l="1"/>
  <c r="BE67" i="139" s="1"/>
  <c r="CD93" i="139" s="1"/>
  <c r="BE38" i="139"/>
  <c r="BE65" i="139" s="1"/>
  <c r="CD91" i="139" s="1"/>
  <c r="BE30" i="139"/>
  <c r="BE57" i="139" s="1"/>
  <c r="CD83" i="139" s="1"/>
  <c r="BE33" i="139"/>
  <c r="BE60" i="139" s="1"/>
  <c r="CD86" i="139" s="1"/>
  <c r="BE34" i="139"/>
  <c r="BE61" i="139" s="1"/>
  <c r="CD87" i="139" s="1"/>
  <c r="BE35" i="139"/>
  <c r="BE62" i="139" s="1"/>
  <c r="CD88" i="139" s="1"/>
  <c r="BE32" i="139"/>
  <c r="BE59" i="139" s="1"/>
  <c r="CD85" i="139" s="1"/>
  <c r="BE37" i="139"/>
  <c r="BE64" i="139" s="1"/>
  <c r="CD90" i="139" s="1"/>
  <c r="BE36" i="139"/>
  <c r="BE63" i="139" s="1"/>
  <c r="CD89" i="139" s="1"/>
  <c r="BE31" i="139"/>
  <c r="BE58" i="139" s="1"/>
  <c r="CD84" i="139" s="1"/>
  <c r="BE41" i="139"/>
  <c r="BE68" i="139" s="1"/>
  <c r="CD94" i="139" s="1"/>
  <c r="BE39" i="139"/>
  <c r="BE66" i="139" s="1"/>
  <c r="CD92" i="139" s="1"/>
  <c r="BD28" i="139"/>
  <c r="BD40" i="139" l="1"/>
  <c r="BD67" i="139" s="1"/>
  <c r="CC93" i="139" s="1"/>
  <c r="BD36" i="139"/>
  <c r="BD63" i="139" s="1"/>
  <c r="CC89" i="139" s="1"/>
  <c r="BD35" i="139"/>
  <c r="BD62" i="139" s="1"/>
  <c r="CC88" i="139" s="1"/>
  <c r="BD31" i="139"/>
  <c r="BD58" i="139" s="1"/>
  <c r="CC84" i="139" s="1"/>
  <c r="BD38" i="139"/>
  <c r="BD65" i="139" s="1"/>
  <c r="CC91" i="139" s="1"/>
  <c r="BD34" i="139"/>
  <c r="BD61" i="139" s="1"/>
  <c r="CC87" i="139" s="1"/>
  <c r="BD39" i="139"/>
  <c r="BD66" i="139" s="1"/>
  <c r="CC92" i="139" s="1"/>
  <c r="BD32" i="139"/>
  <c r="BD59" i="139" s="1"/>
  <c r="CC85" i="139" s="1"/>
  <c r="BC28" i="139"/>
  <c r="BD33" i="139"/>
  <c r="BD60" i="139" s="1"/>
  <c r="CC86" i="139" s="1"/>
  <c r="BD41" i="139"/>
  <c r="BD68" i="139" s="1"/>
  <c r="CC94" i="139" s="1"/>
  <c r="BD37" i="139"/>
  <c r="BD64" i="139" s="1"/>
  <c r="CC90" i="139" s="1"/>
  <c r="BD30" i="139"/>
  <c r="BD57" i="139" s="1"/>
  <c r="CC83" i="139" s="1"/>
  <c r="BC40" i="139" l="1"/>
  <c r="BC67" i="139" s="1"/>
  <c r="CB93" i="139" s="1"/>
  <c r="BC33" i="139"/>
  <c r="BC60" i="139" s="1"/>
  <c r="CB86" i="139" s="1"/>
  <c r="BC30" i="139"/>
  <c r="BC57" i="139" s="1"/>
  <c r="CB83" i="139" s="1"/>
  <c r="BC36" i="139"/>
  <c r="BC63" i="139" s="1"/>
  <c r="CB89" i="139" s="1"/>
  <c r="BC34" i="139"/>
  <c r="BC61" i="139" s="1"/>
  <c r="CB87" i="139" s="1"/>
  <c r="BC32" i="139"/>
  <c r="BC59" i="139" s="1"/>
  <c r="CB85" i="139" s="1"/>
  <c r="BB28" i="139"/>
  <c r="BC31" i="139"/>
  <c r="BC58" i="139" s="1"/>
  <c r="CB84" i="139" s="1"/>
  <c r="BC39" i="139"/>
  <c r="BC66" i="139" s="1"/>
  <c r="CB92" i="139" s="1"/>
  <c r="BC37" i="139"/>
  <c r="BC64" i="139" s="1"/>
  <c r="CB90" i="139" s="1"/>
  <c r="BC41" i="139"/>
  <c r="BC68" i="139" s="1"/>
  <c r="CB94" i="139" s="1"/>
  <c r="BC35" i="139"/>
  <c r="BC62" i="139" s="1"/>
  <c r="CB88" i="139" s="1"/>
  <c r="BC38" i="139"/>
  <c r="BC65" i="139" s="1"/>
  <c r="CB91" i="139" s="1"/>
  <c r="BB36" i="139" l="1"/>
  <c r="BB63" i="139" s="1"/>
  <c r="CA89" i="139" s="1"/>
  <c r="BB38" i="139"/>
  <c r="BB65" i="139" s="1"/>
  <c r="CA91" i="139" s="1"/>
  <c r="BB40" i="139"/>
  <c r="BB67" i="139" s="1"/>
  <c r="CA93" i="139" s="1"/>
  <c r="BA28" i="139"/>
  <c r="BB33" i="139"/>
  <c r="BB60" i="139" s="1"/>
  <c r="CA86" i="139" s="1"/>
  <c r="BB35" i="139"/>
  <c r="BB62" i="139" s="1"/>
  <c r="CA88" i="139" s="1"/>
  <c r="BB41" i="139"/>
  <c r="BB68" i="139" s="1"/>
  <c r="CA94" i="139" s="1"/>
  <c r="BB34" i="139"/>
  <c r="BB61" i="139" s="1"/>
  <c r="CA87" i="139" s="1"/>
  <c r="BB39" i="139"/>
  <c r="BB66" i="139" s="1"/>
  <c r="CA92" i="139" s="1"/>
  <c r="BB32" i="139"/>
  <c r="BB59" i="139" s="1"/>
  <c r="CA85" i="139" s="1"/>
  <c r="BB37" i="139"/>
  <c r="BB64" i="139" s="1"/>
  <c r="CA90" i="139" s="1"/>
  <c r="BB30" i="139"/>
  <c r="BB57" i="139" s="1"/>
  <c r="CA83" i="139" s="1"/>
  <c r="BB31" i="139"/>
  <c r="BB58" i="139" s="1"/>
  <c r="CA84" i="139" s="1"/>
  <c r="BA37" i="139" l="1"/>
  <c r="BA64" i="139" s="1"/>
  <c r="BZ90" i="139" s="1"/>
  <c r="AZ28" i="139"/>
  <c r="BA38" i="139"/>
  <c r="BA65" i="139" s="1"/>
  <c r="BZ91" i="139" s="1"/>
  <c r="BA33" i="139"/>
  <c r="BA60" i="139" s="1"/>
  <c r="BZ86" i="139" s="1"/>
  <c r="BA39" i="139"/>
  <c r="BA66" i="139" s="1"/>
  <c r="BZ92" i="139" s="1"/>
  <c r="BA31" i="139"/>
  <c r="BA58" i="139" s="1"/>
  <c r="BZ84" i="139" s="1"/>
  <c r="BA35" i="139"/>
  <c r="BA62" i="139" s="1"/>
  <c r="BZ88" i="139" s="1"/>
  <c r="BA32" i="139"/>
  <c r="BA59" i="139" s="1"/>
  <c r="BZ85" i="139" s="1"/>
  <c r="BA36" i="139"/>
  <c r="BA63" i="139" s="1"/>
  <c r="BZ89" i="139" s="1"/>
  <c r="BA40" i="139"/>
  <c r="BA67" i="139" s="1"/>
  <c r="BZ93" i="139" s="1"/>
  <c r="BA41" i="139"/>
  <c r="BA68" i="139" s="1"/>
  <c r="BZ94" i="139" s="1"/>
  <c r="BA30" i="139"/>
  <c r="BA57" i="139" s="1"/>
  <c r="BZ83" i="139" s="1"/>
  <c r="BA34" i="139"/>
  <c r="BA61" i="139" s="1"/>
  <c r="BZ87" i="139" s="1"/>
  <c r="AZ31" i="139" l="1"/>
  <c r="AZ58" i="139" s="1"/>
  <c r="BY84" i="139" s="1"/>
  <c r="AZ35" i="139"/>
  <c r="AZ62" i="139" s="1"/>
  <c r="BY88" i="139" s="1"/>
  <c r="AZ32" i="139"/>
  <c r="AZ59" i="139" s="1"/>
  <c r="BY85" i="139" s="1"/>
  <c r="AY28" i="139"/>
  <c r="AZ33" i="139"/>
  <c r="AZ60" i="139" s="1"/>
  <c r="BY86" i="139" s="1"/>
  <c r="AZ39" i="139"/>
  <c r="AZ66" i="139" s="1"/>
  <c r="BY92" i="139" s="1"/>
  <c r="AZ34" i="139"/>
  <c r="AZ61" i="139" s="1"/>
  <c r="BY87" i="139" s="1"/>
  <c r="AZ37" i="139"/>
  <c r="AZ64" i="139" s="1"/>
  <c r="BY90" i="139" s="1"/>
  <c r="AZ41" i="139"/>
  <c r="AZ68" i="139" s="1"/>
  <c r="BY94" i="139" s="1"/>
  <c r="AZ40" i="139"/>
  <c r="AZ67" i="139" s="1"/>
  <c r="BY93" i="139" s="1"/>
  <c r="AZ38" i="139"/>
  <c r="AZ65" i="139" s="1"/>
  <c r="BY91" i="139" s="1"/>
  <c r="AZ36" i="139"/>
  <c r="AZ63" i="139" s="1"/>
  <c r="BY89" i="139" s="1"/>
  <c r="AZ30" i="139"/>
  <c r="AZ57" i="139" s="1"/>
  <c r="BY83" i="139" s="1"/>
  <c r="AX28" i="139" l="1"/>
  <c r="AY31" i="139"/>
  <c r="AY58" i="139" s="1"/>
  <c r="BX84" i="139" s="1"/>
  <c r="AY30" i="139"/>
  <c r="AY57" i="139" s="1"/>
  <c r="BX83" i="139" s="1"/>
  <c r="AY39" i="139"/>
  <c r="AY66" i="139" s="1"/>
  <c r="BX92" i="139" s="1"/>
  <c r="AY33" i="139"/>
  <c r="AY60" i="139" s="1"/>
  <c r="BX86" i="139" s="1"/>
  <c r="AY32" i="139"/>
  <c r="AY59" i="139" s="1"/>
  <c r="BX85" i="139" s="1"/>
  <c r="AY35" i="139"/>
  <c r="AY62" i="139" s="1"/>
  <c r="BX88" i="139" s="1"/>
  <c r="AY41" i="139"/>
  <c r="AY68" i="139" s="1"/>
  <c r="BX94" i="139" s="1"/>
  <c r="AY36" i="139"/>
  <c r="AY63" i="139" s="1"/>
  <c r="BX89" i="139" s="1"/>
  <c r="AY34" i="139"/>
  <c r="AY61" i="139" s="1"/>
  <c r="BX87" i="139" s="1"/>
  <c r="AY37" i="139"/>
  <c r="AY64" i="139" s="1"/>
  <c r="BX90" i="139" s="1"/>
  <c r="AY38" i="139"/>
  <c r="AY65" i="139" s="1"/>
  <c r="BX91" i="139" s="1"/>
  <c r="AY40" i="139"/>
  <c r="AY67" i="139" s="1"/>
  <c r="BX93" i="139" s="1"/>
  <c r="AX31" i="139" l="1"/>
  <c r="AX58" i="139" s="1"/>
  <c r="BW84" i="139" s="1"/>
  <c r="AX41" i="139"/>
  <c r="AX68" i="139" s="1"/>
  <c r="BW94" i="139" s="1"/>
  <c r="AX38" i="139"/>
  <c r="AX65" i="139" s="1"/>
  <c r="BW91" i="139" s="1"/>
  <c r="AX30" i="139"/>
  <c r="AX57" i="139" s="1"/>
  <c r="BW83" i="139" s="1"/>
  <c r="AX33" i="139"/>
  <c r="AX60" i="139" s="1"/>
  <c r="BW86" i="139" s="1"/>
  <c r="AX40" i="139"/>
  <c r="AX67" i="139" s="1"/>
  <c r="BW93" i="139" s="1"/>
  <c r="AX36" i="139"/>
  <c r="AX63" i="139" s="1"/>
  <c r="BW89" i="139" s="1"/>
  <c r="AX37" i="139"/>
  <c r="AX64" i="139" s="1"/>
  <c r="BW90" i="139" s="1"/>
  <c r="AW28" i="139"/>
  <c r="AX34" i="139"/>
  <c r="AX61" i="139" s="1"/>
  <c r="BW87" i="139" s="1"/>
  <c r="AX39" i="139"/>
  <c r="AX66" i="139" s="1"/>
  <c r="BW92" i="139" s="1"/>
  <c r="AX35" i="139"/>
  <c r="AX62" i="139" s="1"/>
  <c r="BW88" i="139" s="1"/>
  <c r="AX32" i="139"/>
  <c r="AX59" i="139" s="1"/>
  <c r="BW85" i="139" s="1"/>
  <c r="AW31" i="139" l="1"/>
  <c r="AW58" i="139" s="1"/>
  <c r="BV84" i="139" s="1"/>
  <c r="AW33" i="139"/>
  <c r="AW60" i="139" s="1"/>
  <c r="BV86" i="139" s="1"/>
  <c r="AW40" i="139"/>
  <c r="AW67" i="139" s="1"/>
  <c r="BV93" i="139" s="1"/>
  <c r="AW38" i="139"/>
  <c r="AW65" i="139" s="1"/>
  <c r="BV91" i="139" s="1"/>
  <c r="AW37" i="139"/>
  <c r="AW64" i="139" s="1"/>
  <c r="BV90" i="139" s="1"/>
  <c r="AW30" i="139"/>
  <c r="AW57" i="139" s="1"/>
  <c r="BV83" i="139" s="1"/>
  <c r="AW32" i="139"/>
  <c r="AW59" i="139" s="1"/>
  <c r="BV85" i="139" s="1"/>
  <c r="AW36" i="139"/>
  <c r="AW63" i="139" s="1"/>
  <c r="BV89" i="139" s="1"/>
  <c r="AW34" i="139"/>
  <c r="AW61" i="139" s="1"/>
  <c r="BV87" i="139" s="1"/>
  <c r="AW41" i="139"/>
  <c r="AW68" i="139" s="1"/>
  <c r="BV94" i="139" s="1"/>
  <c r="AW39" i="139"/>
  <c r="AW66" i="139" s="1"/>
  <c r="BV92" i="139" s="1"/>
  <c r="AW35" i="139"/>
  <c r="AW62" i="139" s="1"/>
  <c r="BV88" i="139" s="1"/>
  <c r="AV28" i="139"/>
  <c r="JK39" i="139"/>
  <c r="JL39" i="139" s="1"/>
  <c r="JN39" i="139" s="1"/>
  <c r="JJ39" i="139"/>
  <c r="JK36" i="139"/>
  <c r="JL36" i="139" s="1"/>
  <c r="JN36" i="139" s="1"/>
  <c r="JJ36" i="139"/>
  <c r="JJ30" i="139"/>
  <c r="JK30" i="139"/>
  <c r="JL30" i="139" s="1"/>
  <c r="JN30" i="139" s="1"/>
  <c r="JJ35" i="139"/>
  <c r="JK35" i="139"/>
  <c r="JL35" i="139" s="1"/>
  <c r="JN35" i="139" s="1"/>
  <c r="JJ34" i="139"/>
  <c r="JK34" i="139"/>
  <c r="JL34" i="139" s="1"/>
  <c r="JN34" i="139" s="1"/>
  <c r="JJ41" i="139"/>
  <c r="JK41" i="139"/>
  <c r="JL41" i="139" s="1"/>
  <c r="JN41" i="139" s="1"/>
  <c r="JK32" i="139"/>
  <c r="JL32" i="139" s="1"/>
  <c r="JN32" i="139" s="1"/>
  <c r="JJ32" i="139"/>
  <c r="JJ38" i="139"/>
  <c r="JK38" i="139"/>
  <c r="JL38" i="139" s="1"/>
  <c r="JN38" i="139" s="1"/>
  <c r="JJ33" i="139"/>
  <c r="JK33" i="139"/>
  <c r="JL33" i="139" s="1"/>
  <c r="JN33" i="139" s="1"/>
  <c r="JK37" i="139"/>
  <c r="JL37" i="139" s="1"/>
  <c r="JN37" i="139" s="1"/>
  <c r="JJ37" i="139"/>
  <c r="JK40" i="139"/>
  <c r="JL40" i="139" s="1"/>
  <c r="JN40" i="139" s="1"/>
  <c r="JJ40" i="139"/>
  <c r="JK31" i="139"/>
  <c r="JL31" i="139" s="1"/>
  <c r="JN31" i="139" s="1"/>
  <c r="JJ31" i="139"/>
  <c r="AV36" i="139" l="1"/>
  <c r="AV63" i="139" s="1"/>
  <c r="BU89" i="139" s="1"/>
  <c r="AV37" i="139"/>
  <c r="AV64" i="139" s="1"/>
  <c r="BU90" i="139" s="1"/>
  <c r="AV39" i="139"/>
  <c r="AV66" i="139" s="1"/>
  <c r="BU92" i="139" s="1"/>
  <c r="AV40" i="139"/>
  <c r="AV67" i="139" s="1"/>
  <c r="BU93" i="139" s="1"/>
  <c r="AV34" i="139"/>
  <c r="AV61" i="139" s="1"/>
  <c r="BU87" i="139" s="1"/>
  <c r="AV31" i="139"/>
  <c r="AV58" i="139" s="1"/>
  <c r="BU84" i="139" s="1"/>
  <c r="AV30" i="139"/>
  <c r="AV57" i="139" s="1"/>
  <c r="BU83" i="139" s="1"/>
  <c r="AV32" i="139"/>
  <c r="AV59" i="139" s="1"/>
  <c r="BU85" i="139" s="1"/>
  <c r="AV35" i="139"/>
  <c r="AV62" i="139" s="1"/>
  <c r="BU88" i="139" s="1"/>
  <c r="AV41" i="139"/>
  <c r="AV68" i="139" s="1"/>
  <c r="BU94" i="139" s="1"/>
  <c r="AU28" i="139"/>
  <c r="AV38" i="139"/>
  <c r="AV65" i="139" s="1"/>
  <c r="BU91" i="139" s="1"/>
  <c r="AV33" i="139"/>
  <c r="AV60" i="139" s="1"/>
  <c r="BU86" i="139" s="1"/>
  <c r="JM31" i="139"/>
  <c r="JM37" i="139"/>
  <c r="JM38" i="139"/>
  <c r="JM32" i="139"/>
  <c r="JM41" i="139"/>
  <c r="JM30" i="139"/>
  <c r="JM39" i="139"/>
  <c r="JM40" i="139"/>
  <c r="JJ60" i="139"/>
  <c r="JK60" i="139"/>
  <c r="JL60" i="139" s="1"/>
  <c r="JN60" i="139" s="1"/>
  <c r="JK65" i="139"/>
  <c r="JL65" i="139" s="1"/>
  <c r="JN65" i="139" s="1"/>
  <c r="JJ65" i="139"/>
  <c r="JJ68" i="139"/>
  <c r="JK68" i="139"/>
  <c r="JL68" i="139" s="1"/>
  <c r="JN68" i="139" s="1"/>
  <c r="JK61" i="139"/>
  <c r="JL61" i="139" s="1"/>
  <c r="JN61" i="139" s="1"/>
  <c r="JJ61" i="139"/>
  <c r="JJ62" i="139"/>
  <c r="JK62" i="139"/>
  <c r="JL62" i="139" s="1"/>
  <c r="JN62" i="139" s="1"/>
  <c r="JJ63" i="139"/>
  <c r="JK63" i="139"/>
  <c r="JL63" i="139" s="1"/>
  <c r="JN63" i="139" s="1"/>
  <c r="JK58" i="139"/>
  <c r="JL58" i="139" s="1"/>
  <c r="JN58" i="139" s="1"/>
  <c r="JJ58" i="139"/>
  <c r="JK67" i="139"/>
  <c r="JL67" i="139" s="1"/>
  <c r="JN67" i="139" s="1"/>
  <c r="JJ67" i="139"/>
  <c r="JK64" i="139"/>
  <c r="JL64" i="139" s="1"/>
  <c r="JN64" i="139" s="1"/>
  <c r="JJ64" i="139"/>
  <c r="JM33" i="139"/>
  <c r="JK59" i="139"/>
  <c r="JL59" i="139" s="1"/>
  <c r="JN59" i="139" s="1"/>
  <c r="JJ59" i="139"/>
  <c r="JM34" i="139"/>
  <c r="JM35" i="139"/>
  <c r="JJ57" i="139"/>
  <c r="JK57" i="139"/>
  <c r="JL57" i="139" s="1"/>
  <c r="JN57" i="139" s="1"/>
  <c r="JM36" i="139"/>
  <c r="JK66" i="139"/>
  <c r="JL66" i="139" s="1"/>
  <c r="JN66" i="139" s="1"/>
  <c r="JJ66" i="139"/>
  <c r="AU34" i="139" l="1"/>
  <c r="AU61" i="139" s="1"/>
  <c r="BT87" i="139" s="1"/>
  <c r="AU40" i="139"/>
  <c r="AU67" i="139" s="1"/>
  <c r="BT93" i="139" s="1"/>
  <c r="AU37" i="139"/>
  <c r="AU64" i="139" s="1"/>
  <c r="BT90" i="139" s="1"/>
  <c r="AU35" i="139"/>
  <c r="AU62" i="139" s="1"/>
  <c r="BT88" i="139" s="1"/>
  <c r="AU38" i="139"/>
  <c r="AU65" i="139" s="1"/>
  <c r="BT91" i="139" s="1"/>
  <c r="AU41" i="139"/>
  <c r="AU68" i="139" s="1"/>
  <c r="BT94" i="139" s="1"/>
  <c r="AU39" i="139"/>
  <c r="AU66" i="139" s="1"/>
  <c r="BT92" i="139" s="1"/>
  <c r="AU32" i="139"/>
  <c r="AU59" i="139" s="1"/>
  <c r="BT85" i="139" s="1"/>
  <c r="AU36" i="139"/>
  <c r="AU63" i="139" s="1"/>
  <c r="BT89" i="139" s="1"/>
  <c r="AU31" i="139"/>
  <c r="AU58" i="139" s="1"/>
  <c r="BT84" i="139" s="1"/>
  <c r="AT28" i="139"/>
  <c r="AU30" i="139"/>
  <c r="AU57" i="139" s="1"/>
  <c r="BT83" i="139" s="1"/>
  <c r="AU33" i="139"/>
  <c r="AU60" i="139" s="1"/>
  <c r="BT86" i="139" s="1"/>
  <c r="JM59" i="139"/>
  <c r="JM64" i="139"/>
  <c r="JM58" i="139"/>
  <c r="JM61" i="139"/>
  <c r="JM63" i="139"/>
  <c r="JM62" i="139"/>
  <c r="JM66" i="139"/>
  <c r="JM57" i="139"/>
  <c r="JM67" i="139"/>
  <c r="JM68" i="139"/>
  <c r="JM65" i="139"/>
  <c r="JM60" i="139"/>
  <c r="AT33" i="139" l="1"/>
  <c r="AT60" i="139" s="1"/>
  <c r="BS86" i="139" s="1"/>
  <c r="AT34" i="139"/>
  <c r="AT61" i="139" s="1"/>
  <c r="BS87" i="139" s="1"/>
  <c r="AS28" i="139"/>
  <c r="AT37" i="139"/>
  <c r="AT64" i="139" s="1"/>
  <c r="BS90" i="139" s="1"/>
  <c r="AT39" i="139"/>
  <c r="AT66" i="139" s="1"/>
  <c r="BS92" i="139" s="1"/>
  <c r="AT35" i="139"/>
  <c r="AT62" i="139" s="1"/>
  <c r="BS88" i="139" s="1"/>
  <c r="AT31" i="139"/>
  <c r="AT58" i="139" s="1"/>
  <c r="BS84" i="139" s="1"/>
  <c r="AT32" i="139"/>
  <c r="AT59" i="139" s="1"/>
  <c r="BS85" i="139" s="1"/>
  <c r="AT30" i="139"/>
  <c r="AT57" i="139" s="1"/>
  <c r="BS83" i="139" s="1"/>
  <c r="AT40" i="139"/>
  <c r="AT67" i="139" s="1"/>
  <c r="BS93" i="139" s="1"/>
  <c r="AT36" i="139"/>
  <c r="AT63" i="139" s="1"/>
  <c r="BS89" i="139" s="1"/>
  <c r="AT38" i="139"/>
  <c r="AT65" i="139" s="1"/>
  <c r="BS91" i="139" s="1"/>
  <c r="AT41" i="139"/>
  <c r="AT68" i="139" s="1"/>
  <c r="BS94" i="139" s="1"/>
  <c r="AS33" i="139" l="1"/>
  <c r="AS60" i="139" s="1"/>
  <c r="BR86" i="139" s="1"/>
  <c r="AS32" i="139"/>
  <c r="AS59" i="139" s="1"/>
  <c r="BR85" i="139" s="1"/>
  <c r="AS35" i="139"/>
  <c r="AS62" i="139" s="1"/>
  <c r="BR88" i="139" s="1"/>
  <c r="AS41" i="139"/>
  <c r="AS68" i="139" s="1"/>
  <c r="BR94" i="139" s="1"/>
  <c r="AS34" i="139"/>
  <c r="AS61" i="139" s="1"/>
  <c r="BR87" i="139" s="1"/>
  <c r="AS36" i="139"/>
  <c r="AS63" i="139" s="1"/>
  <c r="BR89" i="139" s="1"/>
  <c r="AR28" i="139"/>
  <c r="AS31" i="139"/>
  <c r="AS58" i="139" s="1"/>
  <c r="BR84" i="139" s="1"/>
  <c r="AS38" i="139"/>
  <c r="AS65" i="139" s="1"/>
  <c r="BR91" i="139" s="1"/>
  <c r="AS37" i="139"/>
  <c r="AS64" i="139" s="1"/>
  <c r="BR90" i="139" s="1"/>
  <c r="AS39" i="139"/>
  <c r="AS66" i="139" s="1"/>
  <c r="BR92" i="139" s="1"/>
  <c r="AS40" i="139"/>
  <c r="AS67" i="139" s="1"/>
  <c r="BR93" i="139" s="1"/>
  <c r="AS30" i="139"/>
  <c r="AS57" i="139" s="1"/>
  <c r="BR83" i="139" s="1"/>
  <c r="AR34" i="139" l="1"/>
  <c r="AR61" i="139" s="1"/>
  <c r="BQ87" i="139" s="1"/>
  <c r="AR33" i="139"/>
  <c r="AR60" i="139" s="1"/>
  <c r="BQ86" i="139" s="1"/>
  <c r="AR41" i="139"/>
  <c r="AR68" i="139" s="1"/>
  <c r="BQ94" i="139" s="1"/>
  <c r="AR37" i="139"/>
  <c r="AR64" i="139" s="1"/>
  <c r="BQ90" i="139" s="1"/>
  <c r="AR36" i="139"/>
  <c r="AR63" i="139" s="1"/>
  <c r="BQ89" i="139" s="1"/>
  <c r="AQ28" i="139"/>
  <c r="AR39" i="139"/>
  <c r="AR66" i="139" s="1"/>
  <c r="BQ92" i="139" s="1"/>
  <c r="AR35" i="139"/>
  <c r="AR62" i="139" s="1"/>
  <c r="BQ88" i="139" s="1"/>
  <c r="AR40" i="139"/>
  <c r="AR67" i="139" s="1"/>
  <c r="BQ93" i="139" s="1"/>
  <c r="AR30" i="139"/>
  <c r="AR57" i="139" s="1"/>
  <c r="BQ83" i="139" s="1"/>
  <c r="AR38" i="139"/>
  <c r="AR65" i="139" s="1"/>
  <c r="BQ91" i="139" s="1"/>
  <c r="AR31" i="139"/>
  <c r="AR58" i="139" s="1"/>
  <c r="BQ84" i="139" s="1"/>
  <c r="AR32" i="139"/>
  <c r="AR59" i="139" s="1"/>
  <c r="BQ85" i="139" s="1"/>
  <c r="AQ35" i="139" l="1"/>
  <c r="AQ62" i="139" s="1"/>
  <c r="BP88" i="139" s="1"/>
  <c r="AQ32" i="139"/>
  <c r="AQ59" i="139" s="1"/>
  <c r="BP85" i="139" s="1"/>
  <c r="AQ36" i="139"/>
  <c r="AQ63" i="139" s="1"/>
  <c r="BP89" i="139" s="1"/>
  <c r="AQ37" i="139"/>
  <c r="AQ64" i="139" s="1"/>
  <c r="BP90" i="139" s="1"/>
  <c r="AQ34" i="139"/>
  <c r="AQ61" i="139" s="1"/>
  <c r="BP87" i="139" s="1"/>
  <c r="AQ38" i="139"/>
  <c r="AQ65" i="139" s="1"/>
  <c r="BP91" i="139" s="1"/>
  <c r="AP28" i="139"/>
  <c r="AQ41" i="139"/>
  <c r="AQ68" i="139" s="1"/>
  <c r="BP94" i="139" s="1"/>
  <c r="AQ40" i="139"/>
  <c r="AQ67" i="139" s="1"/>
  <c r="BP93" i="139" s="1"/>
  <c r="AQ33" i="139"/>
  <c r="AQ60" i="139" s="1"/>
  <c r="BP86" i="139" s="1"/>
  <c r="AQ31" i="139"/>
  <c r="AQ58" i="139" s="1"/>
  <c r="BP84" i="139" s="1"/>
  <c r="AQ39" i="139"/>
  <c r="AQ66" i="139" s="1"/>
  <c r="BP92" i="139" s="1"/>
  <c r="AQ30" i="139"/>
  <c r="AQ57" i="139" s="1"/>
  <c r="BP83" i="139" s="1"/>
  <c r="AP39" i="139" l="1"/>
  <c r="AP66" i="139" s="1"/>
  <c r="BO92" i="139" s="1"/>
  <c r="AP41" i="139"/>
  <c r="AP68" i="139" s="1"/>
  <c r="BO94" i="139" s="1"/>
  <c r="AP38" i="139"/>
  <c r="AP65" i="139" s="1"/>
  <c r="BO91" i="139" s="1"/>
  <c r="AP37" i="139"/>
  <c r="AP64" i="139" s="1"/>
  <c r="BO90" i="139" s="1"/>
  <c r="AO28" i="139"/>
  <c r="AP36" i="139"/>
  <c r="AP63" i="139" s="1"/>
  <c r="BO89" i="139" s="1"/>
  <c r="AP30" i="139"/>
  <c r="AP57" i="139" s="1"/>
  <c r="BO83" i="139" s="1"/>
  <c r="AP32" i="139"/>
  <c r="AP59" i="139" s="1"/>
  <c r="BO85" i="139" s="1"/>
  <c r="AP35" i="139"/>
  <c r="AP62" i="139" s="1"/>
  <c r="BO88" i="139" s="1"/>
  <c r="AP33" i="139"/>
  <c r="AP60" i="139" s="1"/>
  <c r="BO86" i="139" s="1"/>
  <c r="AP31" i="139"/>
  <c r="AP58" i="139" s="1"/>
  <c r="BO84" i="139" s="1"/>
  <c r="AP40" i="139"/>
  <c r="AP67" i="139" s="1"/>
  <c r="BO93" i="139" s="1"/>
  <c r="AP34" i="139"/>
  <c r="AP61" i="139" s="1"/>
  <c r="BO87" i="139" s="1"/>
  <c r="AO36" i="139" l="1"/>
  <c r="AO63" i="139" s="1"/>
  <c r="BN89" i="139" s="1"/>
  <c r="AO39" i="139"/>
  <c r="AO66" i="139" s="1"/>
  <c r="BN92" i="139" s="1"/>
  <c r="AO41" i="139"/>
  <c r="AO68" i="139" s="1"/>
  <c r="BN94" i="139" s="1"/>
  <c r="AO30" i="139"/>
  <c r="AO57" i="139" s="1"/>
  <c r="BN83" i="139" s="1"/>
  <c r="AO38" i="139"/>
  <c r="AO65" i="139" s="1"/>
  <c r="BN91" i="139" s="1"/>
  <c r="AO34" i="139"/>
  <c r="AO61" i="139" s="1"/>
  <c r="BN87" i="139" s="1"/>
  <c r="AO37" i="139"/>
  <c r="AO64" i="139" s="1"/>
  <c r="BN90" i="139" s="1"/>
  <c r="AN28" i="139"/>
  <c r="AO33" i="139"/>
  <c r="AO60" i="139" s="1"/>
  <c r="BN86" i="139" s="1"/>
  <c r="AO32" i="139"/>
  <c r="AO59" i="139" s="1"/>
  <c r="BN85" i="139" s="1"/>
  <c r="AO40" i="139"/>
  <c r="AO67" i="139" s="1"/>
  <c r="BN93" i="139" s="1"/>
  <c r="AO35" i="139"/>
  <c r="AO62" i="139" s="1"/>
  <c r="BN88" i="139" s="1"/>
  <c r="AO31" i="139"/>
  <c r="AO58" i="139" s="1"/>
  <c r="BN84" i="139" s="1"/>
  <c r="AN30" i="139" l="1"/>
  <c r="AN57" i="139" s="1"/>
  <c r="BM83" i="139" s="1"/>
  <c r="AN34" i="139"/>
  <c r="AN61" i="139" s="1"/>
  <c r="BM87" i="139" s="1"/>
  <c r="AN41" i="139"/>
  <c r="AN68" i="139" s="1"/>
  <c r="BM94" i="139" s="1"/>
  <c r="AN32" i="139"/>
  <c r="AN59" i="139" s="1"/>
  <c r="BM85" i="139" s="1"/>
  <c r="AN39" i="139"/>
  <c r="AN66" i="139" s="1"/>
  <c r="BM92" i="139" s="1"/>
  <c r="AN38" i="139"/>
  <c r="AN65" i="139" s="1"/>
  <c r="BM91" i="139" s="1"/>
  <c r="AN37" i="139"/>
  <c r="AN64" i="139" s="1"/>
  <c r="BM90" i="139" s="1"/>
  <c r="AN36" i="139"/>
  <c r="AN63" i="139" s="1"/>
  <c r="BM89" i="139" s="1"/>
  <c r="AN33" i="139"/>
  <c r="AN60" i="139" s="1"/>
  <c r="BM86" i="139" s="1"/>
  <c r="AN35" i="139"/>
  <c r="AN62" i="139" s="1"/>
  <c r="BM88" i="139" s="1"/>
  <c r="AM28" i="139"/>
  <c r="AN40" i="139"/>
  <c r="AN67" i="139" s="1"/>
  <c r="BM93" i="139" s="1"/>
  <c r="AN31" i="139"/>
  <c r="AN58" i="139" s="1"/>
  <c r="BM84" i="139" s="1"/>
  <c r="AM32" i="139" l="1"/>
  <c r="AM59" i="139" s="1"/>
  <c r="BL85" i="139" s="1"/>
  <c r="AM36" i="139"/>
  <c r="AM63" i="139" s="1"/>
  <c r="BL89" i="139" s="1"/>
  <c r="AL28" i="139"/>
  <c r="AM41" i="139"/>
  <c r="AM68" i="139" s="1"/>
  <c r="BL94" i="139" s="1"/>
  <c r="AM33" i="139"/>
  <c r="AM60" i="139" s="1"/>
  <c r="BL86" i="139" s="1"/>
  <c r="AM35" i="139"/>
  <c r="AM62" i="139" s="1"/>
  <c r="BL88" i="139" s="1"/>
  <c r="AM39" i="139"/>
  <c r="AM66" i="139" s="1"/>
  <c r="BL92" i="139" s="1"/>
  <c r="AM37" i="139"/>
  <c r="AM64" i="139" s="1"/>
  <c r="BL90" i="139" s="1"/>
  <c r="AM40" i="139"/>
  <c r="AM67" i="139" s="1"/>
  <c r="BL93" i="139" s="1"/>
  <c r="AM30" i="139"/>
  <c r="AM57" i="139" s="1"/>
  <c r="BL83" i="139" s="1"/>
  <c r="AM31" i="139"/>
  <c r="AM58" i="139" s="1"/>
  <c r="BL84" i="139" s="1"/>
  <c r="AM38" i="139"/>
  <c r="AM65" i="139" s="1"/>
  <c r="BL91" i="139" s="1"/>
  <c r="AM34" i="139"/>
  <c r="AM61" i="139" s="1"/>
  <c r="BL87" i="139" s="1"/>
  <c r="AL36" i="139" l="1"/>
  <c r="AL63" i="139" s="1"/>
  <c r="BK89" i="139" s="1"/>
  <c r="AL38" i="139"/>
  <c r="AL65" i="139" s="1"/>
  <c r="BK91" i="139" s="1"/>
  <c r="AL32" i="139"/>
  <c r="AL59" i="139" s="1"/>
  <c r="BK85" i="139" s="1"/>
  <c r="AK28" i="139"/>
  <c r="AL30" i="139"/>
  <c r="AL57" i="139" s="1"/>
  <c r="BK83" i="139" s="1"/>
  <c r="AL31" i="139"/>
  <c r="AL58" i="139" s="1"/>
  <c r="BK84" i="139" s="1"/>
  <c r="AL41" i="139"/>
  <c r="AL68" i="139" s="1"/>
  <c r="BK94" i="139" s="1"/>
  <c r="AL35" i="139"/>
  <c r="AL62" i="139" s="1"/>
  <c r="BK88" i="139" s="1"/>
  <c r="AL34" i="139"/>
  <c r="AL61" i="139" s="1"/>
  <c r="BK87" i="139" s="1"/>
  <c r="AL39" i="139"/>
  <c r="AL66" i="139" s="1"/>
  <c r="BK92" i="139" s="1"/>
  <c r="AL40" i="139"/>
  <c r="AL67" i="139" s="1"/>
  <c r="BK93" i="139" s="1"/>
  <c r="AL37" i="139"/>
  <c r="AL64" i="139" s="1"/>
  <c r="BK90" i="139" s="1"/>
  <c r="AL33" i="139"/>
  <c r="AL60" i="139" s="1"/>
  <c r="BK86" i="139" s="1"/>
  <c r="AK34" i="139" l="1"/>
  <c r="AK61" i="139" s="1"/>
  <c r="BJ87" i="139" s="1"/>
  <c r="AJ28" i="139"/>
  <c r="AK37" i="139"/>
  <c r="AK64" i="139" s="1"/>
  <c r="BJ90" i="139" s="1"/>
  <c r="AK30" i="139"/>
  <c r="AK57" i="139" s="1"/>
  <c r="BJ83" i="139" s="1"/>
  <c r="AK39" i="139"/>
  <c r="AK66" i="139" s="1"/>
  <c r="BJ92" i="139" s="1"/>
  <c r="AK38" i="139"/>
  <c r="AK65" i="139" s="1"/>
  <c r="BJ91" i="139" s="1"/>
  <c r="AK35" i="139"/>
  <c r="AK62" i="139" s="1"/>
  <c r="BJ88" i="139" s="1"/>
  <c r="AK40" i="139"/>
  <c r="AK67" i="139" s="1"/>
  <c r="BJ93" i="139" s="1"/>
  <c r="AK36" i="139"/>
  <c r="AK63" i="139" s="1"/>
  <c r="BJ89" i="139" s="1"/>
  <c r="AK32" i="139"/>
  <c r="AK59" i="139" s="1"/>
  <c r="BJ85" i="139" s="1"/>
  <c r="AK33" i="139"/>
  <c r="AK60" i="139" s="1"/>
  <c r="BJ86" i="139" s="1"/>
  <c r="AK31" i="139"/>
  <c r="AK58" i="139" s="1"/>
  <c r="BJ84" i="139" s="1"/>
  <c r="AK41" i="139"/>
  <c r="AK68" i="139" s="1"/>
  <c r="BJ94" i="139" s="1"/>
  <c r="AJ31" i="139" l="1"/>
  <c r="AJ58" i="139" s="1"/>
  <c r="BI84" i="139" s="1"/>
  <c r="AJ36" i="139"/>
  <c r="AJ63" i="139" s="1"/>
  <c r="BI89" i="139" s="1"/>
  <c r="AJ39" i="139"/>
  <c r="AJ66" i="139" s="1"/>
  <c r="BI92" i="139" s="1"/>
  <c r="AJ37" i="139"/>
  <c r="AJ64" i="139" s="1"/>
  <c r="BI90" i="139" s="1"/>
  <c r="AJ32" i="139"/>
  <c r="AJ59" i="139" s="1"/>
  <c r="BI85" i="139" s="1"/>
  <c r="AJ34" i="139"/>
  <c r="AJ61" i="139" s="1"/>
  <c r="BI87" i="139" s="1"/>
  <c r="AJ33" i="139"/>
  <c r="AJ60" i="139" s="1"/>
  <c r="BI86" i="139" s="1"/>
  <c r="AJ41" i="139"/>
  <c r="AJ68" i="139" s="1"/>
  <c r="BI94" i="139" s="1"/>
  <c r="AJ40" i="139"/>
  <c r="AJ67" i="139" s="1"/>
  <c r="BI93" i="139" s="1"/>
  <c r="AJ30" i="139"/>
  <c r="AJ57" i="139" s="1"/>
  <c r="BI83" i="139" s="1"/>
  <c r="AJ38" i="139"/>
  <c r="AJ65" i="139" s="1"/>
  <c r="BI91" i="139" s="1"/>
  <c r="AI28" i="139"/>
  <c r="AJ35" i="139"/>
  <c r="AJ62" i="139" s="1"/>
  <c r="BI88" i="139" s="1"/>
  <c r="AI41" i="139" l="1"/>
  <c r="AI68" i="139" s="1"/>
  <c r="BH94" i="139" s="1"/>
  <c r="AI37" i="139"/>
  <c r="AI64" i="139" s="1"/>
  <c r="BH90" i="139" s="1"/>
  <c r="AI35" i="139"/>
  <c r="AI62" i="139" s="1"/>
  <c r="BH88" i="139" s="1"/>
  <c r="AI34" i="139"/>
  <c r="AI61" i="139" s="1"/>
  <c r="BH87" i="139" s="1"/>
  <c r="AI33" i="139"/>
  <c r="AI60" i="139" s="1"/>
  <c r="BH86" i="139" s="1"/>
  <c r="AI31" i="139"/>
  <c r="AI58" i="139" s="1"/>
  <c r="BH84" i="139" s="1"/>
  <c r="AI30" i="139"/>
  <c r="AI57" i="139" s="1"/>
  <c r="BH83" i="139" s="1"/>
  <c r="AI36" i="139"/>
  <c r="AI63" i="139" s="1"/>
  <c r="BH89" i="139" s="1"/>
  <c r="AI38" i="139"/>
  <c r="AI65" i="139" s="1"/>
  <c r="BH91" i="139" s="1"/>
  <c r="AI32" i="139"/>
  <c r="AI59" i="139" s="1"/>
  <c r="BH85" i="139" s="1"/>
  <c r="AI39" i="139"/>
  <c r="AI66" i="139" s="1"/>
  <c r="BH92" i="139" s="1"/>
  <c r="AI40" i="139"/>
  <c r="AI67" i="139" s="1"/>
  <c r="BH93" i="139" s="1"/>
  <c r="AH28" i="139"/>
  <c r="AH34" i="139" l="1"/>
  <c r="AH61" i="139" s="1"/>
  <c r="BG87" i="139" s="1"/>
  <c r="AH36" i="139"/>
  <c r="AH63" i="139" s="1"/>
  <c r="BG89" i="139" s="1"/>
  <c r="AH38" i="139"/>
  <c r="AH65" i="139" s="1"/>
  <c r="BG91" i="139" s="1"/>
  <c r="AH30" i="139"/>
  <c r="AH57" i="139" s="1"/>
  <c r="BG83" i="139" s="1"/>
  <c r="AH33" i="139"/>
  <c r="AH60" i="139" s="1"/>
  <c r="BG86" i="139" s="1"/>
  <c r="AG28" i="139"/>
  <c r="AH41" i="139"/>
  <c r="AH68" i="139" s="1"/>
  <c r="BG94" i="139" s="1"/>
  <c r="AH32" i="139"/>
  <c r="AH59" i="139" s="1"/>
  <c r="BG85" i="139" s="1"/>
  <c r="AH35" i="139"/>
  <c r="AH62" i="139" s="1"/>
  <c r="BG88" i="139" s="1"/>
  <c r="AH31" i="139"/>
  <c r="AH58" i="139" s="1"/>
  <c r="BG84" i="139" s="1"/>
  <c r="AH39" i="139"/>
  <c r="AH66" i="139" s="1"/>
  <c r="BG92" i="139" s="1"/>
  <c r="AH37" i="139"/>
  <c r="AH64" i="139" s="1"/>
  <c r="BG90" i="139" s="1"/>
  <c r="AH40" i="139"/>
  <c r="AH67" i="139" s="1"/>
  <c r="BG93" i="139" s="1"/>
  <c r="AG33" i="139" l="1"/>
  <c r="AG60" i="139" s="1"/>
  <c r="BF86" i="139" s="1"/>
  <c r="AF28" i="139"/>
  <c r="AG39" i="139"/>
  <c r="AG66" i="139" s="1"/>
  <c r="BF92" i="139" s="1"/>
  <c r="AG38" i="139"/>
  <c r="AG65" i="139" s="1"/>
  <c r="BF91" i="139" s="1"/>
  <c r="AG31" i="139"/>
  <c r="AG58" i="139" s="1"/>
  <c r="BF84" i="139" s="1"/>
  <c r="AG35" i="139"/>
  <c r="AG62" i="139" s="1"/>
  <c r="BF88" i="139" s="1"/>
  <c r="AG40" i="139"/>
  <c r="AG67" i="139" s="1"/>
  <c r="BF93" i="139" s="1"/>
  <c r="AG37" i="139"/>
  <c r="AG64" i="139" s="1"/>
  <c r="BF90" i="139" s="1"/>
  <c r="AG36" i="139"/>
  <c r="AG63" i="139" s="1"/>
  <c r="BF89" i="139" s="1"/>
  <c r="AG41" i="139"/>
  <c r="AG68" i="139" s="1"/>
  <c r="BF94" i="139" s="1"/>
  <c r="AG32" i="139"/>
  <c r="AG59" i="139" s="1"/>
  <c r="BF85" i="139" s="1"/>
  <c r="AG30" i="139"/>
  <c r="AG57" i="139" s="1"/>
  <c r="BF83" i="139" s="1"/>
  <c r="AG34" i="139"/>
  <c r="AG61" i="139" s="1"/>
  <c r="BF87" i="139" s="1"/>
  <c r="AF39" i="139" l="1"/>
  <c r="AF66" i="139" s="1"/>
  <c r="BE92" i="139" s="1"/>
  <c r="AF30" i="139"/>
  <c r="AF57" i="139" s="1"/>
  <c r="BE83" i="139" s="1"/>
  <c r="AF35" i="139"/>
  <c r="AF62" i="139" s="1"/>
  <c r="BE88" i="139" s="1"/>
  <c r="AF37" i="139"/>
  <c r="AF64" i="139" s="1"/>
  <c r="BE90" i="139" s="1"/>
  <c r="AF31" i="139"/>
  <c r="AF58" i="139" s="1"/>
  <c r="BE84" i="139" s="1"/>
  <c r="AF38" i="139"/>
  <c r="AF65" i="139" s="1"/>
  <c r="BE91" i="139" s="1"/>
  <c r="AF36" i="139"/>
  <c r="AF63" i="139" s="1"/>
  <c r="BE89" i="139" s="1"/>
  <c r="AF32" i="139"/>
  <c r="AF59" i="139" s="1"/>
  <c r="BE85" i="139" s="1"/>
  <c r="AF41" i="139"/>
  <c r="AF68" i="139" s="1"/>
  <c r="BE94" i="139" s="1"/>
  <c r="AF34" i="139"/>
  <c r="AF61" i="139" s="1"/>
  <c r="BE87" i="139" s="1"/>
  <c r="AF33" i="139"/>
  <c r="AF60" i="139" s="1"/>
  <c r="BE86" i="139" s="1"/>
  <c r="AE28" i="139"/>
  <c r="AF40" i="139"/>
  <c r="AF67" i="139" s="1"/>
  <c r="BE93" i="139" s="1"/>
  <c r="AE31" i="139" l="1"/>
  <c r="AE58" i="139" s="1"/>
  <c r="BD84" i="139" s="1"/>
  <c r="AE37" i="139"/>
  <c r="AE64" i="139" s="1"/>
  <c r="BD90" i="139" s="1"/>
  <c r="AE35" i="139"/>
  <c r="AE62" i="139" s="1"/>
  <c r="BD88" i="139" s="1"/>
  <c r="AE32" i="139"/>
  <c r="AE59" i="139" s="1"/>
  <c r="BD85" i="139" s="1"/>
  <c r="AE33" i="139"/>
  <c r="AE60" i="139" s="1"/>
  <c r="BD86" i="139" s="1"/>
  <c r="AE41" i="139"/>
  <c r="AE68" i="139" s="1"/>
  <c r="BD94" i="139" s="1"/>
  <c r="AE38" i="139"/>
  <c r="AE65" i="139" s="1"/>
  <c r="BD91" i="139" s="1"/>
  <c r="AE30" i="139"/>
  <c r="AE57" i="139" s="1"/>
  <c r="BD83" i="139" s="1"/>
  <c r="AE40" i="139"/>
  <c r="AE67" i="139" s="1"/>
  <c r="BD93" i="139" s="1"/>
  <c r="AE39" i="139"/>
  <c r="AE66" i="139" s="1"/>
  <c r="BD92" i="139" s="1"/>
  <c r="AD28" i="139"/>
  <c r="AE34" i="139"/>
  <c r="AE61" i="139" s="1"/>
  <c r="BD87" i="139" s="1"/>
  <c r="AE36" i="139"/>
  <c r="AE63" i="139" s="1"/>
  <c r="BD89" i="139" s="1"/>
  <c r="AD39" i="139" l="1"/>
  <c r="AD66" i="139" s="1"/>
  <c r="BC92" i="139" s="1"/>
  <c r="AD36" i="139"/>
  <c r="AD63" i="139" s="1"/>
  <c r="BC89" i="139" s="1"/>
  <c r="AD34" i="139"/>
  <c r="AD61" i="139" s="1"/>
  <c r="BC87" i="139" s="1"/>
  <c r="AD37" i="139"/>
  <c r="AD64" i="139" s="1"/>
  <c r="BC90" i="139" s="1"/>
  <c r="AD41" i="139"/>
  <c r="AD68" i="139" s="1"/>
  <c r="BC94" i="139" s="1"/>
  <c r="AD38" i="139"/>
  <c r="AD65" i="139" s="1"/>
  <c r="BC91" i="139" s="1"/>
  <c r="AD31" i="139"/>
  <c r="AD58" i="139" s="1"/>
  <c r="BC84" i="139" s="1"/>
  <c r="AD33" i="139"/>
  <c r="AD60" i="139" s="1"/>
  <c r="BC86" i="139" s="1"/>
  <c r="AD30" i="139"/>
  <c r="AD57" i="139" s="1"/>
  <c r="BC83" i="139" s="1"/>
  <c r="AC28" i="139"/>
  <c r="AD35" i="139"/>
  <c r="AD62" i="139" s="1"/>
  <c r="BC88" i="139" s="1"/>
  <c r="AD40" i="139"/>
  <c r="AD67" i="139" s="1"/>
  <c r="BC93" i="139" s="1"/>
  <c r="AD32" i="139"/>
  <c r="AD59" i="139" s="1"/>
  <c r="BC85" i="139" s="1"/>
  <c r="AB28" i="139" l="1"/>
  <c r="AC35" i="139"/>
  <c r="AC62" i="139" s="1"/>
  <c r="BB88" i="139" s="1"/>
  <c r="AC40" i="139"/>
  <c r="AC67" i="139" s="1"/>
  <c r="BB93" i="139" s="1"/>
  <c r="AC31" i="139"/>
  <c r="AC58" i="139" s="1"/>
  <c r="BB84" i="139" s="1"/>
  <c r="AC30" i="139"/>
  <c r="AC57" i="139" s="1"/>
  <c r="BB83" i="139" s="1"/>
  <c r="AC39" i="139"/>
  <c r="AC66" i="139" s="1"/>
  <c r="BB92" i="139" s="1"/>
  <c r="AC38" i="139"/>
  <c r="AC65" i="139" s="1"/>
  <c r="BB91" i="139" s="1"/>
  <c r="AC36" i="139"/>
  <c r="AC63" i="139" s="1"/>
  <c r="BB89" i="139" s="1"/>
  <c r="AC34" i="139"/>
  <c r="AC61" i="139" s="1"/>
  <c r="BB87" i="139" s="1"/>
  <c r="AC32" i="139"/>
  <c r="AC59" i="139" s="1"/>
  <c r="BB85" i="139" s="1"/>
  <c r="AC33" i="139"/>
  <c r="AC60" i="139" s="1"/>
  <c r="BB86" i="139" s="1"/>
  <c r="AC37" i="139"/>
  <c r="AC64" i="139" s="1"/>
  <c r="BB90" i="139" s="1"/>
  <c r="AC41" i="139"/>
  <c r="AC68" i="139" s="1"/>
  <c r="BB94" i="139" s="1"/>
  <c r="AB33" i="139" l="1"/>
  <c r="AB60" i="139" s="1"/>
  <c r="BA86" i="139" s="1"/>
  <c r="AB40" i="139"/>
  <c r="AB67" i="139" s="1"/>
  <c r="BA93" i="139" s="1"/>
  <c r="AB36" i="139"/>
  <c r="AB63" i="139" s="1"/>
  <c r="BA89" i="139" s="1"/>
  <c r="AB39" i="139"/>
  <c r="AB66" i="139" s="1"/>
  <c r="BA92" i="139" s="1"/>
  <c r="AB34" i="139"/>
  <c r="AB61" i="139" s="1"/>
  <c r="BA87" i="139" s="1"/>
  <c r="AB37" i="139"/>
  <c r="AB64" i="139" s="1"/>
  <c r="BA90" i="139" s="1"/>
  <c r="AB30" i="139"/>
  <c r="AB57" i="139" s="1"/>
  <c r="BA83" i="139" s="1"/>
  <c r="AB38" i="139"/>
  <c r="AB65" i="139" s="1"/>
  <c r="BA91" i="139" s="1"/>
  <c r="AB31" i="139"/>
  <c r="AB58" i="139" s="1"/>
  <c r="BA84" i="139" s="1"/>
  <c r="AA28" i="139"/>
  <c r="AB41" i="139"/>
  <c r="AB68" i="139" s="1"/>
  <c r="BA94" i="139" s="1"/>
  <c r="AB35" i="139"/>
  <c r="AB62" i="139" s="1"/>
  <c r="BA88" i="139" s="1"/>
  <c r="AB32" i="139"/>
  <c r="AB59" i="139" s="1"/>
  <c r="BA85" i="139" s="1"/>
  <c r="Z28" i="139" l="1"/>
  <c r="AA34" i="139"/>
  <c r="AA61" i="139" s="1"/>
  <c r="AZ87" i="139" s="1"/>
  <c r="AA37" i="139"/>
  <c r="AA64" i="139" s="1"/>
  <c r="AZ90" i="139" s="1"/>
  <c r="AA36" i="139"/>
  <c r="AA63" i="139" s="1"/>
  <c r="AZ89" i="139" s="1"/>
  <c r="AA31" i="139"/>
  <c r="AA58" i="139" s="1"/>
  <c r="AZ84" i="139" s="1"/>
  <c r="AA40" i="139"/>
  <c r="AA67" i="139" s="1"/>
  <c r="AZ93" i="139" s="1"/>
  <c r="AA32" i="139"/>
  <c r="AA59" i="139" s="1"/>
  <c r="AZ85" i="139" s="1"/>
  <c r="AA33" i="139"/>
  <c r="AA60" i="139" s="1"/>
  <c r="AZ86" i="139" s="1"/>
  <c r="AA35" i="139"/>
  <c r="AA62" i="139" s="1"/>
  <c r="AZ88" i="139" s="1"/>
  <c r="AA39" i="139"/>
  <c r="AA66" i="139" s="1"/>
  <c r="AZ92" i="139" s="1"/>
  <c r="AA30" i="139"/>
  <c r="AA57" i="139" s="1"/>
  <c r="AZ83" i="139" s="1"/>
  <c r="AA38" i="139"/>
  <c r="AA65" i="139" s="1"/>
  <c r="AZ91" i="139" s="1"/>
  <c r="AA41" i="139"/>
  <c r="AA68" i="139" s="1"/>
  <c r="AZ94" i="139" s="1"/>
  <c r="Z33" i="139" l="1"/>
  <c r="Z60" i="139" s="1"/>
  <c r="AY86" i="139" s="1"/>
  <c r="Z38" i="139"/>
  <c r="Z65" i="139" s="1"/>
  <c r="AY91" i="139" s="1"/>
  <c r="Z39" i="139"/>
  <c r="Z66" i="139" s="1"/>
  <c r="AY92" i="139" s="1"/>
  <c r="Z35" i="139"/>
  <c r="Z62" i="139" s="1"/>
  <c r="AY88" i="139" s="1"/>
  <c r="Z31" i="139"/>
  <c r="Z58" i="139" s="1"/>
  <c r="AY84" i="139" s="1"/>
  <c r="Z40" i="139"/>
  <c r="Z67" i="139" s="1"/>
  <c r="AY93" i="139" s="1"/>
  <c r="Y28" i="139"/>
  <c r="Z32" i="139"/>
  <c r="Z59" i="139" s="1"/>
  <c r="AY85" i="139" s="1"/>
  <c r="Z30" i="139"/>
  <c r="Z57" i="139" s="1"/>
  <c r="AY83" i="139" s="1"/>
  <c r="Z41" i="139"/>
  <c r="Z68" i="139" s="1"/>
  <c r="AY94" i="139" s="1"/>
  <c r="Z37" i="139"/>
  <c r="Z64" i="139" s="1"/>
  <c r="AY90" i="139" s="1"/>
  <c r="Z34" i="139"/>
  <c r="Z61" i="139" s="1"/>
  <c r="AY87" i="139" s="1"/>
  <c r="Z36" i="139"/>
  <c r="Z63" i="139" s="1"/>
  <c r="AY89" i="139" s="1"/>
  <c r="Y40" i="139" l="1"/>
  <c r="Y67" i="139" s="1"/>
  <c r="AX93" i="139" s="1"/>
  <c r="Y30" i="139"/>
  <c r="Y57" i="139" s="1"/>
  <c r="AX83" i="139" s="1"/>
  <c r="Y37" i="139"/>
  <c r="Y64" i="139" s="1"/>
  <c r="AX90" i="139" s="1"/>
  <c r="Y34" i="139"/>
  <c r="Y61" i="139" s="1"/>
  <c r="AX87" i="139" s="1"/>
  <c r="Y33" i="139"/>
  <c r="Y60" i="139" s="1"/>
  <c r="AX86" i="139" s="1"/>
  <c r="Y36" i="139"/>
  <c r="Y63" i="139" s="1"/>
  <c r="AX89" i="139" s="1"/>
  <c r="Y31" i="139"/>
  <c r="Y58" i="139" s="1"/>
  <c r="AX84" i="139" s="1"/>
  <c r="Y38" i="139"/>
  <c r="Y65" i="139" s="1"/>
  <c r="AX91" i="139" s="1"/>
  <c r="X28" i="139"/>
  <c r="Y35" i="139"/>
  <c r="Y62" i="139" s="1"/>
  <c r="AX88" i="139" s="1"/>
  <c r="Y41" i="139"/>
  <c r="Y68" i="139" s="1"/>
  <c r="AX94" i="139" s="1"/>
  <c r="Y39" i="139"/>
  <c r="Y66" i="139" s="1"/>
  <c r="AX92" i="139" s="1"/>
  <c r="Y32" i="139"/>
  <c r="Y59" i="139" s="1"/>
  <c r="AX85" i="139" s="1"/>
  <c r="X37" i="139" l="1"/>
  <c r="X64" i="139" s="1"/>
  <c r="AW90" i="139" s="1"/>
  <c r="X39" i="139"/>
  <c r="X66" i="139" s="1"/>
  <c r="AW92" i="139" s="1"/>
  <c r="X38" i="139"/>
  <c r="X65" i="139" s="1"/>
  <c r="AW91" i="139" s="1"/>
  <c r="X31" i="139"/>
  <c r="X58" i="139" s="1"/>
  <c r="AW84" i="139" s="1"/>
  <c r="W28" i="139"/>
  <c r="X41" i="139"/>
  <c r="X68" i="139" s="1"/>
  <c r="AW94" i="139" s="1"/>
  <c r="X34" i="139"/>
  <c r="X61" i="139" s="1"/>
  <c r="AW87" i="139" s="1"/>
  <c r="X32" i="139"/>
  <c r="X59" i="139" s="1"/>
  <c r="AW85" i="139" s="1"/>
  <c r="X30" i="139"/>
  <c r="X57" i="139" s="1"/>
  <c r="AW83" i="139" s="1"/>
  <c r="X33" i="139"/>
  <c r="X60" i="139" s="1"/>
  <c r="AW86" i="139" s="1"/>
  <c r="X36" i="139"/>
  <c r="X63" i="139" s="1"/>
  <c r="AW89" i="139" s="1"/>
  <c r="X35" i="139"/>
  <c r="X62" i="139" s="1"/>
  <c r="AW88" i="139" s="1"/>
  <c r="X40" i="139"/>
  <c r="X67" i="139" s="1"/>
  <c r="AW93" i="139" s="1"/>
  <c r="W35" i="139" l="1"/>
  <c r="W62" i="139" s="1"/>
  <c r="AV88" i="139" s="1"/>
  <c r="W41" i="139"/>
  <c r="W68" i="139" s="1"/>
  <c r="AV94" i="139" s="1"/>
  <c r="V28" i="139"/>
  <c r="W39" i="139"/>
  <c r="W66" i="139" s="1"/>
  <c r="AV92" i="139" s="1"/>
  <c r="W37" i="139"/>
  <c r="W64" i="139" s="1"/>
  <c r="AV90" i="139" s="1"/>
  <c r="W30" i="139"/>
  <c r="W57" i="139" s="1"/>
  <c r="AV83" i="139" s="1"/>
  <c r="W40" i="139"/>
  <c r="W67" i="139" s="1"/>
  <c r="AV93" i="139" s="1"/>
  <c r="W32" i="139"/>
  <c r="W59" i="139" s="1"/>
  <c r="AV85" i="139" s="1"/>
  <c r="W33" i="139"/>
  <c r="W60" i="139" s="1"/>
  <c r="AV86" i="139" s="1"/>
  <c r="W36" i="139"/>
  <c r="W63" i="139" s="1"/>
  <c r="AV89" i="139" s="1"/>
  <c r="W34" i="139"/>
  <c r="W61" i="139" s="1"/>
  <c r="AV87" i="139" s="1"/>
  <c r="W31" i="139"/>
  <c r="W58" i="139" s="1"/>
  <c r="AV84" i="139" s="1"/>
  <c r="W38" i="139"/>
  <c r="W65" i="139" s="1"/>
  <c r="AV91" i="139" s="1"/>
  <c r="V30" i="139" l="1"/>
  <c r="V57" i="139" s="1"/>
  <c r="AU83" i="139" s="1"/>
  <c r="V39" i="139"/>
  <c r="V66" i="139" s="1"/>
  <c r="AU92" i="139" s="1"/>
  <c r="V40" i="139"/>
  <c r="V67" i="139" s="1"/>
  <c r="AU93" i="139" s="1"/>
  <c r="V34" i="139"/>
  <c r="V61" i="139" s="1"/>
  <c r="AU87" i="139" s="1"/>
  <c r="V35" i="139"/>
  <c r="V62" i="139" s="1"/>
  <c r="AU88" i="139" s="1"/>
  <c r="V37" i="139"/>
  <c r="V64" i="139" s="1"/>
  <c r="AU90" i="139" s="1"/>
  <c r="V36" i="139"/>
  <c r="V63" i="139" s="1"/>
  <c r="AU89" i="139" s="1"/>
  <c r="V32" i="139"/>
  <c r="V59" i="139" s="1"/>
  <c r="AU85" i="139" s="1"/>
  <c r="V33" i="139"/>
  <c r="V60" i="139" s="1"/>
  <c r="AU86" i="139" s="1"/>
  <c r="U28" i="139"/>
  <c r="V31" i="139"/>
  <c r="V58" i="139" s="1"/>
  <c r="AU84" i="139" s="1"/>
  <c r="V41" i="139"/>
  <c r="V68" i="139" s="1"/>
  <c r="AU94" i="139" s="1"/>
  <c r="V38" i="139"/>
  <c r="V65" i="139" s="1"/>
  <c r="AU91" i="139" s="1"/>
  <c r="U34" i="139" l="1"/>
  <c r="U61" i="139" s="1"/>
  <c r="AT87" i="139" s="1"/>
  <c r="T28" i="139"/>
  <c r="U32" i="139"/>
  <c r="U59" i="139" s="1"/>
  <c r="AT85" i="139" s="1"/>
  <c r="U30" i="139"/>
  <c r="U57" i="139" s="1"/>
  <c r="AT83" i="139" s="1"/>
  <c r="U36" i="139"/>
  <c r="U63" i="139" s="1"/>
  <c r="AT89" i="139" s="1"/>
  <c r="U35" i="139"/>
  <c r="U62" i="139" s="1"/>
  <c r="AT88" i="139" s="1"/>
  <c r="U40" i="139"/>
  <c r="U67" i="139" s="1"/>
  <c r="AT93" i="139" s="1"/>
  <c r="U31" i="139"/>
  <c r="U58" i="139" s="1"/>
  <c r="AT84" i="139" s="1"/>
  <c r="U33" i="139"/>
  <c r="U60" i="139" s="1"/>
  <c r="AT86" i="139" s="1"/>
  <c r="U39" i="139"/>
  <c r="U66" i="139" s="1"/>
  <c r="AT92" i="139" s="1"/>
  <c r="U38" i="139"/>
  <c r="U65" i="139" s="1"/>
  <c r="AT91" i="139" s="1"/>
  <c r="U37" i="139"/>
  <c r="U64" i="139" s="1"/>
  <c r="AT90" i="139" s="1"/>
  <c r="U41" i="139"/>
  <c r="U68" i="139" s="1"/>
  <c r="AT94" i="139" s="1"/>
  <c r="T38" i="139" l="1"/>
  <c r="T65" i="139" s="1"/>
  <c r="AS91" i="139" s="1"/>
  <c r="T37" i="139"/>
  <c r="T64" i="139" s="1"/>
  <c r="AS90" i="139" s="1"/>
  <c r="T32" i="139"/>
  <c r="T59" i="139" s="1"/>
  <c r="AS85" i="139" s="1"/>
  <c r="T33" i="139"/>
  <c r="T60" i="139" s="1"/>
  <c r="AS86" i="139" s="1"/>
  <c r="T39" i="139"/>
  <c r="T66" i="139" s="1"/>
  <c r="AS92" i="139" s="1"/>
  <c r="T30" i="139"/>
  <c r="T57" i="139" s="1"/>
  <c r="AS83" i="139" s="1"/>
  <c r="T36" i="139"/>
  <c r="T63" i="139" s="1"/>
  <c r="AS89" i="139" s="1"/>
  <c r="T35" i="139"/>
  <c r="T62" i="139" s="1"/>
  <c r="AS88" i="139" s="1"/>
  <c r="T31" i="139"/>
  <c r="T58" i="139" s="1"/>
  <c r="AS84" i="139" s="1"/>
  <c r="T41" i="139"/>
  <c r="T68" i="139" s="1"/>
  <c r="AS94" i="139" s="1"/>
  <c r="T34" i="139"/>
  <c r="T61" i="139" s="1"/>
  <c r="AS87" i="139" s="1"/>
  <c r="T40" i="139"/>
  <c r="T67" i="139" s="1"/>
  <c r="AS93" i="139" s="1"/>
  <c r="S28" i="139"/>
  <c r="S41" i="139" l="1"/>
  <c r="S68" i="139" s="1"/>
  <c r="AR94" i="139" s="1"/>
  <c r="S35" i="139"/>
  <c r="S62" i="139" s="1"/>
  <c r="AR88" i="139" s="1"/>
  <c r="S33" i="139"/>
  <c r="S60" i="139" s="1"/>
  <c r="AR86" i="139" s="1"/>
  <c r="S32" i="139"/>
  <c r="S59" i="139" s="1"/>
  <c r="AR85" i="139" s="1"/>
  <c r="S39" i="139"/>
  <c r="S66" i="139" s="1"/>
  <c r="AR92" i="139" s="1"/>
  <c r="S37" i="139"/>
  <c r="S64" i="139" s="1"/>
  <c r="AR90" i="139" s="1"/>
  <c r="S30" i="139"/>
  <c r="S57" i="139" s="1"/>
  <c r="AR83" i="139" s="1"/>
  <c r="S38" i="139"/>
  <c r="S65" i="139" s="1"/>
  <c r="AR91" i="139" s="1"/>
  <c r="S31" i="139"/>
  <c r="S58" i="139" s="1"/>
  <c r="AR84" i="139" s="1"/>
  <c r="S40" i="139"/>
  <c r="S67" i="139" s="1"/>
  <c r="AR93" i="139" s="1"/>
  <c r="S34" i="139"/>
  <c r="S61" i="139" s="1"/>
  <c r="AR87" i="139" s="1"/>
  <c r="S36" i="139"/>
  <c r="S63" i="139" s="1"/>
  <c r="AR89" i="139" s="1"/>
  <c r="R28" i="139"/>
  <c r="R31" i="139" l="1"/>
  <c r="R58" i="139" s="1"/>
  <c r="AQ84" i="139" s="1"/>
  <c r="R32" i="139"/>
  <c r="R59" i="139" s="1"/>
  <c r="AQ85" i="139" s="1"/>
  <c r="R35" i="139"/>
  <c r="R62" i="139" s="1"/>
  <c r="AQ88" i="139" s="1"/>
  <c r="R40" i="139"/>
  <c r="R67" i="139" s="1"/>
  <c r="AQ93" i="139" s="1"/>
  <c r="R39" i="139"/>
  <c r="R66" i="139" s="1"/>
  <c r="AQ92" i="139" s="1"/>
  <c r="R37" i="139"/>
  <c r="R64" i="139" s="1"/>
  <c r="AQ90" i="139" s="1"/>
  <c r="R38" i="139"/>
  <c r="R65" i="139" s="1"/>
  <c r="AQ91" i="139" s="1"/>
  <c r="Q28" i="139"/>
  <c r="R36" i="139"/>
  <c r="R63" i="139" s="1"/>
  <c r="AQ89" i="139" s="1"/>
  <c r="R34" i="139"/>
  <c r="R61" i="139" s="1"/>
  <c r="AQ87" i="139" s="1"/>
  <c r="R33" i="139"/>
  <c r="R60" i="139" s="1"/>
  <c r="AQ86" i="139" s="1"/>
  <c r="R41" i="139"/>
  <c r="R68" i="139" s="1"/>
  <c r="AQ94" i="139" s="1"/>
  <c r="R30" i="139"/>
  <c r="R57" i="139" s="1"/>
  <c r="AQ83" i="139" s="1"/>
  <c r="Q33" i="139" l="1"/>
  <c r="Q60" i="139" s="1"/>
  <c r="AP86" i="139" s="1"/>
  <c r="Q39" i="139"/>
  <c r="Q66" i="139" s="1"/>
  <c r="AP92" i="139" s="1"/>
  <c r="Q34" i="139"/>
  <c r="Q61" i="139" s="1"/>
  <c r="AP87" i="139" s="1"/>
  <c r="Q31" i="139"/>
  <c r="Q58" i="139" s="1"/>
  <c r="AP84" i="139" s="1"/>
  <c r="Q30" i="139"/>
  <c r="Q57" i="139" s="1"/>
  <c r="AP83" i="139" s="1"/>
  <c r="Q38" i="139"/>
  <c r="Q65" i="139" s="1"/>
  <c r="AP91" i="139" s="1"/>
  <c r="Q35" i="139"/>
  <c r="Q62" i="139" s="1"/>
  <c r="AP88" i="139" s="1"/>
  <c r="Q32" i="139"/>
  <c r="Q59" i="139" s="1"/>
  <c r="AP85" i="139" s="1"/>
  <c r="Q40" i="139"/>
  <c r="Q67" i="139" s="1"/>
  <c r="AP93" i="139" s="1"/>
  <c r="Q36" i="139"/>
  <c r="Q63" i="139" s="1"/>
  <c r="AP89" i="139" s="1"/>
  <c r="Q37" i="139"/>
  <c r="Q64" i="139" s="1"/>
  <c r="AP90" i="139" s="1"/>
  <c r="P28" i="139"/>
  <c r="Q41" i="139"/>
  <c r="Q68" i="139" s="1"/>
  <c r="AP94" i="139" s="1"/>
  <c r="P37" i="139" l="1"/>
  <c r="P64" i="139" s="1"/>
  <c r="AO90" i="139" s="1"/>
  <c r="P36" i="139"/>
  <c r="P63" i="139" s="1"/>
  <c r="AO89" i="139" s="1"/>
  <c r="P31" i="139"/>
  <c r="P58" i="139" s="1"/>
  <c r="AO84" i="139" s="1"/>
  <c r="O28" i="139"/>
  <c r="P32" i="139"/>
  <c r="P59" i="139" s="1"/>
  <c r="AO85" i="139" s="1"/>
  <c r="P33" i="139"/>
  <c r="P60" i="139" s="1"/>
  <c r="AO86" i="139" s="1"/>
  <c r="P35" i="139"/>
  <c r="P62" i="139" s="1"/>
  <c r="AO88" i="139" s="1"/>
  <c r="P34" i="139"/>
  <c r="P61" i="139" s="1"/>
  <c r="AO87" i="139" s="1"/>
  <c r="P30" i="139"/>
  <c r="P57" i="139" s="1"/>
  <c r="AO83" i="139" s="1"/>
  <c r="P41" i="139"/>
  <c r="P68" i="139" s="1"/>
  <c r="AO94" i="139" s="1"/>
  <c r="P38" i="139"/>
  <c r="P65" i="139" s="1"/>
  <c r="AO91" i="139" s="1"/>
  <c r="P39" i="139"/>
  <c r="P66" i="139" s="1"/>
  <c r="AO92" i="139" s="1"/>
  <c r="P40" i="139"/>
  <c r="P67" i="139" s="1"/>
  <c r="AO93" i="139" s="1"/>
  <c r="O37" i="139" l="1"/>
  <c r="O64" i="139" s="1"/>
  <c r="AN90" i="139" s="1"/>
  <c r="N28" i="139"/>
  <c r="O31" i="139"/>
  <c r="O58" i="139" s="1"/>
  <c r="AN84" i="139" s="1"/>
  <c r="O39" i="139"/>
  <c r="O66" i="139" s="1"/>
  <c r="AN92" i="139" s="1"/>
  <c r="O30" i="139"/>
  <c r="O57" i="139" s="1"/>
  <c r="AN83" i="139" s="1"/>
  <c r="O34" i="139"/>
  <c r="O61" i="139" s="1"/>
  <c r="AN87" i="139" s="1"/>
  <c r="O33" i="139"/>
  <c r="O60" i="139" s="1"/>
  <c r="AN86" i="139" s="1"/>
  <c r="O36" i="139"/>
  <c r="O63" i="139" s="1"/>
  <c r="AN89" i="139" s="1"/>
  <c r="O35" i="139"/>
  <c r="O62" i="139" s="1"/>
  <c r="AN88" i="139" s="1"/>
  <c r="O32" i="139"/>
  <c r="O59" i="139" s="1"/>
  <c r="AN85" i="139" s="1"/>
  <c r="O40" i="139"/>
  <c r="O67" i="139" s="1"/>
  <c r="AN93" i="139" s="1"/>
  <c r="O41" i="139"/>
  <c r="O68" i="139" s="1"/>
  <c r="AN94" i="139" s="1"/>
  <c r="O38" i="139"/>
  <c r="O65" i="139" s="1"/>
  <c r="AN91" i="139" s="1"/>
  <c r="N36" i="139" l="1"/>
  <c r="N63" i="139" s="1"/>
  <c r="AM89" i="139" s="1"/>
  <c r="N37" i="139"/>
  <c r="N64" i="139" s="1"/>
  <c r="AM90" i="139" s="1"/>
  <c r="N34" i="139"/>
  <c r="N61" i="139" s="1"/>
  <c r="AM87" i="139" s="1"/>
  <c r="M28" i="139"/>
  <c r="N39" i="139"/>
  <c r="N66" i="139" s="1"/>
  <c r="AM92" i="139" s="1"/>
  <c r="N35" i="139"/>
  <c r="N62" i="139" s="1"/>
  <c r="AM88" i="139" s="1"/>
  <c r="N40" i="139"/>
  <c r="N67" i="139" s="1"/>
  <c r="AM93" i="139" s="1"/>
  <c r="N38" i="139"/>
  <c r="N65" i="139" s="1"/>
  <c r="AM91" i="139" s="1"/>
  <c r="N32" i="139"/>
  <c r="N59" i="139" s="1"/>
  <c r="AM85" i="139" s="1"/>
  <c r="N33" i="139"/>
  <c r="N60" i="139" s="1"/>
  <c r="AM86" i="139" s="1"/>
  <c r="N41" i="139"/>
  <c r="N68" i="139" s="1"/>
  <c r="AM94" i="139" s="1"/>
  <c r="N30" i="139"/>
  <c r="N57" i="139" s="1"/>
  <c r="AM83" i="139" s="1"/>
  <c r="N31" i="139"/>
  <c r="N58" i="139" s="1"/>
  <c r="AM84" i="139" s="1"/>
  <c r="M33" i="139" l="1"/>
  <c r="M60" i="139" s="1"/>
  <c r="AL86" i="139" s="1"/>
  <c r="M34" i="139"/>
  <c r="M61" i="139" s="1"/>
  <c r="AL87" i="139" s="1"/>
  <c r="M32" i="139"/>
  <c r="M59" i="139" s="1"/>
  <c r="AL85" i="139" s="1"/>
  <c r="M41" i="139"/>
  <c r="M68" i="139" s="1"/>
  <c r="AL94" i="139" s="1"/>
  <c r="M39" i="139"/>
  <c r="M66" i="139" s="1"/>
  <c r="AL92" i="139" s="1"/>
  <c r="M40" i="139"/>
  <c r="M67" i="139" s="1"/>
  <c r="AL93" i="139" s="1"/>
  <c r="M38" i="139"/>
  <c r="M65" i="139" s="1"/>
  <c r="AL91" i="139" s="1"/>
  <c r="L28" i="139"/>
  <c r="M30" i="139"/>
  <c r="M57" i="139" s="1"/>
  <c r="AL83" i="139" s="1"/>
  <c r="M36" i="139"/>
  <c r="M63" i="139" s="1"/>
  <c r="AL89" i="139" s="1"/>
  <c r="M31" i="139"/>
  <c r="M58" i="139" s="1"/>
  <c r="AL84" i="139" s="1"/>
  <c r="M35" i="139"/>
  <c r="M62" i="139" s="1"/>
  <c r="AL88" i="139" s="1"/>
  <c r="M37" i="139"/>
  <c r="M64" i="139" s="1"/>
  <c r="AL90" i="139" s="1"/>
  <c r="L38" i="139" l="1"/>
  <c r="L65" i="139" s="1"/>
  <c r="AK91" i="139" s="1"/>
  <c r="L37" i="139"/>
  <c r="L64" i="139" s="1"/>
  <c r="AK90" i="139" s="1"/>
  <c r="L31" i="139"/>
  <c r="L58" i="139" s="1"/>
  <c r="AK84" i="139" s="1"/>
  <c r="L30" i="139"/>
  <c r="L57" i="139" s="1"/>
  <c r="AK83" i="139" s="1"/>
  <c r="L40" i="139"/>
  <c r="L67" i="139" s="1"/>
  <c r="AK93" i="139" s="1"/>
  <c r="L33" i="139"/>
  <c r="L60" i="139" s="1"/>
  <c r="AK86" i="139" s="1"/>
  <c r="K28" i="139"/>
  <c r="L34" i="139"/>
  <c r="L61" i="139" s="1"/>
  <c r="AK87" i="139" s="1"/>
  <c r="L35" i="139"/>
  <c r="L62" i="139" s="1"/>
  <c r="AK88" i="139" s="1"/>
  <c r="L41" i="139"/>
  <c r="L68" i="139" s="1"/>
  <c r="AK94" i="139" s="1"/>
  <c r="L36" i="139"/>
  <c r="L63" i="139" s="1"/>
  <c r="AK89" i="139" s="1"/>
  <c r="L39" i="139"/>
  <c r="L66" i="139" s="1"/>
  <c r="AK92" i="139" s="1"/>
  <c r="L32" i="139"/>
  <c r="L59" i="139" s="1"/>
  <c r="AK85" i="139" s="1"/>
  <c r="K39" i="139" l="1"/>
  <c r="K66" i="139" s="1"/>
  <c r="AJ92" i="139" s="1"/>
  <c r="K36" i="139"/>
  <c r="K63" i="139" s="1"/>
  <c r="AJ89" i="139" s="1"/>
  <c r="K38" i="139"/>
  <c r="K65" i="139" s="1"/>
  <c r="AJ91" i="139" s="1"/>
  <c r="K34" i="139"/>
  <c r="K61" i="139" s="1"/>
  <c r="AJ87" i="139" s="1"/>
  <c r="K32" i="139"/>
  <c r="K59" i="139" s="1"/>
  <c r="AJ85" i="139" s="1"/>
  <c r="K31" i="139"/>
  <c r="K58" i="139" s="1"/>
  <c r="AJ84" i="139" s="1"/>
  <c r="K37" i="139"/>
  <c r="K64" i="139" s="1"/>
  <c r="AJ90" i="139" s="1"/>
  <c r="K41" i="139"/>
  <c r="K68" i="139" s="1"/>
  <c r="AJ94" i="139" s="1"/>
  <c r="K33" i="139"/>
  <c r="K60" i="139" s="1"/>
  <c r="AJ86" i="139" s="1"/>
  <c r="K30" i="139"/>
  <c r="K57" i="139" s="1"/>
  <c r="AJ83" i="139" s="1"/>
  <c r="J28" i="139"/>
  <c r="K35" i="139"/>
  <c r="K62" i="139" s="1"/>
  <c r="AJ88" i="139" s="1"/>
  <c r="K40" i="139"/>
  <c r="K67" i="139" s="1"/>
  <c r="AJ93" i="139" s="1"/>
  <c r="J41" i="139" l="1"/>
  <c r="J68" i="139" s="1"/>
  <c r="AI94" i="139" s="1"/>
  <c r="J35" i="139"/>
  <c r="J62" i="139" s="1"/>
  <c r="AI88" i="139" s="1"/>
  <c r="J33" i="139"/>
  <c r="J60" i="139" s="1"/>
  <c r="AI86" i="139" s="1"/>
  <c r="J30" i="139"/>
  <c r="J57" i="139" s="1"/>
  <c r="AI83" i="139" s="1"/>
  <c r="I28" i="139"/>
  <c r="J37" i="139"/>
  <c r="J64" i="139" s="1"/>
  <c r="AI90" i="139" s="1"/>
  <c r="J40" i="139"/>
  <c r="J67" i="139" s="1"/>
  <c r="AI93" i="139" s="1"/>
  <c r="J31" i="139"/>
  <c r="J58" i="139" s="1"/>
  <c r="AI84" i="139" s="1"/>
  <c r="J39" i="139"/>
  <c r="J66" i="139" s="1"/>
  <c r="AI92" i="139" s="1"/>
  <c r="J34" i="139"/>
  <c r="J61" i="139" s="1"/>
  <c r="AI87" i="139" s="1"/>
  <c r="J32" i="139"/>
  <c r="J59" i="139" s="1"/>
  <c r="AI85" i="139" s="1"/>
  <c r="J36" i="139"/>
  <c r="J63" i="139" s="1"/>
  <c r="AI89" i="139" s="1"/>
  <c r="J38" i="139"/>
  <c r="J65" i="139" s="1"/>
  <c r="AI91" i="139" s="1"/>
  <c r="I36" i="139" l="1"/>
  <c r="I63" i="139" s="1"/>
  <c r="AH89" i="139" s="1"/>
  <c r="I35" i="139"/>
  <c r="I62" i="139" s="1"/>
  <c r="AH88" i="139" s="1"/>
  <c r="I31" i="139"/>
  <c r="I58" i="139" s="1"/>
  <c r="AH84" i="139" s="1"/>
  <c r="H28" i="139"/>
  <c r="I39" i="139"/>
  <c r="I66" i="139" s="1"/>
  <c r="AH92" i="139" s="1"/>
  <c r="I37" i="139"/>
  <c r="I64" i="139" s="1"/>
  <c r="AH90" i="139" s="1"/>
  <c r="I32" i="139"/>
  <c r="I59" i="139" s="1"/>
  <c r="AH85" i="139" s="1"/>
  <c r="I34" i="139"/>
  <c r="I61" i="139" s="1"/>
  <c r="AH87" i="139" s="1"/>
  <c r="I41" i="139"/>
  <c r="I68" i="139" s="1"/>
  <c r="AH94" i="139" s="1"/>
  <c r="I38" i="139"/>
  <c r="I65" i="139" s="1"/>
  <c r="AH91" i="139" s="1"/>
  <c r="I30" i="139"/>
  <c r="I57" i="139" s="1"/>
  <c r="AH83" i="139" s="1"/>
  <c r="I33" i="139"/>
  <c r="I60" i="139" s="1"/>
  <c r="AH86" i="139" s="1"/>
  <c r="I40" i="139"/>
  <c r="I67" i="139" s="1"/>
  <c r="AH93" i="139" s="1"/>
  <c r="G28" i="139" l="1"/>
  <c r="H31" i="139"/>
  <c r="H58" i="139" s="1"/>
  <c r="AG84" i="139" s="1"/>
  <c r="H37" i="139"/>
  <c r="H64" i="139" s="1"/>
  <c r="AG90" i="139" s="1"/>
  <c r="H39" i="139"/>
  <c r="H66" i="139" s="1"/>
  <c r="AG92" i="139" s="1"/>
  <c r="H36" i="139"/>
  <c r="H63" i="139" s="1"/>
  <c r="AG89" i="139" s="1"/>
  <c r="H41" i="139"/>
  <c r="H68" i="139" s="1"/>
  <c r="AG94" i="139" s="1"/>
  <c r="H30" i="139"/>
  <c r="H57" i="139" s="1"/>
  <c r="AG83" i="139" s="1"/>
  <c r="H40" i="139"/>
  <c r="H67" i="139" s="1"/>
  <c r="AG93" i="139" s="1"/>
  <c r="H35" i="139"/>
  <c r="H62" i="139" s="1"/>
  <c r="AG88" i="139" s="1"/>
  <c r="H38" i="139"/>
  <c r="H65" i="139" s="1"/>
  <c r="AG91" i="139" s="1"/>
  <c r="H33" i="139"/>
  <c r="H60" i="139" s="1"/>
  <c r="AG86" i="139" s="1"/>
  <c r="H34" i="139"/>
  <c r="H61" i="139" s="1"/>
  <c r="AG87" i="139" s="1"/>
  <c r="H32" i="139"/>
  <c r="H59" i="139" s="1"/>
  <c r="AG85" i="139" s="1"/>
  <c r="F28" i="139" l="1"/>
  <c r="G30" i="139"/>
  <c r="G57" i="139" s="1"/>
  <c r="AF83" i="139" s="1"/>
  <c r="G35" i="139"/>
  <c r="G62" i="139" s="1"/>
  <c r="AF88" i="139" s="1"/>
  <c r="G37" i="139"/>
  <c r="G64" i="139" s="1"/>
  <c r="AF90" i="139" s="1"/>
  <c r="G36" i="139"/>
  <c r="G63" i="139" s="1"/>
  <c r="AF89" i="139" s="1"/>
  <c r="G31" i="139"/>
  <c r="G58" i="139" s="1"/>
  <c r="AF84" i="139" s="1"/>
  <c r="G32" i="139"/>
  <c r="G59" i="139" s="1"/>
  <c r="AF85" i="139" s="1"/>
  <c r="G39" i="139"/>
  <c r="G66" i="139" s="1"/>
  <c r="AF92" i="139" s="1"/>
  <c r="G41" i="139"/>
  <c r="G68" i="139" s="1"/>
  <c r="AF94" i="139" s="1"/>
  <c r="G33" i="139"/>
  <c r="G60" i="139" s="1"/>
  <c r="AF86" i="139" s="1"/>
  <c r="G34" i="139"/>
  <c r="G61" i="139" s="1"/>
  <c r="AF87" i="139" s="1"/>
  <c r="G38" i="139"/>
  <c r="G65" i="139" s="1"/>
  <c r="AF91" i="139" s="1"/>
  <c r="G40" i="139"/>
  <c r="G67" i="139" s="1"/>
  <c r="AF93" i="139" s="1"/>
  <c r="E28" i="139" l="1"/>
  <c r="F33" i="139"/>
  <c r="F60" i="139" s="1"/>
  <c r="AE86" i="139" s="1"/>
  <c r="F38" i="139"/>
  <c r="F65" i="139" s="1"/>
  <c r="AE91" i="139" s="1"/>
  <c r="F37" i="139"/>
  <c r="F64" i="139" s="1"/>
  <c r="AE90" i="139" s="1"/>
  <c r="F30" i="139"/>
  <c r="F57" i="139" s="1"/>
  <c r="AE83" i="139" s="1"/>
  <c r="F35" i="139"/>
  <c r="F62" i="139" s="1"/>
  <c r="AE88" i="139" s="1"/>
  <c r="F40" i="139"/>
  <c r="F67" i="139" s="1"/>
  <c r="AE93" i="139" s="1"/>
  <c r="F31" i="139"/>
  <c r="F58" i="139" s="1"/>
  <c r="AE84" i="139" s="1"/>
  <c r="F39" i="139"/>
  <c r="F66" i="139" s="1"/>
  <c r="AE92" i="139" s="1"/>
  <c r="F32" i="139"/>
  <c r="F59" i="139" s="1"/>
  <c r="AE85" i="139" s="1"/>
  <c r="F34" i="139"/>
  <c r="F61" i="139" s="1"/>
  <c r="AE87" i="139" s="1"/>
  <c r="F41" i="139"/>
  <c r="F68" i="139" s="1"/>
  <c r="AE94" i="139" s="1"/>
  <c r="F36" i="139"/>
  <c r="F63" i="139" s="1"/>
  <c r="AE89" i="139" s="1"/>
  <c r="E36" i="139" l="1"/>
  <c r="E63" i="139" s="1"/>
  <c r="AD89" i="139" s="1"/>
  <c r="E35" i="139"/>
  <c r="E62" i="139" s="1"/>
  <c r="AD88" i="139" s="1"/>
  <c r="E33" i="139"/>
  <c r="E60" i="139" s="1"/>
  <c r="AD86" i="139" s="1"/>
  <c r="D28" i="139"/>
  <c r="E39" i="139"/>
  <c r="E66" i="139" s="1"/>
  <c r="AD92" i="139" s="1"/>
  <c r="E34" i="139"/>
  <c r="E61" i="139" s="1"/>
  <c r="AD87" i="139" s="1"/>
  <c r="E38" i="139"/>
  <c r="E65" i="139" s="1"/>
  <c r="AD91" i="139" s="1"/>
  <c r="E40" i="139"/>
  <c r="E67" i="139" s="1"/>
  <c r="AD93" i="139" s="1"/>
  <c r="E30" i="139"/>
  <c r="E57" i="139" s="1"/>
  <c r="AD83" i="139" s="1"/>
  <c r="E32" i="139"/>
  <c r="E59" i="139" s="1"/>
  <c r="AD85" i="139" s="1"/>
  <c r="E37" i="139"/>
  <c r="E64" i="139" s="1"/>
  <c r="AD90" i="139" s="1"/>
  <c r="E31" i="139"/>
  <c r="E58" i="139" s="1"/>
  <c r="AD84" i="139" s="1"/>
  <c r="E41" i="139"/>
  <c r="E68" i="139" s="1"/>
  <c r="AD94" i="139" s="1"/>
  <c r="D38" i="139" l="1"/>
  <c r="D65" i="139" s="1"/>
  <c r="AC91" i="139" s="1"/>
  <c r="D36" i="139"/>
  <c r="D63" i="139" s="1"/>
  <c r="AC89" i="139" s="1"/>
  <c r="D31" i="139"/>
  <c r="D58" i="139" s="1"/>
  <c r="AC84" i="139" s="1"/>
  <c r="D39" i="139"/>
  <c r="D66" i="139" s="1"/>
  <c r="AC92" i="139" s="1"/>
  <c r="D41" i="139"/>
  <c r="D68" i="139" s="1"/>
  <c r="AC94" i="139" s="1"/>
  <c r="D35" i="139"/>
  <c r="D62" i="139" s="1"/>
  <c r="AC88" i="139" s="1"/>
  <c r="D34" i="139"/>
  <c r="D61" i="139" s="1"/>
  <c r="AC87" i="139" s="1"/>
  <c r="D30" i="139"/>
  <c r="D57" i="139" s="1"/>
  <c r="AC83" i="139" s="1"/>
  <c r="D32" i="139"/>
  <c r="D59" i="139" s="1"/>
  <c r="AC85" i="139" s="1"/>
  <c r="D37" i="139"/>
  <c r="D64" i="139" s="1"/>
  <c r="AC90" i="139" s="1"/>
  <c r="C28" i="139"/>
  <c r="D40" i="139"/>
  <c r="D67" i="139" s="1"/>
  <c r="AC93" i="139" s="1"/>
  <c r="D33" i="139"/>
  <c r="D60" i="139" s="1"/>
  <c r="AC86" i="139" s="1"/>
  <c r="C41" i="139" l="1"/>
  <c r="C68" i="139" s="1"/>
  <c r="AB94" i="139" s="1"/>
  <c r="C30" i="139"/>
  <c r="C57" i="139" s="1"/>
  <c r="AB83" i="139" s="1"/>
  <c r="C32" i="139"/>
  <c r="C59" i="139" s="1"/>
  <c r="AB85" i="139" s="1"/>
  <c r="C36" i="139"/>
  <c r="C63" i="139" s="1"/>
  <c r="AB89" i="139" s="1"/>
  <c r="C39" i="139"/>
  <c r="C66" i="139" s="1"/>
  <c r="AB92" i="139" s="1"/>
  <c r="C40" i="139"/>
  <c r="C67" i="139" s="1"/>
  <c r="AB93" i="139" s="1"/>
  <c r="C38" i="139"/>
  <c r="C65" i="139" s="1"/>
  <c r="AB91" i="139" s="1"/>
  <c r="C35" i="139"/>
  <c r="C62" i="139" s="1"/>
  <c r="AB88" i="139" s="1"/>
  <c r="C37" i="139"/>
  <c r="C64" i="139" s="1"/>
  <c r="AB90" i="139" s="1"/>
  <c r="C33" i="139"/>
  <c r="C60" i="139" s="1"/>
  <c r="AB86" i="139" s="1"/>
  <c r="C34" i="139"/>
  <c r="C61" i="139" s="1"/>
  <c r="AB87" i="139" s="1"/>
  <c r="C31" i="139"/>
  <c r="C58" i="139" s="1"/>
  <c r="AB84" i="139" s="1"/>
  <c r="B28" i="139"/>
  <c r="B35" i="139" l="1"/>
  <c r="B62" i="139" s="1"/>
  <c r="AA88" i="139" s="1"/>
  <c r="B30" i="139"/>
  <c r="B57" i="139" s="1"/>
  <c r="AA83" i="139" s="1"/>
  <c r="B34" i="139"/>
  <c r="B61" i="139" s="1"/>
  <c r="AA87" i="139" s="1"/>
  <c r="B37" i="139"/>
  <c r="B64" i="139" s="1"/>
  <c r="AA90" i="139" s="1"/>
  <c r="B39" i="139"/>
  <c r="B66" i="139" s="1"/>
  <c r="AA92" i="139" s="1"/>
  <c r="B33" i="139"/>
  <c r="B60" i="139" s="1"/>
  <c r="AA86" i="139" s="1"/>
  <c r="B41" i="139"/>
  <c r="B68" i="139" s="1"/>
  <c r="AA94" i="139" s="1"/>
  <c r="B31" i="139"/>
  <c r="B58" i="139" s="1"/>
  <c r="AA84" i="139" s="1"/>
  <c r="B32" i="139"/>
  <c r="B59" i="139" s="1"/>
  <c r="AA85" i="139" s="1"/>
  <c r="B36" i="139"/>
  <c r="B63" i="139" s="1"/>
  <c r="AA89" i="139" s="1"/>
  <c r="B40" i="139"/>
  <c r="B67" i="139" s="1"/>
  <c r="AA93" i="139" s="1"/>
  <c r="B38" i="139"/>
  <c r="B65" i="139" s="1"/>
  <c r="AA91" i="139" s="1"/>
</calcChain>
</file>

<file path=xl/sharedStrings.xml><?xml version="1.0" encoding="utf-8"?>
<sst xmlns="http://schemas.openxmlformats.org/spreadsheetml/2006/main" count="18" uniqueCount="10">
  <si>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</si>
  <si>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</si>
  <si>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</si>
  <si>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</si>
  <si>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</si>
  <si>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</si>
  <si>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</si>
  <si>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SSTotalCLM</t>
  </si>
  <si>
    <t>Inicio</t>
  </si>
  <si>
    <t>Amplitud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</si>
</sst>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/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0" fillId="0" borderId="0" xfId="0" applyNumberFormat="1"/>
    <xf numFmtId="10" fontId="7" fillId="3" borderId="0" xfId="1" applyNumberFormat="1" applyFont="1" applyFill="1" applyAlignment="1">
      <alignment horizontal="center" vertical="center"/>
    </xf>
    <xf numFmtId="10" fontId="0" fillId="0" borderId="0" xfId="1" applyNumberFormat="1" applyFont="1" applyFill="1"/>
    <xf numFmtId="167" fontId="5" fillId="2" borderId="0" xfId="0" applyNumberFormat="1" applyFont="1" applyFill="1" applyAlignment="1">
      <alignment horizontal="center" vertical="center"/>
    </xf>
    <xf numFmtId="9" fontId="0" fillId="0" borderId="0" xfId="1" applyNumberFormat="1" applyFont="1"/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ill>
        <patternFill>
          <bgColor theme="0"/>
        </patternFill>
      </fill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D7">
            <v>533555</v>
          </cell>
        </row>
        <row r="8">
          <cell r="D8">
            <v>536962</v>
          </cell>
        </row>
        <row r="9">
          <cell r="D9">
            <v>541748</v>
          </cell>
        </row>
        <row r="10">
          <cell r="D10">
            <v>544034</v>
          </cell>
        </row>
        <row r="11">
          <cell r="D11">
            <v>549958</v>
          </cell>
        </row>
        <row r="12">
          <cell r="D12">
            <v>559169</v>
          </cell>
        </row>
        <row r="13">
          <cell r="D13">
            <v>564199</v>
          </cell>
        </row>
        <row r="14">
          <cell r="D14">
            <v>557992</v>
          </cell>
        </row>
        <row r="15">
          <cell r="D15">
            <v>559246</v>
          </cell>
        </row>
        <row r="16">
          <cell r="D16">
            <v>561211</v>
          </cell>
        </row>
        <row r="17">
          <cell r="D17">
            <v>564645</v>
          </cell>
        </row>
        <row r="18">
          <cell r="D18">
            <v>556619</v>
          </cell>
        </row>
        <row r="19">
          <cell r="D19">
            <v>555787</v>
          </cell>
        </row>
        <row r="20">
          <cell r="D20">
            <v>559538</v>
          </cell>
        </row>
        <row r="21">
          <cell r="D21">
            <v>561113</v>
          </cell>
        </row>
        <row r="22">
          <cell r="D22">
            <v>566649</v>
          </cell>
        </row>
        <row r="23">
          <cell r="D23">
            <v>571708</v>
          </cell>
        </row>
        <row r="24">
          <cell r="D24">
            <v>579678</v>
          </cell>
        </row>
        <row r="25">
          <cell r="D25">
            <v>585110</v>
          </cell>
        </row>
        <row r="26">
          <cell r="D26">
            <v>584502</v>
          </cell>
        </row>
        <row r="27">
          <cell r="D27">
            <v>579990</v>
          </cell>
        </row>
        <row r="28">
          <cell r="D28">
            <v>583989</v>
          </cell>
        </row>
        <row r="29">
          <cell r="D29">
            <v>587418</v>
          </cell>
        </row>
        <row r="30">
          <cell r="D30">
            <v>575519</v>
          </cell>
        </row>
        <row r="31">
          <cell r="D31">
            <v>579057</v>
          </cell>
        </row>
        <row r="32">
          <cell r="D32">
            <v>583852</v>
          </cell>
        </row>
        <row r="33">
          <cell r="D33">
            <v>586727</v>
          </cell>
        </row>
        <row r="34">
          <cell r="D34">
            <v>591002</v>
          </cell>
        </row>
        <row r="35">
          <cell r="D35">
            <v>596976</v>
          </cell>
        </row>
        <row r="36">
          <cell r="D36">
            <v>601217</v>
          </cell>
        </row>
        <row r="37">
          <cell r="D37">
            <v>609982</v>
          </cell>
        </row>
        <row r="38">
          <cell r="D38">
            <v>604901</v>
          </cell>
        </row>
        <row r="39">
          <cell r="D39">
            <v>606282</v>
          </cell>
        </row>
        <row r="40">
          <cell r="D40">
            <v>608447</v>
          </cell>
        </row>
        <row r="41">
          <cell r="D41">
            <v>613372</v>
          </cell>
        </row>
        <row r="42">
          <cell r="D42">
            <v>596443</v>
          </cell>
        </row>
        <row r="43">
          <cell r="D43">
            <v>601261.96773999999</v>
          </cell>
        </row>
        <row r="44">
          <cell r="D44">
            <v>609380.06897000002</v>
          </cell>
        </row>
        <row r="45">
          <cell r="D45">
            <v>612392.12902999995</v>
          </cell>
        </row>
        <row r="46">
          <cell r="D46">
            <v>614083.33333000005</v>
          </cell>
        </row>
        <row r="47">
          <cell r="D47">
            <v>622065.41934999998</v>
          </cell>
        </row>
        <row r="48">
          <cell r="D48">
            <v>630944.4</v>
          </cell>
        </row>
        <row r="49">
          <cell r="D49">
            <v>643304.83871000004</v>
          </cell>
        </row>
        <row r="50">
          <cell r="D50">
            <v>640629.69999999995</v>
          </cell>
        </row>
        <row r="51">
          <cell r="D51">
            <v>639447</v>
          </cell>
        </row>
        <row r="52">
          <cell r="D52">
            <v>641884.30000000005</v>
          </cell>
        </row>
        <row r="53">
          <cell r="D53">
            <v>644032</v>
          </cell>
        </row>
        <row r="54">
          <cell r="D54">
            <v>640742.19999999995</v>
          </cell>
        </row>
        <row r="55">
          <cell r="D55">
            <v>632730.30000000005</v>
          </cell>
        </row>
        <row r="56">
          <cell r="D56">
            <v>639772</v>
          </cell>
        </row>
        <row r="57">
          <cell r="D57">
            <v>644283</v>
          </cell>
        </row>
        <row r="58">
          <cell r="D58">
            <v>651492</v>
          </cell>
        </row>
        <row r="59">
          <cell r="D59">
            <v>662324</v>
          </cell>
        </row>
        <row r="60">
          <cell r="D60">
            <v>676770</v>
          </cell>
        </row>
        <row r="61">
          <cell r="D61">
            <v>690679</v>
          </cell>
        </row>
        <row r="62">
          <cell r="D62">
            <v>689564</v>
          </cell>
        </row>
        <row r="63">
          <cell r="D63">
            <v>686318</v>
          </cell>
        </row>
        <row r="64">
          <cell r="D64">
            <v>690616</v>
          </cell>
        </row>
        <row r="65">
          <cell r="D65">
            <v>695028</v>
          </cell>
        </row>
        <row r="66">
          <cell r="D66">
            <v>692315</v>
          </cell>
        </row>
        <row r="67">
          <cell r="D67">
            <v>685066</v>
          </cell>
        </row>
        <row r="68">
          <cell r="D68">
            <v>692071</v>
          </cell>
        </row>
        <row r="69">
          <cell r="D69">
            <v>698158</v>
          </cell>
        </row>
        <row r="70">
          <cell r="D70">
            <v>702198</v>
          </cell>
        </row>
        <row r="71">
          <cell r="D71">
            <v>710186</v>
          </cell>
        </row>
        <row r="72">
          <cell r="D72">
            <v>717900</v>
          </cell>
        </row>
        <row r="73">
          <cell r="D73">
            <v>725825</v>
          </cell>
        </row>
        <row r="74">
          <cell r="D74">
            <v>722076</v>
          </cell>
        </row>
        <row r="75">
          <cell r="D75">
            <v>720201</v>
          </cell>
        </row>
        <row r="76">
          <cell r="D76">
            <v>724841</v>
          </cell>
        </row>
        <row r="77">
          <cell r="D77">
            <v>728923</v>
          </cell>
        </row>
        <row r="78">
          <cell r="D78">
            <v>727543</v>
          </cell>
        </row>
        <row r="79">
          <cell r="D79">
            <v>723249</v>
          </cell>
        </row>
        <row r="80">
          <cell r="D80">
            <v>731270</v>
          </cell>
        </row>
        <row r="81">
          <cell r="D81">
            <v>737934</v>
          </cell>
        </row>
        <row r="82">
          <cell r="D82">
            <v>742479</v>
          </cell>
        </row>
        <row r="83">
          <cell r="D83">
            <v>750961</v>
          </cell>
        </row>
        <row r="84">
          <cell r="D84">
            <v>757224</v>
          </cell>
        </row>
        <row r="85">
          <cell r="D85">
            <v>766234</v>
          </cell>
        </row>
        <row r="86">
          <cell r="D86">
            <v>761548</v>
          </cell>
        </row>
        <row r="87">
          <cell r="D87">
            <v>760991</v>
          </cell>
        </row>
        <row r="88">
          <cell r="D88">
            <v>769173</v>
          </cell>
        </row>
        <row r="89">
          <cell r="D89">
            <v>771525</v>
          </cell>
        </row>
        <row r="90">
          <cell r="D90">
            <v>769340</v>
          </cell>
        </row>
        <row r="91">
          <cell r="D91">
            <v>761025</v>
          </cell>
        </row>
        <row r="92">
          <cell r="D92">
            <v>764634</v>
          </cell>
        </row>
        <row r="93">
          <cell r="D93">
            <v>764746</v>
          </cell>
        </row>
        <row r="94">
          <cell r="D94">
            <v>767112</v>
          </cell>
        </row>
        <row r="95">
          <cell r="D95">
            <v>769213</v>
          </cell>
        </row>
        <row r="96">
          <cell r="D96">
            <v>769863</v>
          </cell>
        </row>
        <row r="97">
          <cell r="D97">
            <v>773093.54</v>
          </cell>
        </row>
        <row r="98">
          <cell r="D98">
            <v>763979</v>
          </cell>
        </row>
        <row r="99">
          <cell r="D99">
            <v>760332.97</v>
          </cell>
        </row>
        <row r="100">
          <cell r="D100">
            <v>763565.34</v>
          </cell>
        </row>
        <row r="101">
          <cell r="D101">
            <v>745864.15</v>
          </cell>
        </row>
        <row r="102">
          <cell r="D102">
            <v>734571.71</v>
          </cell>
        </row>
        <row r="103">
          <cell r="D103">
            <v>720944.75</v>
          </cell>
        </row>
        <row r="104">
          <cell r="D104">
            <v>717526.6</v>
          </cell>
        </row>
        <row r="105">
          <cell r="D105">
            <v>710918.63</v>
          </cell>
        </row>
        <row r="106">
          <cell r="D106">
            <v>708464.7</v>
          </cell>
        </row>
        <row r="107">
          <cell r="D107">
            <v>713923.5</v>
          </cell>
        </row>
        <row r="108">
          <cell r="D108">
            <v>717438.5</v>
          </cell>
        </row>
        <row r="109">
          <cell r="D109">
            <v>723936.3</v>
          </cell>
        </row>
        <row r="110">
          <cell r="D110">
            <v>719478.76</v>
          </cell>
        </row>
        <row r="111">
          <cell r="D111">
            <v>729141.09</v>
          </cell>
        </row>
        <row r="112">
          <cell r="D112">
            <v>724272.38</v>
          </cell>
        </row>
        <row r="113">
          <cell r="D113">
            <v>719193.8</v>
          </cell>
        </row>
        <row r="114">
          <cell r="D114">
            <v>715966.68</v>
          </cell>
        </row>
        <row r="115">
          <cell r="D115">
            <v>703651.36</v>
          </cell>
        </row>
        <row r="116">
          <cell r="D116">
            <v>704517.9</v>
          </cell>
        </row>
        <row r="117">
          <cell r="D117">
            <v>702261.17</v>
          </cell>
        </row>
        <row r="118">
          <cell r="D118">
            <v>700005.95</v>
          </cell>
        </row>
        <row r="119">
          <cell r="D119">
            <v>704996.71</v>
          </cell>
        </row>
        <row r="120">
          <cell r="D120">
            <v>706618.77</v>
          </cell>
        </row>
        <row r="121">
          <cell r="D121">
            <v>711844.95</v>
          </cell>
        </row>
        <row r="122">
          <cell r="D122">
            <v>706184.22</v>
          </cell>
        </row>
        <row r="123">
          <cell r="D123">
            <v>712928.13</v>
          </cell>
        </row>
        <row r="124">
          <cell r="D124">
            <v>714661.7</v>
          </cell>
        </row>
        <row r="125">
          <cell r="D125">
            <v>704121.47</v>
          </cell>
        </row>
        <row r="126">
          <cell r="D126">
            <v>700294.21</v>
          </cell>
        </row>
        <row r="127">
          <cell r="D127">
            <v>690224.15</v>
          </cell>
        </row>
        <row r="128">
          <cell r="D128">
            <v>686246.6</v>
          </cell>
        </row>
        <row r="129">
          <cell r="D129">
            <v>684767.52</v>
          </cell>
        </row>
        <row r="130">
          <cell r="D130">
            <v>684798.57</v>
          </cell>
        </row>
        <row r="131">
          <cell r="D131">
            <v>688540.72</v>
          </cell>
        </row>
        <row r="132">
          <cell r="D132">
            <v>689117</v>
          </cell>
        </row>
        <row r="133">
          <cell r="D133">
            <v>691855</v>
          </cell>
        </row>
        <row r="134">
          <cell r="D134">
            <v>685385.27</v>
          </cell>
        </row>
        <row r="135">
          <cell r="D135">
            <v>693533.59</v>
          </cell>
        </row>
        <row r="136">
          <cell r="D136">
            <v>678149.9</v>
          </cell>
        </row>
        <row r="137">
          <cell r="D137">
            <v>669531.04</v>
          </cell>
        </row>
        <row r="138">
          <cell r="D138">
            <v>668120.05000000005</v>
          </cell>
        </row>
        <row r="139">
          <cell r="D139">
            <v>652970.04</v>
          </cell>
        </row>
        <row r="140">
          <cell r="D140">
            <v>646074.19999999995</v>
          </cell>
        </row>
        <row r="141">
          <cell r="D141">
            <v>642174.76</v>
          </cell>
        </row>
        <row r="142">
          <cell r="D142">
            <v>638085.47</v>
          </cell>
        </row>
        <row r="143">
          <cell r="D143">
            <v>639652.9</v>
          </cell>
        </row>
        <row r="144">
          <cell r="D144">
            <v>644085.38</v>
          </cell>
        </row>
        <row r="145">
          <cell r="D145">
            <v>642184.9</v>
          </cell>
        </row>
        <row r="146">
          <cell r="D146">
            <v>632235.4</v>
          </cell>
        </row>
        <row r="147">
          <cell r="D147">
            <v>648786.35</v>
          </cell>
        </row>
        <row r="148">
          <cell r="D148">
            <v>632611</v>
          </cell>
        </row>
        <row r="149">
          <cell r="D149">
            <v>612091</v>
          </cell>
        </row>
        <row r="150">
          <cell r="D150">
            <v>605144</v>
          </cell>
        </row>
        <row r="151">
          <cell r="D151">
            <v>594636</v>
          </cell>
        </row>
        <row r="152">
          <cell r="D152">
            <v>592412</v>
          </cell>
        </row>
        <row r="153">
          <cell r="D153">
            <v>592358</v>
          </cell>
        </row>
        <row r="154">
          <cell r="D154">
            <v>592264</v>
          </cell>
        </row>
        <row r="155">
          <cell r="D155">
            <v>597592</v>
          </cell>
        </row>
        <row r="156">
          <cell r="D156">
            <v>603940</v>
          </cell>
        </row>
        <row r="157">
          <cell r="D157">
            <v>606878</v>
          </cell>
        </row>
        <row r="158">
          <cell r="D158">
            <v>602043</v>
          </cell>
        </row>
        <row r="159">
          <cell r="D159">
            <v>616141</v>
          </cell>
        </row>
        <row r="160">
          <cell r="D160">
            <v>619678</v>
          </cell>
        </row>
        <row r="161">
          <cell r="D161">
            <v>595066</v>
          </cell>
        </row>
        <row r="162">
          <cell r="D162">
            <v>600059</v>
          </cell>
        </row>
        <row r="163">
          <cell r="D163">
            <v>595608</v>
          </cell>
        </row>
        <row r="164">
          <cell r="D164">
            <v>594306</v>
          </cell>
        </row>
        <row r="165">
          <cell r="D165">
            <v>594281</v>
          </cell>
        </row>
        <row r="166">
          <cell r="D166">
            <v>596967</v>
          </cell>
        </row>
        <row r="167">
          <cell r="D167">
            <v>604556</v>
          </cell>
        </row>
        <row r="168">
          <cell r="D168">
            <v>613683</v>
          </cell>
        </row>
        <row r="169">
          <cell r="D169">
            <v>616879</v>
          </cell>
        </row>
        <row r="170">
          <cell r="D170">
            <v>611908</v>
          </cell>
        </row>
        <row r="171">
          <cell r="D171">
            <v>635035</v>
          </cell>
        </row>
        <row r="172">
          <cell r="D172">
            <v>612879</v>
          </cell>
        </row>
        <row r="173">
          <cell r="D173">
            <v>610645</v>
          </cell>
        </row>
        <row r="174">
          <cell r="D174">
            <v>612741</v>
          </cell>
        </row>
        <row r="175">
          <cell r="D175">
            <v>603123</v>
          </cell>
        </row>
        <row r="176">
          <cell r="D176">
            <v>606599</v>
          </cell>
        </row>
        <row r="177">
          <cell r="D177">
            <v>611615</v>
          </cell>
        </row>
        <row r="178">
          <cell r="D178">
            <v>618481</v>
          </cell>
        </row>
        <row r="179">
          <cell r="D179">
            <v>630757</v>
          </cell>
        </row>
        <row r="180">
          <cell r="D180">
            <v>639631</v>
          </cell>
        </row>
        <row r="181">
          <cell r="D181">
            <v>638847</v>
          </cell>
        </row>
        <row r="182">
          <cell r="D182">
            <v>632601</v>
          </cell>
        </row>
        <row r="183">
          <cell r="D183">
            <v>649763</v>
          </cell>
        </row>
        <row r="184">
          <cell r="D184">
            <v>632288</v>
          </cell>
        </row>
        <row r="185">
          <cell r="D185">
            <v>631186</v>
          </cell>
        </row>
        <row r="186">
          <cell r="D186">
            <v>633650</v>
          </cell>
        </row>
        <row r="187">
          <cell r="D187">
            <v>625440</v>
          </cell>
        </row>
        <row r="188">
          <cell r="D188">
            <v>625910</v>
          </cell>
        </row>
        <row r="189">
          <cell r="D189">
            <v>628179</v>
          </cell>
        </row>
        <row r="190">
          <cell r="D190">
            <v>634535</v>
          </cell>
        </row>
        <row r="191">
          <cell r="D191">
            <v>647124</v>
          </cell>
        </row>
        <row r="192">
          <cell r="D192">
            <v>661218</v>
          </cell>
        </row>
        <row r="193">
          <cell r="D193">
            <v>663989</v>
          </cell>
        </row>
        <row r="194">
          <cell r="D194">
            <v>657186</v>
          </cell>
        </row>
        <row r="195">
          <cell r="D195">
            <v>671356</v>
          </cell>
        </row>
        <row r="196">
          <cell r="D196">
            <v>662111</v>
          </cell>
        </row>
        <row r="197">
          <cell r="D197">
            <v>651387</v>
          </cell>
        </row>
        <row r="198">
          <cell r="D198">
            <v>653281</v>
          </cell>
        </row>
        <row r="199">
          <cell r="D199">
            <v>648189</v>
          </cell>
        </row>
        <row r="200">
          <cell r="D200">
            <v>648182.85</v>
          </cell>
        </row>
        <row r="201">
          <cell r="D201">
            <v>649913.06000000006</v>
          </cell>
        </row>
        <row r="202">
          <cell r="D202">
            <v>653468</v>
          </cell>
        </row>
        <row r="203">
          <cell r="D203">
            <v>663468</v>
          </cell>
        </row>
        <row r="204">
          <cell r="D204">
            <v>677210</v>
          </cell>
        </row>
        <row r="205">
          <cell r="D205">
            <v>679267</v>
          </cell>
        </row>
        <row r="206">
          <cell r="D206">
            <v>673974</v>
          </cell>
        </row>
        <row r="207">
          <cell r="D207">
            <v>690388</v>
          </cell>
        </row>
        <row r="208">
          <cell r="D208">
            <v>679521</v>
          </cell>
        </row>
        <row r="209">
          <cell r="D209">
            <v>681737</v>
          </cell>
        </row>
        <row r="210">
          <cell r="D210">
            <v>682497</v>
          </cell>
        </row>
        <row r="211">
          <cell r="D211">
            <v>673915</v>
          </cell>
        </row>
        <row r="212">
          <cell r="D212">
            <v>671808</v>
          </cell>
        </row>
        <row r="213">
          <cell r="D213">
            <v>671590</v>
          </cell>
        </row>
        <row r="214">
          <cell r="D214">
            <v>672551</v>
          </cell>
        </row>
        <row r="215">
          <cell r="D215">
            <v>681815</v>
          </cell>
        </row>
        <row r="216">
          <cell r="D216">
            <v>694273</v>
          </cell>
        </row>
        <row r="217">
          <cell r="D217">
            <v>702314</v>
          </cell>
        </row>
        <row r="218">
          <cell r="D218">
            <v>695247</v>
          </cell>
        </row>
        <row r="219">
          <cell r="D219">
            <v>702607</v>
          </cell>
        </row>
        <row r="220">
          <cell r="D220">
            <v>704536</v>
          </cell>
        </row>
        <row r="221">
          <cell r="D221">
            <v>698643</v>
          </cell>
        </row>
        <row r="222">
          <cell r="D222">
            <v>706197</v>
          </cell>
        </row>
        <row r="223">
          <cell r="D223">
            <v>701074</v>
          </cell>
        </row>
        <row r="224">
          <cell r="D224">
            <v>698703</v>
          </cell>
        </row>
        <row r="225">
          <cell r="D225">
            <v>698234</v>
          </cell>
        </row>
        <row r="226">
          <cell r="D226">
            <v>698421</v>
          </cell>
        </row>
        <row r="227">
          <cell r="D227">
            <v>704185</v>
          </cell>
        </row>
        <row r="228">
          <cell r="D228">
            <v>714916</v>
          </cell>
        </row>
        <row r="229">
          <cell r="D229">
            <v>719049</v>
          </cell>
        </row>
        <row r="230">
          <cell r="D230">
            <v>710494</v>
          </cell>
        </row>
        <row r="231">
          <cell r="D231">
            <v>717801</v>
          </cell>
        </row>
        <row r="232">
          <cell r="D232">
            <v>712497</v>
          </cell>
        </row>
        <row r="233">
          <cell r="D233">
            <v>711466</v>
          </cell>
        </row>
        <row r="234">
          <cell r="D234">
            <v>714036</v>
          </cell>
        </row>
        <row r="235">
          <cell r="D235">
            <v>703384</v>
          </cell>
        </row>
        <row r="236">
          <cell r="D236">
            <v>704776.05</v>
          </cell>
        </row>
        <row r="237">
          <cell r="D237">
            <v>694045.8</v>
          </cell>
        </row>
        <row r="238">
          <cell r="D238">
            <v>674237.15</v>
          </cell>
        </row>
        <row r="239">
          <cell r="D239">
            <v>684346.25</v>
          </cell>
        </row>
        <row r="240">
          <cell r="D240">
            <v>699467.22727000003</v>
          </cell>
        </row>
        <row r="241">
          <cell r="D241">
            <v>705599.43</v>
          </cell>
        </row>
        <row r="242">
          <cell r="D242">
            <v>704434.63</v>
          </cell>
        </row>
        <row r="243">
          <cell r="D243">
            <v>720601.01</v>
          </cell>
        </row>
        <row r="244">
          <cell r="D244">
            <v>713131.64000000013</v>
          </cell>
        </row>
        <row r="245">
          <cell r="D245">
            <v>715002.44</v>
          </cell>
        </row>
        <row r="246">
          <cell r="D246">
            <v>717898.93</v>
          </cell>
        </row>
        <row r="247">
          <cell r="D247">
            <v>705213.32000000007</v>
          </cell>
        </row>
        <row r="248">
          <cell r="D248">
            <v>704489.25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Y94"/>
  <sheetViews>
    <sheetView tabSelected="1" topLeftCell="GA1" workbookViewId="0">
      <selection activeCell="HA3" sqref="HA3"/>
    </sheetView>
  </sheetViews>
  <sheetFormatPr baseColWidth="10" defaultRowHeight="15" x14ac:dyDescent="0.25"/>
  <cols>
    <col min="1" max="1" width="7.140625" style="1" bestFit="1" customWidth="1"/>
    <col min="2" max="4" width="7.7109375" style="1" bestFit="1" customWidth="1"/>
    <col min="5" max="5" width="8" style="1" bestFit="1" customWidth="1"/>
    <col min="6" max="6" width="7.7109375" style="1" bestFit="1" customWidth="1"/>
    <col min="7" max="7" width="8.28515625" style="1" bestFit="1" customWidth="1"/>
    <col min="8" max="8" width="7.7109375" style="1" bestFit="1" customWidth="1"/>
    <col min="9" max="9" width="7.5703125" style="1" bestFit="1" customWidth="1"/>
    <col min="10" max="10" width="7.85546875" style="1" bestFit="1" customWidth="1"/>
    <col min="11" max="12" width="7.5703125" style="1" bestFit="1" customWidth="1"/>
    <col min="13" max="16" width="7.7109375" style="1" bestFit="1" customWidth="1"/>
    <col min="17" max="17" width="8" style="1" bestFit="1" customWidth="1"/>
    <col min="18" max="18" width="7.7109375" style="1" bestFit="1" customWidth="1"/>
    <col min="19" max="19" width="8.28515625" style="1" bestFit="1" customWidth="1"/>
    <col min="20" max="21" width="7.5703125" style="1" bestFit="1" customWidth="1"/>
    <col min="22" max="22" width="7.85546875" style="1" bestFit="1" customWidth="1"/>
    <col min="23" max="25" width="7.7109375" style="1" bestFit="1" customWidth="1"/>
    <col min="26" max="28" width="7.5703125" style="1" bestFit="1" customWidth="1"/>
    <col min="29" max="30" width="8" style="1" bestFit="1" customWidth="1"/>
    <col min="31" max="31" width="8.28515625" style="1" bestFit="1" customWidth="1"/>
    <col min="32" max="42" width="8" style="1" bestFit="1" customWidth="1"/>
    <col min="43" max="43" width="8.28515625" style="1" bestFit="1" customWidth="1"/>
    <col min="44" max="54" width="8" style="1" bestFit="1" customWidth="1"/>
    <col min="55" max="55" width="8.28515625" style="1" bestFit="1" customWidth="1"/>
    <col min="56" max="59" width="8" style="1" bestFit="1" customWidth="1"/>
    <col min="60" max="60" width="7.7109375" style="1" bestFit="1" customWidth="1"/>
    <col min="61" max="62" width="8.28515625" style="1" bestFit="1" customWidth="1"/>
    <col min="63" max="64" width="7.7109375" style="1" bestFit="1" customWidth="1"/>
    <col min="65" max="67" width="8.28515625" style="1" bestFit="1" customWidth="1"/>
    <col min="68" max="69" width="7.7109375" style="1" bestFit="1" customWidth="1"/>
    <col min="70" max="70" width="7.85546875" style="1" bestFit="1" customWidth="1"/>
    <col min="71" max="74" width="7.7109375" style="1" bestFit="1" customWidth="1"/>
    <col min="75" max="75" width="8" style="1" bestFit="1" customWidth="1"/>
    <col min="76" max="76" width="7.7109375" style="1" bestFit="1" customWidth="1"/>
    <col min="77" max="77" width="8" style="1" bestFit="1" customWidth="1"/>
    <col min="78" max="78" width="7.7109375" style="1" bestFit="1" customWidth="1"/>
    <col min="79" max="79" width="8.28515625" style="1" bestFit="1" customWidth="1"/>
    <col min="80" max="81" width="7.7109375" style="1" bestFit="1" customWidth="1"/>
    <col min="82" max="82" width="7.85546875" style="1" bestFit="1" customWidth="1"/>
    <col min="83" max="83" width="8" style="1" bestFit="1" customWidth="1"/>
    <col min="84" max="85" width="7.7109375" style="1" bestFit="1" customWidth="1"/>
    <col min="86" max="90" width="8" style="1" bestFit="1" customWidth="1"/>
    <col min="91" max="91" width="8.28515625" style="1" bestFit="1" customWidth="1"/>
    <col min="92" max="93" width="7.7109375" style="1" bestFit="1" customWidth="1"/>
    <col min="94" max="94" width="7.85546875" style="1" bestFit="1" customWidth="1"/>
    <col min="95" max="97" width="7.7109375" style="1" bestFit="1" customWidth="1"/>
    <col min="98" max="99" width="8" style="1" bestFit="1" customWidth="1"/>
    <col min="100" max="100" width="7.7109375" style="1" bestFit="1" customWidth="1"/>
    <col min="101" max="101" width="8" style="1" bestFit="1" customWidth="1"/>
    <col min="102" max="102" width="7.7109375" style="1" bestFit="1" customWidth="1"/>
    <col min="103" max="103" width="8.28515625" style="1" bestFit="1" customWidth="1"/>
    <col min="104" max="105" width="7.7109375" style="1" bestFit="1" customWidth="1"/>
    <col min="106" max="106" width="7.85546875" style="1" bestFit="1" customWidth="1"/>
    <col min="107" max="109" width="7.7109375" style="1" bestFit="1" customWidth="1"/>
    <col min="110" max="112" width="7.5703125" style="1" bestFit="1" customWidth="1"/>
    <col min="113" max="113" width="8" style="1" bestFit="1" customWidth="1"/>
    <col min="114" max="114" width="7.5703125" style="1" bestFit="1" customWidth="1"/>
    <col min="115" max="115" width="8.28515625" style="1" bestFit="1" customWidth="1"/>
    <col min="116" max="117" width="7.5703125" style="1" bestFit="1" customWidth="1"/>
    <col min="118" max="118" width="7.85546875" style="1" bestFit="1" customWidth="1"/>
    <col min="119" max="120" width="7.5703125" style="1" bestFit="1" customWidth="1"/>
    <col min="121" max="121" width="7.7109375" style="1" bestFit="1" customWidth="1"/>
    <col min="122" max="124" width="7.5703125" style="1" bestFit="1" customWidth="1"/>
    <col min="125" max="125" width="8" style="1" bestFit="1" customWidth="1"/>
    <col min="126" max="126" width="7.5703125" style="1" bestFit="1" customWidth="1"/>
    <col min="127" max="127" width="8.28515625" style="1" bestFit="1" customWidth="1"/>
    <col min="128" max="129" width="7.5703125" style="1" bestFit="1" customWidth="1"/>
    <col min="130" max="130" width="7.85546875" style="1" bestFit="1" customWidth="1"/>
    <col min="131" max="132" width="7.5703125" style="1" bestFit="1" customWidth="1"/>
    <col min="133" max="133" width="7.7109375" style="1" bestFit="1" customWidth="1"/>
    <col min="134" max="136" width="7.5703125" style="1" bestFit="1" customWidth="1"/>
    <col min="137" max="137" width="8" style="1" bestFit="1" customWidth="1"/>
    <col min="138" max="138" width="7.5703125" style="1" bestFit="1" customWidth="1"/>
    <col min="139" max="139" width="8.28515625" style="1" bestFit="1" customWidth="1"/>
    <col min="140" max="141" width="7.5703125" style="1" bestFit="1" customWidth="1"/>
    <col min="142" max="142" width="7.85546875" style="1" bestFit="1" customWidth="1"/>
    <col min="143" max="144" width="7.5703125" style="1" bestFit="1" customWidth="1"/>
    <col min="145" max="145" width="7.7109375" style="1" bestFit="1" customWidth="1"/>
    <col min="146" max="148" width="7.5703125" style="1" bestFit="1" customWidth="1"/>
    <col min="149" max="149" width="7.85546875" style="1" bestFit="1" customWidth="1"/>
    <col min="150" max="150" width="7.28515625" style="1" bestFit="1" customWidth="1"/>
    <col min="151" max="151" width="8.140625" style="1" bestFit="1" customWidth="1"/>
    <col min="152" max="268" width="8.140625" style="1" customWidth="1"/>
    <col min="269" max="269" width="6.85546875" style="1" bestFit="1" customWidth="1"/>
    <col min="270" max="270" width="8.5703125" style="1" bestFit="1" customWidth="1"/>
    <col min="271" max="271" width="9.140625" style="1" bestFit="1" customWidth="1"/>
    <col min="272" max="272" width="6.140625" style="1" bestFit="1" customWidth="1"/>
    <col min="273" max="273" width="16.85546875" style="1" bestFit="1" customWidth="1"/>
    <col min="274" max="274" width="6.85546875" style="1" bestFit="1" customWidth="1"/>
    <col min="275" max="336" width="9" style="1" customWidth="1"/>
  </cols>
  <sheetData>
    <row r="1" spans="1:337" x14ac:dyDescent="0.25">
      <c r="B1" s="1">
        <v>36</v>
      </c>
      <c r="C1" s="1">
        <v>37</v>
      </c>
      <c r="D1" s="1">
        <v>38</v>
      </c>
      <c r="E1" s="1">
        <v>39</v>
      </c>
      <c r="F1" s="1">
        <v>40</v>
      </c>
      <c r="G1" s="1">
        <v>41</v>
      </c>
      <c r="H1" s="1">
        <v>42</v>
      </c>
      <c r="I1" s="1">
        <v>43</v>
      </c>
      <c r="J1" s="1">
        <v>44</v>
      </c>
      <c r="K1" s="1">
        <v>45</v>
      </c>
      <c r="L1" s="1">
        <v>46</v>
      </c>
      <c r="M1" s="1">
        <v>47</v>
      </c>
      <c r="N1" s="1">
        <v>48</v>
      </c>
      <c r="O1" s="1">
        <v>49</v>
      </c>
      <c r="P1" s="1">
        <v>50</v>
      </c>
      <c r="Q1" s="1">
        <v>51</v>
      </c>
      <c r="R1" s="1">
        <v>52</v>
      </c>
      <c r="S1" s="1">
        <v>53</v>
      </c>
      <c r="T1" s="1">
        <v>54</v>
      </c>
      <c r="U1" s="1">
        <v>55</v>
      </c>
      <c r="V1" s="1">
        <v>56</v>
      </c>
      <c r="W1" s="1">
        <v>57</v>
      </c>
      <c r="X1" s="1">
        <v>58</v>
      </c>
      <c r="Y1" s="1">
        <v>59</v>
      </c>
      <c r="Z1" s="1">
        <v>60</v>
      </c>
      <c r="AA1" s="1">
        <v>61</v>
      </c>
      <c r="AB1" s="1">
        <v>62</v>
      </c>
      <c r="AC1" s="1">
        <v>63</v>
      </c>
      <c r="AD1" s="1">
        <v>64</v>
      </c>
      <c r="AE1" s="1">
        <v>65</v>
      </c>
      <c r="AF1" s="1">
        <v>66</v>
      </c>
      <c r="AG1" s="1">
        <v>67</v>
      </c>
      <c r="AH1" s="1">
        <v>68</v>
      </c>
      <c r="AI1" s="1">
        <v>69</v>
      </c>
      <c r="AJ1" s="1">
        <v>70</v>
      </c>
      <c r="AK1" s="1">
        <v>71</v>
      </c>
      <c r="AL1" s="1">
        <v>72</v>
      </c>
      <c r="AM1" s="1">
        <v>73</v>
      </c>
      <c r="AN1" s="1">
        <v>74</v>
      </c>
      <c r="AO1" s="1">
        <v>75</v>
      </c>
      <c r="AP1" s="1">
        <v>76</v>
      </c>
      <c r="AQ1" s="1">
        <v>77</v>
      </c>
      <c r="AR1" s="1">
        <v>78</v>
      </c>
      <c r="AS1" s="1">
        <v>79</v>
      </c>
      <c r="AT1" s="1">
        <v>80</v>
      </c>
      <c r="AU1" s="1">
        <v>81</v>
      </c>
      <c r="AV1" s="1">
        <v>82</v>
      </c>
      <c r="AW1" s="1">
        <v>83</v>
      </c>
      <c r="AX1" s="1">
        <v>84</v>
      </c>
      <c r="AY1" s="1">
        <v>85</v>
      </c>
      <c r="AZ1" s="1">
        <v>86</v>
      </c>
      <c r="BA1" s="1">
        <v>87</v>
      </c>
      <c r="BB1" s="1">
        <v>88</v>
      </c>
      <c r="BC1" s="1">
        <v>89</v>
      </c>
      <c r="BD1" s="1">
        <v>90</v>
      </c>
      <c r="BE1" s="1">
        <v>91</v>
      </c>
      <c r="BF1" s="1">
        <v>92</v>
      </c>
      <c r="BG1" s="1">
        <v>93</v>
      </c>
      <c r="BH1" s="1">
        <v>94</v>
      </c>
      <c r="BI1" s="1">
        <v>95</v>
      </c>
      <c r="BJ1" s="1">
        <v>96</v>
      </c>
      <c r="BK1" s="1">
        <v>97</v>
      </c>
      <c r="BL1" s="1">
        <v>98</v>
      </c>
      <c r="BM1" s="1">
        <v>99</v>
      </c>
      <c r="BN1" s="1">
        <v>100</v>
      </c>
      <c r="BO1" s="1">
        <v>101</v>
      </c>
      <c r="BP1" s="1">
        <v>102</v>
      </c>
      <c r="BQ1" s="1">
        <v>103</v>
      </c>
      <c r="BR1" s="1">
        <v>104</v>
      </c>
      <c r="BS1" s="1">
        <v>105</v>
      </c>
      <c r="BT1" s="1">
        <v>106</v>
      </c>
      <c r="BU1" s="1">
        <v>107</v>
      </c>
      <c r="BV1" s="1">
        <v>108</v>
      </c>
      <c r="BW1" s="1">
        <v>109</v>
      </c>
      <c r="BX1" s="1">
        <v>110</v>
      </c>
      <c r="BY1" s="1">
        <v>111</v>
      </c>
      <c r="BZ1" s="1">
        <v>112</v>
      </c>
      <c r="CA1" s="1">
        <v>113</v>
      </c>
      <c r="CB1" s="1">
        <v>114</v>
      </c>
      <c r="CC1" s="1">
        <v>115</v>
      </c>
      <c r="CD1" s="1">
        <v>116</v>
      </c>
      <c r="CE1" s="1">
        <v>117</v>
      </c>
      <c r="CF1" s="1">
        <v>118</v>
      </c>
      <c r="CG1" s="1">
        <v>119</v>
      </c>
      <c r="CH1" s="1">
        <v>120</v>
      </c>
      <c r="CI1" s="1">
        <v>121</v>
      </c>
      <c r="CJ1" s="1">
        <v>122</v>
      </c>
      <c r="CK1" s="1">
        <v>123</v>
      </c>
      <c r="CL1" s="1">
        <v>124</v>
      </c>
      <c r="CM1" s="1">
        <v>125</v>
      </c>
      <c r="CN1" s="1">
        <v>126</v>
      </c>
      <c r="CO1" s="1">
        <v>127</v>
      </c>
      <c r="CP1" s="1">
        <v>128</v>
      </c>
      <c r="CQ1" s="1">
        <v>129</v>
      </c>
      <c r="CR1" s="1">
        <v>130</v>
      </c>
      <c r="CS1" s="1">
        <v>131</v>
      </c>
      <c r="CT1" s="1">
        <v>132</v>
      </c>
      <c r="CU1" s="1">
        <v>133</v>
      </c>
      <c r="CV1" s="1">
        <v>134</v>
      </c>
      <c r="CW1" s="1">
        <v>135</v>
      </c>
      <c r="CX1" s="1">
        <v>136</v>
      </c>
      <c r="CY1" s="1">
        <v>137</v>
      </c>
      <c r="CZ1" s="1">
        <v>138</v>
      </c>
      <c r="DA1" s="1">
        <v>139</v>
      </c>
      <c r="DB1" s="1">
        <v>140</v>
      </c>
      <c r="DC1" s="1">
        <v>141</v>
      </c>
      <c r="DD1" s="1">
        <v>142</v>
      </c>
      <c r="DE1" s="1">
        <v>143</v>
      </c>
      <c r="DF1" s="1">
        <v>144</v>
      </c>
      <c r="DG1" s="1">
        <v>145</v>
      </c>
      <c r="DH1" s="1">
        <v>146</v>
      </c>
      <c r="DI1" s="1">
        <v>147</v>
      </c>
      <c r="DJ1" s="1">
        <v>148</v>
      </c>
      <c r="DK1" s="1">
        <v>149</v>
      </c>
      <c r="DL1" s="1">
        <v>150</v>
      </c>
      <c r="DM1" s="1">
        <v>151</v>
      </c>
      <c r="DN1" s="1">
        <v>152</v>
      </c>
      <c r="DO1" s="1">
        <v>153</v>
      </c>
      <c r="DP1" s="1">
        <v>154</v>
      </c>
      <c r="DQ1" s="1">
        <v>155</v>
      </c>
      <c r="DR1" s="1">
        <v>156</v>
      </c>
      <c r="DS1" s="1">
        <v>157</v>
      </c>
      <c r="DT1" s="1">
        <v>158</v>
      </c>
      <c r="DU1" s="1">
        <v>159</v>
      </c>
      <c r="DV1" s="1">
        <v>160</v>
      </c>
      <c r="DW1" s="1">
        <v>161</v>
      </c>
      <c r="DX1" s="1">
        <v>162</v>
      </c>
      <c r="DY1" s="1">
        <v>163</v>
      </c>
      <c r="DZ1" s="1">
        <v>164</v>
      </c>
      <c r="EA1" s="1">
        <v>165</v>
      </c>
      <c r="EB1" s="1">
        <v>166</v>
      </c>
      <c r="EC1" s="1">
        <v>167</v>
      </c>
      <c r="ED1" s="1">
        <v>168</v>
      </c>
      <c r="EE1" s="1">
        <v>169</v>
      </c>
      <c r="EF1" s="1">
        <v>170</v>
      </c>
      <c r="EG1" s="1">
        <v>171</v>
      </c>
      <c r="EH1" s="1">
        <v>172</v>
      </c>
      <c r="EI1" s="1">
        <v>173</v>
      </c>
      <c r="EJ1" s="1">
        <v>174</v>
      </c>
      <c r="EK1" s="1">
        <v>175</v>
      </c>
      <c r="EL1" s="1">
        <v>176</v>
      </c>
      <c r="EM1" s="1">
        <v>177</v>
      </c>
      <c r="EN1" s="1">
        <v>178</v>
      </c>
      <c r="EO1" s="1">
        <v>179</v>
      </c>
      <c r="EP1" s="1">
        <v>180</v>
      </c>
      <c r="EQ1" s="1">
        <v>181</v>
      </c>
      <c r="ER1" s="1">
        <v>182</v>
      </c>
      <c r="ES1" s="1">
        <v>183</v>
      </c>
      <c r="ET1" s="1">
        <v>184</v>
      </c>
      <c r="EU1" s="1">
        <v>185</v>
      </c>
      <c r="EV1" s="1">
        <v>186</v>
      </c>
      <c r="EW1" s="1">
        <v>187</v>
      </c>
      <c r="EX1" s="1">
        <v>188</v>
      </c>
      <c r="EY1" s="1">
        <v>189</v>
      </c>
      <c r="EZ1" s="1">
        <v>190</v>
      </c>
      <c r="FA1" s="1">
        <v>191</v>
      </c>
      <c r="FB1" s="1">
        <v>192</v>
      </c>
      <c r="FC1" s="1">
        <v>193</v>
      </c>
      <c r="FD1" s="1">
        <v>194</v>
      </c>
      <c r="FE1" s="1">
        <v>195</v>
      </c>
      <c r="FF1" s="1">
        <v>196</v>
      </c>
      <c r="FG1" s="1">
        <v>197</v>
      </c>
      <c r="FH1" s="1">
        <v>198</v>
      </c>
      <c r="FI1" s="1">
        <v>199</v>
      </c>
      <c r="FJ1" s="1">
        <v>200</v>
      </c>
      <c r="FK1" s="1">
        <v>201</v>
      </c>
      <c r="FL1" s="1">
        <v>202</v>
      </c>
      <c r="FM1" s="1">
        <v>203</v>
      </c>
      <c r="FN1" s="1">
        <v>204</v>
      </c>
      <c r="FO1" s="1">
        <v>205</v>
      </c>
      <c r="FP1" s="1">
        <v>206</v>
      </c>
      <c r="FQ1" s="1">
        <v>207</v>
      </c>
      <c r="FR1" s="1">
        <v>208</v>
      </c>
      <c r="FS1" s="1">
        <v>209</v>
      </c>
      <c r="FT1" s="1">
        <v>210</v>
      </c>
      <c r="FU1" s="1">
        <v>211</v>
      </c>
      <c r="FV1" s="1">
        <v>212</v>
      </c>
      <c r="FW1" s="1">
        <v>213</v>
      </c>
      <c r="FX1" s="1">
        <v>214</v>
      </c>
      <c r="FY1" s="1">
        <v>215</v>
      </c>
      <c r="FZ1" s="1">
        <v>216</v>
      </c>
      <c r="GA1" s="1">
        <v>217</v>
      </c>
      <c r="GB1" s="1">
        <v>218</v>
      </c>
      <c r="GC1" s="1">
        <v>219</v>
      </c>
      <c r="GD1" s="1">
        <v>220</v>
      </c>
      <c r="GE1" s="1">
        <v>221</v>
      </c>
      <c r="GF1" s="1">
        <v>222</v>
      </c>
      <c r="GG1" s="1">
        <v>223</v>
      </c>
      <c r="GH1" s="1">
        <v>224</v>
      </c>
      <c r="GI1" s="1">
        <v>225</v>
      </c>
      <c r="GJ1" s="1">
        <v>226</v>
      </c>
      <c r="GK1" s="1">
        <v>227</v>
      </c>
      <c r="GL1" s="1">
        <v>228</v>
      </c>
      <c r="GM1" s="1">
        <v>229</v>
      </c>
      <c r="GN1" s="1">
        <v>230</v>
      </c>
      <c r="GO1" s="1">
        <v>231</v>
      </c>
      <c r="GP1" s="1">
        <v>232</v>
      </c>
      <c r="GQ1" s="1">
        <v>233</v>
      </c>
      <c r="GR1" s="1">
        <v>234</v>
      </c>
      <c r="GS1" s="1">
        <v>235</v>
      </c>
      <c r="GT1" s="1">
        <v>236</v>
      </c>
      <c r="GU1" s="1">
        <v>237</v>
      </c>
      <c r="GV1" s="1">
        <v>238</v>
      </c>
      <c r="GW1" s="1">
        <v>239</v>
      </c>
      <c r="GX1" s="1">
        <v>240</v>
      </c>
      <c r="GY1" s="1">
        <v>241</v>
      </c>
      <c r="GZ1" s="1">
        <v>242</v>
      </c>
      <c r="HA1" s="1">
        <v>243</v>
      </c>
      <c r="HB1" s="1">
        <v>244</v>
      </c>
      <c r="HC1" s="1">
        <v>245</v>
      </c>
      <c r="HD1" s="1">
        <v>246</v>
      </c>
      <c r="HE1" s="1">
        <v>247</v>
      </c>
      <c r="HF1" s="1">
        <v>248</v>
      </c>
      <c r="HG1" s="1">
        <v>249</v>
      </c>
      <c r="HH1" s="1">
        <v>250</v>
      </c>
      <c r="HI1" s="1">
        <v>251</v>
      </c>
      <c r="HJ1" s="1">
        <v>252</v>
      </c>
      <c r="HK1" s="1">
        <v>253</v>
      </c>
      <c r="HL1" s="1">
        <v>254</v>
      </c>
      <c r="HM1" s="1">
        <v>255</v>
      </c>
      <c r="HN1" s="1">
        <v>256</v>
      </c>
      <c r="HO1" s="1">
        <v>257</v>
      </c>
      <c r="HP1" s="1">
        <v>258</v>
      </c>
      <c r="HQ1" s="1">
        <v>259</v>
      </c>
      <c r="HR1" s="1">
        <v>260</v>
      </c>
      <c r="HS1" s="1">
        <v>261</v>
      </c>
      <c r="HT1" s="1">
        <v>262</v>
      </c>
      <c r="HU1" s="1">
        <v>263</v>
      </c>
      <c r="HV1" s="1">
        <v>264</v>
      </c>
      <c r="HW1" s="1">
        <v>265</v>
      </c>
      <c r="HX1" s="1">
        <v>266</v>
      </c>
      <c r="HY1" s="1">
        <v>267</v>
      </c>
      <c r="HZ1" s="1">
        <v>268</v>
      </c>
      <c r="IA1" s="1">
        <v>269</v>
      </c>
      <c r="IB1" s="1">
        <v>270</v>
      </c>
      <c r="IC1" s="1">
        <v>271</v>
      </c>
      <c r="ID1" s="1">
        <v>272</v>
      </c>
      <c r="IE1" s="1">
        <v>273</v>
      </c>
      <c r="IF1" s="1">
        <v>274</v>
      </c>
      <c r="IG1" s="1">
        <v>275</v>
      </c>
      <c r="IH1" s="1">
        <v>276</v>
      </c>
      <c r="II1" s="1">
        <v>277</v>
      </c>
      <c r="IJ1" s="1">
        <v>278</v>
      </c>
      <c r="IK1" s="1">
        <v>279</v>
      </c>
      <c r="IL1" s="1">
        <v>280</v>
      </c>
      <c r="IM1" s="1">
        <v>281</v>
      </c>
      <c r="IN1" s="1">
        <v>282</v>
      </c>
      <c r="IO1" s="1">
        <v>283</v>
      </c>
      <c r="IP1" s="1">
        <v>284</v>
      </c>
      <c r="IQ1" s="1">
        <v>285</v>
      </c>
      <c r="IR1" s="1">
        <v>286</v>
      </c>
      <c r="IS1" s="1">
        <v>287</v>
      </c>
      <c r="IT1" s="1">
        <v>288</v>
      </c>
      <c r="IU1" s="1">
        <v>289</v>
      </c>
      <c r="IV1" s="1">
        <v>290</v>
      </c>
      <c r="IW1" s="1">
        <v>291</v>
      </c>
      <c r="IX1" s="1">
        <v>292</v>
      </c>
      <c r="IY1" s="1">
        <v>293</v>
      </c>
      <c r="IZ1" s="1">
        <v>294</v>
      </c>
      <c r="JA1" s="1">
        <v>295</v>
      </c>
      <c r="JB1" s="1">
        <v>296</v>
      </c>
      <c r="JC1" s="1">
        <v>297</v>
      </c>
      <c r="JD1" s="1">
        <v>298</v>
      </c>
      <c r="JE1" s="1">
        <v>299</v>
      </c>
      <c r="JF1" s="1">
        <v>300</v>
      </c>
      <c r="JG1" s="1">
        <v>301</v>
      </c>
      <c r="JH1" s="1">
        <v>302</v>
      </c>
    </row>
    <row r="2" spans="1:337" x14ac:dyDescent="0.25">
      <c r="A2" s="3" t="s">
        <v>1</v>
      </c>
      <c r="B2" s="7">
        <v>37986</v>
      </c>
      <c r="C2" s="7">
        <v>38017</v>
      </c>
      <c r="D2" s="7">
        <v>38046</v>
      </c>
      <c r="E2" s="7">
        <v>38077</v>
      </c>
      <c r="F2" s="7">
        <v>38107</v>
      </c>
      <c r="G2" s="7">
        <v>38138</v>
      </c>
      <c r="H2" s="7">
        <v>38168</v>
      </c>
      <c r="I2" s="7">
        <v>38199</v>
      </c>
      <c r="J2" s="7">
        <v>38230</v>
      </c>
      <c r="K2" s="7">
        <v>38260</v>
      </c>
      <c r="L2" s="7">
        <v>38291</v>
      </c>
      <c r="M2" s="7">
        <v>38321</v>
      </c>
      <c r="N2" s="7">
        <v>38352</v>
      </c>
      <c r="O2" s="7">
        <v>38383</v>
      </c>
      <c r="P2" s="7">
        <v>38411</v>
      </c>
      <c r="Q2" s="7">
        <v>38442</v>
      </c>
      <c r="R2" s="7">
        <v>38472</v>
      </c>
      <c r="S2" s="7">
        <v>38503</v>
      </c>
      <c r="T2" s="7">
        <v>38533</v>
      </c>
      <c r="U2" s="7">
        <v>38564</v>
      </c>
      <c r="V2" s="7">
        <v>38595</v>
      </c>
      <c r="W2" s="7">
        <v>38625</v>
      </c>
      <c r="X2" s="7">
        <v>38656</v>
      </c>
      <c r="Y2" s="7">
        <v>38686</v>
      </c>
      <c r="Z2" s="7">
        <v>38717</v>
      </c>
      <c r="AA2" s="7">
        <v>38748</v>
      </c>
      <c r="AB2" s="7">
        <v>38776</v>
      </c>
      <c r="AC2" s="7">
        <v>38807</v>
      </c>
      <c r="AD2" s="7">
        <v>38837</v>
      </c>
      <c r="AE2" s="7">
        <v>38868</v>
      </c>
      <c r="AF2" s="7">
        <v>38898</v>
      </c>
      <c r="AG2" s="7">
        <v>38929</v>
      </c>
      <c r="AH2" s="7">
        <v>38960</v>
      </c>
      <c r="AI2" s="7">
        <v>38990</v>
      </c>
      <c r="AJ2" s="7">
        <v>39021</v>
      </c>
      <c r="AK2" s="7">
        <v>39051</v>
      </c>
      <c r="AL2" s="7">
        <v>39082</v>
      </c>
      <c r="AM2" s="7">
        <v>39113</v>
      </c>
      <c r="AN2" s="7">
        <v>39141</v>
      </c>
      <c r="AO2" s="7">
        <v>39172</v>
      </c>
      <c r="AP2" s="7">
        <v>39202</v>
      </c>
      <c r="AQ2" s="7">
        <v>39233</v>
      </c>
      <c r="AR2" s="7">
        <v>39263</v>
      </c>
      <c r="AS2" s="7">
        <v>39294</v>
      </c>
      <c r="AT2" s="7">
        <v>39325</v>
      </c>
      <c r="AU2" s="7">
        <v>39355</v>
      </c>
      <c r="AV2" s="7">
        <v>39386</v>
      </c>
      <c r="AW2" s="7">
        <v>39416</v>
      </c>
      <c r="AX2" s="7">
        <v>39447</v>
      </c>
      <c r="AY2" s="7">
        <v>39478</v>
      </c>
      <c r="AZ2" s="7">
        <v>39507</v>
      </c>
      <c r="BA2" s="7">
        <v>39538</v>
      </c>
      <c r="BB2" s="7">
        <v>39568</v>
      </c>
      <c r="BC2" s="7">
        <v>39599</v>
      </c>
      <c r="BD2" s="7">
        <v>39629</v>
      </c>
      <c r="BE2" s="7">
        <v>39660</v>
      </c>
      <c r="BF2" s="7">
        <v>39691</v>
      </c>
      <c r="BG2" s="7">
        <v>39721</v>
      </c>
      <c r="BH2" s="7">
        <v>39752</v>
      </c>
      <c r="BI2" s="7">
        <v>39782</v>
      </c>
      <c r="BJ2" s="7">
        <v>39813</v>
      </c>
      <c r="BK2" s="7">
        <v>39844</v>
      </c>
      <c r="BL2" s="7">
        <v>39872</v>
      </c>
      <c r="BM2" s="7">
        <v>39903</v>
      </c>
      <c r="BN2" s="7">
        <v>39933</v>
      </c>
      <c r="BO2" s="7">
        <v>39964</v>
      </c>
      <c r="BP2" s="7">
        <v>39994</v>
      </c>
      <c r="BQ2" s="7">
        <v>40025</v>
      </c>
      <c r="BR2" s="7">
        <v>40056</v>
      </c>
      <c r="BS2" s="7">
        <v>40086</v>
      </c>
      <c r="BT2" s="7">
        <v>40117</v>
      </c>
      <c r="BU2" s="7">
        <v>40147</v>
      </c>
      <c r="BV2" s="7">
        <v>40178</v>
      </c>
      <c r="BW2" s="7">
        <v>40209</v>
      </c>
      <c r="BX2" s="7">
        <v>40237</v>
      </c>
      <c r="BY2" s="7">
        <v>40268</v>
      </c>
      <c r="BZ2" s="7">
        <v>40298</v>
      </c>
      <c r="CA2" s="7">
        <v>40329</v>
      </c>
      <c r="CB2" s="7">
        <v>40359</v>
      </c>
      <c r="CC2" s="7">
        <v>40390</v>
      </c>
      <c r="CD2" s="7">
        <v>40421</v>
      </c>
      <c r="CE2" s="7">
        <v>40451</v>
      </c>
      <c r="CF2" s="7">
        <v>40482</v>
      </c>
      <c r="CG2" s="7">
        <v>40512</v>
      </c>
      <c r="CH2" s="7">
        <v>40543</v>
      </c>
      <c r="CI2" s="7">
        <v>40574</v>
      </c>
      <c r="CJ2" s="7">
        <v>40602</v>
      </c>
      <c r="CK2" s="7">
        <v>40633</v>
      </c>
      <c r="CL2" s="7">
        <v>40663</v>
      </c>
      <c r="CM2" s="7">
        <v>40694</v>
      </c>
      <c r="CN2" s="7">
        <v>40724</v>
      </c>
      <c r="CO2" s="7">
        <v>40755</v>
      </c>
      <c r="CP2" s="7">
        <v>40786</v>
      </c>
      <c r="CQ2" s="7">
        <v>40816</v>
      </c>
      <c r="CR2" s="7">
        <v>40847</v>
      </c>
      <c r="CS2" s="7">
        <v>40877</v>
      </c>
      <c r="CT2" s="7">
        <v>40908</v>
      </c>
      <c r="CU2" s="7">
        <v>40939</v>
      </c>
      <c r="CV2" s="8">
        <v>40968</v>
      </c>
      <c r="CW2" s="7">
        <v>40999</v>
      </c>
      <c r="CX2" s="7">
        <v>41029</v>
      </c>
      <c r="CY2" s="7">
        <v>41060</v>
      </c>
      <c r="CZ2" s="7">
        <v>41090</v>
      </c>
      <c r="DA2" s="7">
        <v>41121</v>
      </c>
      <c r="DB2" s="7">
        <v>41152</v>
      </c>
      <c r="DC2" s="7">
        <v>41182</v>
      </c>
      <c r="DD2" s="7">
        <v>41213</v>
      </c>
      <c r="DE2" s="7">
        <v>41243</v>
      </c>
      <c r="DF2" s="7">
        <v>41274</v>
      </c>
      <c r="DG2" s="7">
        <v>41305</v>
      </c>
      <c r="DH2" s="7">
        <v>41333</v>
      </c>
      <c r="DI2" s="7">
        <v>41364</v>
      </c>
      <c r="DJ2" s="7">
        <v>41394</v>
      </c>
      <c r="DK2" s="7">
        <v>41425</v>
      </c>
      <c r="DL2" s="7">
        <v>41455</v>
      </c>
      <c r="DM2" s="7">
        <v>41486</v>
      </c>
      <c r="DN2" s="7">
        <v>41517</v>
      </c>
      <c r="DO2" s="7">
        <v>41547</v>
      </c>
      <c r="DP2" s="7">
        <v>41578</v>
      </c>
      <c r="DQ2" s="7">
        <v>41608</v>
      </c>
      <c r="DR2" s="7">
        <v>41639</v>
      </c>
      <c r="DS2" s="7">
        <v>41670</v>
      </c>
      <c r="DT2" s="7">
        <v>41698</v>
      </c>
      <c r="DU2" s="7">
        <v>41729</v>
      </c>
      <c r="DV2" s="7">
        <v>41759</v>
      </c>
      <c r="DW2" s="7">
        <v>41790</v>
      </c>
      <c r="DX2" s="7">
        <v>41820</v>
      </c>
      <c r="DY2" s="7">
        <v>41851</v>
      </c>
      <c r="DZ2" s="7">
        <v>41882</v>
      </c>
      <c r="EA2" s="7">
        <v>41912</v>
      </c>
      <c r="EB2" s="7">
        <v>41943</v>
      </c>
      <c r="EC2" s="7">
        <v>41973</v>
      </c>
      <c r="ED2" s="7">
        <v>42004</v>
      </c>
      <c r="EE2" s="7">
        <v>42035</v>
      </c>
      <c r="EF2" s="7">
        <v>42063</v>
      </c>
      <c r="EG2" s="7">
        <v>42094</v>
      </c>
      <c r="EH2" s="7">
        <v>42124</v>
      </c>
      <c r="EI2" s="7">
        <v>42155</v>
      </c>
      <c r="EJ2" s="7">
        <v>42185</v>
      </c>
      <c r="EK2" s="7">
        <v>42216</v>
      </c>
      <c r="EL2" s="7">
        <v>42247</v>
      </c>
      <c r="EM2" s="7">
        <v>42277</v>
      </c>
      <c r="EN2" s="7">
        <v>42308</v>
      </c>
      <c r="EO2" s="7">
        <v>42338</v>
      </c>
      <c r="EP2" s="7">
        <v>42369</v>
      </c>
      <c r="EQ2" s="7">
        <v>42400</v>
      </c>
      <c r="ER2" s="7">
        <v>42429</v>
      </c>
      <c r="ES2" s="7">
        <v>42460</v>
      </c>
      <c r="ET2" s="7">
        <v>42490</v>
      </c>
      <c r="EU2" s="7">
        <v>42521</v>
      </c>
      <c r="EV2" s="7">
        <v>42551</v>
      </c>
      <c r="EW2" s="7">
        <v>42582</v>
      </c>
      <c r="EX2" s="7">
        <v>42613</v>
      </c>
      <c r="EY2" s="7">
        <v>42643</v>
      </c>
      <c r="EZ2" s="7">
        <v>42674</v>
      </c>
      <c r="FA2" s="7">
        <v>42704</v>
      </c>
      <c r="FB2" s="7">
        <v>42735</v>
      </c>
      <c r="FC2" s="7">
        <v>42766</v>
      </c>
      <c r="FD2" s="7">
        <v>42794</v>
      </c>
      <c r="FE2" s="7">
        <v>42825</v>
      </c>
      <c r="FF2" s="7">
        <v>42855</v>
      </c>
      <c r="FG2" s="7">
        <v>42886</v>
      </c>
      <c r="FH2" s="7">
        <v>42916</v>
      </c>
      <c r="FI2" s="7">
        <v>42947</v>
      </c>
      <c r="FJ2" s="7">
        <v>42978</v>
      </c>
      <c r="FK2" s="7">
        <v>43008</v>
      </c>
      <c r="FL2" s="7">
        <v>43039</v>
      </c>
      <c r="FM2" s="7">
        <v>43069</v>
      </c>
      <c r="FN2" s="7">
        <v>43100</v>
      </c>
      <c r="FO2" s="7">
        <v>43131</v>
      </c>
      <c r="FP2" s="7">
        <v>43159</v>
      </c>
      <c r="FQ2" s="7">
        <v>43190</v>
      </c>
      <c r="FR2" s="7">
        <v>43220</v>
      </c>
      <c r="FS2" s="7">
        <v>43251</v>
      </c>
      <c r="FT2" s="7">
        <v>43281</v>
      </c>
      <c r="FU2" s="7">
        <v>43312</v>
      </c>
      <c r="FV2" s="7">
        <v>43343</v>
      </c>
      <c r="FW2" s="7">
        <v>43373</v>
      </c>
      <c r="FX2" s="7">
        <v>43404</v>
      </c>
      <c r="FY2" s="7">
        <v>43434</v>
      </c>
      <c r="FZ2" s="7">
        <v>43465</v>
      </c>
      <c r="GA2" s="7">
        <v>43496</v>
      </c>
      <c r="GB2" s="7">
        <v>43524</v>
      </c>
      <c r="GC2" s="7">
        <v>43555</v>
      </c>
      <c r="GD2" s="7">
        <v>43585</v>
      </c>
      <c r="GE2" s="7">
        <v>43616</v>
      </c>
      <c r="GF2" s="7">
        <v>43646</v>
      </c>
      <c r="GG2" s="7">
        <v>43677</v>
      </c>
      <c r="GH2" s="7">
        <v>43708</v>
      </c>
      <c r="GI2" s="7">
        <v>43738</v>
      </c>
      <c r="GJ2" s="7">
        <v>43769</v>
      </c>
      <c r="GK2" s="7">
        <v>43799</v>
      </c>
      <c r="GL2" s="7">
        <v>43830</v>
      </c>
      <c r="GM2" s="7">
        <v>43861</v>
      </c>
      <c r="GN2" s="7">
        <v>43890</v>
      </c>
      <c r="GO2" s="7">
        <v>43921</v>
      </c>
      <c r="GP2" s="7">
        <v>43951</v>
      </c>
      <c r="GQ2" s="7">
        <v>43982</v>
      </c>
      <c r="GR2" s="7">
        <v>44012</v>
      </c>
      <c r="GS2" s="7">
        <v>44043</v>
      </c>
      <c r="GT2" s="7">
        <v>44074</v>
      </c>
      <c r="GU2" s="7">
        <v>44104</v>
      </c>
      <c r="GV2" s="7">
        <v>44135</v>
      </c>
      <c r="GW2" s="7">
        <v>44165</v>
      </c>
      <c r="GX2" s="7">
        <v>44196</v>
      </c>
      <c r="GY2" s="7">
        <v>44227</v>
      </c>
      <c r="GZ2" s="7">
        <v>44255</v>
      </c>
      <c r="HA2" s="7">
        <v>44286</v>
      </c>
      <c r="HB2" s="7">
        <v>44316</v>
      </c>
      <c r="HC2" s="7">
        <v>44347</v>
      </c>
      <c r="HD2" s="7">
        <v>44377</v>
      </c>
      <c r="HE2" s="7">
        <v>44408</v>
      </c>
      <c r="HF2" s="7">
        <v>44439</v>
      </c>
      <c r="HG2" s="7">
        <v>44469</v>
      </c>
      <c r="HH2" s="7">
        <v>44500</v>
      </c>
      <c r="HI2" s="7">
        <v>44530</v>
      </c>
      <c r="HJ2" s="7">
        <v>44561</v>
      </c>
      <c r="HK2" s="7">
        <v>44592</v>
      </c>
      <c r="HL2" s="7">
        <v>44620</v>
      </c>
      <c r="HM2" s="7">
        <v>44651</v>
      </c>
      <c r="HN2" s="7">
        <v>44681</v>
      </c>
      <c r="HO2" s="7">
        <v>44712</v>
      </c>
      <c r="HP2" s="7">
        <v>44742</v>
      </c>
      <c r="HQ2" s="7">
        <v>44773</v>
      </c>
      <c r="HR2" s="7">
        <v>44804</v>
      </c>
      <c r="HS2" s="7">
        <v>44834</v>
      </c>
      <c r="HT2" s="7">
        <v>44865</v>
      </c>
      <c r="HU2" s="7">
        <v>44895</v>
      </c>
      <c r="HV2" s="7">
        <v>44926</v>
      </c>
      <c r="HW2" s="7">
        <v>44957</v>
      </c>
      <c r="HX2" s="7">
        <v>44985</v>
      </c>
      <c r="HY2" s="7">
        <v>45016</v>
      </c>
      <c r="HZ2" s="7">
        <v>45046</v>
      </c>
      <c r="IA2" s="7">
        <v>45077</v>
      </c>
      <c r="IB2" s="7">
        <v>45107</v>
      </c>
      <c r="IC2" s="7">
        <v>45138</v>
      </c>
      <c r="ID2" s="7">
        <v>45169</v>
      </c>
      <c r="IE2" s="7">
        <v>45199</v>
      </c>
      <c r="IF2" s="7">
        <v>45230</v>
      </c>
      <c r="IG2" s="7">
        <v>45260</v>
      </c>
      <c r="IH2" s="7">
        <v>45291</v>
      </c>
      <c r="II2" s="7">
        <v>45322</v>
      </c>
      <c r="IJ2" s="7">
        <v>45351</v>
      </c>
      <c r="IK2" s="7">
        <v>45382</v>
      </c>
      <c r="IL2" s="7">
        <v>45412</v>
      </c>
      <c r="IM2" s="7">
        <v>45443</v>
      </c>
      <c r="IN2" s="7">
        <v>45473</v>
      </c>
      <c r="IO2" s="7">
        <v>45504</v>
      </c>
      <c r="IP2" s="7">
        <v>45535</v>
      </c>
      <c r="IQ2" s="7">
        <v>45565</v>
      </c>
      <c r="IR2" s="7">
        <v>45596</v>
      </c>
      <c r="IS2" s="7">
        <v>45626</v>
      </c>
      <c r="IT2" s="7">
        <v>45657</v>
      </c>
      <c r="IU2" s="7">
        <v>45688</v>
      </c>
      <c r="IV2" s="7">
        <v>45716</v>
      </c>
      <c r="IW2" s="7">
        <v>45747</v>
      </c>
      <c r="IX2" s="7">
        <v>45777</v>
      </c>
      <c r="IY2" s="7">
        <v>45808</v>
      </c>
      <c r="IZ2" s="7">
        <v>45838</v>
      </c>
      <c r="JA2" s="7">
        <v>45869</v>
      </c>
      <c r="JB2" s="7">
        <v>45900</v>
      </c>
      <c r="JC2" s="7">
        <v>45930</v>
      </c>
      <c r="JD2" s="7">
        <v>45961</v>
      </c>
      <c r="JE2" s="7">
        <v>45991</v>
      </c>
      <c r="JF2" s="7">
        <v>46022</v>
      </c>
      <c r="JG2" s="7">
        <v>46053</v>
      </c>
      <c r="JH2" s="7">
        <v>46081</v>
      </c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</row>
    <row r="3" spans="1:337" x14ac:dyDescent="0.25">
      <c r="A3" s="4">
        <v>1</v>
      </c>
      <c r="B3" s="1">
        <v>602419.19743162161</v>
      </c>
      <c r="C3" s="1">
        <v>606558.62381138257</v>
      </c>
      <c r="D3" s="1">
        <v>609973.54318455025</v>
      </c>
      <c r="E3" s="1">
        <v>614358.60448425286</v>
      </c>
      <c r="F3" s="1">
        <v>620296.82061288564</v>
      </c>
      <c r="G3" s="1">
        <v>625466.64650547702</v>
      </c>
      <c r="H3" s="1">
        <v>634986.54251553817</v>
      </c>
      <c r="I3" s="1">
        <v>633281.15123970341</v>
      </c>
      <c r="J3" s="1">
        <v>638297.72645000042</v>
      </c>
      <c r="K3" s="1">
        <v>641816.82372898865</v>
      </c>
      <c r="L3" s="1">
        <v>646872.74083978147</v>
      </c>
      <c r="M3" s="1">
        <v>631100.11101130373</v>
      </c>
      <c r="N3" s="1">
        <v>639208.21058407146</v>
      </c>
      <c r="O3" s="1">
        <v>642188.91928571474</v>
      </c>
      <c r="P3" s="1">
        <v>644263.24753429159</v>
      </c>
      <c r="Q3" s="1">
        <v>647260.81568317045</v>
      </c>
      <c r="R3" s="1">
        <v>656340.83897353359</v>
      </c>
      <c r="S3" s="1">
        <v>666911.7982322796</v>
      </c>
      <c r="T3" s="1">
        <v>682225.7234302857</v>
      </c>
      <c r="U3" s="1">
        <v>687422.16758954199</v>
      </c>
      <c r="V3" s="1">
        <v>687794.21456464042</v>
      </c>
      <c r="W3" s="1">
        <v>689586.90787927085</v>
      </c>
      <c r="X3" s="1">
        <v>692647.73039287492</v>
      </c>
      <c r="Y3" s="1">
        <v>684765.81292897533</v>
      </c>
      <c r="Z3" s="1">
        <v>687639.32874238119</v>
      </c>
      <c r="AA3" s="1">
        <v>693066.05999786092</v>
      </c>
      <c r="AB3" s="1">
        <v>696947.87753982795</v>
      </c>
      <c r="AC3" s="1">
        <v>704863.00074638834</v>
      </c>
      <c r="AD3" s="1">
        <v>712233.32555492548</v>
      </c>
      <c r="AE3" s="1">
        <v>724397.90917220595</v>
      </c>
      <c r="AF3" s="1">
        <v>730211.22043495323</v>
      </c>
      <c r="AG3" s="1">
        <v>724185.9287306054</v>
      </c>
      <c r="AH3" s="1">
        <v>720724.69429835852</v>
      </c>
      <c r="AI3" s="1">
        <v>723825.02623868571</v>
      </c>
      <c r="AJ3" s="1">
        <v>728176.19273052202</v>
      </c>
      <c r="AK3" s="1">
        <v>723127.19063670537</v>
      </c>
      <c r="AL3" s="1">
        <v>721615.33706124662</v>
      </c>
      <c r="AM3" s="1">
        <v>730208.62022965704</v>
      </c>
      <c r="AN3" s="1">
        <v>736160.60662389733</v>
      </c>
      <c r="AO3" s="1">
        <v>742098.19746050797</v>
      </c>
      <c r="AP3" s="1">
        <v>750233.53484968422</v>
      </c>
      <c r="AQ3" s="1">
        <v>760770.76016843086</v>
      </c>
      <c r="AR3" s="1">
        <v>767766.45702178893</v>
      </c>
      <c r="AS3" s="1">
        <v>763401.61967353965</v>
      </c>
      <c r="AT3" s="1">
        <v>760555.38172532164</v>
      </c>
      <c r="AU3" s="1">
        <v>764915.50030305493</v>
      </c>
      <c r="AV3" s="1">
        <v>772006.50337967707</v>
      </c>
      <c r="AW3" s="1">
        <v>766962.40599150071</v>
      </c>
      <c r="AX3" s="1">
        <v>765231.26699140645</v>
      </c>
      <c r="AY3" s="1">
        <v>768774.90428582998</v>
      </c>
      <c r="AZ3" s="1">
        <v>770614.01513066539</v>
      </c>
      <c r="BA3" s="1">
        <v>770266.94039622892</v>
      </c>
      <c r="BB3" s="1">
        <v>775299.28359200386</v>
      </c>
      <c r="BC3" s="1">
        <v>777593.73889457155</v>
      </c>
      <c r="BD3" s="1">
        <v>778882.08506995719</v>
      </c>
      <c r="BE3" s="1">
        <v>768222.78143673041</v>
      </c>
      <c r="BF3" s="1">
        <v>759598.28573978064</v>
      </c>
      <c r="BG3" s="1">
        <v>760873.76446798025</v>
      </c>
      <c r="BH3" s="1">
        <v>762844.32259875035</v>
      </c>
      <c r="BI3" s="1">
        <v>738788.87553977664</v>
      </c>
      <c r="BJ3" s="1">
        <v>726375.23769253748</v>
      </c>
      <c r="BK3" s="1">
        <v>721071.12799816625</v>
      </c>
      <c r="BL3" s="1">
        <v>714578.87949485937</v>
      </c>
      <c r="BM3" s="1">
        <v>706820.44725123968</v>
      </c>
      <c r="BN3" s="1">
        <v>706620.31163469749</v>
      </c>
      <c r="BO3" s="1">
        <v>713180.13220655709</v>
      </c>
      <c r="BP3" s="1">
        <v>719375.76365277858</v>
      </c>
      <c r="BQ3" s="1">
        <v>715388.81540367275</v>
      </c>
      <c r="BR3" s="1">
        <v>714631.73163531232</v>
      </c>
      <c r="BS3" s="1">
        <v>728909.39771802316</v>
      </c>
      <c r="BT3" s="1">
        <v>723360.12375270855</v>
      </c>
      <c r="BU3" s="1">
        <v>710531.46242260165</v>
      </c>
      <c r="BV3" s="1">
        <v>707452.78448869532</v>
      </c>
      <c r="BW3" s="1">
        <v>706191.01999852573</v>
      </c>
      <c r="BX3" s="1">
        <v>703612.9623961678</v>
      </c>
      <c r="BY3" s="1">
        <v>702516.43122555362</v>
      </c>
      <c r="BZ3" s="1">
        <v>704473.37879518466</v>
      </c>
      <c r="CA3" s="1">
        <v>708560.15199235943</v>
      </c>
      <c r="CB3" s="1">
        <v>712022.91328029404</v>
      </c>
      <c r="CC3" s="1">
        <v>706286.13573795813</v>
      </c>
      <c r="CD3" s="1">
        <v>704132.86464323208</v>
      </c>
      <c r="CE3" s="1">
        <v>711115.61816683318</v>
      </c>
      <c r="CF3" s="1">
        <v>711502.22677125735</v>
      </c>
      <c r="CG3" s="1">
        <v>697908.59249607834</v>
      </c>
      <c r="CH3" s="1">
        <v>688983.87615161273</v>
      </c>
      <c r="CI3" s="1">
        <v>691443.59395223833</v>
      </c>
      <c r="CJ3" s="1">
        <v>684738.88824069372</v>
      </c>
      <c r="CK3" s="1">
        <v>683638.10274992825</v>
      </c>
      <c r="CL3" s="1">
        <v>688949.82948553725</v>
      </c>
      <c r="CM3" s="1">
        <v>691589.07999550295</v>
      </c>
      <c r="CN3" s="1">
        <v>694230.9372827725</v>
      </c>
      <c r="CO3" s="1">
        <v>685460.92434842465</v>
      </c>
      <c r="CP3" s="1">
        <v>687120.15768517461</v>
      </c>
      <c r="CQ3" s="1">
        <v>693158.06815064617</v>
      </c>
      <c r="CR3" s="1">
        <v>676115.08706243709</v>
      </c>
      <c r="CS3" s="1">
        <v>663549.18298849789</v>
      </c>
      <c r="CT3" s="1">
        <v>657067.53117566439</v>
      </c>
      <c r="CU3" s="1">
        <v>649387.19060020847</v>
      </c>
      <c r="CV3" s="1">
        <v>643812.10651494632</v>
      </c>
      <c r="CW3" s="1">
        <v>640646.41165455501</v>
      </c>
      <c r="CX3" s="1">
        <v>640135.85993710661</v>
      </c>
      <c r="CY3" s="1">
        <v>639443.57246818044</v>
      </c>
      <c r="CZ3" s="1">
        <v>646319.93941834953</v>
      </c>
      <c r="DA3" s="1">
        <v>635555.75692745741</v>
      </c>
      <c r="DB3" s="1">
        <v>634556.4044967487</v>
      </c>
      <c r="DC3" s="1">
        <v>642055.57311407384</v>
      </c>
      <c r="DD3" s="1">
        <v>624942.95242663939</v>
      </c>
      <c r="DE3" s="1">
        <v>606875.43072630721</v>
      </c>
      <c r="DF3" s="1">
        <v>590664.56384811248</v>
      </c>
      <c r="DG3" s="1">
        <v>587443.25244847569</v>
      </c>
      <c r="DH3" s="1">
        <v>588220.0563658399</v>
      </c>
      <c r="DI3" s="1">
        <v>589499.44884007715</v>
      </c>
      <c r="DJ3" s="1">
        <v>594768.5717707593</v>
      </c>
      <c r="DK3" s="1">
        <v>600488.27378156898</v>
      </c>
      <c r="DL3" s="1">
        <v>605570.50936299772</v>
      </c>
      <c r="DM3" s="1">
        <v>599192.81120548642</v>
      </c>
      <c r="DN3" s="1">
        <v>609586.75164188189</v>
      </c>
      <c r="DO3" s="1">
        <v>602591.68763738661</v>
      </c>
      <c r="DP3" s="1">
        <v>606420.32887342945</v>
      </c>
      <c r="DQ3" s="1">
        <v>592540.89511116652</v>
      </c>
      <c r="DR3" s="1">
        <v>593044.18282569456</v>
      </c>
      <c r="DS3" s="1">
        <v>595039.56143643754</v>
      </c>
      <c r="DT3" s="1">
        <v>596291.44360361318</v>
      </c>
      <c r="DU3" s="1">
        <v>596719.23096093372</v>
      </c>
      <c r="DV3" s="1">
        <v>603513.66279874556</v>
      </c>
      <c r="DW3" s="1">
        <v>611213.78509344906</v>
      </c>
      <c r="DX3" s="1">
        <v>619036.85593211232</v>
      </c>
      <c r="DY3" s="1">
        <v>613933.05828601052</v>
      </c>
      <c r="DZ3" s="1">
        <v>625813.680462925</v>
      </c>
      <c r="EA3" s="1">
        <v>629177.04586945311</v>
      </c>
      <c r="EB3" s="1">
        <v>605023.46454986115</v>
      </c>
      <c r="EC3" s="1">
        <v>610013.86207269737</v>
      </c>
      <c r="ED3" s="1">
        <v>606179.08798025665</v>
      </c>
      <c r="EE3" s="1">
        <v>602657.78066797217</v>
      </c>
      <c r="EF3" s="1">
        <v>606823.60409938334</v>
      </c>
      <c r="EG3" s="1">
        <v>613830.16328746127</v>
      </c>
      <c r="EH3" s="1">
        <v>626116.06149304542</v>
      </c>
      <c r="EI3" s="1">
        <v>639515.64303659624</v>
      </c>
      <c r="EJ3" s="1">
        <v>646202.10694079322</v>
      </c>
      <c r="EK3" s="1">
        <v>638136.68472080491</v>
      </c>
      <c r="EL3" s="1">
        <v>652856.02417717502</v>
      </c>
      <c r="EM3" s="1">
        <v>636630.17525822134</v>
      </c>
      <c r="EN3" s="1">
        <v>626871.47354249726</v>
      </c>
      <c r="EO3" s="1">
        <v>630018.50465213205</v>
      </c>
      <c r="EP3" s="1">
        <v>625438.12240295415</v>
      </c>
      <c r="EQ3" s="1">
        <v>627723.60951661551</v>
      </c>
      <c r="ER3" s="1">
        <v>629038.58701007371</v>
      </c>
      <c r="ES3" s="1">
        <v>633148.53999464726</v>
      </c>
      <c r="ET3" s="1">
        <v>643215.43934580463</v>
      </c>
      <c r="EU3" s="1">
        <v>654614.85245707259</v>
      </c>
      <c r="EV3" s="1">
        <v>663196.93528215075</v>
      </c>
      <c r="EW3" s="1">
        <v>660627.5149435394</v>
      </c>
      <c r="EX3" s="1">
        <v>677486.0019346769</v>
      </c>
      <c r="EY3" s="1">
        <v>658622.04255726514</v>
      </c>
      <c r="EZ3" s="1">
        <v>657583.84754896222</v>
      </c>
      <c r="FA3" s="1">
        <v>653808.80903851707</v>
      </c>
      <c r="FB3" s="1">
        <v>644769.44720714074</v>
      </c>
      <c r="FC3" s="1">
        <v>648502.96548407525</v>
      </c>
      <c r="FD3" s="1">
        <v>650869.06306265527</v>
      </c>
      <c r="FE3" s="1">
        <v>655820.31901751063</v>
      </c>
      <c r="FF3" s="1">
        <v>663929.02767353808</v>
      </c>
      <c r="FG3" s="1">
        <v>673013.8621754963</v>
      </c>
      <c r="FH3" s="1">
        <v>679297.59805148374</v>
      </c>
      <c r="FI3" s="1">
        <v>672824.6840792764</v>
      </c>
      <c r="FJ3" s="1">
        <v>689487.07090153685</v>
      </c>
      <c r="FK3" s="1">
        <v>679327.00140452455</v>
      </c>
      <c r="FL3" s="1">
        <v>671960.17446496093</v>
      </c>
      <c r="FM3" s="1">
        <v>682426.60170422029</v>
      </c>
      <c r="FN3" s="1">
        <v>677603.37335209188</v>
      </c>
      <c r="FO3" s="1">
        <v>676073.88805563585</v>
      </c>
      <c r="FP3" s="1">
        <v>675322.50658483419</v>
      </c>
      <c r="FQ3" s="1">
        <v>676174.16600985813</v>
      </c>
      <c r="FR3" s="1">
        <v>682115.93916252954</v>
      </c>
      <c r="FS3" s="1">
        <v>692457.66468649509</v>
      </c>
      <c r="FT3" s="1">
        <v>695417.81643765036</v>
      </c>
      <c r="FU3" s="1">
        <v>696641.32768530853</v>
      </c>
      <c r="FV3" s="1">
        <v>711525.05750933534</v>
      </c>
      <c r="FW3" s="1">
        <v>693583.6935148281</v>
      </c>
      <c r="FX3" s="1">
        <v>698267.68315393408</v>
      </c>
      <c r="FY3" s="1">
        <v>698865.35292954952</v>
      </c>
      <c r="FZ3" s="1">
        <v>698780.70313658146</v>
      </c>
      <c r="GA3" s="1">
        <v>701346.46375342947</v>
      </c>
      <c r="GB3" s="1">
        <v>701963.29584262171</v>
      </c>
      <c r="GC3" s="1">
        <v>702634.92287534615</v>
      </c>
      <c r="GD3" s="1">
        <v>708457.42714631092</v>
      </c>
      <c r="GE3" s="1">
        <v>716619.02240691218</v>
      </c>
      <c r="GF3" s="1">
        <v>719242.00231789285</v>
      </c>
      <c r="GG3" s="1">
        <v>711391.45154361986</v>
      </c>
      <c r="GH3" s="1">
        <v>723985.07746062288</v>
      </c>
      <c r="GI3" s="1">
        <v>713689.29573628842</v>
      </c>
      <c r="GJ3" s="1">
        <v>707171.77582716942</v>
      </c>
      <c r="GK3" s="1">
        <v>712817.23478212394</v>
      </c>
      <c r="GL3" s="1">
        <v>706643.72510123649</v>
      </c>
      <c r="GM3" s="1">
        <v>702156.87567939935</v>
      </c>
      <c r="GN3" s="1">
        <v>704580.21076480811</v>
      </c>
      <c r="GO3" s="1">
        <v>697092.96944208071</v>
      </c>
      <c r="GP3" s="1">
        <v>687519.71324693935</v>
      </c>
      <c r="GQ3" s="1">
        <v>692925.70588792709</v>
      </c>
      <c r="GR3" s="1">
        <v>698940.43718227651</v>
      </c>
      <c r="GS3" s="1">
        <v>697530.35012180102</v>
      </c>
      <c r="GT3" s="1">
        <v>712813.41273387964</v>
      </c>
      <c r="GU3" s="1">
        <v>716280.06898938736</v>
      </c>
      <c r="GV3" s="1">
        <v>711670.67735884525</v>
      </c>
      <c r="GW3" s="1">
        <v>717429.34645104478</v>
      </c>
      <c r="GX3" s="1">
        <v>709074.22670037881</v>
      </c>
      <c r="GY3" s="1">
        <v>705085.23926368798</v>
      </c>
      <c r="GZ3" s="1">
        <v>699084.95288764301</v>
      </c>
      <c r="HA3" s="1" t="str">
        <f t="shared" ref="GZ3:JH6" si="0">IF(GZ3="","","")</f>
        <v/>
      </c>
      <c r="HB3" s="1" t="str">
        <f t="shared" si="0"/>
        <v/>
      </c>
      <c r="HC3" s="1" t="str">
        <f t="shared" si="0"/>
        <v/>
      </c>
      <c r="HD3" s="1" t="str">
        <f t="shared" si="0"/>
        <v/>
      </c>
      <c r="HE3" s="1" t="str">
        <f t="shared" si="0"/>
        <v/>
      </c>
      <c r="HF3" s="1" t="str">
        <f t="shared" si="0"/>
        <v/>
      </c>
      <c r="HG3" s="1" t="str">
        <f t="shared" si="0"/>
        <v/>
      </c>
      <c r="HH3" s="1" t="str">
        <f t="shared" si="0"/>
        <v/>
      </c>
      <c r="HI3" s="1" t="str">
        <f t="shared" si="0"/>
        <v/>
      </c>
      <c r="HJ3" s="1" t="str">
        <f t="shared" si="0"/>
        <v/>
      </c>
      <c r="HK3" s="1" t="str">
        <f t="shared" si="0"/>
        <v/>
      </c>
      <c r="HL3" s="1" t="str">
        <f t="shared" si="0"/>
        <v/>
      </c>
      <c r="HM3" s="1" t="str">
        <f t="shared" si="0"/>
        <v/>
      </c>
      <c r="HN3" s="1" t="str">
        <f t="shared" si="0"/>
        <v/>
      </c>
      <c r="HO3" s="1" t="str">
        <f t="shared" si="0"/>
        <v/>
      </c>
      <c r="HP3" s="1" t="str">
        <f t="shared" si="0"/>
        <v/>
      </c>
      <c r="HQ3" s="1" t="str">
        <f t="shared" si="0"/>
        <v/>
      </c>
      <c r="HR3" s="1" t="str">
        <f t="shared" si="0"/>
        <v/>
      </c>
      <c r="HS3" s="1" t="str">
        <f t="shared" si="0"/>
        <v/>
      </c>
      <c r="HT3" s="1" t="str">
        <f t="shared" si="0"/>
        <v/>
      </c>
      <c r="HU3" s="1" t="str">
        <f t="shared" si="0"/>
        <v/>
      </c>
      <c r="HV3" s="1" t="str">
        <f t="shared" si="0"/>
        <v/>
      </c>
      <c r="HW3" s="1" t="str">
        <f t="shared" si="0"/>
        <v/>
      </c>
      <c r="HX3" s="1" t="str">
        <f t="shared" si="0"/>
        <v/>
      </c>
      <c r="HY3" s="1" t="str">
        <f t="shared" si="0"/>
        <v/>
      </c>
      <c r="HZ3" s="1" t="str">
        <f t="shared" si="0"/>
        <v/>
      </c>
      <c r="IA3" s="1" t="str">
        <f t="shared" si="0"/>
        <v/>
      </c>
      <c r="IB3" s="1" t="str">
        <f t="shared" si="0"/>
        <v/>
      </c>
      <c r="IC3" s="1" t="str">
        <f t="shared" si="0"/>
        <v/>
      </c>
      <c r="ID3" s="1" t="str">
        <f t="shared" si="0"/>
        <v/>
      </c>
      <c r="IE3" s="1" t="str">
        <f t="shared" si="0"/>
        <v/>
      </c>
      <c r="IF3" s="1" t="str">
        <f t="shared" si="0"/>
        <v/>
      </c>
      <c r="IG3" s="1" t="str">
        <f t="shared" si="0"/>
        <v/>
      </c>
      <c r="IH3" s="1" t="str">
        <f t="shared" si="0"/>
        <v/>
      </c>
      <c r="II3" s="1" t="str">
        <f t="shared" si="0"/>
        <v/>
      </c>
      <c r="IJ3" s="1" t="str">
        <f t="shared" si="0"/>
        <v/>
      </c>
      <c r="IK3" s="1" t="str">
        <f t="shared" si="0"/>
        <v/>
      </c>
      <c r="IL3" s="1" t="str">
        <f t="shared" si="0"/>
        <v/>
      </c>
      <c r="IM3" s="1" t="str">
        <f t="shared" si="0"/>
        <v/>
      </c>
      <c r="IN3" s="1" t="str">
        <f t="shared" si="0"/>
        <v/>
      </c>
      <c r="IO3" s="1" t="str">
        <f t="shared" si="0"/>
        <v/>
      </c>
      <c r="IP3" s="1" t="str">
        <f t="shared" si="0"/>
        <v/>
      </c>
      <c r="IQ3" s="1" t="str">
        <f t="shared" si="0"/>
        <v/>
      </c>
      <c r="IR3" s="1" t="str">
        <f t="shared" si="0"/>
        <v/>
      </c>
      <c r="IS3" s="1" t="str">
        <f t="shared" si="0"/>
        <v/>
      </c>
      <c r="IT3" s="1" t="str">
        <f t="shared" si="0"/>
        <v/>
      </c>
      <c r="IU3" s="1" t="str">
        <f t="shared" si="0"/>
        <v/>
      </c>
      <c r="IV3" s="1" t="str">
        <f t="shared" si="0"/>
        <v/>
      </c>
      <c r="IW3" s="1" t="str">
        <f t="shared" si="0"/>
        <v/>
      </c>
      <c r="IX3" s="1" t="str">
        <f t="shared" si="0"/>
        <v/>
      </c>
      <c r="IY3" s="1" t="str">
        <f t="shared" si="0"/>
        <v/>
      </c>
      <c r="IZ3" s="1" t="str">
        <f t="shared" si="0"/>
        <v/>
      </c>
      <c r="JA3" s="1" t="str">
        <f t="shared" si="0"/>
        <v/>
      </c>
      <c r="JB3" s="1" t="str">
        <f t="shared" si="0"/>
        <v/>
      </c>
      <c r="JC3" s="1" t="str">
        <f t="shared" si="0"/>
        <v/>
      </c>
      <c r="JD3" s="1" t="str">
        <f t="shared" si="0"/>
        <v/>
      </c>
      <c r="JE3" s="1" t="str">
        <f t="shared" si="0"/>
        <v/>
      </c>
      <c r="JF3" s="1" t="str">
        <f t="shared" si="0"/>
        <v/>
      </c>
      <c r="JG3" s="1" t="str">
        <f t="shared" si="0"/>
        <v/>
      </c>
      <c r="JH3" s="1" t="str">
        <f t="shared" si="0"/>
        <v/>
      </c>
      <c r="LY3" s="1"/>
    </row>
    <row r="4" spans="1:337" x14ac:dyDescent="0.25">
      <c r="A4" s="4">
        <v>2</v>
      </c>
      <c r="B4" s="1">
        <v>607167.29536701587</v>
      </c>
      <c r="C4" s="1">
        <v>609675.44528276671</v>
      </c>
      <c r="D4" s="1">
        <v>614402.81776152784</v>
      </c>
      <c r="E4" s="1">
        <v>620323.30211169133</v>
      </c>
      <c r="F4" s="1">
        <v>625415.88966222759</v>
      </c>
      <c r="G4" s="1">
        <v>634023.78250526404</v>
      </c>
      <c r="H4" s="1">
        <v>630560.95047090098</v>
      </c>
      <c r="I4" s="1">
        <v>634107.07807317353</v>
      </c>
      <c r="J4" s="1">
        <v>642223.24304861086</v>
      </c>
      <c r="K4" s="1">
        <v>646834.18486308004</v>
      </c>
      <c r="L4" s="1">
        <v>632653.1620359302</v>
      </c>
      <c r="M4" s="1">
        <v>633501.19022121117</v>
      </c>
      <c r="N4" s="1">
        <v>645800.37593392178</v>
      </c>
      <c r="O4" s="1">
        <v>644286.73929411906</v>
      </c>
      <c r="P4" s="1">
        <v>647683.91930265445</v>
      </c>
      <c r="Q4" s="1">
        <v>654378.91205303837</v>
      </c>
      <c r="R4" s="1">
        <v>663906.48581538466</v>
      </c>
      <c r="S4" s="1">
        <v>675644.79128639959</v>
      </c>
      <c r="T4" s="1">
        <v>679722.30354910926</v>
      </c>
      <c r="U4" s="1">
        <v>687156.62350684521</v>
      </c>
      <c r="V4" s="1">
        <v>692369.87239692674</v>
      </c>
      <c r="W4" s="1">
        <v>691525.56372968899</v>
      </c>
      <c r="X4" s="1">
        <v>683201.58701715269</v>
      </c>
      <c r="Y4" s="1">
        <v>684366.6674685441</v>
      </c>
      <c r="Z4" s="1">
        <v>695402.57142506889</v>
      </c>
      <c r="AA4" s="1">
        <v>698220.53318929463</v>
      </c>
      <c r="AB4" s="1">
        <v>704038.24131522118</v>
      </c>
      <c r="AC4" s="1">
        <v>715855.28827294288</v>
      </c>
      <c r="AD4" s="1">
        <v>725069.57945703762</v>
      </c>
      <c r="AE4" s="1">
        <v>737768.01589891035</v>
      </c>
      <c r="AF4" s="1">
        <v>729505.74175470811</v>
      </c>
      <c r="AG4" s="1">
        <v>722643.72512096784</v>
      </c>
      <c r="AH4" s="1">
        <v>724234.55980344024</v>
      </c>
      <c r="AI4" s="1">
        <v>727450.27750951354</v>
      </c>
      <c r="AJ4" s="1">
        <v>721489.46284028108</v>
      </c>
      <c r="AK4" s="1">
        <v>718221.08438614616</v>
      </c>
      <c r="AL4" s="1">
        <v>728578.64349281741</v>
      </c>
      <c r="AM4" s="1">
        <v>735230.64348698326</v>
      </c>
      <c r="AN4" s="1">
        <v>740949.34275695239</v>
      </c>
      <c r="AO4" s="1">
        <v>750127.98656847724</v>
      </c>
      <c r="AP4" s="1">
        <v>760929.45402507205</v>
      </c>
      <c r="AQ4" s="1">
        <v>770366.82752199448</v>
      </c>
      <c r="AR4" s="1">
        <v>764900.6574580872</v>
      </c>
      <c r="AS4" s="1">
        <v>761967.30206308258</v>
      </c>
      <c r="AT4" s="1">
        <v>764039.38724858733</v>
      </c>
      <c r="AU4" s="1">
        <v>768771.08177868836</v>
      </c>
      <c r="AV4" s="1">
        <v>766673.72466527973</v>
      </c>
      <c r="AW4" s="1">
        <v>763852.44650704646</v>
      </c>
      <c r="AX4" s="1">
        <v>772330.72891182243</v>
      </c>
      <c r="AY4" s="1">
        <v>774475.8134682083</v>
      </c>
      <c r="AZ4" s="1">
        <v>775253.85727016919</v>
      </c>
      <c r="BA4" s="1">
        <v>778002.85264926311</v>
      </c>
      <c r="BB4" s="1">
        <v>783206.79211814958</v>
      </c>
      <c r="BC4" s="1">
        <v>786404.26350221073</v>
      </c>
      <c r="BD4" s="1">
        <v>775188.82903942675</v>
      </c>
      <c r="BE4" s="1">
        <v>765646.33326313319</v>
      </c>
      <c r="BF4" s="1">
        <v>759109.7029135006</v>
      </c>
      <c r="BG4" s="1">
        <v>760195.56207982928</v>
      </c>
      <c r="BH4" s="1">
        <v>753902.05827970966</v>
      </c>
      <c r="BI4" s="1">
        <v>729929.30625024159</v>
      </c>
      <c r="BJ4" s="1">
        <v>726049.08782278933</v>
      </c>
      <c r="BK4" s="1">
        <v>718165.97696327849</v>
      </c>
      <c r="BL4" s="1">
        <v>710123.11270055757</v>
      </c>
      <c r="BM4" s="1">
        <v>704081.78787368548</v>
      </c>
      <c r="BN4" s="1">
        <v>706402.66897615301</v>
      </c>
      <c r="BO4" s="1">
        <v>715332.56978418282</v>
      </c>
      <c r="BP4" s="1">
        <v>711409.37438811408</v>
      </c>
      <c r="BQ4" s="1">
        <v>710053.82546929014</v>
      </c>
      <c r="BR4" s="1">
        <v>715070.33483379008</v>
      </c>
      <c r="BS4" s="1">
        <v>728733.00553087576</v>
      </c>
      <c r="BT4" s="1">
        <v>715797.85818965384</v>
      </c>
      <c r="BU4" s="1">
        <v>701842.79153484222</v>
      </c>
      <c r="BV4" s="1">
        <v>709888.31159252464</v>
      </c>
      <c r="BW4" s="1">
        <v>705522.43701725616</v>
      </c>
      <c r="BX4" s="1">
        <v>703565.49467162159</v>
      </c>
      <c r="BY4" s="1">
        <v>707542.19889921439</v>
      </c>
      <c r="BZ4" s="1">
        <v>707480.28758215113</v>
      </c>
      <c r="CA4" s="1">
        <v>713483.14877849421</v>
      </c>
      <c r="CB4" s="1">
        <v>706361.82101971912</v>
      </c>
      <c r="CC4" s="1">
        <v>706035.96778904076</v>
      </c>
      <c r="CD4" s="1">
        <v>705534.41184876137</v>
      </c>
      <c r="CE4" s="1">
        <v>710153.76104202762</v>
      </c>
      <c r="CF4" s="1">
        <v>707077.78147408133</v>
      </c>
      <c r="CG4" s="1">
        <v>688428.53317333478</v>
      </c>
      <c r="CH4" s="1">
        <v>690294.45925703226</v>
      </c>
      <c r="CI4" s="1">
        <v>689700.3756242271</v>
      </c>
      <c r="CJ4" s="1">
        <v>683613.10395516432</v>
      </c>
      <c r="CK4" s="1">
        <v>687838.24468315556</v>
      </c>
      <c r="CL4" s="1">
        <v>691810.82422033919</v>
      </c>
      <c r="CM4" s="1">
        <v>696335.89540325257</v>
      </c>
      <c r="CN4" s="1">
        <v>688003.96221196628</v>
      </c>
      <c r="CO4" s="1">
        <v>690215.86990865855</v>
      </c>
      <c r="CP4" s="1">
        <v>686776.00614161266</v>
      </c>
      <c r="CQ4" s="1">
        <v>686463.77582020871</v>
      </c>
      <c r="CR4" s="1">
        <v>667239.41777449974</v>
      </c>
      <c r="CS4" s="1">
        <v>653514.61896835454</v>
      </c>
      <c r="CT4" s="1">
        <v>654987.88755476824</v>
      </c>
      <c r="CU4" s="1">
        <v>647145.41460725921</v>
      </c>
      <c r="CV4" s="1">
        <v>641602.83672199387</v>
      </c>
      <c r="CW4" s="1">
        <v>641751.19810751791</v>
      </c>
      <c r="CX4" s="1">
        <v>640461.07953588141</v>
      </c>
      <c r="CY4" s="1">
        <v>641582.24606280331</v>
      </c>
      <c r="CZ4" s="1">
        <v>639845.40542052675</v>
      </c>
      <c r="DA4" s="1">
        <v>640609.06384553236</v>
      </c>
      <c r="DB4" s="1">
        <v>625394.17010910693</v>
      </c>
      <c r="DC4" s="1">
        <v>636133.52081226814</v>
      </c>
      <c r="DD4" s="1">
        <v>622725.69087658881</v>
      </c>
      <c r="DE4" s="1">
        <v>593780.72853263095</v>
      </c>
      <c r="DF4" s="1">
        <v>582816.86140212696</v>
      </c>
      <c r="DG4" s="1">
        <v>583089.58397974435</v>
      </c>
      <c r="DH4" s="1">
        <v>585446.80158169509</v>
      </c>
      <c r="DI4" s="1">
        <v>591355.65981917107</v>
      </c>
      <c r="DJ4" s="1">
        <v>598578.31942350883</v>
      </c>
      <c r="DK4" s="1">
        <v>601894.73979967367</v>
      </c>
      <c r="DL4" s="1">
        <v>599878.36327769607</v>
      </c>
      <c r="DM4" s="1">
        <v>612176.09120828216</v>
      </c>
      <c r="DN4" s="1">
        <v>600944.62733015209</v>
      </c>
      <c r="DO4" s="1">
        <v>590184.09229431732</v>
      </c>
      <c r="DP4" s="1">
        <v>605911.64260833408</v>
      </c>
      <c r="DQ4" s="1">
        <v>583890.20805870078</v>
      </c>
      <c r="DR4" s="1">
        <v>591458.67063591699</v>
      </c>
      <c r="DS4" s="1">
        <v>596829.25064600632</v>
      </c>
      <c r="DT4" s="1">
        <v>598184.88076343504</v>
      </c>
      <c r="DU4" s="1">
        <v>603129.36702468607</v>
      </c>
      <c r="DV4" s="1">
        <v>610222.10591184313</v>
      </c>
      <c r="DW4" s="1">
        <v>616783.28413004801</v>
      </c>
      <c r="DX4" s="1">
        <v>616284.89456264162</v>
      </c>
      <c r="DY4" s="1">
        <v>627913.22542687762</v>
      </c>
      <c r="DZ4" s="1">
        <v>618938.9334593853</v>
      </c>
      <c r="EA4" s="1">
        <v>618825.62108183233</v>
      </c>
      <c r="EB4" s="1">
        <v>604956.27261833684</v>
      </c>
      <c r="EC4" s="1">
        <v>603404.2663786218</v>
      </c>
      <c r="ED4" s="1">
        <v>605962.35702903941</v>
      </c>
      <c r="EE4" s="1">
        <v>603186.86772849795</v>
      </c>
      <c r="EF4" s="1">
        <v>609817.14331873925</v>
      </c>
      <c r="EG4" s="1">
        <v>621988.00255186867</v>
      </c>
      <c r="EH4" s="1">
        <v>635937.53867969371</v>
      </c>
      <c r="EI4" s="1">
        <v>647068.56990930228</v>
      </c>
      <c r="EJ4" s="1">
        <v>643746.52073713753</v>
      </c>
      <c r="EK4" s="1">
        <v>656379.17080174387</v>
      </c>
      <c r="EL4" s="1">
        <v>636371.83367699303</v>
      </c>
      <c r="EM4" s="1">
        <v>629204.7008226458</v>
      </c>
      <c r="EN4" s="1">
        <v>625146.11796304188</v>
      </c>
      <c r="EO4" s="1">
        <v>622381.31252058572</v>
      </c>
      <c r="EP4" s="1">
        <v>627610.20842679846</v>
      </c>
      <c r="EQ4" s="1">
        <v>630927.8835080443</v>
      </c>
      <c r="ER4" s="1">
        <v>633747.23187213275</v>
      </c>
      <c r="ES4" s="1">
        <v>641407.40271631873</v>
      </c>
      <c r="ET4" s="1">
        <v>651332.76483987458</v>
      </c>
      <c r="EU4" s="1">
        <v>657782.66612688988</v>
      </c>
      <c r="EV4" s="1">
        <v>659174.31125647109</v>
      </c>
      <c r="EW4" s="1">
        <v>679337.52511476981</v>
      </c>
      <c r="EX4" s="1">
        <v>661092.24930965411</v>
      </c>
      <c r="EY4" s="1">
        <v>653436.48825201369</v>
      </c>
      <c r="EZ4" s="1">
        <v>658045.02742722351</v>
      </c>
      <c r="FA4" s="1">
        <v>645375.10008995421</v>
      </c>
      <c r="FB4" s="1">
        <v>645456.37677146937</v>
      </c>
      <c r="FC4" s="1">
        <v>650965.47690252971</v>
      </c>
      <c r="FD4" s="1">
        <v>656567.68789973948</v>
      </c>
      <c r="FE4" s="1">
        <v>665579.00386723783</v>
      </c>
      <c r="FF4" s="1">
        <v>673348.90557709476</v>
      </c>
      <c r="FG4" s="1">
        <v>675766.71167636709</v>
      </c>
      <c r="FH4" s="1">
        <v>672549.31650471396</v>
      </c>
      <c r="FI4" s="1">
        <v>688390.74574054102</v>
      </c>
      <c r="FJ4" s="1">
        <v>677654.81413775287</v>
      </c>
      <c r="FK4" s="1">
        <v>671593.13612136384</v>
      </c>
      <c r="FL4" s="1">
        <v>674242.60345180135</v>
      </c>
      <c r="FM4" s="1">
        <v>677293.30041741673</v>
      </c>
      <c r="FN4" s="1">
        <v>679228.9195346022</v>
      </c>
      <c r="FO4" s="1">
        <v>679198.5008885999</v>
      </c>
      <c r="FP4" s="1">
        <v>679254.9619142653</v>
      </c>
      <c r="FQ4" s="1">
        <v>685944.15827137337</v>
      </c>
      <c r="FR4" s="1">
        <v>693731.69575028669</v>
      </c>
      <c r="FS4" s="1">
        <v>693320.69855889096</v>
      </c>
      <c r="FT4" s="1">
        <v>689132.70644813031</v>
      </c>
      <c r="FU4" s="1">
        <v>712089.05815503746</v>
      </c>
      <c r="FV4" s="1">
        <v>699990.71591436712</v>
      </c>
      <c r="FW4" s="1">
        <v>688229.11934858048</v>
      </c>
      <c r="FX4" s="1">
        <v>699330.17767226719</v>
      </c>
      <c r="FY4" s="1">
        <v>691036.08317797934</v>
      </c>
      <c r="FZ4" s="1">
        <v>699345.09314172412</v>
      </c>
      <c r="GA4" s="1">
        <v>704812.31686124112</v>
      </c>
      <c r="GB4" s="1">
        <v>706008.45324201789</v>
      </c>
      <c r="GC4" s="1">
        <v>712429.21570529952</v>
      </c>
      <c r="GD4" s="1">
        <v>720986.8075441937</v>
      </c>
      <c r="GE4" s="1">
        <v>720195.61073335714</v>
      </c>
      <c r="GF4" s="1">
        <v>711513.64185482543</v>
      </c>
      <c r="GG4" s="1">
        <v>725225.03441448533</v>
      </c>
      <c r="GH4" s="1">
        <v>715797.50543894782</v>
      </c>
      <c r="GI4" s="1">
        <v>707782.63258426718</v>
      </c>
      <c r="GJ4" s="1">
        <v>707175.85241226444</v>
      </c>
      <c r="GK4" s="1">
        <v>705597.15238318546</v>
      </c>
      <c r="GL4" s="1">
        <v>705550.03783722874</v>
      </c>
      <c r="GM4" s="1">
        <v>701038.47733359085</v>
      </c>
      <c r="GN4" s="1">
        <v>706120.46706534293</v>
      </c>
      <c r="GO4" s="1">
        <v>702984.84513948904</v>
      </c>
      <c r="GP4" s="1">
        <v>694559.070560158</v>
      </c>
      <c r="GQ4" s="1">
        <v>692047.22226982797</v>
      </c>
      <c r="GR4" s="1">
        <v>694398.7317209692</v>
      </c>
      <c r="GS4" s="1">
        <v>705440.1568698131</v>
      </c>
      <c r="GT4" s="1">
        <v>707510.43318118271</v>
      </c>
      <c r="GU4" s="1">
        <v>714554.24247643398</v>
      </c>
      <c r="GV4" s="1">
        <v>713223.22691155039</v>
      </c>
      <c r="GW4" s="1">
        <v>709551.97848075163</v>
      </c>
      <c r="GX4" s="1">
        <v>709541.2210521847</v>
      </c>
      <c r="GY4" s="1">
        <v>700009.40562612959</v>
      </c>
      <c r="GZ4" s="1">
        <v>697815.58153805498</v>
      </c>
      <c r="HA4" s="1" t="str">
        <f t="shared" si="0"/>
        <v/>
      </c>
      <c r="HB4" s="1" t="str">
        <f t="shared" si="0"/>
        <v/>
      </c>
      <c r="HC4" s="1" t="str">
        <f t="shared" si="0"/>
        <v/>
      </c>
      <c r="HD4" s="1" t="str">
        <f t="shared" si="0"/>
        <v/>
      </c>
      <c r="HE4" s="1" t="str">
        <f t="shared" si="0"/>
        <v/>
      </c>
      <c r="HF4" s="1" t="str">
        <f t="shared" si="0"/>
        <v/>
      </c>
      <c r="HG4" s="1" t="str">
        <f t="shared" si="0"/>
        <v/>
      </c>
      <c r="HH4" s="1" t="str">
        <f t="shared" si="0"/>
        <v/>
      </c>
      <c r="HI4" s="1" t="str">
        <f t="shared" si="0"/>
        <v/>
      </c>
      <c r="HJ4" s="1" t="str">
        <f t="shared" si="0"/>
        <v/>
      </c>
      <c r="HK4" s="1" t="str">
        <f t="shared" si="0"/>
        <v/>
      </c>
      <c r="HL4" s="1" t="str">
        <f t="shared" si="0"/>
        <v/>
      </c>
      <c r="HM4" s="1" t="str">
        <f t="shared" si="0"/>
        <v/>
      </c>
      <c r="HN4" s="1" t="str">
        <f t="shared" si="0"/>
        <v/>
      </c>
      <c r="HO4" s="1" t="str">
        <f t="shared" si="0"/>
        <v/>
      </c>
      <c r="HP4" s="1" t="str">
        <f t="shared" si="0"/>
        <v/>
      </c>
      <c r="HQ4" s="1" t="str">
        <f t="shared" si="0"/>
        <v/>
      </c>
      <c r="HR4" s="1" t="str">
        <f t="shared" si="0"/>
        <v/>
      </c>
      <c r="HS4" s="1" t="str">
        <f t="shared" si="0"/>
        <v/>
      </c>
      <c r="HT4" s="1" t="str">
        <f t="shared" si="0"/>
        <v/>
      </c>
      <c r="HU4" s="1" t="str">
        <f t="shared" si="0"/>
        <v/>
      </c>
      <c r="HV4" s="1" t="str">
        <f t="shared" si="0"/>
        <v/>
      </c>
      <c r="HW4" s="1" t="str">
        <f t="shared" si="0"/>
        <v/>
      </c>
      <c r="HX4" s="1" t="str">
        <f t="shared" si="0"/>
        <v/>
      </c>
      <c r="HY4" s="1" t="str">
        <f t="shared" si="0"/>
        <v/>
      </c>
      <c r="HZ4" s="1" t="str">
        <f t="shared" si="0"/>
        <v/>
      </c>
      <c r="IA4" s="1" t="str">
        <f t="shared" si="0"/>
        <v/>
      </c>
      <c r="IB4" s="1" t="str">
        <f t="shared" si="0"/>
        <v/>
      </c>
      <c r="IC4" s="1" t="str">
        <f t="shared" si="0"/>
        <v/>
      </c>
      <c r="ID4" s="1" t="str">
        <f t="shared" si="0"/>
        <v/>
      </c>
      <c r="IE4" s="1" t="str">
        <f t="shared" si="0"/>
        <v/>
      </c>
      <c r="IF4" s="1" t="str">
        <f t="shared" si="0"/>
        <v/>
      </c>
      <c r="IG4" s="1" t="str">
        <f t="shared" si="0"/>
        <v/>
      </c>
      <c r="IH4" s="1" t="str">
        <f t="shared" si="0"/>
        <v/>
      </c>
      <c r="II4" s="1" t="str">
        <f t="shared" si="0"/>
        <v/>
      </c>
      <c r="IJ4" s="1" t="str">
        <f t="shared" si="0"/>
        <v/>
      </c>
      <c r="IK4" s="1" t="str">
        <f t="shared" si="0"/>
        <v/>
      </c>
      <c r="IL4" s="1" t="str">
        <f t="shared" si="0"/>
        <v/>
      </c>
      <c r="IM4" s="1" t="str">
        <f t="shared" si="0"/>
        <v/>
      </c>
      <c r="IN4" s="1" t="str">
        <f t="shared" si="0"/>
        <v/>
      </c>
      <c r="IO4" s="1" t="str">
        <f t="shared" si="0"/>
        <v/>
      </c>
      <c r="IP4" s="1" t="str">
        <f t="shared" si="0"/>
        <v/>
      </c>
      <c r="IQ4" s="1" t="str">
        <f t="shared" si="0"/>
        <v/>
      </c>
      <c r="IR4" s="1" t="str">
        <f t="shared" si="0"/>
        <v/>
      </c>
      <c r="IS4" s="1" t="str">
        <f t="shared" si="0"/>
        <v/>
      </c>
      <c r="IT4" s="1" t="str">
        <f t="shared" si="0"/>
        <v/>
      </c>
      <c r="IU4" s="1" t="str">
        <f t="shared" si="0"/>
        <v/>
      </c>
      <c r="IV4" s="1" t="str">
        <f t="shared" si="0"/>
        <v/>
      </c>
      <c r="IW4" s="1" t="str">
        <f t="shared" si="0"/>
        <v/>
      </c>
      <c r="IX4" s="1" t="str">
        <f t="shared" si="0"/>
        <v/>
      </c>
      <c r="IY4" s="1" t="str">
        <f t="shared" si="0"/>
        <v/>
      </c>
      <c r="IZ4" s="1" t="str">
        <f t="shared" si="0"/>
        <v/>
      </c>
      <c r="JA4" s="1" t="str">
        <f t="shared" si="0"/>
        <v/>
      </c>
      <c r="JB4" s="1" t="str">
        <f t="shared" si="0"/>
        <v/>
      </c>
      <c r="JC4" s="1" t="str">
        <f t="shared" si="0"/>
        <v/>
      </c>
      <c r="JD4" s="1" t="str">
        <f t="shared" si="0"/>
        <v/>
      </c>
      <c r="JE4" s="1" t="str">
        <f t="shared" si="0"/>
        <v/>
      </c>
      <c r="JF4" s="1" t="str">
        <f t="shared" si="0"/>
        <v/>
      </c>
      <c r="JG4" s="1" t="str">
        <f t="shared" si="0"/>
        <v/>
      </c>
      <c r="JH4" s="1" t="str">
        <f t="shared" si="0"/>
        <v/>
      </c>
      <c r="LY4" s="1"/>
    </row>
    <row r="5" spans="1:337" x14ac:dyDescent="0.25">
      <c r="A5" s="5">
        <v>3</v>
      </c>
      <c r="B5" s="1">
        <v>609657.34596370719</v>
      </c>
      <c r="C5" s="1">
        <v>613698.22083838517</v>
      </c>
      <c r="D5" s="1">
        <v>620303.81191511336</v>
      </c>
      <c r="E5" s="1">
        <v>625521.43614160269</v>
      </c>
      <c r="F5" s="1">
        <v>633838.69714330591</v>
      </c>
      <c r="G5" s="1">
        <v>629207.12518074689</v>
      </c>
      <c r="H5" s="1">
        <v>630920.12828920805</v>
      </c>
      <c r="I5" s="1">
        <v>636614.74953579414</v>
      </c>
      <c r="J5" s="1">
        <v>645999.91503114463</v>
      </c>
      <c r="K5" s="1">
        <v>631602.5254864993</v>
      </c>
      <c r="L5" s="1">
        <v>635849.79366123222</v>
      </c>
      <c r="M5" s="1">
        <v>641086.98383944575</v>
      </c>
      <c r="N5" s="1">
        <v>648696.89338865911</v>
      </c>
      <c r="O5" s="1">
        <v>648876.46985630156</v>
      </c>
      <c r="P5" s="1">
        <v>654456.58929989859</v>
      </c>
      <c r="Q5" s="1">
        <v>662112.15984427161</v>
      </c>
      <c r="R5" s="1">
        <v>673013.36997166392</v>
      </c>
      <c r="S5" s="1">
        <v>673074.49746205122</v>
      </c>
      <c r="T5" s="1">
        <v>679258.59307733155</v>
      </c>
      <c r="U5" s="1">
        <v>690220.31355799246</v>
      </c>
      <c r="V5" s="1">
        <v>694999.43359975459</v>
      </c>
      <c r="W5" s="1">
        <v>684057.25688287825</v>
      </c>
      <c r="X5" s="1">
        <v>681033.59576082975</v>
      </c>
      <c r="Y5" s="1">
        <v>691334.93748171837</v>
      </c>
      <c r="Z5" s="1">
        <v>700538.47844564309</v>
      </c>
      <c r="AA5" s="1">
        <v>704557.69363347371</v>
      </c>
      <c r="AB5" s="1">
        <v>714158.59531486523</v>
      </c>
      <c r="AC5" s="1">
        <v>729962.0272292085</v>
      </c>
      <c r="AD5" s="1">
        <v>736828.55113142042</v>
      </c>
      <c r="AE5" s="1">
        <v>736974.01278708363</v>
      </c>
      <c r="AF5" s="1">
        <v>727142.51875354024</v>
      </c>
      <c r="AG5" s="1">
        <v>726238.73385337694</v>
      </c>
      <c r="AH5" s="1">
        <v>727907.61044096132</v>
      </c>
      <c r="AI5" s="1">
        <v>720815.92088054586</v>
      </c>
      <c r="AJ5" s="1">
        <v>717575.45746485936</v>
      </c>
      <c r="AK5" s="1">
        <v>725228.94810304954</v>
      </c>
      <c r="AL5" s="1">
        <v>733476.81884113699</v>
      </c>
      <c r="AM5" s="1">
        <v>739731.92404886591</v>
      </c>
      <c r="AN5" s="1">
        <v>748614.83797108149</v>
      </c>
      <c r="AO5" s="1">
        <v>760630.04903648538</v>
      </c>
      <c r="AP5" s="1">
        <v>769914.50340896519</v>
      </c>
      <c r="AQ5" s="1">
        <v>768543.50075651775</v>
      </c>
      <c r="AR5" s="1">
        <v>763834.14085604949</v>
      </c>
      <c r="AS5" s="1">
        <v>766275.98037301376</v>
      </c>
      <c r="AT5" s="1">
        <v>768032.9959730577</v>
      </c>
      <c r="AU5" s="1">
        <v>764120.20164073689</v>
      </c>
      <c r="AV5" s="1">
        <v>764251.69647782459</v>
      </c>
      <c r="AW5" s="1">
        <v>770215.3784172039</v>
      </c>
      <c r="AX5" s="1">
        <v>778441.55288890027</v>
      </c>
      <c r="AY5" s="1">
        <v>779091.20569789305</v>
      </c>
      <c r="AZ5" s="1">
        <v>783323.05862915213</v>
      </c>
      <c r="BA5" s="1">
        <v>786328.41711938416</v>
      </c>
      <c r="BB5" s="1">
        <v>792160.34849490505</v>
      </c>
      <c r="BC5" s="1">
        <v>782456.73029141524</v>
      </c>
      <c r="BD5" s="1">
        <v>774022.7938426116</v>
      </c>
      <c r="BE5" s="1">
        <v>770058.55151250784</v>
      </c>
      <c r="BF5" s="1">
        <v>758169.94385028793</v>
      </c>
      <c r="BG5" s="1">
        <v>750349.1870968939</v>
      </c>
      <c r="BH5" s="1">
        <v>746756.64556584996</v>
      </c>
      <c r="BI5" s="1">
        <v>730348.28592579579</v>
      </c>
      <c r="BJ5" s="1">
        <v>724369.43066393747</v>
      </c>
      <c r="BK5" s="1">
        <v>714789.86792834452</v>
      </c>
      <c r="BL5" s="1">
        <v>708264.85134358669</v>
      </c>
      <c r="BM5" s="1">
        <v>702279.36771706515</v>
      </c>
      <c r="BN5" s="1">
        <v>705600.31361334398</v>
      </c>
      <c r="BO5" s="1">
        <v>704963.78553123679</v>
      </c>
      <c r="BP5" s="1">
        <v>705847.01005049609</v>
      </c>
      <c r="BQ5" s="1">
        <v>709400.39809321461</v>
      </c>
      <c r="BR5" s="1">
        <v>710114.56710459443</v>
      </c>
      <c r="BS5" s="1">
        <v>722939.60786779283</v>
      </c>
      <c r="BT5" s="1">
        <v>708670.07695299154</v>
      </c>
      <c r="BU5" s="1">
        <v>703662.74877428322</v>
      </c>
      <c r="BV5" s="1">
        <v>710365.86485216918</v>
      </c>
      <c r="BW5" s="1">
        <v>706325.32170123514</v>
      </c>
      <c r="BX5" s="1">
        <v>708046.54814936547</v>
      </c>
      <c r="BY5" s="1">
        <v>711534.24552489561</v>
      </c>
      <c r="BZ5" s="1">
        <v>712667.74406934332</v>
      </c>
      <c r="CA5" s="1">
        <v>707854.11679948284</v>
      </c>
      <c r="CB5" s="1">
        <v>703542.14933436352</v>
      </c>
      <c r="CC5" s="1">
        <v>706118.47118174774</v>
      </c>
      <c r="CD5" s="1">
        <v>702377.87280696537</v>
      </c>
      <c r="CE5" s="1">
        <v>704053.65946321271</v>
      </c>
      <c r="CF5" s="1">
        <v>699914.43806852831</v>
      </c>
      <c r="CG5" s="1">
        <v>690035.48172759451</v>
      </c>
      <c r="CH5" s="1">
        <v>688757.93153676484</v>
      </c>
      <c r="CI5" s="1">
        <v>688398.14194931497</v>
      </c>
      <c r="CJ5" s="1">
        <v>687673.32169641228</v>
      </c>
      <c r="CK5" s="1">
        <v>690167.10449615004</v>
      </c>
      <c r="CL5" s="1">
        <v>696699.22957195085</v>
      </c>
      <c r="CM5" s="1">
        <v>689795.78641696251</v>
      </c>
      <c r="CN5" s="1">
        <v>693541.38551358762</v>
      </c>
      <c r="CO5" s="1">
        <v>689820.91101117781</v>
      </c>
      <c r="CP5" s="1">
        <v>678871.48167989007</v>
      </c>
      <c r="CQ5" s="1">
        <v>682389.83702550945</v>
      </c>
      <c r="CR5" s="1">
        <v>659377.43200644327</v>
      </c>
      <c r="CS5" s="1">
        <v>649511.11276119819</v>
      </c>
      <c r="CT5" s="1">
        <v>653534.96173172852</v>
      </c>
      <c r="CU5" s="1">
        <v>646238.56468176749</v>
      </c>
      <c r="CV5" s="1">
        <v>643158.69648191403</v>
      </c>
      <c r="CW5" s="1">
        <v>642735.17405490391</v>
      </c>
      <c r="CX5" s="1">
        <v>642206.70966560906</v>
      </c>
      <c r="CY5" s="1">
        <v>633113.55058448855</v>
      </c>
      <c r="CZ5" s="1">
        <v>645069.6051349761</v>
      </c>
      <c r="DA5" s="1">
        <v>630724.75055360538</v>
      </c>
      <c r="DB5" s="1">
        <v>617614.02457336301</v>
      </c>
      <c r="DC5" s="1">
        <v>632013.11833794485</v>
      </c>
      <c r="DD5" s="1">
        <v>609932.57659106143</v>
      </c>
      <c r="DE5" s="1">
        <v>586187.25288827461</v>
      </c>
      <c r="DF5" s="1">
        <v>577449.24031911569</v>
      </c>
      <c r="DG5" s="1">
        <v>580853.27560750209</v>
      </c>
      <c r="DH5" s="1">
        <v>587939.42437616549</v>
      </c>
      <c r="DI5" s="1">
        <v>595306.57674436085</v>
      </c>
      <c r="DJ5" s="1">
        <v>598478.9579200705</v>
      </c>
      <c r="DK5" s="1">
        <v>595294.58609796572</v>
      </c>
      <c r="DL5" s="1">
        <v>609127.42293279688</v>
      </c>
      <c r="DM5" s="1">
        <v>599605.53788362443</v>
      </c>
      <c r="DN5" s="1">
        <v>589299.11707043531</v>
      </c>
      <c r="DO5" s="1">
        <v>588166.48381173215</v>
      </c>
      <c r="DP5" s="1">
        <v>599698.5453560201</v>
      </c>
      <c r="DQ5" s="1">
        <v>582584.01589419041</v>
      </c>
      <c r="DR5" s="1">
        <v>591993.62949917407</v>
      </c>
      <c r="DS5" s="1">
        <v>598728.44402536785</v>
      </c>
      <c r="DT5" s="1">
        <v>604684.94360273657</v>
      </c>
      <c r="DU5" s="1">
        <v>609695.64482700569</v>
      </c>
      <c r="DV5" s="1">
        <v>615261.9160655085</v>
      </c>
      <c r="DW5" s="1">
        <v>614001.9056268679</v>
      </c>
      <c r="DX5" s="1">
        <v>628983.55998705688</v>
      </c>
      <c r="DY5" s="1">
        <v>621186.79146994837</v>
      </c>
      <c r="DZ5" s="1">
        <v>606480.71029535634</v>
      </c>
      <c r="EA5" s="1">
        <v>621411.20549697592</v>
      </c>
      <c r="EB5" s="1">
        <v>597011.50945686083</v>
      </c>
      <c r="EC5" s="1">
        <v>602485.05458731123</v>
      </c>
      <c r="ED5" s="1">
        <v>607358.32013393193</v>
      </c>
      <c r="EE5" s="1">
        <v>605976.10497122095</v>
      </c>
      <c r="EF5" s="1">
        <v>617256.26526082098</v>
      </c>
      <c r="EG5" s="1">
        <v>630905.96192483953</v>
      </c>
      <c r="EH5" s="1">
        <v>642214.28796821646</v>
      </c>
      <c r="EI5" s="1">
        <v>646624.2895771882</v>
      </c>
      <c r="EJ5" s="1">
        <v>664299.85054549598</v>
      </c>
      <c r="EK5" s="1">
        <v>644914.90809570765</v>
      </c>
      <c r="EL5" s="1">
        <v>629585.2602938615</v>
      </c>
      <c r="EM5" s="1">
        <v>632107.41779453587</v>
      </c>
      <c r="EN5" s="1">
        <v>618804.58210518211</v>
      </c>
      <c r="EO5" s="1">
        <v>624187.314252513</v>
      </c>
      <c r="EP5" s="1">
        <v>630822.19983060099</v>
      </c>
      <c r="EQ5" s="1">
        <v>635424.61835397501</v>
      </c>
      <c r="ER5" s="1">
        <v>642586.22934657824</v>
      </c>
      <c r="ES5" s="1">
        <v>649041.17950024048</v>
      </c>
      <c r="ET5" s="1">
        <v>654492.28357608092</v>
      </c>
      <c r="EU5" s="1">
        <v>652287.21911312372</v>
      </c>
      <c r="EV5" s="1">
        <v>678723.43955627584</v>
      </c>
      <c r="EW5" s="1">
        <v>666786.85515172081</v>
      </c>
      <c r="EX5" s="1">
        <v>658865.5295741416</v>
      </c>
      <c r="EY5" s="1">
        <v>655172.35583603883</v>
      </c>
      <c r="EZ5" s="1">
        <v>651470.163746548</v>
      </c>
      <c r="FA5" s="1">
        <v>646088.73495584377</v>
      </c>
      <c r="FB5" s="1">
        <v>647918.80523328204</v>
      </c>
      <c r="FC5" s="1">
        <v>656266.93248111638</v>
      </c>
      <c r="FD5" s="1">
        <v>666589.00451409142</v>
      </c>
      <c r="FE5" s="1">
        <v>675315.36168683274</v>
      </c>
      <c r="FF5" s="1">
        <v>676031.33834538376</v>
      </c>
      <c r="FG5" s="1">
        <v>668867.02335733082</v>
      </c>
      <c r="FH5" s="1">
        <v>687849.0678208929</v>
      </c>
      <c r="FI5" s="1">
        <v>677833.72778035211</v>
      </c>
      <c r="FJ5" s="1">
        <v>669793.33513036731</v>
      </c>
      <c r="FK5" s="1">
        <v>673039.60540265404</v>
      </c>
      <c r="FL5" s="1">
        <v>667826.94246769208</v>
      </c>
      <c r="FM5" s="1">
        <v>679303.64031787438</v>
      </c>
      <c r="FN5" s="1">
        <v>682909.62271126453</v>
      </c>
      <c r="FO5" s="1">
        <v>684049.74935786147</v>
      </c>
      <c r="FP5" s="1">
        <v>689558.95824700373</v>
      </c>
      <c r="FQ5" s="1">
        <v>698415.62862392643</v>
      </c>
      <c r="FR5" s="1">
        <v>693536.26541910553</v>
      </c>
      <c r="FS5" s="1">
        <v>687274.46184232552</v>
      </c>
      <c r="FT5" s="1">
        <v>703152.1475651731</v>
      </c>
      <c r="FU5" s="1">
        <v>701440.83547362441</v>
      </c>
      <c r="FV5" s="1">
        <v>698706.10750468553</v>
      </c>
      <c r="FW5" s="1">
        <v>687737.35906384722</v>
      </c>
      <c r="FX5" s="1">
        <v>691923.26489278022</v>
      </c>
      <c r="FY5" s="1">
        <v>690377.28795083216</v>
      </c>
      <c r="FZ5" s="1">
        <v>702193.14929459826</v>
      </c>
      <c r="GA5" s="1">
        <v>709988.05495774723</v>
      </c>
      <c r="GB5" s="1">
        <v>716427.80750335008</v>
      </c>
      <c r="GC5" s="1">
        <v>724793.43595531606</v>
      </c>
      <c r="GD5" s="1">
        <v>726596.22049323912</v>
      </c>
      <c r="GE5" s="1">
        <v>713679.36985119013</v>
      </c>
      <c r="GF5" s="1">
        <v>724495.30351556698</v>
      </c>
      <c r="GG5" s="1">
        <v>716978.70330752106</v>
      </c>
      <c r="GH5" s="1">
        <v>708604.44443136989</v>
      </c>
      <c r="GI5" s="1">
        <v>708014.23435725924</v>
      </c>
      <c r="GJ5" s="1">
        <v>699954.82387256203</v>
      </c>
      <c r="GK5" s="1">
        <v>703945.38303988276</v>
      </c>
      <c r="GL5" s="1">
        <v>706152.38608441921</v>
      </c>
      <c r="GM5" s="1">
        <v>703058.72039911104</v>
      </c>
      <c r="GN5" s="1">
        <v>712661.82328813663</v>
      </c>
      <c r="GO5" s="1">
        <v>710300.17615271802</v>
      </c>
      <c r="GP5" s="1">
        <v>693899.69823934021</v>
      </c>
      <c r="GQ5" s="1">
        <v>684130.00127755292</v>
      </c>
      <c r="GR5" s="1">
        <v>699952.85550921643</v>
      </c>
      <c r="GS5" s="1">
        <v>700187.11589264881</v>
      </c>
      <c r="GT5" s="1">
        <v>702773.29597321991</v>
      </c>
      <c r="GU5" s="1">
        <v>715588.7150865458</v>
      </c>
      <c r="GV5" s="1">
        <v>704734.54751273803</v>
      </c>
      <c r="GW5" s="1">
        <v>710179.38008023868</v>
      </c>
      <c r="GX5" s="1">
        <v>703838.70557205263</v>
      </c>
      <c r="GY5" s="1">
        <v>698810.52399792522</v>
      </c>
      <c r="GZ5" s="1">
        <v>704227.45636524295</v>
      </c>
      <c r="HA5" s="1" t="str">
        <f t="shared" si="0"/>
        <v/>
      </c>
      <c r="HB5" s="1" t="str">
        <f t="shared" si="0"/>
        <v/>
      </c>
      <c r="HC5" s="1" t="str">
        <f t="shared" si="0"/>
        <v/>
      </c>
      <c r="HD5" s="1" t="str">
        <f t="shared" si="0"/>
        <v/>
      </c>
      <c r="HE5" s="1" t="str">
        <f t="shared" si="0"/>
        <v/>
      </c>
      <c r="HF5" s="1" t="str">
        <f t="shared" si="0"/>
        <v/>
      </c>
      <c r="HG5" s="1" t="str">
        <f t="shared" si="0"/>
        <v/>
      </c>
      <c r="HH5" s="1" t="str">
        <f t="shared" si="0"/>
        <v/>
      </c>
      <c r="HI5" s="1" t="str">
        <f t="shared" si="0"/>
        <v/>
      </c>
      <c r="HJ5" s="1" t="str">
        <f t="shared" si="0"/>
        <v/>
      </c>
      <c r="HK5" s="1" t="str">
        <f t="shared" si="0"/>
        <v/>
      </c>
      <c r="HL5" s="1" t="str">
        <f t="shared" si="0"/>
        <v/>
      </c>
      <c r="HM5" s="1" t="str">
        <f t="shared" si="0"/>
        <v/>
      </c>
      <c r="HN5" s="1" t="str">
        <f t="shared" si="0"/>
        <v/>
      </c>
      <c r="HO5" s="1" t="str">
        <f t="shared" si="0"/>
        <v/>
      </c>
      <c r="HP5" s="1" t="str">
        <f t="shared" si="0"/>
        <v/>
      </c>
      <c r="HQ5" s="1" t="str">
        <f t="shared" si="0"/>
        <v/>
      </c>
      <c r="HR5" s="1" t="str">
        <f t="shared" si="0"/>
        <v/>
      </c>
      <c r="HS5" s="1" t="str">
        <f t="shared" si="0"/>
        <v/>
      </c>
      <c r="HT5" s="1" t="str">
        <f t="shared" si="0"/>
        <v/>
      </c>
      <c r="HU5" s="1" t="str">
        <f t="shared" si="0"/>
        <v/>
      </c>
      <c r="HV5" s="1" t="str">
        <f t="shared" si="0"/>
        <v/>
      </c>
      <c r="HW5" s="1" t="str">
        <f t="shared" si="0"/>
        <v/>
      </c>
      <c r="HX5" s="1" t="str">
        <f t="shared" si="0"/>
        <v/>
      </c>
      <c r="HY5" s="1" t="str">
        <f t="shared" si="0"/>
        <v/>
      </c>
      <c r="HZ5" s="1" t="str">
        <f t="shared" si="0"/>
        <v/>
      </c>
      <c r="IA5" s="1" t="str">
        <f t="shared" si="0"/>
        <v/>
      </c>
      <c r="IB5" s="1" t="str">
        <f t="shared" si="0"/>
        <v/>
      </c>
      <c r="IC5" s="1" t="str">
        <f t="shared" si="0"/>
        <v/>
      </c>
      <c r="ID5" s="1" t="str">
        <f t="shared" si="0"/>
        <v/>
      </c>
      <c r="IE5" s="1" t="str">
        <f t="shared" si="0"/>
        <v/>
      </c>
      <c r="IF5" s="1" t="str">
        <f t="shared" si="0"/>
        <v/>
      </c>
      <c r="IG5" s="1" t="str">
        <f t="shared" si="0"/>
        <v/>
      </c>
      <c r="IH5" s="1" t="str">
        <f t="shared" si="0"/>
        <v/>
      </c>
      <c r="II5" s="1" t="str">
        <f t="shared" si="0"/>
        <v/>
      </c>
      <c r="IJ5" s="1" t="str">
        <f t="shared" si="0"/>
        <v/>
      </c>
      <c r="IK5" s="1" t="str">
        <f t="shared" si="0"/>
        <v/>
      </c>
      <c r="IL5" s="1" t="str">
        <f t="shared" si="0"/>
        <v/>
      </c>
      <c r="IM5" s="1" t="str">
        <f t="shared" si="0"/>
        <v/>
      </c>
      <c r="IN5" s="1" t="str">
        <f t="shared" si="0"/>
        <v/>
      </c>
      <c r="IO5" s="1" t="str">
        <f t="shared" si="0"/>
        <v/>
      </c>
      <c r="IP5" s="1" t="str">
        <f t="shared" si="0"/>
        <v/>
      </c>
      <c r="IQ5" s="1" t="str">
        <f t="shared" si="0"/>
        <v/>
      </c>
      <c r="IR5" s="1" t="str">
        <f t="shared" si="0"/>
        <v/>
      </c>
      <c r="IS5" s="1" t="str">
        <f t="shared" si="0"/>
        <v/>
      </c>
      <c r="IT5" s="1" t="str">
        <f t="shared" si="0"/>
        <v/>
      </c>
      <c r="IU5" s="1" t="str">
        <f t="shared" si="0"/>
        <v/>
      </c>
      <c r="IV5" s="1" t="str">
        <f t="shared" si="0"/>
        <v/>
      </c>
      <c r="IW5" s="1" t="str">
        <f t="shared" si="0"/>
        <v/>
      </c>
      <c r="IX5" s="1" t="str">
        <f t="shared" si="0"/>
        <v/>
      </c>
      <c r="IY5" s="1" t="str">
        <f t="shared" si="0"/>
        <v/>
      </c>
      <c r="IZ5" s="1" t="str">
        <f t="shared" si="0"/>
        <v/>
      </c>
      <c r="JA5" s="1" t="str">
        <f t="shared" si="0"/>
        <v/>
      </c>
      <c r="JB5" s="1" t="str">
        <f t="shared" si="0"/>
        <v/>
      </c>
      <c r="JC5" s="1" t="str">
        <f t="shared" si="0"/>
        <v/>
      </c>
      <c r="JD5" s="1" t="str">
        <f t="shared" si="0"/>
        <v/>
      </c>
      <c r="JE5" s="1" t="str">
        <f t="shared" si="0"/>
        <v/>
      </c>
      <c r="JF5" s="1" t="str">
        <f t="shared" si="0"/>
        <v/>
      </c>
      <c r="JG5" s="1" t="str">
        <f t="shared" si="0"/>
        <v/>
      </c>
      <c r="JH5" s="1" t="str">
        <f t="shared" si="0"/>
        <v/>
      </c>
      <c r="LY5" s="1"/>
    </row>
    <row r="6" spans="1:337" x14ac:dyDescent="0.25">
      <c r="A6" s="5">
        <v>4</v>
      </c>
      <c r="B6" s="1">
        <v>614512.50326055591</v>
      </c>
      <c r="C6" s="1">
        <v>619866.4891595263</v>
      </c>
      <c r="D6" s="1">
        <v>625626.0587729339</v>
      </c>
      <c r="E6" s="1">
        <v>633927.53223278024</v>
      </c>
      <c r="F6" s="1">
        <v>628884.54006640636</v>
      </c>
      <c r="G6" s="1">
        <v>630199.15773996338</v>
      </c>
      <c r="H6" s="1">
        <v>633701.40385015937</v>
      </c>
      <c r="I6" s="1">
        <v>641533.98631996999</v>
      </c>
      <c r="J6" s="1">
        <v>632603.00743923709</v>
      </c>
      <c r="K6" s="1">
        <v>636343.91721811541</v>
      </c>
      <c r="L6" s="1">
        <v>642871.62603623234</v>
      </c>
      <c r="M6" s="1">
        <v>644060.61937587219</v>
      </c>
      <c r="N6" s="1">
        <v>652298.32012122194</v>
      </c>
      <c r="O6" s="1">
        <v>655062.70680226549</v>
      </c>
      <c r="P6" s="1">
        <v>662077.82436338044</v>
      </c>
      <c r="Q6" s="1">
        <v>670822.48963489616</v>
      </c>
      <c r="R6" s="1">
        <v>670051.08150390047</v>
      </c>
      <c r="S6" s="1">
        <v>672592.43180221715</v>
      </c>
      <c r="T6" s="1">
        <v>682993.45008584601</v>
      </c>
      <c r="U6" s="1">
        <v>694140.49542622478</v>
      </c>
      <c r="V6" s="1">
        <v>686298.06182981306</v>
      </c>
      <c r="W6" s="1">
        <v>680525.00543211261</v>
      </c>
      <c r="X6" s="1">
        <v>688260.93548112572</v>
      </c>
      <c r="Y6" s="1">
        <v>696451.66728466528</v>
      </c>
      <c r="Z6" s="1">
        <v>707100.90620374074</v>
      </c>
      <c r="AA6" s="1">
        <v>714857.9330495582</v>
      </c>
      <c r="AB6" s="1">
        <v>728161.64507679455</v>
      </c>
      <c r="AC6" s="1">
        <v>743159.98301267775</v>
      </c>
      <c r="AD6" s="1">
        <v>736411.598908243</v>
      </c>
      <c r="AE6" s="1">
        <v>734557.09026002814</v>
      </c>
      <c r="AF6" s="1">
        <v>731252.70487476408</v>
      </c>
      <c r="AG6" s="1">
        <v>730210.98532992625</v>
      </c>
      <c r="AH6" s="1">
        <v>721457.78926327243</v>
      </c>
      <c r="AI6" s="1">
        <v>717046.38029162958</v>
      </c>
      <c r="AJ6" s="1">
        <v>724612.42408887274</v>
      </c>
      <c r="AK6" s="1">
        <v>729581.25943428348</v>
      </c>
      <c r="AL6" s="1">
        <v>738458.67071925639</v>
      </c>
      <c r="AM6" s="1">
        <v>748054.24844772997</v>
      </c>
      <c r="AN6" s="1">
        <v>759318.50856345729</v>
      </c>
      <c r="AO6" s="1">
        <v>769867.38545565261</v>
      </c>
      <c r="AP6" s="1">
        <v>767862.71906686539</v>
      </c>
      <c r="AQ6" s="1">
        <v>767385.46515423781</v>
      </c>
      <c r="AR6" s="1">
        <v>768077.76919784676</v>
      </c>
      <c r="AS6" s="1">
        <v>770507.43559647887</v>
      </c>
      <c r="AT6" s="1">
        <v>763309.62906474341</v>
      </c>
      <c r="AU6" s="1">
        <v>760212.70603668364</v>
      </c>
      <c r="AV6" s="1">
        <v>771174.8253223314</v>
      </c>
      <c r="AW6" s="1">
        <v>775662.49033108866</v>
      </c>
      <c r="AX6" s="1">
        <v>783107.2367919269</v>
      </c>
      <c r="AY6" s="1">
        <v>787319.22874807729</v>
      </c>
      <c r="AZ6" s="1">
        <v>791482.21073770651</v>
      </c>
      <c r="BA6" s="1">
        <v>795239.2702279035</v>
      </c>
      <c r="BB6" s="1">
        <v>788712.83515844401</v>
      </c>
      <c r="BC6" s="1">
        <v>781420.73861521285</v>
      </c>
      <c r="BD6" s="1">
        <v>778372.68655570049</v>
      </c>
      <c r="BE6" s="1">
        <v>770304.6438847048</v>
      </c>
      <c r="BF6" s="1">
        <v>747818.35615009221</v>
      </c>
      <c r="BG6" s="1">
        <v>743110.80883359001</v>
      </c>
      <c r="BH6" s="1">
        <v>748945.44355559419</v>
      </c>
      <c r="BI6" s="1">
        <v>729644.01532395475</v>
      </c>
      <c r="BJ6" s="1">
        <v>721088.15379758552</v>
      </c>
      <c r="BK6" s="1">
        <v>714836.21903453674</v>
      </c>
      <c r="BL6" s="1">
        <v>707892.35521060391</v>
      </c>
      <c r="BM6" s="1">
        <v>700827.71680631093</v>
      </c>
      <c r="BN6" s="1">
        <v>696248.89136082749</v>
      </c>
      <c r="BO6" s="1">
        <v>698352.29382288153</v>
      </c>
      <c r="BP6" s="1">
        <v>704481.36840277771</v>
      </c>
      <c r="BQ6" s="1">
        <v>704719.77260076953</v>
      </c>
      <c r="BR6" s="1">
        <v>700037.51661513688</v>
      </c>
      <c r="BS6" s="1">
        <v>718888.74584667408</v>
      </c>
      <c r="BT6" s="1">
        <v>710971.47965168511</v>
      </c>
      <c r="BU6" s="1">
        <v>702975.14506820089</v>
      </c>
      <c r="BV6" s="1">
        <v>712133.71956239373</v>
      </c>
      <c r="BW6" s="1">
        <v>710543.26558179862</v>
      </c>
      <c r="BX6" s="1">
        <v>713327.77085493668</v>
      </c>
      <c r="BY6" s="1">
        <v>717395.99015689886</v>
      </c>
      <c r="BZ6" s="1">
        <v>707196.7152450626</v>
      </c>
      <c r="CA6" s="1">
        <v>705517.60900220089</v>
      </c>
      <c r="CB6" s="1">
        <v>705497.9497848535</v>
      </c>
      <c r="CC6" s="1">
        <v>702784.69332744507</v>
      </c>
      <c r="CD6" s="1">
        <v>696860.69620562298</v>
      </c>
      <c r="CE6" s="1">
        <v>696793.87480494997</v>
      </c>
      <c r="CF6" s="1">
        <v>702595.29981842055</v>
      </c>
      <c r="CG6" s="1">
        <v>688539.35930541437</v>
      </c>
      <c r="CH6" s="1">
        <v>688166.91554384679</v>
      </c>
      <c r="CI6" s="1">
        <v>693825.939482196</v>
      </c>
      <c r="CJ6" s="1">
        <v>689967.45592901995</v>
      </c>
      <c r="CK6" s="1">
        <v>695220.90697145264</v>
      </c>
      <c r="CL6" s="1">
        <v>691061.44383589108</v>
      </c>
      <c r="CM6" s="1">
        <v>695114.40170210018</v>
      </c>
      <c r="CN6" s="1">
        <v>692342.04653467424</v>
      </c>
      <c r="CO6" s="1">
        <v>679844.65622398339</v>
      </c>
      <c r="CP6" s="1">
        <v>672378.49555021408</v>
      </c>
      <c r="CQ6" s="1">
        <v>673367.82037619315</v>
      </c>
      <c r="CR6" s="1">
        <v>657102.31621380872</v>
      </c>
      <c r="CS6" s="1">
        <v>647301.30202921899</v>
      </c>
      <c r="CT6" s="1">
        <v>654008.29584044288</v>
      </c>
      <c r="CU6" s="1">
        <v>649798.12201574445</v>
      </c>
      <c r="CV6" s="1">
        <v>644182.83914529264</v>
      </c>
      <c r="CW6" s="1">
        <v>644716.23136222921</v>
      </c>
      <c r="CX6" s="1">
        <v>634137.45236483659</v>
      </c>
      <c r="CY6" s="1">
        <v>638338.75968010863</v>
      </c>
      <c r="CZ6" s="1">
        <v>638463.02857251663</v>
      </c>
      <c r="DA6" s="1">
        <v>621999.34056571894</v>
      </c>
      <c r="DB6" s="1">
        <v>608685.13706785569</v>
      </c>
      <c r="DC6" s="1">
        <v>623060.62321116682</v>
      </c>
      <c r="DD6" s="1">
        <v>604520.20699389116</v>
      </c>
      <c r="DE6" s="1">
        <v>580244.07249185466</v>
      </c>
      <c r="DF6" s="1">
        <v>572798.89110428479</v>
      </c>
      <c r="DG6" s="1">
        <v>581545.88149780524</v>
      </c>
      <c r="DH6" s="1">
        <v>591366.21801981842</v>
      </c>
      <c r="DI6" s="1">
        <v>594978.41364826553</v>
      </c>
      <c r="DJ6" s="1">
        <v>592395.42456333153</v>
      </c>
      <c r="DK6" s="1">
        <v>604878.94537926232</v>
      </c>
      <c r="DL6" s="1">
        <v>598960.01476770535</v>
      </c>
      <c r="DM6" s="1">
        <v>586163.21522431076</v>
      </c>
      <c r="DN6" s="1">
        <v>582867.21534942044</v>
      </c>
      <c r="DO6" s="1">
        <v>578315.95450244821</v>
      </c>
      <c r="DP6" s="1">
        <v>599980.72708735289</v>
      </c>
      <c r="DQ6" s="1">
        <v>582094.76373831346</v>
      </c>
      <c r="DR6" s="1">
        <v>594111.53944971098</v>
      </c>
      <c r="DS6" s="1">
        <v>605489.93892114726</v>
      </c>
      <c r="DT6" s="1">
        <v>611490.85579338297</v>
      </c>
      <c r="DU6" s="1">
        <v>614963.36274302728</v>
      </c>
      <c r="DV6" s="1">
        <v>613180.11358959088</v>
      </c>
      <c r="DW6" s="1">
        <v>625542.46768984548</v>
      </c>
      <c r="DX6" s="1">
        <v>624626.11100654455</v>
      </c>
      <c r="DY6" s="1">
        <v>610334.20324465563</v>
      </c>
      <c r="DZ6" s="1">
        <v>608284.23024138308</v>
      </c>
      <c r="EA6" s="1">
        <v>618276.66640163702</v>
      </c>
      <c r="EB6" s="1">
        <v>595989.33387909108</v>
      </c>
      <c r="EC6" s="1">
        <v>603279.50053799804</v>
      </c>
      <c r="ED6" s="1">
        <v>610093.84428084013</v>
      </c>
      <c r="EE6" s="1">
        <v>612315.6767341448</v>
      </c>
      <c r="EF6" s="1">
        <v>625515.30457591428</v>
      </c>
      <c r="EG6" s="1">
        <v>636080.49408166483</v>
      </c>
      <c r="EH6" s="1">
        <v>641694.56472379807</v>
      </c>
      <c r="EI6" s="1">
        <v>664911.8534291517</v>
      </c>
      <c r="EJ6" s="1">
        <v>652274.37384871731</v>
      </c>
      <c r="EK6" s="1">
        <v>636788.05818112299</v>
      </c>
      <c r="EL6" s="1">
        <v>632020.55179091636</v>
      </c>
      <c r="EM6" s="1">
        <v>623974.44316428876</v>
      </c>
      <c r="EN6" s="1">
        <v>618475.81238253578</v>
      </c>
      <c r="EO6" s="1">
        <v>626868.92832696938</v>
      </c>
      <c r="EP6" s="1">
        <v>635329.69807238353</v>
      </c>
      <c r="EQ6" s="1">
        <v>644837.38260321517</v>
      </c>
      <c r="ER6" s="1">
        <v>650245.57737650676</v>
      </c>
      <c r="ES6" s="1">
        <v>651914.46471605799</v>
      </c>
      <c r="ET6" s="1">
        <v>649395.51692563598</v>
      </c>
      <c r="EU6" s="1">
        <v>672032.94773295918</v>
      </c>
      <c r="EV6" s="1">
        <v>665593.61311492743</v>
      </c>
      <c r="EW6" s="1">
        <v>663447.37179082585</v>
      </c>
      <c r="EX6" s="1">
        <v>661990.53014682012</v>
      </c>
      <c r="EY6" s="1">
        <v>646642.65381966822</v>
      </c>
      <c r="EZ6" s="1">
        <v>652058.06766171125</v>
      </c>
      <c r="FA6" s="1">
        <v>648551.86292875884</v>
      </c>
      <c r="FB6" s="1">
        <v>653187.39817543898</v>
      </c>
      <c r="FC6" s="1">
        <v>666426.44009046222</v>
      </c>
      <c r="FD6" s="1">
        <v>676456.57204287266</v>
      </c>
      <c r="FE6" s="1">
        <v>677833.58150579222</v>
      </c>
      <c r="FF6" s="1">
        <v>670821.50341651938</v>
      </c>
      <c r="FG6" s="1">
        <v>682940.81843999249</v>
      </c>
      <c r="FH6" s="1">
        <v>676393.14313043468</v>
      </c>
      <c r="FI6" s="1">
        <v>671111.61280498502</v>
      </c>
      <c r="FJ6" s="1">
        <v>671934.43698976352</v>
      </c>
      <c r="FK6" s="1">
        <v>666960.40467983251</v>
      </c>
      <c r="FL6" s="1">
        <v>668088.75266079698</v>
      </c>
      <c r="FM6" s="1">
        <v>683055.41626537638</v>
      </c>
      <c r="FN6" s="1">
        <v>688826.54087157361</v>
      </c>
      <c r="FO6" s="1">
        <v>695047.75455728034</v>
      </c>
      <c r="FP6" s="1">
        <v>701891.27377551619</v>
      </c>
      <c r="FQ6" s="1">
        <v>698906.83283784613</v>
      </c>
      <c r="FR6" s="1">
        <v>688664.3945687844</v>
      </c>
      <c r="FS6" s="1">
        <v>701847.1242756648</v>
      </c>
      <c r="FT6" s="1">
        <v>693419.12857590732</v>
      </c>
      <c r="FU6" s="1">
        <v>697873.74612081749</v>
      </c>
      <c r="FV6" s="1">
        <v>699495.37755426671</v>
      </c>
      <c r="FW6" s="1">
        <v>679537.91127265291</v>
      </c>
      <c r="FX6" s="1">
        <v>692000.52813779644</v>
      </c>
      <c r="FY6" s="1">
        <v>692048.91423776397</v>
      </c>
      <c r="FZ6" s="1">
        <v>707502.34076351207</v>
      </c>
      <c r="GA6" s="1">
        <v>720257.81080349837</v>
      </c>
      <c r="GB6" s="1">
        <v>728581.94643972651</v>
      </c>
      <c r="GC6" s="1">
        <v>730694.54713380197</v>
      </c>
      <c r="GD6" s="1">
        <v>719971.26393770077</v>
      </c>
      <c r="GE6" s="1">
        <v>724024.64781981334</v>
      </c>
      <c r="GF6" s="1">
        <v>716640.49369020096</v>
      </c>
      <c r="GG6" s="1">
        <v>710667.62621094566</v>
      </c>
      <c r="GH6" s="1">
        <v>711373.96699709678</v>
      </c>
      <c r="GI6" s="1">
        <v>700781.52357546496</v>
      </c>
      <c r="GJ6" s="1">
        <v>697254.289607235</v>
      </c>
      <c r="GK6" s="1">
        <v>704093.57515223033</v>
      </c>
      <c r="GL6" s="1">
        <v>707095.38362368243</v>
      </c>
      <c r="GM6" s="1">
        <v>710075.76617730223</v>
      </c>
      <c r="GN6" s="1">
        <v>723241.38811366889</v>
      </c>
      <c r="GO6" s="1">
        <v>714081.15314439125</v>
      </c>
      <c r="GP6" s="1">
        <v>687574.99141506362</v>
      </c>
      <c r="GQ6" s="1">
        <v>687766.65213458997</v>
      </c>
      <c r="GR6" s="1">
        <v>693168.68490354868</v>
      </c>
      <c r="GS6" s="1">
        <v>696285.75506233051</v>
      </c>
      <c r="GT6" s="1">
        <v>705412.15099698922</v>
      </c>
      <c r="GU6" s="1">
        <v>708499.03614423168</v>
      </c>
      <c r="GV6" s="1">
        <v>704640.70941781602</v>
      </c>
      <c r="GW6" s="1">
        <v>705667.33346145018</v>
      </c>
      <c r="GX6" s="1">
        <v>704235.8128842013</v>
      </c>
      <c r="GY6" s="1">
        <v>704454.1893868295</v>
      </c>
      <c r="GZ6" s="1">
        <v>712369.14591573097</v>
      </c>
      <c r="HA6" s="1" t="str">
        <f t="shared" si="0"/>
        <v/>
      </c>
      <c r="HB6" s="1" t="str">
        <f t="shared" si="0"/>
        <v/>
      </c>
      <c r="HC6" s="1" t="str">
        <f t="shared" si="0"/>
        <v/>
      </c>
      <c r="HD6" s="1" t="str">
        <f t="shared" si="0"/>
        <v/>
      </c>
      <c r="HE6" s="1" t="str">
        <f t="shared" si="0"/>
        <v/>
      </c>
      <c r="HF6" s="1" t="str">
        <f t="shared" si="0"/>
        <v/>
      </c>
      <c r="HG6" s="1" t="str">
        <f t="shared" si="0"/>
        <v/>
      </c>
      <c r="HH6" s="1" t="str">
        <f t="shared" si="0"/>
        <v/>
      </c>
      <c r="HI6" s="1" t="str">
        <f t="shared" si="0"/>
        <v/>
      </c>
      <c r="HJ6" s="1" t="str">
        <f t="shared" si="0"/>
        <v/>
      </c>
      <c r="HK6" s="1" t="str">
        <f t="shared" si="0"/>
        <v/>
      </c>
      <c r="HL6" s="1" t="str">
        <f t="shared" si="0"/>
        <v/>
      </c>
      <c r="HM6" s="1" t="str">
        <f t="shared" si="0"/>
        <v/>
      </c>
      <c r="HN6" s="1" t="str">
        <f t="shared" si="0"/>
        <v/>
      </c>
      <c r="HO6" s="1" t="str">
        <f t="shared" si="0"/>
        <v/>
      </c>
      <c r="HP6" s="1" t="str">
        <f t="shared" si="0"/>
        <v/>
      </c>
      <c r="HQ6" s="1" t="str">
        <f t="shared" si="0"/>
        <v/>
      </c>
      <c r="HR6" s="1" t="str">
        <f t="shared" si="0"/>
        <v/>
      </c>
      <c r="HS6" s="1" t="str">
        <f t="shared" si="0"/>
        <v/>
      </c>
      <c r="HT6" s="1" t="str">
        <f t="shared" si="0"/>
        <v/>
      </c>
      <c r="HU6" s="1" t="str">
        <f t="shared" si="0"/>
        <v/>
      </c>
      <c r="HV6" s="1" t="str">
        <f t="shared" si="0"/>
        <v/>
      </c>
      <c r="HW6" s="1" t="str">
        <f t="shared" si="0"/>
        <v/>
      </c>
      <c r="HX6" s="1" t="str">
        <f t="shared" si="0"/>
        <v/>
      </c>
      <c r="HY6" s="1" t="str">
        <f t="shared" si="0"/>
        <v/>
      </c>
      <c r="HZ6" s="1" t="str">
        <f t="shared" si="0"/>
        <v/>
      </c>
      <c r="IA6" s="1" t="str">
        <f t="shared" si="0"/>
        <v/>
      </c>
      <c r="IB6" s="1" t="str">
        <f t="shared" si="0"/>
        <v/>
      </c>
      <c r="IC6" s="1" t="str">
        <f t="shared" si="0"/>
        <v/>
      </c>
      <c r="ID6" s="1" t="str">
        <f t="shared" si="0"/>
        <v/>
      </c>
      <c r="IE6" s="1" t="str">
        <f t="shared" si="0"/>
        <v/>
      </c>
      <c r="IF6" s="1" t="str">
        <f t="shared" si="0"/>
        <v/>
      </c>
      <c r="IG6" s="1" t="str">
        <f t="shared" si="0"/>
        <v/>
      </c>
      <c r="IH6" s="1" t="str">
        <f t="shared" si="0"/>
        <v/>
      </c>
      <c r="II6" s="1" t="str">
        <f t="shared" si="0"/>
        <v/>
      </c>
      <c r="IJ6" s="1" t="str">
        <f t="shared" si="0"/>
        <v/>
      </c>
      <c r="IK6" s="1" t="str">
        <f t="shared" si="0"/>
        <v/>
      </c>
      <c r="IL6" s="1" t="str">
        <f t="shared" si="0"/>
        <v/>
      </c>
      <c r="IM6" s="1" t="str">
        <f t="shared" si="0"/>
        <v/>
      </c>
      <c r="IN6" s="1" t="str">
        <f t="shared" si="0"/>
        <v/>
      </c>
      <c r="IO6" s="1" t="str">
        <f t="shared" si="0"/>
        <v/>
      </c>
      <c r="IP6" s="1" t="str">
        <f t="shared" si="0"/>
        <v/>
      </c>
      <c r="IQ6" s="1" t="str">
        <f t="shared" si="0"/>
        <v/>
      </c>
      <c r="IR6" s="1" t="str">
        <f t="shared" si="0"/>
        <v/>
      </c>
      <c r="IS6" s="1" t="str">
        <f t="shared" si="0"/>
        <v/>
      </c>
      <c r="IT6" s="1" t="str">
        <f t="shared" si="0"/>
        <v/>
      </c>
      <c r="IU6" s="1" t="str">
        <f t="shared" si="0"/>
        <v/>
      </c>
      <c r="IV6" s="1" t="str">
        <f t="shared" si="0"/>
        <v/>
      </c>
      <c r="IW6" s="1" t="str">
        <f t="shared" si="0"/>
        <v/>
      </c>
      <c r="IX6" s="1" t="str">
        <f t="shared" si="0"/>
        <v/>
      </c>
      <c r="IY6" s="1" t="str">
        <f t="shared" si="0"/>
        <v/>
      </c>
      <c r="IZ6" s="1" t="str">
        <f t="shared" si="0"/>
        <v/>
      </c>
      <c r="JA6" s="1" t="str">
        <f t="shared" si="0"/>
        <v/>
      </c>
      <c r="JB6" s="1" t="str">
        <f t="shared" si="0"/>
        <v/>
      </c>
      <c r="JC6" s="1" t="str">
        <f t="shared" si="0"/>
        <v/>
      </c>
      <c r="JD6" s="1" t="str">
        <f t="shared" si="0"/>
        <v/>
      </c>
      <c r="JE6" s="1" t="str">
        <f t="shared" si="0"/>
        <v/>
      </c>
      <c r="JF6" s="1" t="str">
        <f t="shared" si="0"/>
        <v/>
      </c>
      <c r="JG6" s="1" t="str">
        <f t="shared" si="0"/>
        <v/>
      </c>
      <c r="JH6" s="1" t="str">
        <f t="shared" ref="GZ6:JH10" si="1">IF(JG6="","","")</f>
        <v/>
      </c>
      <c r="LY6" s="1"/>
    </row>
    <row r="7" spans="1:337" x14ac:dyDescent="0.25">
      <c r="A7" s="5">
        <v>5</v>
      </c>
      <c r="B7" s="1">
        <v>619997.40647031786</v>
      </c>
      <c r="C7" s="1">
        <v>625004.92272694013</v>
      </c>
      <c r="D7" s="1">
        <v>633411.83178693964</v>
      </c>
      <c r="E7" s="1">
        <v>628994.75377774378</v>
      </c>
      <c r="F7" s="1">
        <v>629985.58124759851</v>
      </c>
      <c r="G7" s="1">
        <v>632558.62189048016</v>
      </c>
      <c r="H7" s="1">
        <v>638247.83304839127</v>
      </c>
      <c r="I7" s="1">
        <v>627540.62404424231</v>
      </c>
      <c r="J7" s="1">
        <v>636482.5284499164</v>
      </c>
      <c r="K7" s="1">
        <v>642819.29442051006</v>
      </c>
      <c r="L7" s="1">
        <v>645773.85977888666</v>
      </c>
      <c r="M7" s="1">
        <v>646144.75485068199</v>
      </c>
      <c r="N7" s="1">
        <v>659471.68996331329</v>
      </c>
      <c r="O7" s="1">
        <v>663196.65644992422</v>
      </c>
      <c r="P7" s="1">
        <v>671895.33438658318</v>
      </c>
      <c r="Q7" s="1">
        <v>667922.04784483765</v>
      </c>
      <c r="R7" s="1">
        <v>669475.03272300982</v>
      </c>
      <c r="S7" s="1">
        <v>676474.98456557025</v>
      </c>
      <c r="T7" s="1">
        <v>686503.42974342685</v>
      </c>
      <c r="U7" s="1">
        <v>686219.93556672893</v>
      </c>
      <c r="V7" s="1">
        <v>684862.09986937488</v>
      </c>
      <c r="W7" s="1">
        <v>687382.33047544351</v>
      </c>
      <c r="X7" s="1">
        <v>692942.77143540524</v>
      </c>
      <c r="Y7" s="1">
        <v>702867.80851133144</v>
      </c>
      <c r="Z7" s="1">
        <v>717403.85402839922</v>
      </c>
      <c r="AA7" s="1">
        <v>729168.11371248588</v>
      </c>
      <c r="AB7" s="1">
        <v>740359.13252058835</v>
      </c>
      <c r="AC7" s="1">
        <v>743096.38296081405</v>
      </c>
      <c r="AD7" s="1">
        <v>733580.85591112834</v>
      </c>
      <c r="AE7" s="1">
        <v>738759.21649722254</v>
      </c>
      <c r="AF7" s="1">
        <v>734453.70878442528</v>
      </c>
      <c r="AG7" s="1">
        <v>724354.22968869039</v>
      </c>
      <c r="AH7" s="1">
        <v>717983.92211398855</v>
      </c>
      <c r="AI7" s="1">
        <v>723854.24906166934</v>
      </c>
      <c r="AJ7" s="1">
        <v>729097.51457327395</v>
      </c>
      <c r="AK7" s="1">
        <v>734361.58058089158</v>
      </c>
      <c r="AL7" s="1">
        <v>746758.48286816548</v>
      </c>
      <c r="AM7" s="1">
        <v>757851.68824259948</v>
      </c>
      <c r="AN7" s="1">
        <v>768016.57392516336</v>
      </c>
      <c r="AO7" s="1">
        <v>767555.69205058448</v>
      </c>
      <c r="AP7" s="1">
        <v>767161.55917006009</v>
      </c>
      <c r="AQ7" s="1">
        <v>771507.00064874184</v>
      </c>
      <c r="AR7" s="1">
        <v>771810.06624132209</v>
      </c>
      <c r="AS7" s="1">
        <v>765272.95966143988</v>
      </c>
      <c r="AT7" s="1">
        <v>759764.10667991987</v>
      </c>
      <c r="AU7" s="1">
        <v>766676.28520098981</v>
      </c>
      <c r="AV7" s="1">
        <v>776337.39932309196</v>
      </c>
      <c r="AW7" s="1">
        <v>780516.15186819411</v>
      </c>
      <c r="AX7" s="1">
        <v>791541.1447347065</v>
      </c>
      <c r="AY7" s="1">
        <v>795785.03130186163</v>
      </c>
      <c r="AZ7" s="1">
        <v>801030.77004771354</v>
      </c>
      <c r="BA7" s="1">
        <v>791873.82710795058</v>
      </c>
      <c r="BB7" s="1">
        <v>787237.5129404387</v>
      </c>
      <c r="BC7" s="1">
        <v>786540.61011737888</v>
      </c>
      <c r="BD7" s="1">
        <v>779775.83660122484</v>
      </c>
      <c r="BE7" s="1">
        <v>765496.58713578503</v>
      </c>
      <c r="BF7" s="1">
        <v>740808.12866869359</v>
      </c>
      <c r="BG7" s="1">
        <v>745599.60854781081</v>
      </c>
      <c r="BH7" s="1">
        <v>750822.27696156059</v>
      </c>
      <c r="BI7" s="1">
        <v>727113.34643159725</v>
      </c>
      <c r="BJ7" s="1">
        <v>720933.15044996957</v>
      </c>
      <c r="BK7" s="1">
        <v>715375.92191706831</v>
      </c>
      <c r="BL7" s="1">
        <v>707950.4102709248</v>
      </c>
      <c r="BM7" s="1">
        <v>689347.36360576912</v>
      </c>
      <c r="BN7" s="1">
        <v>687708.00538588059</v>
      </c>
      <c r="BO7" s="1">
        <v>697827.24526366277</v>
      </c>
      <c r="BP7" s="1">
        <v>700138.26319325087</v>
      </c>
      <c r="BQ7" s="1">
        <v>694017.66395582468</v>
      </c>
      <c r="BR7" s="1">
        <v>693221.05890149227</v>
      </c>
      <c r="BS7" s="1">
        <v>722534.74304634123</v>
      </c>
      <c r="BT7" s="1">
        <v>710668.82135735895</v>
      </c>
      <c r="BU7" s="1">
        <v>703660.95702342107</v>
      </c>
      <c r="BV7" s="1">
        <v>717615.09672687668</v>
      </c>
      <c r="BW7" s="1">
        <v>716380.79992037546</v>
      </c>
      <c r="BX7" s="1">
        <v>718960.27162747167</v>
      </c>
      <c r="BY7" s="1">
        <v>711081.64261578163</v>
      </c>
      <c r="BZ7" s="1">
        <v>704563.45872667548</v>
      </c>
      <c r="CA7" s="1">
        <v>709646.96052419429</v>
      </c>
      <c r="CB7" s="1">
        <v>701622.34161828738</v>
      </c>
      <c r="CC7" s="1">
        <v>696984.34757883043</v>
      </c>
      <c r="CD7" s="1">
        <v>685961.63524888712</v>
      </c>
      <c r="CE7" s="1">
        <v>700386.57709963829</v>
      </c>
      <c r="CF7" s="1">
        <v>702445.76541396091</v>
      </c>
      <c r="CG7" s="1">
        <v>687518.10559641593</v>
      </c>
      <c r="CH7" s="1">
        <v>693061.68798205606</v>
      </c>
      <c r="CI7" s="1">
        <v>696166.51170034404</v>
      </c>
      <c r="CJ7" s="1">
        <v>695043.9446680923</v>
      </c>
      <c r="CK7" s="1">
        <v>688597.06981489831</v>
      </c>
      <c r="CL7" s="1">
        <v>695936.04217223823</v>
      </c>
      <c r="CM7" s="1">
        <v>695651.99525596597</v>
      </c>
      <c r="CN7" s="1">
        <v>684517.61180470907</v>
      </c>
      <c r="CO7" s="1">
        <v>675092.92178261001</v>
      </c>
      <c r="CP7" s="1">
        <v>661928.27700370573</v>
      </c>
      <c r="CQ7" s="1">
        <v>670713.48106972128</v>
      </c>
      <c r="CR7" s="1">
        <v>655064.64118366491</v>
      </c>
      <c r="CS7" s="1">
        <v>647049.05012687575</v>
      </c>
      <c r="CT7" s="1">
        <v>657319.25876691553</v>
      </c>
      <c r="CU7" s="1">
        <v>650575.03726155392</v>
      </c>
      <c r="CV7" s="1">
        <v>646210.76905092131</v>
      </c>
      <c r="CW7" s="1">
        <v>639354.09208024759</v>
      </c>
      <c r="CX7" s="1">
        <v>637085.70862580067</v>
      </c>
      <c r="CY7" s="1">
        <v>631720.05498056882</v>
      </c>
      <c r="CZ7" s="1">
        <v>630837.24911528593</v>
      </c>
      <c r="DA7" s="1">
        <v>618345.19654422835</v>
      </c>
      <c r="DB7" s="1">
        <v>596376.1494691472</v>
      </c>
      <c r="DC7" s="1">
        <v>618648.49124044029</v>
      </c>
      <c r="DD7" s="1">
        <v>601542.84458355978</v>
      </c>
      <c r="DE7" s="1">
        <v>576313.85073079099</v>
      </c>
      <c r="DF7" s="1">
        <v>573013.05258956365</v>
      </c>
      <c r="DG7" s="1">
        <v>583610.44696882146</v>
      </c>
      <c r="DH7" s="1">
        <v>590486.56404604716</v>
      </c>
      <c r="DI7" s="1">
        <v>588230.35894448822</v>
      </c>
      <c r="DJ7" s="1">
        <v>603440.31879777578</v>
      </c>
      <c r="DK7" s="1">
        <v>591708.62478766381</v>
      </c>
      <c r="DL7" s="1">
        <v>585949.14624454407</v>
      </c>
      <c r="DM7" s="1">
        <v>580677.24015608197</v>
      </c>
      <c r="DN7" s="1">
        <v>574969.49583433988</v>
      </c>
      <c r="DO7" s="1">
        <v>575893.44458062295</v>
      </c>
      <c r="DP7" s="1">
        <v>601274.2197649593</v>
      </c>
      <c r="DQ7" s="1">
        <v>582774.63454415859</v>
      </c>
      <c r="DR7" s="1">
        <v>599998.81315177784</v>
      </c>
      <c r="DS7" s="1">
        <v>612112.11425225856</v>
      </c>
      <c r="DT7" s="1">
        <v>616258.38988628343</v>
      </c>
      <c r="DU7" s="1">
        <v>612413.53067525662</v>
      </c>
      <c r="DV7" s="1">
        <v>624549.83355944557</v>
      </c>
      <c r="DW7" s="1">
        <v>621520.21965555055</v>
      </c>
      <c r="DX7" s="1">
        <v>615066.31843539048</v>
      </c>
      <c r="DY7" s="1">
        <v>610644.05889052898</v>
      </c>
      <c r="DZ7" s="1">
        <v>600881.33183180424</v>
      </c>
      <c r="EA7" s="1">
        <v>618937.98338336172</v>
      </c>
      <c r="EB7" s="1">
        <v>595810.56743382115</v>
      </c>
      <c r="EC7" s="1">
        <v>605499.05377979623</v>
      </c>
      <c r="ED7" s="1">
        <v>617618.76770629</v>
      </c>
      <c r="EE7" s="1">
        <v>618983.62220314681</v>
      </c>
      <c r="EF7" s="1">
        <v>629647.53730871226</v>
      </c>
      <c r="EG7" s="1">
        <v>635391.18981027068</v>
      </c>
      <c r="EH7" s="1">
        <v>658196.11081117543</v>
      </c>
      <c r="EI7" s="1">
        <v>655563.50575470389</v>
      </c>
      <c r="EJ7" s="1">
        <v>649544.30663379375</v>
      </c>
      <c r="EK7" s="1">
        <v>638123.80321423872</v>
      </c>
      <c r="EL7" s="1">
        <v>623611.47498564911</v>
      </c>
      <c r="EM7" s="1">
        <v>626152.08573810919</v>
      </c>
      <c r="EN7" s="1">
        <v>619853.00793207623</v>
      </c>
      <c r="EO7" s="1">
        <v>630902.20183227025</v>
      </c>
      <c r="EP7" s="1">
        <v>644749.50979368924</v>
      </c>
      <c r="EQ7" s="1">
        <v>652781.50988315931</v>
      </c>
      <c r="ER7" s="1">
        <v>652947.47672999348</v>
      </c>
      <c r="ES7" s="1">
        <v>647450.6231817666</v>
      </c>
      <c r="ET7" s="1">
        <v>666630.66567380633</v>
      </c>
      <c r="EU7" s="1">
        <v>656898.80948441918</v>
      </c>
      <c r="EV7" s="1">
        <v>662700.33668266633</v>
      </c>
      <c r="EW7" s="1">
        <v>666817.07418833883</v>
      </c>
      <c r="EX7" s="1">
        <v>654319.6261561336</v>
      </c>
      <c r="EY7" s="1">
        <v>647941.57535274676</v>
      </c>
      <c r="EZ7" s="1">
        <v>655051.49702166999</v>
      </c>
      <c r="FA7" s="1">
        <v>653382.89308370929</v>
      </c>
      <c r="FB7" s="1">
        <v>663205.86669468624</v>
      </c>
      <c r="FC7" s="1">
        <v>676263.77825113083</v>
      </c>
      <c r="FD7" s="1">
        <v>678976.71130237496</v>
      </c>
      <c r="FE7" s="1">
        <v>675097.52112441452</v>
      </c>
      <c r="FF7" s="1">
        <v>684906.39239894436</v>
      </c>
      <c r="FG7" s="1">
        <v>671219.65687978838</v>
      </c>
      <c r="FH7" s="1">
        <v>668592.37721731223</v>
      </c>
      <c r="FI7" s="1">
        <v>670144.91824868997</v>
      </c>
      <c r="FJ7" s="1">
        <v>665729.87424372765</v>
      </c>
      <c r="FK7" s="1">
        <v>667494.78466906794</v>
      </c>
      <c r="FL7" s="1">
        <v>670673.25273835566</v>
      </c>
      <c r="FM7" s="1">
        <v>689052.15676571243</v>
      </c>
      <c r="FN7" s="1">
        <v>699768.59261218365</v>
      </c>
      <c r="FO7" s="1">
        <v>707976.70270046336</v>
      </c>
      <c r="FP7" s="1">
        <v>703874.85364433564</v>
      </c>
      <c r="FQ7" s="1">
        <v>693907.66983069107</v>
      </c>
      <c r="FR7" s="1">
        <v>702075.56248834217</v>
      </c>
      <c r="FS7" s="1">
        <v>690248.74648453353</v>
      </c>
      <c r="FT7" s="1">
        <v>688684.29204267333</v>
      </c>
      <c r="FU7" s="1">
        <v>699157.0768785628</v>
      </c>
      <c r="FV7" s="1">
        <v>691479.35018543492</v>
      </c>
      <c r="FW7" s="1">
        <v>678015.21310297027</v>
      </c>
      <c r="FX7" s="1">
        <v>693735.24353128881</v>
      </c>
      <c r="FY7" s="1">
        <v>696864.18647650513</v>
      </c>
      <c r="FZ7" s="1">
        <v>717623.75952872681</v>
      </c>
      <c r="GA7" s="1">
        <v>733633.73265341949</v>
      </c>
      <c r="GB7" s="1">
        <v>734463.63244771271</v>
      </c>
      <c r="GC7" s="1">
        <v>725533.06319448655</v>
      </c>
      <c r="GD7" s="1">
        <v>730960.37411166297</v>
      </c>
      <c r="GE7" s="1">
        <v>718666.07403766341</v>
      </c>
      <c r="GF7" s="1">
        <v>711283.28524511936</v>
      </c>
      <c r="GG7" s="1">
        <v>713641.86763922917</v>
      </c>
      <c r="GH7" s="1">
        <v>703184.63086569216</v>
      </c>
      <c r="GI7" s="1">
        <v>698158.72059087269</v>
      </c>
      <c r="GJ7" s="1">
        <v>696916.29209986818</v>
      </c>
      <c r="GK7" s="1">
        <v>705333.75740232901</v>
      </c>
      <c r="GL7" s="1">
        <v>714493.23856786918</v>
      </c>
      <c r="GM7" s="1">
        <v>718241.87389341649</v>
      </c>
      <c r="GN7" s="1">
        <v>728472.29461979086</v>
      </c>
      <c r="GO7" s="1">
        <v>706543.81377281912</v>
      </c>
      <c r="GP7" s="1">
        <v>690336.47765263391</v>
      </c>
      <c r="GQ7" s="1">
        <v>681717.44418330467</v>
      </c>
      <c r="GR7" s="1">
        <v>688773.17236613529</v>
      </c>
      <c r="GS7" s="1">
        <v>694827.76781330223</v>
      </c>
      <c r="GT7" s="1">
        <v>696826.29772245395</v>
      </c>
      <c r="GU7" s="1">
        <v>706855.7915659569</v>
      </c>
      <c r="GV7" s="1">
        <v>701364.10191407311</v>
      </c>
      <c r="GW7" s="1">
        <v>702558.81180149422</v>
      </c>
      <c r="GX7" s="1">
        <v>711256.36276745016</v>
      </c>
      <c r="GY7" s="1">
        <v>712645.2879158929</v>
      </c>
      <c r="GZ7" s="1">
        <v>717324.82393141801</v>
      </c>
      <c r="HA7" s="1" t="str">
        <f t="shared" si="1"/>
        <v/>
      </c>
      <c r="HB7" s="1" t="str">
        <f t="shared" si="1"/>
        <v/>
      </c>
      <c r="HC7" s="1" t="str">
        <f t="shared" si="1"/>
        <v/>
      </c>
      <c r="HD7" s="1" t="str">
        <f t="shared" si="1"/>
        <v/>
      </c>
      <c r="HE7" s="1" t="str">
        <f t="shared" si="1"/>
        <v/>
      </c>
      <c r="HF7" s="1" t="str">
        <f t="shared" si="1"/>
        <v/>
      </c>
      <c r="HG7" s="1" t="str">
        <f t="shared" si="1"/>
        <v/>
      </c>
      <c r="HH7" s="1" t="str">
        <f t="shared" si="1"/>
        <v/>
      </c>
      <c r="HI7" s="1" t="str">
        <f t="shared" si="1"/>
        <v/>
      </c>
      <c r="HJ7" s="1" t="str">
        <f t="shared" si="1"/>
        <v/>
      </c>
      <c r="HK7" s="1" t="str">
        <f t="shared" si="1"/>
        <v/>
      </c>
      <c r="HL7" s="1" t="str">
        <f t="shared" si="1"/>
        <v/>
      </c>
      <c r="HM7" s="1" t="str">
        <f t="shared" si="1"/>
        <v/>
      </c>
      <c r="HN7" s="1" t="str">
        <f t="shared" si="1"/>
        <v/>
      </c>
      <c r="HO7" s="1" t="str">
        <f t="shared" si="1"/>
        <v/>
      </c>
      <c r="HP7" s="1" t="str">
        <f t="shared" si="1"/>
        <v/>
      </c>
      <c r="HQ7" s="1" t="str">
        <f t="shared" si="1"/>
        <v/>
      </c>
      <c r="HR7" s="1" t="str">
        <f t="shared" si="1"/>
        <v/>
      </c>
      <c r="HS7" s="1" t="str">
        <f t="shared" si="1"/>
        <v/>
      </c>
      <c r="HT7" s="1" t="str">
        <f t="shared" si="1"/>
        <v/>
      </c>
      <c r="HU7" s="1" t="str">
        <f t="shared" si="1"/>
        <v/>
      </c>
      <c r="HV7" s="1" t="str">
        <f t="shared" si="1"/>
        <v/>
      </c>
      <c r="HW7" s="1" t="str">
        <f t="shared" si="1"/>
        <v/>
      </c>
      <c r="HX7" s="1" t="str">
        <f t="shared" si="1"/>
        <v/>
      </c>
      <c r="HY7" s="1" t="str">
        <f t="shared" si="1"/>
        <v/>
      </c>
      <c r="HZ7" s="1" t="str">
        <f t="shared" si="1"/>
        <v/>
      </c>
      <c r="IA7" s="1" t="str">
        <f t="shared" si="1"/>
        <v/>
      </c>
      <c r="IB7" s="1" t="str">
        <f t="shared" si="1"/>
        <v/>
      </c>
      <c r="IC7" s="1" t="str">
        <f t="shared" si="1"/>
        <v/>
      </c>
      <c r="ID7" s="1" t="str">
        <f t="shared" si="1"/>
        <v/>
      </c>
      <c r="IE7" s="1" t="str">
        <f t="shared" si="1"/>
        <v/>
      </c>
      <c r="IF7" s="1" t="str">
        <f t="shared" si="1"/>
        <v/>
      </c>
      <c r="IG7" s="1" t="str">
        <f t="shared" si="1"/>
        <v/>
      </c>
      <c r="IH7" s="1" t="str">
        <f t="shared" si="1"/>
        <v/>
      </c>
      <c r="II7" s="1" t="str">
        <f t="shared" si="1"/>
        <v/>
      </c>
      <c r="IJ7" s="1" t="str">
        <f t="shared" si="1"/>
        <v/>
      </c>
      <c r="IK7" s="1" t="str">
        <f t="shared" si="1"/>
        <v/>
      </c>
      <c r="IL7" s="1" t="str">
        <f t="shared" si="1"/>
        <v/>
      </c>
      <c r="IM7" s="1" t="str">
        <f t="shared" si="1"/>
        <v/>
      </c>
      <c r="IN7" s="1" t="str">
        <f t="shared" si="1"/>
        <v/>
      </c>
      <c r="IO7" s="1" t="str">
        <f t="shared" si="1"/>
        <v/>
      </c>
      <c r="IP7" s="1" t="str">
        <f t="shared" si="1"/>
        <v/>
      </c>
      <c r="IQ7" s="1" t="str">
        <f t="shared" si="1"/>
        <v/>
      </c>
      <c r="IR7" s="1" t="str">
        <f t="shared" si="1"/>
        <v/>
      </c>
      <c r="IS7" s="1" t="str">
        <f t="shared" si="1"/>
        <v/>
      </c>
      <c r="IT7" s="1" t="str">
        <f t="shared" si="1"/>
        <v/>
      </c>
      <c r="IU7" s="1" t="str">
        <f t="shared" si="1"/>
        <v/>
      </c>
      <c r="IV7" s="1" t="str">
        <f t="shared" si="1"/>
        <v/>
      </c>
      <c r="IW7" s="1" t="str">
        <f t="shared" si="1"/>
        <v/>
      </c>
      <c r="IX7" s="1" t="str">
        <f t="shared" si="1"/>
        <v/>
      </c>
      <c r="IY7" s="1" t="str">
        <f t="shared" si="1"/>
        <v/>
      </c>
      <c r="IZ7" s="1" t="str">
        <f t="shared" si="1"/>
        <v/>
      </c>
      <c r="JA7" s="1" t="str">
        <f t="shared" si="1"/>
        <v/>
      </c>
      <c r="JB7" s="1" t="str">
        <f t="shared" si="1"/>
        <v/>
      </c>
      <c r="JC7" s="1" t="str">
        <f t="shared" si="1"/>
        <v/>
      </c>
      <c r="JD7" s="1" t="str">
        <f t="shared" si="1"/>
        <v/>
      </c>
      <c r="JE7" s="1" t="str">
        <f t="shared" si="1"/>
        <v/>
      </c>
      <c r="JF7" s="1" t="str">
        <f t="shared" si="1"/>
        <v/>
      </c>
      <c r="JG7" s="1" t="str">
        <f t="shared" si="1"/>
        <v/>
      </c>
      <c r="JH7" s="1" t="str">
        <f t="shared" si="1"/>
        <v/>
      </c>
      <c r="LY7" s="1"/>
    </row>
    <row r="8" spans="1:337" x14ac:dyDescent="0.25">
      <c r="A8" s="5">
        <v>6</v>
      </c>
      <c r="B8" s="1">
        <v>625162.30521318899</v>
      </c>
      <c r="C8" s="1">
        <v>632827.21205070103</v>
      </c>
      <c r="D8" s="1">
        <v>628812.63706343062</v>
      </c>
      <c r="E8" s="1">
        <v>630090.82956329756</v>
      </c>
      <c r="F8" s="1">
        <v>632396.10120183113</v>
      </c>
      <c r="G8" s="1">
        <v>637363.78933063964</v>
      </c>
      <c r="H8" s="1">
        <v>623173.98783135228</v>
      </c>
      <c r="I8" s="1">
        <v>630173.37325436017</v>
      </c>
      <c r="J8" s="1">
        <v>643519.5831774415</v>
      </c>
      <c r="K8" s="1">
        <v>646020.32145805797</v>
      </c>
      <c r="L8" s="1">
        <v>648674.37817169819</v>
      </c>
      <c r="M8" s="1">
        <v>653805.35686488193</v>
      </c>
      <c r="N8" s="1">
        <v>667132.92463012889</v>
      </c>
      <c r="O8" s="1">
        <v>672718.98013596097</v>
      </c>
      <c r="P8" s="1">
        <v>669049.19055465586</v>
      </c>
      <c r="Q8" s="1">
        <v>667169.02481107367</v>
      </c>
      <c r="R8" s="1">
        <v>672636.84414983308</v>
      </c>
      <c r="S8" s="1">
        <v>680157.06937844167</v>
      </c>
      <c r="T8" s="1">
        <v>677806.16396803688</v>
      </c>
      <c r="U8" s="1">
        <v>685587.56300851959</v>
      </c>
      <c r="V8" s="1">
        <v>692136.93065625033</v>
      </c>
      <c r="W8" s="1">
        <v>692470.597145312</v>
      </c>
      <c r="X8" s="1">
        <v>700425.50933610625</v>
      </c>
      <c r="Y8" s="1">
        <v>713700.73298386787</v>
      </c>
      <c r="Z8" s="1">
        <v>731471.13619997853</v>
      </c>
      <c r="AA8" s="1">
        <v>741539.52075109072</v>
      </c>
      <c r="AB8" s="1">
        <v>739972.27751220856</v>
      </c>
      <c r="AC8" s="1">
        <v>739945.65471440856</v>
      </c>
      <c r="AD8" s="1">
        <v>738249.52864064137</v>
      </c>
      <c r="AE8" s="1">
        <v>743120.65921324235</v>
      </c>
      <c r="AF8" s="1">
        <v>728530.13317819952</v>
      </c>
      <c r="AG8" s="1">
        <v>720406.98461782187</v>
      </c>
      <c r="AH8" s="1">
        <v>724685.75127089559</v>
      </c>
      <c r="AI8" s="1">
        <v>728651.83462391887</v>
      </c>
      <c r="AJ8" s="1">
        <v>733887.13749121386</v>
      </c>
      <c r="AK8" s="1">
        <v>742889.41310106055</v>
      </c>
      <c r="AL8" s="1">
        <v>757414.95465130266</v>
      </c>
      <c r="AM8" s="1">
        <v>767220.56819159945</v>
      </c>
      <c r="AN8" s="1">
        <v>766042.34527519415</v>
      </c>
      <c r="AO8" s="1">
        <v>766902.11082534608</v>
      </c>
      <c r="AP8" s="1">
        <v>771620.51389103557</v>
      </c>
      <c r="AQ8" s="1">
        <v>775901.67286000634</v>
      </c>
      <c r="AR8" s="1">
        <v>766157.6259406826</v>
      </c>
      <c r="AS8" s="1">
        <v>762084.29912800202</v>
      </c>
      <c r="AT8" s="1">
        <v>766967.904304764</v>
      </c>
      <c r="AU8" s="1">
        <v>772463.55030763755</v>
      </c>
      <c r="AV8" s="1">
        <v>780999.44838580303</v>
      </c>
      <c r="AW8" s="1">
        <v>788675.33540376904</v>
      </c>
      <c r="AX8" s="1">
        <v>801200.08297178592</v>
      </c>
      <c r="AY8" s="1">
        <v>805076.96182495309</v>
      </c>
      <c r="AZ8" s="1">
        <v>797444.44513944723</v>
      </c>
      <c r="BA8" s="1">
        <v>790592.19524762058</v>
      </c>
      <c r="BB8" s="1">
        <v>791453.42110510613</v>
      </c>
      <c r="BC8" s="1">
        <v>788833.31492129632</v>
      </c>
      <c r="BD8" s="1">
        <v>774756.83362874412</v>
      </c>
      <c r="BE8" s="1">
        <v>759122.03562333062</v>
      </c>
      <c r="BF8" s="1">
        <v>742977.59376369126</v>
      </c>
      <c r="BG8" s="1">
        <v>745671.6257823077</v>
      </c>
      <c r="BH8" s="1">
        <v>751362.85860793572</v>
      </c>
      <c r="BI8" s="1">
        <v>727581.63647621428</v>
      </c>
      <c r="BJ8" s="1">
        <v>723640.24759436422</v>
      </c>
      <c r="BK8" s="1">
        <v>717015.18931856658</v>
      </c>
      <c r="BL8" s="1">
        <v>695866.64585034933</v>
      </c>
      <c r="BM8" s="1">
        <v>679186.33453859808</v>
      </c>
      <c r="BN8" s="1">
        <v>683735.96820768749</v>
      </c>
      <c r="BO8" s="1">
        <v>692341.10722032946</v>
      </c>
      <c r="BP8" s="1">
        <v>689189.622703759</v>
      </c>
      <c r="BQ8" s="1">
        <v>686138.56535595155</v>
      </c>
      <c r="BR8" s="1">
        <v>694864.53636488388</v>
      </c>
      <c r="BS8" s="1">
        <v>723734.05064628064</v>
      </c>
      <c r="BT8" s="1">
        <v>712657.0575023276</v>
      </c>
      <c r="BU8" s="1">
        <v>707961.15770660096</v>
      </c>
      <c r="BV8" s="1">
        <v>722687.66061654966</v>
      </c>
      <c r="BW8" s="1">
        <v>721522.19637875597</v>
      </c>
      <c r="BX8" s="1">
        <v>713423.16537853889</v>
      </c>
      <c r="BY8" s="1">
        <v>708593.65969102609</v>
      </c>
      <c r="BZ8" s="1">
        <v>706331.27970533771</v>
      </c>
      <c r="CA8" s="1">
        <v>705254.29723722814</v>
      </c>
      <c r="CB8" s="1">
        <v>695031.09817326628</v>
      </c>
      <c r="CC8" s="1">
        <v>688292.39430133975</v>
      </c>
      <c r="CD8" s="1">
        <v>687367.10882750282</v>
      </c>
      <c r="CE8" s="1">
        <v>700336.9711883195</v>
      </c>
      <c r="CF8" s="1">
        <v>702959.01572777447</v>
      </c>
      <c r="CG8" s="1">
        <v>691622.50311801699</v>
      </c>
      <c r="CH8" s="1">
        <v>696135.28657051316</v>
      </c>
      <c r="CI8" s="1">
        <v>701855.64215938491</v>
      </c>
      <c r="CJ8" s="1">
        <v>688434.1470938666</v>
      </c>
      <c r="CK8" s="1">
        <v>692400.03956234374</v>
      </c>
      <c r="CL8" s="1">
        <v>695184.54771614273</v>
      </c>
      <c r="CM8" s="1">
        <v>687437.70833510626</v>
      </c>
      <c r="CN8" s="1">
        <v>679774.86129719019</v>
      </c>
      <c r="CO8" s="1">
        <v>664138.87648056762</v>
      </c>
      <c r="CP8" s="1">
        <v>660841.41532157781</v>
      </c>
      <c r="CQ8" s="1">
        <v>669504.23825508729</v>
      </c>
      <c r="CR8" s="1">
        <v>654908.70165813842</v>
      </c>
      <c r="CS8" s="1">
        <v>649948.45529864728</v>
      </c>
      <c r="CT8" s="1">
        <v>659067.7533070019</v>
      </c>
      <c r="CU8" s="1">
        <v>653752.38188592182</v>
      </c>
      <c r="CV8" s="1">
        <v>643065.45809623552</v>
      </c>
      <c r="CW8" s="1">
        <v>643982.05632511014</v>
      </c>
      <c r="CX8" s="1">
        <v>632904.76933568064</v>
      </c>
      <c r="CY8" s="1">
        <v>621427.50185703835</v>
      </c>
      <c r="CZ8" s="1">
        <v>625806.10056444001</v>
      </c>
      <c r="DA8" s="1">
        <v>604659.80780746578</v>
      </c>
      <c r="DB8" s="1">
        <v>591670.48242491204</v>
      </c>
      <c r="DC8" s="1">
        <v>615684.28365900938</v>
      </c>
      <c r="DD8" s="1">
        <v>599117.62463699735</v>
      </c>
      <c r="DE8" s="1">
        <v>577509.71352246543</v>
      </c>
      <c r="DF8" s="1">
        <v>573667.32344835042</v>
      </c>
      <c r="DG8" s="1">
        <v>583417.50371366052</v>
      </c>
      <c r="DH8" s="1">
        <v>583132.30535431136</v>
      </c>
      <c r="DI8" s="1">
        <v>599848.42969353171</v>
      </c>
      <c r="DJ8" s="1">
        <v>589377.32157904806</v>
      </c>
      <c r="DK8" s="1">
        <v>581888.98969045014</v>
      </c>
      <c r="DL8" s="1">
        <v>583147.60014249128</v>
      </c>
      <c r="DM8" s="1">
        <v>569781.62889453094</v>
      </c>
      <c r="DN8" s="1">
        <v>572378.06206709729</v>
      </c>
      <c r="DO8" s="1">
        <v>575426.94079381158</v>
      </c>
      <c r="DP8" s="1">
        <v>603568.5002318609</v>
      </c>
      <c r="DQ8" s="1">
        <v>588025.17259979702</v>
      </c>
      <c r="DR8" s="1">
        <v>606341.50836479734</v>
      </c>
      <c r="DS8" s="1">
        <v>617129.32364650047</v>
      </c>
      <c r="DT8" s="1">
        <v>615738.93564395618</v>
      </c>
      <c r="DU8" s="1">
        <v>623023.99255836941</v>
      </c>
      <c r="DV8" s="1">
        <v>620702.58427001303</v>
      </c>
      <c r="DW8" s="1">
        <v>612218.13566681312</v>
      </c>
      <c r="DX8" s="1">
        <v>613824.61322835123</v>
      </c>
      <c r="DY8" s="1">
        <v>604268.92009758344</v>
      </c>
      <c r="DZ8" s="1">
        <v>600508.24217793823</v>
      </c>
      <c r="EA8" s="1">
        <v>620843.67898107099</v>
      </c>
      <c r="EB8" s="1">
        <v>596974.86716459203</v>
      </c>
      <c r="EC8" s="1">
        <v>612575.82496088161</v>
      </c>
      <c r="ED8" s="1">
        <v>625787.10581748025</v>
      </c>
      <c r="EE8" s="1">
        <v>623997.64288839872</v>
      </c>
      <c r="EF8" s="1">
        <v>626702.08503573784</v>
      </c>
      <c r="EG8" s="1">
        <v>651296.00475801469</v>
      </c>
      <c r="EH8" s="1">
        <v>648817.72492711782</v>
      </c>
      <c r="EI8" s="1">
        <v>649215.87143240927</v>
      </c>
      <c r="EJ8" s="1">
        <v>650503.12682329619</v>
      </c>
      <c r="EK8" s="1">
        <v>631409.67563486961</v>
      </c>
      <c r="EL8" s="1">
        <v>624761.22464813804</v>
      </c>
      <c r="EM8" s="1">
        <v>629669.2753184943</v>
      </c>
      <c r="EN8" s="1">
        <v>623188.04727461992</v>
      </c>
      <c r="EO8" s="1">
        <v>639884.95670497476</v>
      </c>
      <c r="EP8" s="1">
        <v>652696.46518414316</v>
      </c>
      <c r="EQ8" s="1">
        <v>654728.86725985212</v>
      </c>
      <c r="ER8" s="1">
        <v>649565.95424198406</v>
      </c>
      <c r="ES8" s="1">
        <v>663843.97955763876</v>
      </c>
      <c r="ET8" s="1">
        <v>651157.56939759082</v>
      </c>
      <c r="EU8" s="1">
        <v>653440.67877519561</v>
      </c>
      <c r="EV8" s="1">
        <v>665178.58108585677</v>
      </c>
      <c r="EW8" s="1">
        <v>659631.75356829283</v>
      </c>
      <c r="EX8" s="1">
        <v>656229.56264109584</v>
      </c>
      <c r="EY8" s="1">
        <v>650823.22057067789</v>
      </c>
      <c r="EZ8" s="1">
        <v>660903.97675999743</v>
      </c>
      <c r="FA8" s="1">
        <v>663396.48422411352</v>
      </c>
      <c r="FB8" s="1">
        <v>672313.41611638619</v>
      </c>
      <c r="FC8" s="1">
        <v>678555.931912011</v>
      </c>
      <c r="FD8" s="1">
        <v>676796.76885578292</v>
      </c>
      <c r="FE8" s="1">
        <v>686947.99989760958</v>
      </c>
      <c r="FF8" s="1">
        <v>672061.3452191439</v>
      </c>
      <c r="FG8" s="1">
        <v>662699.62746024167</v>
      </c>
      <c r="FH8" s="1">
        <v>669500.86947741755</v>
      </c>
      <c r="FI8" s="1">
        <v>664349.49620897928</v>
      </c>
      <c r="FJ8" s="1">
        <v>666141.9307375002</v>
      </c>
      <c r="FK8" s="1">
        <v>669732.20085732662</v>
      </c>
      <c r="FL8" s="1">
        <v>675954.65827731066</v>
      </c>
      <c r="FM8" s="1">
        <v>700798.71799425012</v>
      </c>
      <c r="FN8" s="1">
        <v>712928.15911990788</v>
      </c>
      <c r="FO8" s="1">
        <v>710019.06085896981</v>
      </c>
      <c r="FP8" s="1">
        <v>698149.34337083157</v>
      </c>
      <c r="FQ8" s="1">
        <v>708503.37043136917</v>
      </c>
      <c r="FR8" s="1">
        <v>690806.98048623721</v>
      </c>
      <c r="FS8" s="1">
        <v>685787.42119160411</v>
      </c>
      <c r="FT8" s="1">
        <v>688467.08101556415</v>
      </c>
      <c r="FU8" s="1">
        <v>691797.96829036355</v>
      </c>
      <c r="FV8" s="1">
        <v>690706.52148139523</v>
      </c>
      <c r="FW8" s="1">
        <v>678417.58772658906</v>
      </c>
      <c r="FX8" s="1">
        <v>697298.24801517895</v>
      </c>
      <c r="FY8" s="1">
        <v>706025.72177544713</v>
      </c>
      <c r="FZ8" s="1">
        <v>729951.02182236419</v>
      </c>
      <c r="GA8" s="1">
        <v>740491.03613327025</v>
      </c>
      <c r="GB8" s="1">
        <v>729914.46312797454</v>
      </c>
      <c r="GC8" s="1">
        <v>739104.02492674068</v>
      </c>
      <c r="GD8" s="1">
        <v>726503.95346665406</v>
      </c>
      <c r="GE8" s="1">
        <v>714057.83061462839</v>
      </c>
      <c r="GF8" s="1">
        <v>713848.0870925982</v>
      </c>
      <c r="GG8" s="1">
        <v>707443.06240299286</v>
      </c>
      <c r="GH8" s="1">
        <v>700916.99162939878</v>
      </c>
      <c r="GI8" s="1">
        <v>697879.59941644827</v>
      </c>
      <c r="GJ8" s="1">
        <v>698510.40092793759</v>
      </c>
      <c r="GK8" s="1">
        <v>712615.9387991376</v>
      </c>
      <c r="GL8" s="1">
        <v>724540.05685761501</v>
      </c>
      <c r="GM8" s="1">
        <v>722635.67408187431</v>
      </c>
      <c r="GN8" s="1">
        <v>722368.22794545116</v>
      </c>
      <c r="GO8" s="1">
        <v>714140.30787857412</v>
      </c>
      <c r="GP8" s="1">
        <v>685523.71489220648</v>
      </c>
      <c r="GQ8" s="1">
        <v>675153.48280347313</v>
      </c>
      <c r="GR8" s="1">
        <v>686853.23275336041</v>
      </c>
      <c r="GS8" s="1">
        <v>687280.8808489081</v>
      </c>
      <c r="GT8" s="1">
        <v>696335.97589213122</v>
      </c>
      <c r="GU8" s="1">
        <v>703082.70324219926</v>
      </c>
      <c r="GV8" s="1">
        <v>696705.18632261269</v>
      </c>
      <c r="GW8" s="1">
        <v>711225.34420854913</v>
      </c>
      <c r="GX8" s="1">
        <v>719830.56144384062</v>
      </c>
      <c r="GY8" s="1">
        <v>717653.88824687991</v>
      </c>
      <c r="GZ8" s="1">
        <v>714643.579542625</v>
      </c>
      <c r="HA8" s="1" t="str">
        <f t="shared" si="1"/>
        <v/>
      </c>
      <c r="HB8" s="1" t="str">
        <f t="shared" si="1"/>
        <v/>
      </c>
      <c r="HC8" s="1" t="str">
        <f t="shared" si="1"/>
        <v/>
      </c>
      <c r="HD8" s="1" t="str">
        <f t="shared" si="1"/>
        <v/>
      </c>
      <c r="HE8" s="1" t="str">
        <f t="shared" si="1"/>
        <v/>
      </c>
      <c r="HF8" s="1" t="str">
        <f t="shared" si="1"/>
        <v/>
      </c>
      <c r="HG8" s="1" t="str">
        <f t="shared" si="1"/>
        <v/>
      </c>
      <c r="HH8" s="1" t="str">
        <f t="shared" si="1"/>
        <v/>
      </c>
      <c r="HI8" s="1" t="str">
        <f t="shared" si="1"/>
        <v/>
      </c>
      <c r="HJ8" s="1" t="str">
        <f t="shared" si="1"/>
        <v/>
      </c>
      <c r="HK8" s="1" t="str">
        <f t="shared" si="1"/>
        <v/>
      </c>
      <c r="HL8" s="1" t="str">
        <f t="shared" si="1"/>
        <v/>
      </c>
      <c r="HM8" s="1" t="str">
        <f t="shared" si="1"/>
        <v/>
      </c>
      <c r="HN8" s="1" t="str">
        <f t="shared" si="1"/>
        <v/>
      </c>
      <c r="HO8" s="1" t="str">
        <f t="shared" si="1"/>
        <v/>
      </c>
      <c r="HP8" s="1" t="str">
        <f t="shared" si="1"/>
        <v/>
      </c>
      <c r="HQ8" s="1" t="str">
        <f t="shared" si="1"/>
        <v/>
      </c>
      <c r="HR8" s="1" t="str">
        <f t="shared" si="1"/>
        <v/>
      </c>
      <c r="HS8" s="1" t="str">
        <f t="shared" si="1"/>
        <v/>
      </c>
      <c r="HT8" s="1" t="str">
        <f t="shared" si="1"/>
        <v/>
      </c>
      <c r="HU8" s="1" t="str">
        <f t="shared" si="1"/>
        <v/>
      </c>
      <c r="HV8" s="1" t="str">
        <f t="shared" si="1"/>
        <v/>
      </c>
      <c r="HW8" s="1" t="str">
        <f t="shared" si="1"/>
        <v/>
      </c>
      <c r="HX8" s="1" t="str">
        <f t="shared" si="1"/>
        <v/>
      </c>
      <c r="HY8" s="1" t="str">
        <f t="shared" si="1"/>
        <v/>
      </c>
      <c r="HZ8" s="1" t="str">
        <f t="shared" si="1"/>
        <v/>
      </c>
      <c r="IA8" s="1" t="str">
        <f t="shared" si="1"/>
        <v/>
      </c>
      <c r="IB8" s="1" t="str">
        <f t="shared" si="1"/>
        <v/>
      </c>
      <c r="IC8" s="1" t="str">
        <f t="shared" si="1"/>
        <v/>
      </c>
      <c r="ID8" s="1" t="str">
        <f t="shared" si="1"/>
        <v/>
      </c>
      <c r="IE8" s="1" t="str">
        <f t="shared" si="1"/>
        <v/>
      </c>
      <c r="IF8" s="1" t="str">
        <f t="shared" si="1"/>
        <v/>
      </c>
      <c r="IG8" s="1" t="str">
        <f t="shared" si="1"/>
        <v/>
      </c>
      <c r="IH8" s="1" t="str">
        <f t="shared" si="1"/>
        <v/>
      </c>
      <c r="II8" s="1" t="str">
        <f t="shared" si="1"/>
        <v/>
      </c>
      <c r="IJ8" s="1" t="str">
        <f t="shared" si="1"/>
        <v/>
      </c>
      <c r="IK8" s="1" t="str">
        <f t="shared" si="1"/>
        <v/>
      </c>
      <c r="IL8" s="1" t="str">
        <f t="shared" si="1"/>
        <v/>
      </c>
      <c r="IM8" s="1" t="str">
        <f t="shared" si="1"/>
        <v/>
      </c>
      <c r="IN8" s="1" t="str">
        <f t="shared" si="1"/>
        <v/>
      </c>
      <c r="IO8" s="1" t="str">
        <f t="shared" si="1"/>
        <v/>
      </c>
      <c r="IP8" s="1" t="str">
        <f t="shared" si="1"/>
        <v/>
      </c>
      <c r="IQ8" s="1" t="str">
        <f t="shared" si="1"/>
        <v/>
      </c>
      <c r="IR8" s="1" t="str">
        <f t="shared" si="1"/>
        <v/>
      </c>
      <c r="IS8" s="1" t="str">
        <f t="shared" si="1"/>
        <v/>
      </c>
      <c r="IT8" s="1" t="str">
        <f t="shared" si="1"/>
        <v/>
      </c>
      <c r="IU8" s="1" t="str">
        <f t="shared" si="1"/>
        <v/>
      </c>
      <c r="IV8" s="1" t="str">
        <f t="shared" si="1"/>
        <v/>
      </c>
      <c r="IW8" s="1" t="str">
        <f t="shared" si="1"/>
        <v/>
      </c>
      <c r="IX8" s="1" t="str">
        <f t="shared" si="1"/>
        <v/>
      </c>
      <c r="IY8" s="1" t="str">
        <f t="shared" si="1"/>
        <v/>
      </c>
      <c r="IZ8" s="1" t="str">
        <f t="shared" si="1"/>
        <v/>
      </c>
      <c r="JA8" s="1" t="str">
        <f t="shared" si="1"/>
        <v/>
      </c>
      <c r="JB8" s="1" t="str">
        <f t="shared" si="1"/>
        <v/>
      </c>
      <c r="JC8" s="1" t="str">
        <f t="shared" si="1"/>
        <v/>
      </c>
      <c r="JD8" s="1" t="str">
        <f t="shared" si="1"/>
        <v/>
      </c>
      <c r="JE8" s="1" t="str">
        <f t="shared" si="1"/>
        <v/>
      </c>
      <c r="JF8" s="1" t="str">
        <f t="shared" si="1"/>
        <v/>
      </c>
      <c r="JG8" s="1" t="str">
        <f t="shared" si="1"/>
        <v/>
      </c>
      <c r="JH8" s="1" t="str">
        <f t="shared" si="1"/>
        <v/>
      </c>
      <c r="LY8" s="1"/>
    </row>
    <row r="9" spans="1:337" x14ac:dyDescent="0.25">
      <c r="A9" s="4">
        <v>7</v>
      </c>
      <c r="B9" s="1">
        <v>633777.34968471539</v>
      </c>
      <c r="C9" s="1">
        <v>628046.50932070217</v>
      </c>
      <c r="D9" s="1">
        <v>629528.79747016157</v>
      </c>
      <c r="E9" s="1">
        <v>632571.3340260674</v>
      </c>
      <c r="F9" s="1">
        <v>637126.56939428276</v>
      </c>
      <c r="G9" s="1">
        <v>620703.66462320066</v>
      </c>
      <c r="H9" s="1">
        <v>626659.45381127764</v>
      </c>
      <c r="I9" s="1">
        <v>637690.2428848868</v>
      </c>
      <c r="J9" s="1">
        <v>646923.89480840822</v>
      </c>
      <c r="K9" s="1">
        <v>649142.24243451306</v>
      </c>
      <c r="L9" s="1">
        <v>655556.48646098631</v>
      </c>
      <c r="M9" s="1">
        <v>662179.92245181347</v>
      </c>
      <c r="N9" s="1">
        <v>677072.69978222181</v>
      </c>
      <c r="O9" s="1">
        <v>669471.0948021037</v>
      </c>
      <c r="P9" s="1">
        <v>668162.79973957012</v>
      </c>
      <c r="Q9" s="1">
        <v>670610.71791150235</v>
      </c>
      <c r="R9" s="1">
        <v>676494.44062571984</v>
      </c>
      <c r="S9" s="1">
        <v>670627.11076945998</v>
      </c>
      <c r="T9" s="1">
        <v>677385.85407095216</v>
      </c>
      <c r="U9" s="1">
        <v>693035.93722742645</v>
      </c>
      <c r="V9" s="1">
        <v>697428.77338282135</v>
      </c>
      <c r="W9" s="1">
        <v>700029.44048026716</v>
      </c>
      <c r="X9" s="1">
        <v>711420.90918560873</v>
      </c>
      <c r="Y9" s="1">
        <v>727597.59575988213</v>
      </c>
      <c r="Z9" s="1">
        <v>744024.54641551781</v>
      </c>
      <c r="AA9" s="1">
        <v>741292.12557527516</v>
      </c>
      <c r="AB9" s="1">
        <v>736751.18320922926</v>
      </c>
      <c r="AC9" s="1">
        <v>744998.46924319956</v>
      </c>
      <c r="AD9" s="1">
        <v>742495.926444093</v>
      </c>
      <c r="AE9" s="1">
        <v>738873.61237826466</v>
      </c>
      <c r="AF9" s="1">
        <v>725618.04035007581</v>
      </c>
      <c r="AG9" s="1">
        <v>727097.58077976434</v>
      </c>
      <c r="AH9" s="1">
        <v>729579.7266517824</v>
      </c>
      <c r="AI9" s="1">
        <v>733194.64710196783</v>
      </c>
      <c r="AJ9" s="1">
        <v>741779.12746565125</v>
      </c>
      <c r="AK9" s="1">
        <v>753005.06921927142</v>
      </c>
      <c r="AL9" s="1">
        <v>766521.99492548243</v>
      </c>
      <c r="AM9" s="1">
        <v>764669.1774688072</v>
      </c>
      <c r="AN9" s="1">
        <v>765549.60433810181</v>
      </c>
      <c r="AO9" s="1">
        <v>771487.93065783987</v>
      </c>
      <c r="AP9" s="1">
        <v>775752.65740463021</v>
      </c>
      <c r="AQ9" s="1">
        <v>770364.89182304416</v>
      </c>
      <c r="AR9" s="1">
        <v>763767.40761491214</v>
      </c>
      <c r="AS9" s="1">
        <v>769143.23239762697</v>
      </c>
      <c r="AT9" s="1">
        <v>772651.19914880372</v>
      </c>
      <c r="AU9" s="1">
        <v>776904.16599826841</v>
      </c>
      <c r="AV9" s="1">
        <v>788948.42477749218</v>
      </c>
      <c r="AW9" s="1">
        <v>798199.29918623064</v>
      </c>
      <c r="AX9" s="1">
        <v>810435.99549405847</v>
      </c>
      <c r="AY9" s="1">
        <v>802141.6847501765</v>
      </c>
      <c r="AZ9" s="1">
        <v>796696.25816812622</v>
      </c>
      <c r="BA9" s="1">
        <v>794658.45782966958</v>
      </c>
      <c r="BB9" s="1">
        <v>794396.90935015574</v>
      </c>
      <c r="BC9" s="1">
        <v>783806.6443447686</v>
      </c>
      <c r="BD9" s="1">
        <v>769908.618357528</v>
      </c>
      <c r="BE9" s="1">
        <v>762623.34799624258</v>
      </c>
      <c r="BF9" s="1">
        <v>744116.32952115801</v>
      </c>
      <c r="BG9" s="1">
        <v>745878.46113637381</v>
      </c>
      <c r="BH9" s="1">
        <v>754575.49197745253</v>
      </c>
      <c r="BI9" s="1">
        <v>730822.30196357588</v>
      </c>
      <c r="BJ9" s="1">
        <v>725345.24941042613</v>
      </c>
      <c r="BK9" s="1">
        <v>707303.46978600556</v>
      </c>
      <c r="BL9" s="1">
        <v>686858.36217491748</v>
      </c>
      <c r="BM9" s="1">
        <v>672945.95072804322</v>
      </c>
      <c r="BN9" s="1">
        <v>676130.41369992169</v>
      </c>
      <c r="BO9" s="1">
        <v>679868.50976693933</v>
      </c>
      <c r="BP9" s="1">
        <v>681777.48295957665</v>
      </c>
      <c r="BQ9" s="1">
        <v>687286.30275590951</v>
      </c>
      <c r="BR9" s="1">
        <v>693714.24027506635</v>
      </c>
      <c r="BS9" s="1">
        <v>724839.09061141254</v>
      </c>
      <c r="BT9" s="1">
        <v>720121.62619522808</v>
      </c>
      <c r="BU9" s="1">
        <v>712458.38419469027</v>
      </c>
      <c r="BV9" s="1">
        <v>729806.08903403883</v>
      </c>
      <c r="BW9" s="1">
        <v>717089.88379144366</v>
      </c>
      <c r="BX9" s="1">
        <v>711114.59608751338</v>
      </c>
      <c r="BY9" s="1">
        <v>711126.06457230658</v>
      </c>
      <c r="BZ9" s="1">
        <v>702131.66101267748</v>
      </c>
      <c r="CA9" s="1">
        <v>698415.81098791631</v>
      </c>
      <c r="CB9" s="1">
        <v>685262.01044831658</v>
      </c>
      <c r="CC9" s="1">
        <v>688707.27312615165</v>
      </c>
      <c r="CD9" s="1">
        <v>685932.04135980294</v>
      </c>
      <c r="CE9" s="1">
        <v>700784.91844615818</v>
      </c>
      <c r="CF9" s="1">
        <v>707823.93376353127</v>
      </c>
      <c r="CG9" s="1">
        <v>694100.31392482691</v>
      </c>
      <c r="CH9" s="1">
        <v>701940.53207366529</v>
      </c>
      <c r="CI9" s="1">
        <v>698413.80188265501</v>
      </c>
      <c r="CJ9" s="1">
        <v>689100.28552786447</v>
      </c>
      <c r="CK9" s="1">
        <v>693168.08339831955</v>
      </c>
      <c r="CL9" s="1">
        <v>688623.80927440978</v>
      </c>
      <c r="CM9" s="1">
        <v>683491.41334104131</v>
      </c>
      <c r="CN9" s="1">
        <v>669384.79503696156</v>
      </c>
      <c r="CO9" s="1">
        <v>660667.57780923857</v>
      </c>
      <c r="CP9" s="1">
        <v>659142.66045972169</v>
      </c>
      <c r="CQ9" s="1">
        <v>669759.35036933818</v>
      </c>
      <c r="CR9" s="1">
        <v>657681.88657871727</v>
      </c>
      <c r="CS9" s="1">
        <v>652074.37503168522</v>
      </c>
      <c r="CT9" s="1">
        <v>661444.37118759903</v>
      </c>
      <c r="CU9" s="1">
        <v>648853.29521218163</v>
      </c>
      <c r="CV9" s="1">
        <v>645869.78626979119</v>
      </c>
      <c r="CW9" s="1">
        <v>638370.3886417977</v>
      </c>
      <c r="CX9" s="1">
        <v>622671.9859943944</v>
      </c>
      <c r="CY9" s="1">
        <v>617566.52857823193</v>
      </c>
      <c r="CZ9" s="1">
        <v>615596.83102539531</v>
      </c>
      <c r="DA9" s="1">
        <v>600140.30898938584</v>
      </c>
      <c r="DB9" s="1">
        <v>587426.84258021251</v>
      </c>
      <c r="DC9" s="1">
        <v>613945.2503897706</v>
      </c>
      <c r="DD9" s="1">
        <v>601845.99604407814</v>
      </c>
      <c r="DE9" s="1">
        <v>579140.45606777119</v>
      </c>
      <c r="DF9" s="1">
        <v>573683.32971122838</v>
      </c>
      <c r="DG9" s="1">
        <v>575048.76507944905</v>
      </c>
      <c r="DH9" s="1">
        <v>594862.41929439967</v>
      </c>
      <c r="DI9" s="1">
        <v>585513.96464232029</v>
      </c>
      <c r="DJ9" s="1">
        <v>578527.31156605401</v>
      </c>
      <c r="DK9" s="1">
        <v>578233.96872836072</v>
      </c>
      <c r="DL9" s="1">
        <v>572906.56291910075</v>
      </c>
      <c r="DM9" s="1">
        <v>568405.88140633365</v>
      </c>
      <c r="DN9" s="1">
        <v>572839.64250282478</v>
      </c>
      <c r="DO9" s="1">
        <v>575138.90005507949</v>
      </c>
      <c r="DP9" s="1">
        <v>609769.91966267233</v>
      </c>
      <c r="DQ9" s="1">
        <v>592997.34685925138</v>
      </c>
      <c r="DR9" s="1">
        <v>610777.29103807709</v>
      </c>
      <c r="DS9" s="1">
        <v>614668.12630563136</v>
      </c>
      <c r="DT9" s="1">
        <v>625433.11165551539</v>
      </c>
      <c r="DU9" s="1">
        <v>619457.21438540262</v>
      </c>
      <c r="DV9" s="1">
        <v>610486.09217372432</v>
      </c>
      <c r="DW9" s="1">
        <v>609198.2120611571</v>
      </c>
      <c r="DX9" s="1">
        <v>607706.47714461689</v>
      </c>
      <c r="DY9" s="1">
        <v>603523.55324165546</v>
      </c>
      <c r="DZ9" s="1">
        <v>600819.68090400961</v>
      </c>
      <c r="EA9" s="1">
        <v>624613.68151722802</v>
      </c>
      <c r="EB9" s="1">
        <v>603274.36588095129</v>
      </c>
      <c r="EC9" s="1">
        <v>620354.91045589885</v>
      </c>
      <c r="ED9" s="1">
        <v>629360.19877551449</v>
      </c>
      <c r="EE9" s="1">
        <v>620406.80078198831</v>
      </c>
      <c r="EF9" s="1">
        <v>644125.28847913863</v>
      </c>
      <c r="EG9" s="1">
        <v>640448.69900339597</v>
      </c>
      <c r="EH9" s="1">
        <v>641201.24056579662</v>
      </c>
      <c r="EI9" s="1">
        <v>650728.09249873273</v>
      </c>
      <c r="EJ9" s="1">
        <v>645478.21914509335</v>
      </c>
      <c r="EK9" s="1">
        <v>633129.46256406815</v>
      </c>
      <c r="EL9" s="1">
        <v>626810.53754793038</v>
      </c>
      <c r="EM9" s="1">
        <v>633799.92068778828</v>
      </c>
      <c r="EN9" s="1">
        <v>629722.49747913959</v>
      </c>
      <c r="EO9" s="1">
        <v>647443.57626914256</v>
      </c>
      <c r="EP9" s="1">
        <v>654492.02651942847</v>
      </c>
      <c r="EQ9" s="1">
        <v>652359.111055266</v>
      </c>
      <c r="ER9" s="1">
        <v>665486.49699919717</v>
      </c>
      <c r="ES9" s="1">
        <v>648614.94043118064</v>
      </c>
      <c r="ET9" s="1">
        <v>647443.05204776558</v>
      </c>
      <c r="EU9" s="1">
        <v>654580.98947215453</v>
      </c>
      <c r="EV9" s="1">
        <v>658026.90970722679</v>
      </c>
      <c r="EW9" s="1">
        <v>662536.34682375309</v>
      </c>
      <c r="EX9" s="1">
        <v>659722.90713194106</v>
      </c>
      <c r="EY9" s="1">
        <v>655257.10157597973</v>
      </c>
      <c r="EZ9" s="1">
        <v>670489.30818856088</v>
      </c>
      <c r="FA9" s="1">
        <v>672924.76342508523</v>
      </c>
      <c r="FB9" s="1">
        <v>675807.42922501126</v>
      </c>
      <c r="FC9" s="1">
        <v>676580.22301234829</v>
      </c>
      <c r="FD9" s="1">
        <v>688396.90382640064</v>
      </c>
      <c r="FE9" s="1">
        <v>675183.99125240999</v>
      </c>
      <c r="FF9" s="1">
        <v>664885.97926588636</v>
      </c>
      <c r="FG9" s="1">
        <v>663344.77362283855</v>
      </c>
      <c r="FH9" s="1">
        <v>664094.57259636978</v>
      </c>
      <c r="FI9" s="1">
        <v>664216.44727764372</v>
      </c>
      <c r="FJ9" s="1">
        <v>668218.03506626864</v>
      </c>
      <c r="FK9" s="1">
        <v>674283.34615011839</v>
      </c>
      <c r="FL9" s="1">
        <v>686027.48590538348</v>
      </c>
      <c r="FM9" s="1">
        <v>713507.11000196193</v>
      </c>
      <c r="FN9" s="1">
        <v>716193.22131616506</v>
      </c>
      <c r="FO9" s="1">
        <v>705986.160317217</v>
      </c>
      <c r="FP9" s="1">
        <v>714294.17947562155</v>
      </c>
      <c r="FQ9" s="1">
        <v>697284.95503418241</v>
      </c>
      <c r="FR9" s="1">
        <v>686183.84992762934</v>
      </c>
      <c r="FS9" s="1">
        <v>684950.39353634405</v>
      </c>
      <c r="FT9" s="1">
        <v>681011.77946819691</v>
      </c>
      <c r="FU9" s="1">
        <v>691587.0218347162</v>
      </c>
      <c r="FV9" s="1">
        <v>691535.71315111825</v>
      </c>
      <c r="FW9" s="1">
        <v>680121.93817953777</v>
      </c>
      <c r="FX9" s="1">
        <v>708137.78584185266</v>
      </c>
      <c r="FY9" s="1">
        <v>718140.99831039621</v>
      </c>
      <c r="FZ9" s="1">
        <v>736328.56327257177</v>
      </c>
      <c r="GA9" s="1">
        <v>735979.75096298801</v>
      </c>
      <c r="GB9" s="1">
        <v>744771.86901919567</v>
      </c>
      <c r="GC9" s="1">
        <v>732511.59879179555</v>
      </c>
      <c r="GD9" s="1">
        <v>720470.51630586234</v>
      </c>
      <c r="GE9" s="1">
        <v>713680.5312180802</v>
      </c>
      <c r="GF9" s="1">
        <v>708190.42201586138</v>
      </c>
      <c r="GG9" s="1">
        <v>704720.77986151143</v>
      </c>
      <c r="GH9" s="1">
        <v>700383.4701225356</v>
      </c>
      <c r="GI9" s="1">
        <v>699519.50300247874</v>
      </c>
      <c r="GJ9" s="1">
        <v>704755.65581365325</v>
      </c>
      <c r="GK9" s="1">
        <v>724290.24857198133</v>
      </c>
      <c r="GL9" s="1">
        <v>728922.51290023723</v>
      </c>
      <c r="GM9" s="1">
        <v>718364.37248242332</v>
      </c>
      <c r="GN9" s="1">
        <v>728708.37688673311</v>
      </c>
      <c r="GO9" s="1">
        <v>708811.06249637506</v>
      </c>
      <c r="GP9" s="1">
        <v>679305.45745756093</v>
      </c>
      <c r="GQ9" s="1">
        <v>672718.87768242275</v>
      </c>
      <c r="GR9" s="1">
        <v>678890.15014596866</v>
      </c>
      <c r="GS9" s="1">
        <v>684857.80893702351</v>
      </c>
      <c r="GT9" s="1">
        <v>692753.16017264454</v>
      </c>
      <c r="GU9" s="1">
        <v>698296.56230422237</v>
      </c>
      <c r="GV9" s="1">
        <v>705935.17615747417</v>
      </c>
      <c r="GW9" s="1">
        <v>721901.74277265067</v>
      </c>
      <c r="GX9" s="1">
        <v>725113.53367888473</v>
      </c>
      <c r="GY9" s="1">
        <v>716744.11135728192</v>
      </c>
      <c r="GZ9" s="1">
        <v>726168.62791049399</v>
      </c>
      <c r="HA9" s="1" t="str">
        <f t="shared" si="1"/>
        <v/>
      </c>
      <c r="HB9" s="1" t="str">
        <f t="shared" si="1"/>
        <v/>
      </c>
      <c r="HC9" s="1" t="str">
        <f t="shared" si="1"/>
        <v/>
      </c>
      <c r="HD9" s="1" t="str">
        <f t="shared" si="1"/>
        <v/>
      </c>
      <c r="HE9" s="1" t="str">
        <f t="shared" si="1"/>
        <v/>
      </c>
      <c r="HF9" s="1" t="str">
        <f t="shared" si="1"/>
        <v/>
      </c>
      <c r="HG9" s="1" t="str">
        <f t="shared" si="1"/>
        <v/>
      </c>
      <c r="HH9" s="1" t="str">
        <f t="shared" si="1"/>
        <v/>
      </c>
      <c r="HI9" s="1" t="str">
        <f t="shared" si="1"/>
        <v/>
      </c>
      <c r="HJ9" s="1" t="str">
        <f t="shared" si="1"/>
        <v/>
      </c>
      <c r="HK9" s="1" t="str">
        <f t="shared" si="1"/>
        <v/>
      </c>
      <c r="HL9" s="1" t="str">
        <f t="shared" si="1"/>
        <v/>
      </c>
      <c r="HM9" s="1" t="str">
        <f t="shared" si="1"/>
        <v/>
      </c>
      <c r="HN9" s="1" t="str">
        <f t="shared" si="1"/>
        <v/>
      </c>
      <c r="HO9" s="1" t="str">
        <f t="shared" si="1"/>
        <v/>
      </c>
      <c r="HP9" s="1" t="str">
        <f t="shared" si="1"/>
        <v/>
      </c>
      <c r="HQ9" s="1" t="str">
        <f t="shared" si="1"/>
        <v/>
      </c>
      <c r="HR9" s="1" t="str">
        <f t="shared" si="1"/>
        <v/>
      </c>
      <c r="HS9" s="1" t="str">
        <f t="shared" si="1"/>
        <v/>
      </c>
      <c r="HT9" s="1" t="str">
        <f t="shared" si="1"/>
        <v/>
      </c>
      <c r="HU9" s="1" t="str">
        <f t="shared" si="1"/>
        <v/>
      </c>
      <c r="HV9" s="1" t="str">
        <f t="shared" si="1"/>
        <v/>
      </c>
      <c r="HW9" s="1" t="str">
        <f t="shared" si="1"/>
        <v/>
      </c>
      <c r="HX9" s="1" t="str">
        <f t="shared" si="1"/>
        <v/>
      </c>
      <c r="HY9" s="1" t="str">
        <f t="shared" si="1"/>
        <v/>
      </c>
      <c r="HZ9" s="1" t="str">
        <f t="shared" si="1"/>
        <v/>
      </c>
      <c r="IA9" s="1" t="str">
        <f t="shared" si="1"/>
        <v/>
      </c>
      <c r="IB9" s="1" t="str">
        <f t="shared" si="1"/>
        <v/>
      </c>
      <c r="IC9" s="1" t="str">
        <f t="shared" si="1"/>
        <v/>
      </c>
      <c r="ID9" s="1" t="str">
        <f t="shared" si="1"/>
        <v/>
      </c>
      <c r="IE9" s="1" t="str">
        <f t="shared" si="1"/>
        <v/>
      </c>
      <c r="IF9" s="1" t="str">
        <f t="shared" si="1"/>
        <v/>
      </c>
      <c r="IG9" s="1" t="str">
        <f t="shared" si="1"/>
        <v/>
      </c>
      <c r="IH9" s="1" t="str">
        <f t="shared" si="1"/>
        <v/>
      </c>
      <c r="II9" s="1" t="str">
        <f t="shared" si="1"/>
        <v/>
      </c>
      <c r="IJ9" s="1" t="str">
        <f t="shared" si="1"/>
        <v/>
      </c>
      <c r="IK9" s="1" t="str">
        <f t="shared" si="1"/>
        <v/>
      </c>
      <c r="IL9" s="1" t="str">
        <f t="shared" si="1"/>
        <v/>
      </c>
      <c r="IM9" s="1" t="str">
        <f t="shared" si="1"/>
        <v/>
      </c>
      <c r="IN9" s="1" t="str">
        <f t="shared" si="1"/>
        <v/>
      </c>
      <c r="IO9" s="1" t="str">
        <f t="shared" si="1"/>
        <v/>
      </c>
      <c r="IP9" s="1" t="str">
        <f t="shared" si="1"/>
        <v/>
      </c>
      <c r="IQ9" s="1" t="str">
        <f t="shared" si="1"/>
        <v/>
      </c>
      <c r="IR9" s="1" t="str">
        <f t="shared" si="1"/>
        <v/>
      </c>
      <c r="IS9" s="1" t="str">
        <f t="shared" si="1"/>
        <v/>
      </c>
      <c r="IT9" s="1" t="str">
        <f t="shared" si="1"/>
        <v/>
      </c>
      <c r="IU9" s="1" t="str">
        <f t="shared" si="1"/>
        <v/>
      </c>
      <c r="IV9" s="1" t="str">
        <f t="shared" si="1"/>
        <v/>
      </c>
      <c r="IW9" s="1" t="str">
        <f t="shared" si="1"/>
        <v/>
      </c>
      <c r="IX9" s="1" t="str">
        <f t="shared" si="1"/>
        <v/>
      </c>
      <c r="IY9" s="1" t="str">
        <f t="shared" si="1"/>
        <v/>
      </c>
      <c r="IZ9" s="1" t="str">
        <f t="shared" si="1"/>
        <v/>
      </c>
      <c r="JA9" s="1" t="str">
        <f t="shared" si="1"/>
        <v/>
      </c>
      <c r="JB9" s="1" t="str">
        <f t="shared" si="1"/>
        <v/>
      </c>
      <c r="JC9" s="1" t="str">
        <f t="shared" si="1"/>
        <v/>
      </c>
      <c r="JD9" s="1" t="str">
        <f t="shared" si="1"/>
        <v/>
      </c>
      <c r="JE9" s="1" t="str">
        <f t="shared" si="1"/>
        <v/>
      </c>
      <c r="JF9" s="1" t="str">
        <f t="shared" si="1"/>
        <v/>
      </c>
      <c r="JG9" s="1" t="str">
        <f t="shared" si="1"/>
        <v/>
      </c>
      <c r="JH9" s="1" t="str">
        <f t="shared" si="1"/>
        <v/>
      </c>
      <c r="LY9" s="1"/>
    </row>
    <row r="10" spans="1:337" x14ac:dyDescent="0.25">
      <c r="A10" s="4">
        <v>8</v>
      </c>
      <c r="B10" s="1">
        <v>628380.03563365131</v>
      </c>
      <c r="C10" s="1">
        <v>629049.35203577729</v>
      </c>
      <c r="D10" s="1">
        <v>632000.19107225758</v>
      </c>
      <c r="E10" s="1">
        <v>637256.34125023056</v>
      </c>
      <c r="F10" s="1">
        <v>620668.68141538324</v>
      </c>
      <c r="G10" s="1">
        <v>625424.86399673624</v>
      </c>
      <c r="H10" s="1">
        <v>634312.13261896488</v>
      </c>
      <c r="I10" s="1">
        <v>640773.07332973403</v>
      </c>
      <c r="J10" s="1">
        <v>649913.23942840239</v>
      </c>
      <c r="K10" s="1">
        <v>656653.11799448763</v>
      </c>
      <c r="L10" s="1">
        <v>664238.70280392666</v>
      </c>
      <c r="M10" s="1">
        <v>673871.05134086707</v>
      </c>
      <c r="N10" s="1">
        <v>673903.17016946268</v>
      </c>
      <c r="O10" s="1">
        <v>668931.37729542726</v>
      </c>
      <c r="P10" s="1">
        <v>671083.74278427451</v>
      </c>
      <c r="Q10" s="1">
        <v>673943.57547571394</v>
      </c>
      <c r="R10" s="1">
        <v>666866.50150779984</v>
      </c>
      <c r="S10" s="1">
        <v>671479.33186726552</v>
      </c>
      <c r="T10" s="1">
        <v>684223.58524301311</v>
      </c>
      <c r="U10" s="1">
        <v>698059.16892799316</v>
      </c>
      <c r="V10" s="1">
        <v>704482.24201966333</v>
      </c>
      <c r="W10" s="1">
        <v>711491.39007140696</v>
      </c>
      <c r="X10" s="1">
        <v>724886.18241750461</v>
      </c>
      <c r="Y10" s="1">
        <v>740284.29538840172</v>
      </c>
      <c r="Z10" s="1">
        <v>743088.03298321227</v>
      </c>
      <c r="AA10" s="1">
        <v>738073.25665318512</v>
      </c>
      <c r="AB10" s="1">
        <v>741180.51986051002</v>
      </c>
      <c r="AC10" s="1">
        <v>748973.95290727122</v>
      </c>
      <c r="AD10" s="1">
        <v>738250.71516893094</v>
      </c>
      <c r="AE10" s="1">
        <v>732439.36466923787</v>
      </c>
      <c r="AF10" s="1">
        <v>732879.31820366171</v>
      </c>
      <c r="AG10" s="1">
        <v>731935.00819026376</v>
      </c>
      <c r="AH10" s="1">
        <v>734472.05835211964</v>
      </c>
      <c r="AI10" s="1">
        <v>741230.88713197794</v>
      </c>
      <c r="AJ10" s="1">
        <v>751068.99655293394</v>
      </c>
      <c r="AK10" s="1">
        <v>762015.57471028622</v>
      </c>
      <c r="AL10" s="1">
        <v>764636.4689081877</v>
      </c>
      <c r="AM10" s="1">
        <v>763789.77239300008</v>
      </c>
      <c r="AN10" s="1">
        <v>769830.21638060955</v>
      </c>
      <c r="AO10" s="1">
        <v>775752.85032880062</v>
      </c>
      <c r="AP10" s="1">
        <v>769512.34119299974</v>
      </c>
      <c r="AQ10" s="1">
        <v>767591.29031259171</v>
      </c>
      <c r="AR10" s="1">
        <v>770052.86511952127</v>
      </c>
      <c r="AS10" s="1">
        <v>774538.89893723978</v>
      </c>
      <c r="AT10" s="1">
        <v>777014.14101589017</v>
      </c>
      <c r="AU10" s="1">
        <v>785207.51218674169</v>
      </c>
      <c r="AV10" s="1">
        <v>798080.310198477</v>
      </c>
      <c r="AW10" s="1">
        <v>806681.06783358485</v>
      </c>
      <c r="AX10" s="1">
        <v>807875.22622926033</v>
      </c>
      <c r="AY10" s="1">
        <v>801026.54822147638</v>
      </c>
      <c r="AZ10" s="1">
        <v>802281.65063714096</v>
      </c>
      <c r="BA10" s="1">
        <v>798056.10423845821</v>
      </c>
      <c r="BB10" s="1">
        <v>788470.17015694524</v>
      </c>
      <c r="BC10" s="1">
        <v>778930.58810897381</v>
      </c>
      <c r="BD10" s="1">
        <v>774396.40858811524</v>
      </c>
      <c r="BE10" s="1">
        <v>765197.48937183991</v>
      </c>
      <c r="BF10" s="1">
        <v>743232.09395918914</v>
      </c>
      <c r="BG10" s="1">
        <v>749397.87507620989</v>
      </c>
      <c r="BH10" s="1">
        <v>760323.22797642462</v>
      </c>
      <c r="BI10" s="1">
        <v>733096.33039978589</v>
      </c>
      <c r="BJ10" s="1">
        <v>716734.78796911449</v>
      </c>
      <c r="BK10" s="1">
        <v>699358.20709564188</v>
      </c>
      <c r="BL10" s="1">
        <v>683890.73140541522</v>
      </c>
      <c r="BM10" s="1">
        <v>665359.67159135349</v>
      </c>
      <c r="BN10" s="1">
        <v>662896.97264633677</v>
      </c>
      <c r="BO10" s="1">
        <v>666315.68555692723</v>
      </c>
      <c r="BP10" s="1">
        <v>682867.42922526365</v>
      </c>
      <c r="BQ10" s="1">
        <v>683769.29692750727</v>
      </c>
      <c r="BR10" s="1">
        <v>692881.28957343684</v>
      </c>
      <c r="BS10" s="1">
        <v>732563.36248448666</v>
      </c>
      <c r="BT10" s="1">
        <v>725541.50505743292</v>
      </c>
      <c r="BU10" s="1">
        <v>718044.3619623105</v>
      </c>
      <c r="BV10" s="1">
        <v>724035.5753010381</v>
      </c>
      <c r="BW10" s="1">
        <v>714766.54980666889</v>
      </c>
      <c r="BX10" s="1">
        <v>715262.12587158545</v>
      </c>
      <c r="BY10" s="1">
        <v>708158.22870940156</v>
      </c>
      <c r="BZ10" s="1">
        <v>694784.38602096436</v>
      </c>
      <c r="CA10" s="1">
        <v>690022.69457957312</v>
      </c>
      <c r="CB10" s="1">
        <v>685262.84060021164</v>
      </c>
      <c r="CC10" s="1">
        <v>687774.98647745047</v>
      </c>
      <c r="CD10" s="1">
        <v>684908.78655716497</v>
      </c>
      <c r="CE10" s="1">
        <v>706165.51891396963</v>
      </c>
      <c r="CF10" s="1">
        <v>712807.73393977073</v>
      </c>
      <c r="CG10" s="1">
        <v>699719.37926873146</v>
      </c>
      <c r="CH10" s="1">
        <v>696024.016021288</v>
      </c>
      <c r="CI10" s="1">
        <v>700869.76440345845</v>
      </c>
      <c r="CJ10" s="1">
        <v>689460.350771358</v>
      </c>
      <c r="CK10" s="1">
        <v>684467.48111373594</v>
      </c>
      <c r="CL10" s="1">
        <v>684177.40415093838</v>
      </c>
      <c r="CM10" s="1">
        <v>672891.50194209791</v>
      </c>
      <c r="CN10" s="1">
        <v>666450.29188922024</v>
      </c>
      <c r="CO10" s="1">
        <v>658613.46648770012</v>
      </c>
      <c r="CP10" s="1">
        <v>658588.54497067037</v>
      </c>
      <c r="CQ10" s="1">
        <v>673252.68708351441</v>
      </c>
      <c r="CR10" s="1">
        <v>660697.52928780438</v>
      </c>
      <c r="CS10" s="1">
        <v>655481.86894129636</v>
      </c>
      <c r="CT10" s="1">
        <v>658602.34557050513</v>
      </c>
      <c r="CU10" s="1">
        <v>651100.59552391223</v>
      </c>
      <c r="CV10" s="1">
        <v>639037.3811217146</v>
      </c>
      <c r="CW10" s="1">
        <v>630271.49004442035</v>
      </c>
      <c r="CX10" s="1">
        <v>618199.77228763618</v>
      </c>
      <c r="CY10" s="1">
        <v>603107.25784139289</v>
      </c>
      <c r="CZ10" s="1">
        <v>610468.7023050288</v>
      </c>
      <c r="DA10" s="1">
        <v>597770.43814868154</v>
      </c>
      <c r="DB10" s="1">
        <v>584876.08696454181</v>
      </c>
      <c r="DC10" s="1">
        <v>616017.51231792173</v>
      </c>
      <c r="DD10" s="1">
        <v>605621.82081500452</v>
      </c>
      <c r="DE10" s="1">
        <v>578648.5231021361</v>
      </c>
      <c r="DF10" s="1">
        <v>564323.02751423384</v>
      </c>
      <c r="DG10" s="1">
        <v>580826.27964911773</v>
      </c>
      <c r="DH10" s="1">
        <v>580128.35144429887</v>
      </c>
      <c r="DI10" s="1">
        <v>573451.88576604077</v>
      </c>
      <c r="DJ10" s="1">
        <v>573691.84935350425</v>
      </c>
      <c r="DK10" s="1">
        <v>566484.44752536854</v>
      </c>
      <c r="DL10" s="1">
        <v>570189.70880597527</v>
      </c>
      <c r="DM10" s="1">
        <v>568266.30027240305</v>
      </c>
      <c r="DN10" s="1">
        <v>573203.34846951277</v>
      </c>
      <c r="DO10" s="1">
        <v>580386.62779503851</v>
      </c>
      <c r="DP10" s="1">
        <v>616408.07008579432</v>
      </c>
      <c r="DQ10" s="1">
        <v>597377.86720914056</v>
      </c>
      <c r="DR10" s="1">
        <v>610252.94706005475</v>
      </c>
      <c r="DS10" s="1">
        <v>625545.50636969507</v>
      </c>
      <c r="DT10" s="1">
        <v>621771.853334188</v>
      </c>
      <c r="DU10" s="1">
        <v>610087.90871634032</v>
      </c>
      <c r="DV10" s="1">
        <v>606852.42132832319</v>
      </c>
      <c r="DW10" s="1">
        <v>602779.38334795495</v>
      </c>
      <c r="DX10" s="1">
        <v>607206.91202912293</v>
      </c>
      <c r="DY10" s="1">
        <v>604181.15016971482</v>
      </c>
      <c r="DZ10" s="1">
        <v>602704.97009478405</v>
      </c>
      <c r="EA10" s="1">
        <v>631904.48190754664</v>
      </c>
      <c r="EB10" s="1">
        <v>610641.27196273964</v>
      </c>
      <c r="EC10" s="1">
        <v>623594.88823250716</v>
      </c>
      <c r="ED10" s="1">
        <v>627526.80802781228</v>
      </c>
      <c r="EE10" s="1">
        <v>635932.68195606628</v>
      </c>
      <c r="EF10" s="1">
        <v>631179.39676348679</v>
      </c>
      <c r="EG10" s="1">
        <v>633765.84269527055</v>
      </c>
      <c r="EH10" s="1">
        <v>642266.6828570941</v>
      </c>
      <c r="EI10" s="1">
        <v>643800.96974362154</v>
      </c>
      <c r="EJ10" s="1">
        <v>646663.24982433743</v>
      </c>
      <c r="EK10" s="1">
        <v>635083.73399005888</v>
      </c>
      <c r="EL10" s="1">
        <v>629571.54124957928</v>
      </c>
      <c r="EM10" s="1">
        <v>642367.96236403845</v>
      </c>
      <c r="EN10" s="1">
        <v>635672.8563606916</v>
      </c>
      <c r="EO10" s="1">
        <v>648411.1742805785</v>
      </c>
      <c r="EP10" s="1">
        <v>653052.63432173594</v>
      </c>
      <c r="EQ10" s="1">
        <v>668618.2327314103</v>
      </c>
      <c r="ER10" s="1">
        <v>650594.56674681942</v>
      </c>
      <c r="ES10" s="1">
        <v>645225.76509070327</v>
      </c>
      <c r="ET10" s="1">
        <v>648906.39672596636</v>
      </c>
      <c r="EU10" s="1">
        <v>646808.85192787321</v>
      </c>
      <c r="EV10" s="1">
        <v>660404.45443499566</v>
      </c>
      <c r="EW10" s="1">
        <v>666179.94045871624</v>
      </c>
      <c r="EX10" s="1">
        <v>666339.76545420289</v>
      </c>
      <c r="EY10" s="1">
        <v>665643.34306199639</v>
      </c>
      <c r="EZ10" s="1">
        <v>680565.8298169513</v>
      </c>
      <c r="FA10" s="1">
        <v>674630.06564116781</v>
      </c>
      <c r="FB10" s="1">
        <v>671022.50695077446</v>
      </c>
      <c r="FC10" s="1">
        <v>688171.91020053928</v>
      </c>
      <c r="FD10" s="1">
        <v>675704.68020739651</v>
      </c>
      <c r="FE10" s="1">
        <v>668094.18640763033</v>
      </c>
      <c r="FF10" s="1">
        <v>666379.4519591236</v>
      </c>
      <c r="FG10" s="1">
        <v>656331.49723237974</v>
      </c>
      <c r="FH10" s="1">
        <v>664285.83439735661</v>
      </c>
      <c r="FI10" s="1">
        <v>666662.98880375666</v>
      </c>
      <c r="FJ10" s="1">
        <v>672019.96216943976</v>
      </c>
      <c r="FK10" s="1">
        <v>685139.32456354087</v>
      </c>
      <c r="FL10" s="1">
        <v>697662.44432546571</v>
      </c>
      <c r="FM10" s="1">
        <v>714988.84517737397</v>
      </c>
      <c r="FN10" s="1">
        <v>714155.68299364904</v>
      </c>
      <c r="FO10" s="1">
        <v>721516.39352312684</v>
      </c>
      <c r="FP10" s="1">
        <v>702890.51462024613</v>
      </c>
      <c r="FQ10" s="1">
        <v>693356.64250362315</v>
      </c>
      <c r="FR10" s="1">
        <v>685124.67126585939</v>
      </c>
      <c r="FS10" s="1">
        <v>676376.1750624429</v>
      </c>
      <c r="FT10" s="1">
        <v>680010.4072933814</v>
      </c>
      <c r="FU10" s="1">
        <v>692968.87235611887</v>
      </c>
      <c r="FV10" s="1">
        <v>693919.1179800072</v>
      </c>
      <c r="FW10" s="1">
        <v>689577.17760335351</v>
      </c>
      <c r="FX10" s="1">
        <v>720975.55290776817</v>
      </c>
      <c r="FY10" s="1">
        <v>723175.01499248692</v>
      </c>
      <c r="FZ10" s="1">
        <v>730845.33533991873</v>
      </c>
      <c r="GA10" s="1">
        <v>751149.80828871578</v>
      </c>
      <c r="GB10" s="1">
        <v>737144.61529885582</v>
      </c>
      <c r="GC10" s="1">
        <v>728512.2316305479</v>
      </c>
      <c r="GD10" s="1">
        <v>723464.84372891055</v>
      </c>
      <c r="GE10" s="1">
        <v>708186.4614174373</v>
      </c>
      <c r="GF10" s="1">
        <v>705527.39233942097</v>
      </c>
      <c r="GG10" s="1">
        <v>703937.89104438853</v>
      </c>
      <c r="GH10" s="1">
        <v>701089.41083489498</v>
      </c>
      <c r="GI10" s="1">
        <v>705299.9145779158</v>
      </c>
      <c r="GJ10" s="1">
        <v>715226.3494014116</v>
      </c>
      <c r="GK10" s="1">
        <v>728486.60655413661</v>
      </c>
      <c r="GL10" s="1">
        <v>722706.4974033247</v>
      </c>
      <c r="GM10" s="1">
        <v>724487.71029984474</v>
      </c>
      <c r="GN10" s="1">
        <v>725777.55786170298</v>
      </c>
      <c r="GO10" s="1">
        <v>705033.31044367224</v>
      </c>
      <c r="GP10" s="1">
        <v>674762.60214048903</v>
      </c>
      <c r="GQ10" s="1">
        <v>664146.15787319141</v>
      </c>
      <c r="GR10" s="1">
        <v>676054.77626315644</v>
      </c>
      <c r="GS10" s="1">
        <v>680641.1160596034</v>
      </c>
      <c r="GT10" s="1">
        <v>686935.17994602374</v>
      </c>
      <c r="GU10" s="1">
        <v>707399.00067674788</v>
      </c>
      <c r="GV10" s="1">
        <v>718493.90389687917</v>
      </c>
      <c r="GW10" s="1">
        <v>726043.90101194638</v>
      </c>
      <c r="GX10" s="1">
        <v>725684.7640508886</v>
      </c>
      <c r="GY10" s="1">
        <v>726724.22032930772</v>
      </c>
      <c r="GZ10" s="1">
        <v>720445.57826835697</v>
      </c>
      <c r="HA10" s="1" t="str">
        <f t="shared" si="1"/>
        <v/>
      </c>
      <c r="HB10" s="1" t="str">
        <f t="shared" si="1"/>
        <v/>
      </c>
      <c r="HC10" s="1" t="str">
        <f t="shared" si="1"/>
        <v/>
      </c>
      <c r="HD10" s="1" t="str">
        <f t="shared" si="1"/>
        <v/>
      </c>
      <c r="HE10" s="1" t="str">
        <f t="shared" si="1"/>
        <v/>
      </c>
      <c r="HF10" s="1" t="str">
        <f t="shared" si="1"/>
        <v/>
      </c>
      <c r="HG10" s="1" t="str">
        <f t="shared" si="1"/>
        <v/>
      </c>
      <c r="HH10" s="1" t="str">
        <f t="shared" si="1"/>
        <v/>
      </c>
      <c r="HI10" s="1" t="str">
        <f t="shared" si="1"/>
        <v/>
      </c>
      <c r="HJ10" s="1" t="str">
        <f t="shared" si="1"/>
        <v/>
      </c>
      <c r="HK10" s="1" t="str">
        <f t="shared" si="1"/>
        <v/>
      </c>
      <c r="HL10" s="1" t="str">
        <f t="shared" si="1"/>
        <v/>
      </c>
      <c r="HM10" s="1" t="str">
        <f t="shared" si="1"/>
        <v/>
      </c>
      <c r="HN10" s="1" t="str">
        <f t="shared" si="1"/>
        <v/>
      </c>
      <c r="HO10" s="1" t="str">
        <f t="shared" si="1"/>
        <v/>
      </c>
      <c r="HP10" s="1" t="str">
        <f t="shared" si="1"/>
        <v/>
      </c>
      <c r="HQ10" s="1" t="str">
        <f t="shared" si="1"/>
        <v/>
      </c>
      <c r="HR10" s="1" t="str">
        <f t="shared" si="1"/>
        <v/>
      </c>
      <c r="HS10" s="1" t="str">
        <f t="shared" si="1"/>
        <v/>
      </c>
      <c r="HT10" s="1" t="str">
        <f t="shared" si="1"/>
        <v/>
      </c>
      <c r="HU10" s="1" t="str">
        <f t="shared" si="1"/>
        <v/>
      </c>
      <c r="HV10" s="1" t="str">
        <f t="shared" si="1"/>
        <v/>
      </c>
      <c r="HW10" s="1" t="str">
        <f t="shared" si="1"/>
        <v/>
      </c>
      <c r="HX10" s="1" t="str">
        <f t="shared" si="1"/>
        <v/>
      </c>
      <c r="HY10" s="1" t="str">
        <f t="shared" si="1"/>
        <v/>
      </c>
      <c r="HZ10" s="1" t="str">
        <f t="shared" si="1"/>
        <v/>
      </c>
      <c r="IA10" s="1" t="str">
        <f t="shared" si="1"/>
        <v/>
      </c>
      <c r="IB10" s="1" t="str">
        <f t="shared" si="1"/>
        <v/>
      </c>
      <c r="IC10" s="1" t="str">
        <f t="shared" si="1"/>
        <v/>
      </c>
      <c r="ID10" s="1" t="str">
        <f t="shared" si="1"/>
        <v/>
      </c>
      <c r="IE10" s="1" t="str">
        <f t="shared" si="1"/>
        <v/>
      </c>
      <c r="IF10" s="1" t="str">
        <f t="shared" si="1"/>
        <v/>
      </c>
      <c r="IG10" s="1" t="str">
        <f t="shared" si="1"/>
        <v/>
      </c>
      <c r="IH10" s="1" t="str">
        <f t="shared" si="1"/>
        <v/>
      </c>
      <c r="II10" s="1" t="str">
        <f t="shared" si="1"/>
        <v/>
      </c>
      <c r="IJ10" s="1" t="str">
        <f t="shared" si="1"/>
        <v/>
      </c>
      <c r="IK10" s="1" t="str">
        <f t="shared" si="1"/>
        <v/>
      </c>
      <c r="IL10" s="1" t="str">
        <f t="shared" si="1"/>
        <v/>
      </c>
      <c r="IM10" s="1" t="str">
        <f t="shared" si="1"/>
        <v/>
      </c>
      <c r="IN10" s="1" t="str">
        <f t="shared" si="1"/>
        <v/>
      </c>
      <c r="IO10" s="1" t="str">
        <f t="shared" si="1"/>
        <v/>
      </c>
      <c r="IP10" s="1" t="str">
        <f t="shared" si="1"/>
        <v/>
      </c>
      <c r="IQ10" s="1" t="str">
        <f t="shared" si="1"/>
        <v/>
      </c>
      <c r="IR10" s="1" t="str">
        <f t="shared" si="1"/>
        <v/>
      </c>
      <c r="IS10" s="1" t="str">
        <f t="shared" si="1"/>
        <v/>
      </c>
      <c r="IT10" s="1" t="str">
        <f t="shared" si="1"/>
        <v/>
      </c>
      <c r="IU10" s="1" t="str">
        <f t="shared" si="1"/>
        <v/>
      </c>
      <c r="IV10" s="1" t="str">
        <f t="shared" si="1"/>
        <v/>
      </c>
      <c r="IW10" s="1" t="str">
        <f t="shared" si="1"/>
        <v/>
      </c>
      <c r="IX10" s="1" t="str">
        <f t="shared" si="1"/>
        <v/>
      </c>
      <c r="IY10" s="1" t="str">
        <f t="shared" si="1"/>
        <v/>
      </c>
      <c r="IZ10" s="1" t="str">
        <f t="shared" si="1"/>
        <v/>
      </c>
      <c r="JA10" s="1" t="str">
        <f t="shared" si="1"/>
        <v/>
      </c>
      <c r="JB10" s="1" t="str">
        <f t="shared" si="1"/>
        <v/>
      </c>
      <c r="JC10" s="1" t="str">
        <f t="shared" si="1"/>
        <v/>
      </c>
      <c r="JD10" s="1" t="str">
        <f t="shared" si="1"/>
        <v/>
      </c>
      <c r="JE10" s="1" t="str">
        <f t="shared" si="1"/>
        <v/>
      </c>
      <c r="JF10" s="1" t="str">
        <f t="shared" si="1"/>
        <v/>
      </c>
      <c r="JG10" s="1" t="str">
        <f t="shared" si="1"/>
        <v/>
      </c>
      <c r="JH10" s="1" t="str">
        <f t="shared" si="1"/>
        <v/>
      </c>
      <c r="LY10" s="1"/>
    </row>
    <row r="11" spans="1:337" x14ac:dyDescent="0.25">
      <c r="A11" s="5">
        <v>9</v>
      </c>
      <c r="B11" s="1">
        <v>629996.70357788785</v>
      </c>
      <c r="C11" s="1">
        <v>631191.25347011536</v>
      </c>
      <c r="D11" s="1">
        <v>636614.76741432725</v>
      </c>
      <c r="E11" s="1">
        <v>620737.98201069911</v>
      </c>
      <c r="F11" s="1">
        <v>625229.84622455039</v>
      </c>
      <c r="G11" s="1">
        <v>633226.75744231394</v>
      </c>
      <c r="H11" s="1">
        <v>637383.47270116059</v>
      </c>
      <c r="I11" s="1">
        <v>644376.40262026829</v>
      </c>
      <c r="J11" s="1">
        <v>657444.46139187715</v>
      </c>
      <c r="K11" s="1">
        <v>664966.89401909499</v>
      </c>
      <c r="L11" s="1">
        <v>674450.89139157208</v>
      </c>
      <c r="M11" s="1">
        <v>670970.59919577802</v>
      </c>
      <c r="N11" s="1">
        <v>673905.59022624465</v>
      </c>
      <c r="O11" s="1">
        <v>671896.46173271816</v>
      </c>
      <c r="P11" s="1">
        <v>674201.66792440368</v>
      </c>
      <c r="Q11" s="1">
        <v>663735.29424855509</v>
      </c>
      <c r="R11" s="1">
        <v>666955.29978008079</v>
      </c>
      <c r="S11" s="1">
        <v>678129.1531950616</v>
      </c>
      <c r="T11" s="1">
        <v>689023.04354610387</v>
      </c>
      <c r="U11" s="1">
        <v>704925.16438706475</v>
      </c>
      <c r="V11" s="1">
        <v>715399.76687098807</v>
      </c>
      <c r="W11" s="1">
        <v>724942.75724393909</v>
      </c>
      <c r="X11" s="1">
        <v>737505.85849126335</v>
      </c>
      <c r="Y11" s="1">
        <v>740253.29738801939</v>
      </c>
      <c r="Z11" s="1">
        <v>741559.08826622926</v>
      </c>
      <c r="AA11" s="1">
        <v>742467.55023066257</v>
      </c>
      <c r="AB11" s="1">
        <v>745790.00103683909</v>
      </c>
      <c r="AC11" s="1">
        <v>744283.39702387084</v>
      </c>
      <c r="AD11" s="1">
        <v>733276.28744777362</v>
      </c>
      <c r="AE11" s="1">
        <v>739566.68736547139</v>
      </c>
      <c r="AF11" s="1">
        <v>737804.69317427755</v>
      </c>
      <c r="AG11" s="1">
        <v>736877.91971642314</v>
      </c>
      <c r="AH11" s="1">
        <v>742237.03666773089</v>
      </c>
      <c r="AI11" s="1">
        <v>750548.99077244184</v>
      </c>
      <c r="AJ11" s="1">
        <v>760963.05371354916</v>
      </c>
      <c r="AK11" s="1">
        <v>759649.20058170147</v>
      </c>
      <c r="AL11" s="1">
        <v>763589.40334917209</v>
      </c>
      <c r="AM11" s="1">
        <v>767889.69291796582</v>
      </c>
      <c r="AN11" s="1">
        <v>773274.68894465605</v>
      </c>
      <c r="AO11" s="1">
        <v>769039.07830971759</v>
      </c>
      <c r="AP11" s="1">
        <v>767418.70455778332</v>
      </c>
      <c r="AQ11" s="1">
        <v>774732.77268359973</v>
      </c>
      <c r="AR11" s="1">
        <v>775817.89367261343</v>
      </c>
      <c r="AS11" s="1">
        <v>779469.21376298822</v>
      </c>
      <c r="AT11" s="1">
        <v>784520.14028847055</v>
      </c>
      <c r="AU11" s="1">
        <v>794836.65300297132</v>
      </c>
      <c r="AV11" s="1">
        <v>807337.09703858546</v>
      </c>
      <c r="AW11" s="1">
        <v>804556.0757653208</v>
      </c>
      <c r="AX11" s="1">
        <v>806744.72998221451</v>
      </c>
      <c r="AY11" s="1">
        <v>806081.82163980138</v>
      </c>
      <c r="AZ11" s="1">
        <v>805320.95786705706</v>
      </c>
      <c r="BA11" s="1">
        <v>792177.7889397121</v>
      </c>
      <c r="BB11" s="1">
        <v>784604.5084810066</v>
      </c>
      <c r="BC11" s="1">
        <v>783159.55391100072</v>
      </c>
      <c r="BD11" s="1">
        <v>777972.36260737071</v>
      </c>
      <c r="BE11" s="1">
        <v>764970.35485820007</v>
      </c>
      <c r="BF11" s="1">
        <v>745136.33702515753</v>
      </c>
      <c r="BG11" s="1">
        <v>753211.21431456972</v>
      </c>
      <c r="BH11" s="1">
        <v>764434.21961575455</v>
      </c>
      <c r="BI11" s="1">
        <v>725100.14497346152</v>
      </c>
      <c r="BJ11" s="1">
        <v>709402.33015642618</v>
      </c>
      <c r="BK11" s="1">
        <v>696169.97440857906</v>
      </c>
      <c r="BL11" s="1">
        <v>678192.85636258626</v>
      </c>
      <c r="BM11" s="1">
        <v>649947.73414542829</v>
      </c>
      <c r="BN11" s="1">
        <v>651395.87549475394</v>
      </c>
      <c r="BO11" s="1">
        <v>663019.92120883509</v>
      </c>
      <c r="BP11" s="1">
        <v>681343.57428652537</v>
      </c>
      <c r="BQ11" s="1">
        <v>682301.17367732001</v>
      </c>
      <c r="BR11" s="1">
        <v>696365.85379557381</v>
      </c>
      <c r="BS11" s="1">
        <v>739084.10221891466</v>
      </c>
      <c r="BT11" s="1">
        <v>732343.26431228686</v>
      </c>
      <c r="BU11" s="1">
        <v>711217.79892282351</v>
      </c>
      <c r="BV11" s="1">
        <v>721805.84532760642</v>
      </c>
      <c r="BW11" s="1">
        <v>715345.88056221465</v>
      </c>
      <c r="BX11" s="1">
        <v>711783.28923868935</v>
      </c>
      <c r="BY11" s="1">
        <v>701013.22105072613</v>
      </c>
      <c r="BZ11" s="1">
        <v>686047.10879086703</v>
      </c>
      <c r="CA11" s="1">
        <v>690323.58140450949</v>
      </c>
      <c r="CB11" s="1">
        <v>683879.3136123243</v>
      </c>
      <c r="CC11" s="1">
        <v>686411.59831975074</v>
      </c>
      <c r="CD11" s="1">
        <v>689806.79570695828</v>
      </c>
      <c r="CE11" s="1">
        <v>709887.22163973725</v>
      </c>
      <c r="CF11" s="1">
        <v>718325.9958475451</v>
      </c>
      <c r="CG11" s="1">
        <v>693623.97683305689</v>
      </c>
      <c r="CH11" s="1">
        <v>698858.14481177786</v>
      </c>
      <c r="CI11" s="1">
        <v>701582.00246042409</v>
      </c>
      <c r="CJ11" s="1">
        <v>683428.63101073226</v>
      </c>
      <c r="CK11" s="1">
        <v>680693.98813938606</v>
      </c>
      <c r="CL11" s="1">
        <v>676046.89686572552</v>
      </c>
      <c r="CM11" s="1">
        <v>670103.05335766927</v>
      </c>
      <c r="CN11" s="1">
        <v>664544.31331995828</v>
      </c>
      <c r="CO11" s="1">
        <v>658057.03619233647</v>
      </c>
      <c r="CP11" s="1">
        <v>662428.13625619863</v>
      </c>
      <c r="CQ11" s="1">
        <v>675048.31868637563</v>
      </c>
      <c r="CR11" s="1">
        <v>664453.86306238291</v>
      </c>
      <c r="CS11" s="1">
        <v>653117.48087279405</v>
      </c>
      <c r="CT11" s="1">
        <v>661719.39319910994</v>
      </c>
      <c r="CU11" s="1">
        <v>646720.51707342849</v>
      </c>
      <c r="CV11" s="1">
        <v>632091.68061886495</v>
      </c>
      <c r="CW11" s="1">
        <v>625111.24186934135</v>
      </c>
      <c r="CX11" s="1">
        <v>604877.57566516404</v>
      </c>
      <c r="CY11" s="1">
        <v>598779.96662933426</v>
      </c>
      <c r="CZ11" s="1">
        <v>607609.0879588204</v>
      </c>
      <c r="DA11" s="1">
        <v>595870.23950714106</v>
      </c>
      <c r="DB11" s="1">
        <v>585679.25401032902</v>
      </c>
      <c r="DC11" s="1">
        <v>620055.41844158713</v>
      </c>
      <c r="DD11" s="1">
        <v>605677.06449608481</v>
      </c>
      <c r="DE11" s="1">
        <v>569980.4543578492</v>
      </c>
      <c r="DF11" s="1">
        <v>575316.66262129182</v>
      </c>
      <c r="DG11" s="1">
        <v>570555.97908357717</v>
      </c>
      <c r="DH11" s="1">
        <v>565045.85330570268</v>
      </c>
      <c r="DI11" s="1">
        <v>568046.45384324389</v>
      </c>
      <c r="DJ11" s="1">
        <v>562279.79181789421</v>
      </c>
      <c r="DK11" s="1">
        <v>564084.68215900147</v>
      </c>
      <c r="DL11" s="1">
        <v>569466.83382347948</v>
      </c>
      <c r="DM11" s="1">
        <v>566913.62356284331</v>
      </c>
      <c r="DN11" s="1">
        <v>578744.85488332761</v>
      </c>
      <c r="DO11" s="1">
        <v>586075.04545846093</v>
      </c>
      <c r="DP11" s="1">
        <v>620808.76153840462</v>
      </c>
      <c r="DQ11" s="1">
        <v>591925.54598814866</v>
      </c>
      <c r="DR11" s="1">
        <v>617866.3736579027</v>
      </c>
      <c r="DS11" s="1">
        <v>623092.99809262669</v>
      </c>
      <c r="DT11" s="1">
        <v>611197.86501710978</v>
      </c>
      <c r="DU11" s="1">
        <v>606431.3351550342</v>
      </c>
      <c r="DV11" s="1">
        <v>600722.42691853805</v>
      </c>
      <c r="DW11" s="1">
        <v>601970.47355212853</v>
      </c>
      <c r="DX11" s="1">
        <v>608115.26992684917</v>
      </c>
      <c r="DY11" s="1">
        <v>606792.20509449439</v>
      </c>
      <c r="DZ11" s="1">
        <v>609456.78532478609</v>
      </c>
      <c r="EA11" s="1">
        <v>639356.99639031221</v>
      </c>
      <c r="EB11" s="1">
        <v>613581.17026438692</v>
      </c>
      <c r="EC11" s="1">
        <v>622290.46917396947</v>
      </c>
      <c r="ED11" s="1">
        <v>644180.53566650173</v>
      </c>
      <c r="EE11" s="1">
        <v>624882.31247956166</v>
      </c>
      <c r="EF11" s="1">
        <v>625357.11425548024</v>
      </c>
      <c r="EG11" s="1">
        <v>632736.3835229401</v>
      </c>
      <c r="EH11" s="1">
        <v>634818.51083130867</v>
      </c>
      <c r="EI11" s="1">
        <v>646162.84512988897</v>
      </c>
      <c r="EJ11" s="1">
        <v>649541.215150818</v>
      </c>
      <c r="EK11" s="1">
        <v>640169.34009452234</v>
      </c>
      <c r="EL11" s="1">
        <v>638245.57134774234</v>
      </c>
      <c r="EM11" s="1">
        <v>649112.08271083003</v>
      </c>
      <c r="EN11" s="1">
        <v>638157.73484922131</v>
      </c>
      <c r="EO11" s="1">
        <v>644216.80046492303</v>
      </c>
      <c r="EP11" s="1">
        <v>668495.93287040666</v>
      </c>
      <c r="EQ11" s="1">
        <v>653235.05220790696</v>
      </c>
      <c r="ER11" s="1">
        <v>645812.1828373305</v>
      </c>
      <c r="ES11" s="1">
        <v>645594.39922619681</v>
      </c>
      <c r="ET11" s="1">
        <v>640184.96909783443</v>
      </c>
      <c r="EU11" s="1">
        <v>647694.46789117542</v>
      </c>
      <c r="EV11" s="1">
        <v>664493.60502606677</v>
      </c>
      <c r="EW11" s="1">
        <v>672011.70738334977</v>
      </c>
      <c r="EX11" s="1">
        <v>677398.75035293447</v>
      </c>
      <c r="EY11" s="1">
        <v>677556.60960201989</v>
      </c>
      <c r="EZ11" s="1">
        <v>683852.70374638704</v>
      </c>
      <c r="FA11" s="1">
        <v>672418.17525118194</v>
      </c>
      <c r="FB11" s="1">
        <v>682485.48303895653</v>
      </c>
      <c r="FC11" s="1">
        <v>676878.83371575794</v>
      </c>
      <c r="FD11" s="1">
        <v>669519.16347688902</v>
      </c>
      <c r="FE11" s="1">
        <v>669206.31538494607</v>
      </c>
      <c r="FF11" s="1">
        <v>659203.47804884042</v>
      </c>
      <c r="FG11" s="1">
        <v>655585.28053776955</v>
      </c>
      <c r="FH11" s="1">
        <v>666545.9894232566</v>
      </c>
      <c r="FI11" s="1">
        <v>671777.55832947278</v>
      </c>
      <c r="FJ11" s="1">
        <v>682782.96214792831</v>
      </c>
      <c r="FK11" s="1">
        <v>697390.42945125699</v>
      </c>
      <c r="FL11" s="1">
        <v>699349.13787217345</v>
      </c>
      <c r="FM11" s="1">
        <v>711527.00444010482</v>
      </c>
      <c r="FN11" s="1">
        <v>727285.38950185955</v>
      </c>
      <c r="FO11" s="1">
        <v>710554.89764472097</v>
      </c>
      <c r="FP11" s="1">
        <v>700151.90869590989</v>
      </c>
      <c r="FQ11" s="1">
        <v>692560.88413837622</v>
      </c>
      <c r="FR11" s="1">
        <v>677115.80056496139</v>
      </c>
      <c r="FS11" s="1">
        <v>674286.62521270732</v>
      </c>
      <c r="FT11" s="1">
        <v>680824.46269116423</v>
      </c>
      <c r="FU11" s="1">
        <v>696027.56494724704</v>
      </c>
      <c r="FV11" s="1">
        <v>703260.12464252138</v>
      </c>
      <c r="FW11" s="1">
        <v>701006.71023559081</v>
      </c>
      <c r="FX11" s="1">
        <v>725774.70186884631</v>
      </c>
      <c r="FY11" s="1">
        <v>717901.10107515822</v>
      </c>
      <c r="FZ11" s="1">
        <v>745538.80742430256</v>
      </c>
      <c r="GA11" s="1">
        <v>744879.31689147151</v>
      </c>
      <c r="GB11" s="1">
        <v>733386.19677002705</v>
      </c>
      <c r="GC11" s="1">
        <v>732612.09177606774</v>
      </c>
      <c r="GD11" s="1">
        <v>715122.66864311951</v>
      </c>
      <c r="GE11" s="1">
        <v>705953.28976425889</v>
      </c>
      <c r="GF11" s="1">
        <v>704805.51207884157</v>
      </c>
      <c r="GG11" s="1">
        <v>705141.47013130062</v>
      </c>
      <c r="GH11" s="1">
        <v>708803.48628662364</v>
      </c>
      <c r="GI11" s="1">
        <v>716682.32301254105</v>
      </c>
      <c r="GJ11" s="1">
        <v>718683.65959043312</v>
      </c>
      <c r="GK11" s="1">
        <v>721145.37713258259</v>
      </c>
      <c r="GL11" s="1">
        <v>730228.21953908738</v>
      </c>
      <c r="GM11" s="1">
        <v>720900.07825831743</v>
      </c>
      <c r="GN11" s="1">
        <v>721466.16948886414</v>
      </c>
      <c r="GO11" s="1">
        <v>708003.47009095247</v>
      </c>
      <c r="GP11" s="1">
        <v>664551.40902541648</v>
      </c>
      <c r="GQ11" s="1">
        <v>660563.13561292551</v>
      </c>
      <c r="GR11" s="1">
        <v>671386.23821130977</v>
      </c>
      <c r="GS11" s="1">
        <v>678507.49501817278</v>
      </c>
      <c r="GT11" s="1">
        <v>695613.98875443696</v>
      </c>
      <c r="GU11" s="1">
        <v>722120.46628442639</v>
      </c>
      <c r="GV11" s="1">
        <v>721893.88852007245</v>
      </c>
      <c r="GW11" s="1">
        <v>722100.90783697425</v>
      </c>
      <c r="GX11" s="1">
        <v>734081.61346206279</v>
      </c>
      <c r="GY11" s="1">
        <v>722712.10697422549</v>
      </c>
      <c r="GZ11" s="1">
        <v>717887.24571945402</v>
      </c>
      <c r="HA11" s="1" t="str">
        <f t="shared" ref="GZ11:JH14" si="2">IF(GZ11="","","")</f>
        <v/>
      </c>
      <c r="HB11" s="1" t="str">
        <f t="shared" si="2"/>
        <v/>
      </c>
      <c r="HC11" s="1" t="str">
        <f t="shared" si="2"/>
        <v/>
      </c>
      <c r="HD11" s="1" t="str">
        <f t="shared" si="2"/>
        <v/>
      </c>
      <c r="HE11" s="1" t="str">
        <f t="shared" si="2"/>
        <v/>
      </c>
      <c r="HF11" s="1" t="str">
        <f t="shared" si="2"/>
        <v/>
      </c>
      <c r="HG11" s="1" t="str">
        <f t="shared" si="2"/>
        <v/>
      </c>
      <c r="HH11" s="1" t="str">
        <f t="shared" si="2"/>
        <v/>
      </c>
      <c r="HI11" s="1" t="str">
        <f t="shared" si="2"/>
        <v/>
      </c>
      <c r="HJ11" s="1" t="str">
        <f t="shared" si="2"/>
        <v/>
      </c>
      <c r="HK11" s="1" t="str">
        <f t="shared" si="2"/>
        <v/>
      </c>
      <c r="HL11" s="1" t="str">
        <f t="shared" si="2"/>
        <v/>
      </c>
      <c r="HM11" s="1" t="str">
        <f t="shared" si="2"/>
        <v/>
      </c>
      <c r="HN11" s="1" t="str">
        <f t="shared" si="2"/>
        <v/>
      </c>
      <c r="HO11" s="1" t="str">
        <f t="shared" si="2"/>
        <v/>
      </c>
      <c r="HP11" s="1" t="str">
        <f t="shared" si="2"/>
        <v/>
      </c>
      <c r="HQ11" s="1" t="str">
        <f t="shared" si="2"/>
        <v/>
      </c>
      <c r="HR11" s="1" t="str">
        <f t="shared" si="2"/>
        <v/>
      </c>
      <c r="HS11" s="1" t="str">
        <f t="shared" si="2"/>
        <v/>
      </c>
      <c r="HT11" s="1" t="str">
        <f t="shared" si="2"/>
        <v/>
      </c>
      <c r="HU11" s="1" t="str">
        <f t="shared" si="2"/>
        <v/>
      </c>
      <c r="HV11" s="1" t="str">
        <f t="shared" si="2"/>
        <v/>
      </c>
      <c r="HW11" s="1" t="str">
        <f t="shared" si="2"/>
        <v/>
      </c>
      <c r="HX11" s="1" t="str">
        <f t="shared" si="2"/>
        <v/>
      </c>
      <c r="HY11" s="1" t="str">
        <f t="shared" si="2"/>
        <v/>
      </c>
      <c r="HZ11" s="1" t="str">
        <f t="shared" si="2"/>
        <v/>
      </c>
      <c r="IA11" s="1" t="str">
        <f t="shared" si="2"/>
        <v/>
      </c>
      <c r="IB11" s="1" t="str">
        <f t="shared" si="2"/>
        <v/>
      </c>
      <c r="IC11" s="1" t="str">
        <f t="shared" si="2"/>
        <v/>
      </c>
      <c r="ID11" s="1" t="str">
        <f t="shared" si="2"/>
        <v/>
      </c>
      <c r="IE11" s="1" t="str">
        <f t="shared" si="2"/>
        <v/>
      </c>
      <c r="IF11" s="1" t="str">
        <f t="shared" si="2"/>
        <v/>
      </c>
      <c r="IG11" s="1" t="str">
        <f t="shared" si="2"/>
        <v/>
      </c>
      <c r="IH11" s="1" t="str">
        <f t="shared" si="2"/>
        <v/>
      </c>
      <c r="II11" s="1" t="str">
        <f t="shared" si="2"/>
        <v/>
      </c>
      <c r="IJ11" s="1" t="str">
        <f t="shared" si="2"/>
        <v/>
      </c>
      <c r="IK11" s="1" t="str">
        <f t="shared" si="2"/>
        <v/>
      </c>
      <c r="IL11" s="1" t="str">
        <f t="shared" si="2"/>
        <v/>
      </c>
      <c r="IM11" s="1" t="str">
        <f t="shared" si="2"/>
        <v/>
      </c>
      <c r="IN11" s="1" t="str">
        <f t="shared" si="2"/>
        <v/>
      </c>
      <c r="IO11" s="1" t="str">
        <f t="shared" si="2"/>
        <v/>
      </c>
      <c r="IP11" s="1" t="str">
        <f t="shared" si="2"/>
        <v/>
      </c>
      <c r="IQ11" s="1" t="str">
        <f t="shared" si="2"/>
        <v/>
      </c>
      <c r="IR11" s="1" t="str">
        <f t="shared" si="2"/>
        <v/>
      </c>
      <c r="IS11" s="1" t="str">
        <f t="shared" si="2"/>
        <v/>
      </c>
      <c r="IT11" s="1" t="str">
        <f t="shared" si="2"/>
        <v/>
      </c>
      <c r="IU11" s="1" t="str">
        <f t="shared" si="2"/>
        <v/>
      </c>
      <c r="IV11" s="1" t="str">
        <f t="shared" si="2"/>
        <v/>
      </c>
      <c r="IW11" s="1" t="str">
        <f t="shared" si="2"/>
        <v/>
      </c>
      <c r="IX11" s="1" t="str">
        <f t="shared" si="2"/>
        <v/>
      </c>
      <c r="IY11" s="1" t="str">
        <f t="shared" si="2"/>
        <v/>
      </c>
      <c r="IZ11" s="1" t="str">
        <f t="shared" si="2"/>
        <v/>
      </c>
      <c r="JA11" s="1" t="str">
        <f t="shared" si="2"/>
        <v/>
      </c>
      <c r="JB11" s="1" t="str">
        <f t="shared" si="2"/>
        <v/>
      </c>
      <c r="JC11" s="1" t="str">
        <f t="shared" si="2"/>
        <v/>
      </c>
      <c r="JD11" s="1" t="str">
        <f t="shared" si="2"/>
        <v/>
      </c>
      <c r="JE11" s="1" t="str">
        <f t="shared" si="2"/>
        <v/>
      </c>
      <c r="JF11" s="1" t="str">
        <f t="shared" si="2"/>
        <v/>
      </c>
      <c r="JG11" s="1" t="str">
        <f t="shared" si="2"/>
        <v/>
      </c>
      <c r="JH11" s="1" t="str">
        <f t="shared" si="2"/>
        <v/>
      </c>
      <c r="LY11" s="1"/>
    </row>
    <row r="12" spans="1:337" x14ac:dyDescent="0.25">
      <c r="A12" s="5">
        <v>10</v>
      </c>
      <c r="B12" s="1">
        <v>632158.04453611304</v>
      </c>
      <c r="C12" s="1">
        <v>636130.36456561834</v>
      </c>
      <c r="D12" s="1">
        <v>620850.91187351861</v>
      </c>
      <c r="E12" s="1">
        <v>625390.88399227406</v>
      </c>
      <c r="F12" s="1">
        <v>632897.96731823985</v>
      </c>
      <c r="G12" s="1">
        <v>636378.29640996177</v>
      </c>
      <c r="H12" s="1">
        <v>639711.1003872049</v>
      </c>
      <c r="I12" s="1">
        <v>651235.55560173537</v>
      </c>
      <c r="J12" s="1">
        <v>666026.55180558655</v>
      </c>
      <c r="K12" s="1">
        <v>676187.93402763968</v>
      </c>
      <c r="L12" s="1">
        <v>671591.81309653562</v>
      </c>
      <c r="M12" s="1">
        <v>669978.15281088138</v>
      </c>
      <c r="N12" s="1">
        <v>676849.76705581602</v>
      </c>
      <c r="O12" s="1">
        <v>675490.01352174859</v>
      </c>
      <c r="P12" s="1">
        <v>664334.08181372704</v>
      </c>
      <c r="Q12" s="1">
        <v>663460.82414944447</v>
      </c>
      <c r="R12" s="1">
        <v>673222.19882537681</v>
      </c>
      <c r="S12" s="1">
        <v>682174.45796888368</v>
      </c>
      <c r="T12" s="1">
        <v>694164.56327941664</v>
      </c>
      <c r="U12" s="1">
        <v>715103.0455789041</v>
      </c>
      <c r="V12" s="1">
        <v>728920.63506182097</v>
      </c>
      <c r="W12" s="1">
        <v>737603.3490176294</v>
      </c>
      <c r="X12" s="1">
        <v>737246.28007309162</v>
      </c>
      <c r="Y12" s="1">
        <v>737528.41069096874</v>
      </c>
      <c r="Z12" s="1">
        <v>746272.04457958753</v>
      </c>
      <c r="AA12" s="1">
        <v>747192.0657475139</v>
      </c>
      <c r="AB12" s="1">
        <v>741871.97213835607</v>
      </c>
      <c r="AC12" s="1">
        <v>739426.66963433614</v>
      </c>
      <c r="AD12" s="1">
        <v>739997.90626636532</v>
      </c>
      <c r="AE12" s="1">
        <v>745830.6802229723</v>
      </c>
      <c r="AF12" s="1">
        <v>742311.67823415273</v>
      </c>
      <c r="AG12" s="1">
        <v>745518.59215158969</v>
      </c>
      <c r="AH12" s="1">
        <v>751961.34639819362</v>
      </c>
      <c r="AI12" s="1">
        <v>760339.32728011254</v>
      </c>
      <c r="AJ12" s="1">
        <v>758146.34774358408</v>
      </c>
      <c r="AK12" s="1">
        <v>758110.79272189224</v>
      </c>
      <c r="AL12" s="1">
        <v>767972.33235854073</v>
      </c>
      <c r="AM12" s="1">
        <v>772028.49416073284</v>
      </c>
      <c r="AN12" s="1">
        <v>767524.56105618994</v>
      </c>
      <c r="AO12" s="1">
        <v>767058.22085276572</v>
      </c>
      <c r="AP12" s="1">
        <v>774361.93318146025</v>
      </c>
      <c r="AQ12" s="1">
        <v>779572.96637272509</v>
      </c>
      <c r="AR12" s="1">
        <v>780502.98935693363</v>
      </c>
      <c r="AS12" s="1">
        <v>786950.31498851348</v>
      </c>
      <c r="AT12" s="1">
        <v>793487.0895221259</v>
      </c>
      <c r="AU12" s="1">
        <v>803331.52991275</v>
      </c>
      <c r="AV12" s="1">
        <v>804647.79532909393</v>
      </c>
      <c r="AW12" s="1">
        <v>803766.93728780537</v>
      </c>
      <c r="AX12" s="1">
        <v>812283.36581707338</v>
      </c>
      <c r="AY12" s="1">
        <v>809659.78481746814</v>
      </c>
      <c r="AZ12" s="1">
        <v>801296.15793448873</v>
      </c>
      <c r="BA12" s="1">
        <v>788448.85975479544</v>
      </c>
      <c r="BB12" s="1">
        <v>790442.29739130998</v>
      </c>
      <c r="BC12" s="1">
        <v>786694.59495292942</v>
      </c>
      <c r="BD12" s="1">
        <v>780047.91544625978</v>
      </c>
      <c r="BE12" s="1">
        <v>767700.74295993964</v>
      </c>
      <c r="BF12" s="1">
        <v>750169.03554348077</v>
      </c>
      <c r="BG12" s="1">
        <v>758345.52077214979</v>
      </c>
      <c r="BH12" s="1">
        <v>758019.26514698507</v>
      </c>
      <c r="BI12" s="1">
        <v>718347.50015644415</v>
      </c>
      <c r="BJ12" s="1">
        <v>707179.59468250931</v>
      </c>
      <c r="BK12" s="1">
        <v>691358.01274147257</v>
      </c>
      <c r="BL12" s="1">
        <v>663966.87901588448</v>
      </c>
      <c r="BM12" s="1">
        <v>637622.41390147828</v>
      </c>
      <c r="BN12" s="1">
        <v>649338.34719851357</v>
      </c>
      <c r="BO12" s="1">
        <v>658392.97423063871</v>
      </c>
      <c r="BP12" s="1">
        <v>679860.10930905049</v>
      </c>
      <c r="BQ12" s="1">
        <v>686511.6167661252</v>
      </c>
      <c r="BR12" s="1">
        <v>700264.93711823504</v>
      </c>
      <c r="BS12" s="1">
        <v>747072.06864330871</v>
      </c>
      <c r="BT12" s="1">
        <v>726712.79979568766</v>
      </c>
      <c r="BU12" s="1">
        <v>708384.56955808226</v>
      </c>
      <c r="BV12" s="1">
        <v>723786.05946847773</v>
      </c>
      <c r="BW12" s="1">
        <v>712290.08642268763</v>
      </c>
      <c r="BX12" s="1">
        <v>704984.08359773422</v>
      </c>
      <c r="BY12" s="1">
        <v>691927.53894280863</v>
      </c>
      <c r="BZ12" s="1">
        <v>686264.25662240176</v>
      </c>
      <c r="CA12" s="1">
        <v>687715.16899319715</v>
      </c>
      <c r="CB12" s="1">
        <v>682741.80383248138</v>
      </c>
      <c r="CC12" s="1">
        <v>690423.1884225083</v>
      </c>
      <c r="CD12" s="1">
        <v>692292.16232199641</v>
      </c>
      <c r="CE12" s="1">
        <v>715737.15882210014</v>
      </c>
      <c r="CF12" s="1">
        <v>716820.995927396</v>
      </c>
      <c r="CG12" s="1">
        <v>695711.38641897019</v>
      </c>
      <c r="CH12" s="1">
        <v>699764.03234455152</v>
      </c>
      <c r="CI12" s="1">
        <v>694573.07393519487</v>
      </c>
      <c r="CJ12" s="1">
        <v>677259.69123485149</v>
      </c>
      <c r="CK12" s="1">
        <v>669932.30328584183</v>
      </c>
      <c r="CL12" s="1">
        <v>673378.48679085821</v>
      </c>
      <c r="CM12" s="1">
        <v>668515.72372964851</v>
      </c>
      <c r="CN12" s="1">
        <v>664030.15998013562</v>
      </c>
      <c r="CO12" s="1">
        <v>661828.51781415357</v>
      </c>
      <c r="CP12" s="1">
        <v>663532.72821325867</v>
      </c>
      <c r="CQ12" s="1">
        <v>678062.99131699535</v>
      </c>
      <c r="CR12" s="1">
        <v>661261.1317569674</v>
      </c>
      <c r="CS12" s="1">
        <v>653761.66232937831</v>
      </c>
      <c r="CT12" s="1">
        <v>656352.82578248018</v>
      </c>
      <c r="CU12" s="1">
        <v>639129.05180970614</v>
      </c>
      <c r="CV12" s="1">
        <v>626500.83323956188</v>
      </c>
      <c r="CW12" s="1">
        <v>614165.53537179064</v>
      </c>
      <c r="CX12" s="1">
        <v>600781.10526844673</v>
      </c>
      <c r="CY12" s="1">
        <v>596529.10177283839</v>
      </c>
      <c r="CZ12" s="1">
        <v>605944.55274481873</v>
      </c>
      <c r="DA12" s="1">
        <v>598953.56740857125</v>
      </c>
      <c r="DB12" s="1">
        <v>586527.06916412362</v>
      </c>
      <c r="DC12" s="1">
        <v>619740.49146816367</v>
      </c>
      <c r="DD12" s="1">
        <v>598668.3953420131</v>
      </c>
      <c r="DE12" s="1">
        <v>580754.46330328798</v>
      </c>
      <c r="DF12" s="1">
        <v>560829.68488746462</v>
      </c>
      <c r="DG12" s="1">
        <v>555440.11727013858</v>
      </c>
      <c r="DH12" s="1">
        <v>559320.48829907097</v>
      </c>
      <c r="DI12" s="1">
        <v>555735.17410638987</v>
      </c>
      <c r="DJ12" s="1">
        <v>559650.66676511546</v>
      </c>
      <c r="DK12" s="1">
        <v>562429.95448174793</v>
      </c>
      <c r="DL12" s="1">
        <v>568951.9416542924</v>
      </c>
      <c r="DM12" s="1">
        <v>572249.35547141172</v>
      </c>
      <c r="DN12" s="1">
        <v>584551.9706925787</v>
      </c>
      <c r="DO12" s="1">
        <v>588534.45594178769</v>
      </c>
      <c r="DP12" s="1">
        <v>616705.77930693491</v>
      </c>
      <c r="DQ12" s="1">
        <v>601535.29380652111</v>
      </c>
      <c r="DR12" s="1">
        <v>613603.25801371131</v>
      </c>
      <c r="DS12" s="1">
        <v>610274.47810674482</v>
      </c>
      <c r="DT12" s="1">
        <v>607624.75166038272</v>
      </c>
      <c r="DU12" s="1">
        <v>600404.29649970168</v>
      </c>
      <c r="DV12" s="1">
        <v>599338.73260172119</v>
      </c>
      <c r="DW12" s="1">
        <v>602557.4741488935</v>
      </c>
      <c r="DX12" s="1">
        <v>610988.88503589598</v>
      </c>
      <c r="DY12" s="1">
        <v>612931.98512071744</v>
      </c>
      <c r="DZ12" s="1">
        <v>616418.71868560964</v>
      </c>
      <c r="EA12" s="1">
        <v>646146.37296623609</v>
      </c>
      <c r="EB12" s="1">
        <v>608380.28719917021</v>
      </c>
      <c r="EC12" s="1">
        <v>637866.51269169478</v>
      </c>
      <c r="ED12" s="1">
        <v>630549.57387651654</v>
      </c>
      <c r="EE12" s="1">
        <v>615974.98587658396</v>
      </c>
      <c r="EF12" s="1">
        <v>623540.07191463979</v>
      </c>
      <c r="EG12" s="1">
        <v>625580.77286357956</v>
      </c>
      <c r="EH12" s="1">
        <v>636699.49122797966</v>
      </c>
      <c r="EI12" s="1">
        <v>649318.5949127567</v>
      </c>
      <c r="EJ12" s="1">
        <v>654422.32554671168</v>
      </c>
      <c r="EK12" s="1">
        <v>649226.18674096582</v>
      </c>
      <c r="EL12" s="1">
        <v>645609.33161488199</v>
      </c>
      <c r="EM12" s="1">
        <v>653713.38871197705</v>
      </c>
      <c r="EN12" s="1">
        <v>636909.06330963376</v>
      </c>
      <c r="EO12" s="1">
        <v>662332.26550889644</v>
      </c>
      <c r="EP12" s="1">
        <v>653407.03024930437</v>
      </c>
      <c r="EQ12" s="1">
        <v>648589.69097114075</v>
      </c>
      <c r="ER12" s="1">
        <v>646912.78952056519</v>
      </c>
      <c r="ES12" s="1">
        <v>637195.99656125274</v>
      </c>
      <c r="ET12" s="1">
        <v>641437.55727666663</v>
      </c>
      <c r="EU12" s="1">
        <v>651045.03913821024</v>
      </c>
      <c r="EV12" s="1">
        <v>671429.56415738596</v>
      </c>
      <c r="EW12" s="1">
        <v>683257.47621674067</v>
      </c>
      <c r="EX12" s="1">
        <v>687945.95386274462</v>
      </c>
      <c r="EY12" s="1">
        <v>679453.70109128277</v>
      </c>
      <c r="EZ12" s="1">
        <v>682129.10720856115</v>
      </c>
      <c r="FA12" s="1">
        <v>684066.17336004646</v>
      </c>
      <c r="FB12" s="1">
        <v>671023.88790420536</v>
      </c>
      <c r="FC12" s="1">
        <v>668998.77433848183</v>
      </c>
      <c r="FD12" s="1">
        <v>670183.19103141618</v>
      </c>
      <c r="FE12" s="1">
        <v>661847.81635411736</v>
      </c>
      <c r="FF12" s="1">
        <v>659055.32485509082</v>
      </c>
      <c r="FG12" s="1">
        <v>657660.69189326046</v>
      </c>
      <c r="FH12" s="1">
        <v>671085.82001672045</v>
      </c>
      <c r="FI12" s="1">
        <v>680883.07713818178</v>
      </c>
      <c r="FJ12" s="1">
        <v>696352.8751705687</v>
      </c>
      <c r="FK12" s="1">
        <v>699468.34794101643</v>
      </c>
      <c r="FL12" s="1">
        <v>697037.61565566715</v>
      </c>
      <c r="FM12" s="1">
        <v>727179.06045804988</v>
      </c>
      <c r="FN12" s="1">
        <v>718169.91023887275</v>
      </c>
      <c r="FO12" s="1">
        <v>707962.89130706666</v>
      </c>
      <c r="FP12" s="1">
        <v>699472.15288377984</v>
      </c>
      <c r="FQ12" s="1">
        <v>685037.92078417027</v>
      </c>
      <c r="FR12" s="1">
        <v>675391.80421652913</v>
      </c>
      <c r="FS12" s="1">
        <v>674051.01764299371</v>
      </c>
      <c r="FT12" s="1">
        <v>683289.58532037004</v>
      </c>
      <c r="FU12" s="1">
        <v>705617.80954862526</v>
      </c>
      <c r="FV12" s="1">
        <v>715875.88737619948</v>
      </c>
      <c r="FW12" s="1">
        <v>706384.02073666779</v>
      </c>
      <c r="FX12" s="1">
        <v>719951.74745268212</v>
      </c>
      <c r="FY12" s="1">
        <v>731406.70319539006</v>
      </c>
      <c r="FZ12" s="1">
        <v>739732.99200874171</v>
      </c>
      <c r="GA12" s="1">
        <v>740262.76245823246</v>
      </c>
      <c r="GB12" s="1">
        <v>738859.54423547327</v>
      </c>
      <c r="GC12" s="1">
        <v>724679.53325115901</v>
      </c>
      <c r="GD12" s="1">
        <v>712495.65453513653</v>
      </c>
      <c r="GE12" s="1">
        <v>706006.4027438967</v>
      </c>
      <c r="GF12" s="1">
        <v>705221.66164142615</v>
      </c>
      <c r="GG12" s="1">
        <v>712735.37167874468</v>
      </c>
      <c r="GH12" s="1">
        <v>719913.25022669544</v>
      </c>
      <c r="GI12" s="1">
        <v>720147.86226620642</v>
      </c>
      <c r="GJ12" s="1">
        <v>713541.11974473414</v>
      </c>
      <c r="GK12" s="1">
        <v>728203.95961223182</v>
      </c>
      <c r="GL12" s="1">
        <v>726911.13772689411</v>
      </c>
      <c r="GM12" s="1">
        <v>717578.13666146097</v>
      </c>
      <c r="GN12" s="1">
        <v>724194.19111966062</v>
      </c>
      <c r="GO12" s="1">
        <v>699347.02073859295</v>
      </c>
      <c r="GP12" s="1">
        <v>659197.59543668071</v>
      </c>
      <c r="GQ12" s="1">
        <v>654909.03311989503</v>
      </c>
      <c r="GR12" s="1">
        <v>667706.42429136252</v>
      </c>
      <c r="GS12" s="1">
        <v>683979.97040162864</v>
      </c>
      <c r="GT12" s="1">
        <v>707723.93222551886</v>
      </c>
      <c r="GU12" s="1">
        <v>726763.59346898366</v>
      </c>
      <c r="GV12" s="1">
        <v>717699.0137459978</v>
      </c>
      <c r="GW12" s="1">
        <v>734001.94206139958</v>
      </c>
      <c r="GX12" s="1">
        <v>731273.34872756491</v>
      </c>
      <c r="GY12" s="1">
        <v>720234.73172764597</v>
      </c>
      <c r="GZ12" s="1">
        <v>720618.98951555404</v>
      </c>
      <c r="HA12" s="1" t="str">
        <f t="shared" si="2"/>
        <v/>
      </c>
      <c r="HB12" s="1" t="str">
        <f t="shared" si="2"/>
        <v/>
      </c>
      <c r="HC12" s="1" t="str">
        <f t="shared" si="2"/>
        <v/>
      </c>
      <c r="HD12" s="1" t="str">
        <f t="shared" si="2"/>
        <v/>
      </c>
      <c r="HE12" s="1" t="str">
        <f t="shared" si="2"/>
        <v/>
      </c>
      <c r="HF12" s="1" t="str">
        <f t="shared" si="2"/>
        <v/>
      </c>
      <c r="HG12" s="1" t="str">
        <f t="shared" si="2"/>
        <v/>
      </c>
      <c r="HH12" s="1" t="str">
        <f t="shared" si="2"/>
        <v/>
      </c>
      <c r="HI12" s="1" t="str">
        <f t="shared" si="2"/>
        <v/>
      </c>
      <c r="HJ12" s="1" t="str">
        <f t="shared" si="2"/>
        <v/>
      </c>
      <c r="HK12" s="1" t="str">
        <f t="shared" si="2"/>
        <v/>
      </c>
      <c r="HL12" s="1" t="str">
        <f t="shared" si="2"/>
        <v/>
      </c>
      <c r="HM12" s="1" t="str">
        <f t="shared" si="2"/>
        <v/>
      </c>
      <c r="HN12" s="1" t="str">
        <f t="shared" si="2"/>
        <v/>
      </c>
      <c r="HO12" s="1" t="str">
        <f t="shared" si="2"/>
        <v/>
      </c>
      <c r="HP12" s="1" t="str">
        <f t="shared" si="2"/>
        <v/>
      </c>
      <c r="HQ12" s="1" t="str">
        <f t="shared" si="2"/>
        <v/>
      </c>
      <c r="HR12" s="1" t="str">
        <f t="shared" si="2"/>
        <v/>
      </c>
      <c r="HS12" s="1" t="str">
        <f t="shared" si="2"/>
        <v/>
      </c>
      <c r="HT12" s="1" t="str">
        <f t="shared" si="2"/>
        <v/>
      </c>
      <c r="HU12" s="1" t="str">
        <f t="shared" si="2"/>
        <v/>
      </c>
      <c r="HV12" s="1" t="str">
        <f t="shared" si="2"/>
        <v/>
      </c>
      <c r="HW12" s="1" t="str">
        <f t="shared" si="2"/>
        <v/>
      </c>
      <c r="HX12" s="1" t="str">
        <f t="shared" si="2"/>
        <v/>
      </c>
      <c r="HY12" s="1" t="str">
        <f t="shared" si="2"/>
        <v/>
      </c>
      <c r="HZ12" s="1" t="str">
        <f t="shared" si="2"/>
        <v/>
      </c>
      <c r="IA12" s="1" t="str">
        <f t="shared" si="2"/>
        <v/>
      </c>
      <c r="IB12" s="1" t="str">
        <f t="shared" si="2"/>
        <v/>
      </c>
      <c r="IC12" s="1" t="str">
        <f t="shared" si="2"/>
        <v/>
      </c>
      <c r="ID12" s="1" t="str">
        <f t="shared" si="2"/>
        <v/>
      </c>
      <c r="IE12" s="1" t="str">
        <f t="shared" si="2"/>
        <v/>
      </c>
      <c r="IF12" s="1" t="str">
        <f t="shared" si="2"/>
        <v/>
      </c>
      <c r="IG12" s="1" t="str">
        <f t="shared" si="2"/>
        <v/>
      </c>
      <c r="IH12" s="1" t="str">
        <f t="shared" si="2"/>
        <v/>
      </c>
      <c r="II12" s="1" t="str">
        <f t="shared" si="2"/>
        <v/>
      </c>
      <c r="IJ12" s="1" t="str">
        <f t="shared" si="2"/>
        <v/>
      </c>
      <c r="IK12" s="1" t="str">
        <f t="shared" si="2"/>
        <v/>
      </c>
      <c r="IL12" s="1" t="str">
        <f t="shared" si="2"/>
        <v/>
      </c>
      <c r="IM12" s="1" t="str">
        <f t="shared" si="2"/>
        <v/>
      </c>
      <c r="IN12" s="1" t="str">
        <f t="shared" si="2"/>
        <v/>
      </c>
      <c r="IO12" s="1" t="str">
        <f t="shared" si="2"/>
        <v/>
      </c>
      <c r="IP12" s="1" t="str">
        <f t="shared" si="2"/>
        <v/>
      </c>
      <c r="IQ12" s="1" t="str">
        <f t="shared" si="2"/>
        <v/>
      </c>
      <c r="IR12" s="1" t="str">
        <f t="shared" si="2"/>
        <v/>
      </c>
      <c r="IS12" s="1" t="str">
        <f t="shared" si="2"/>
        <v/>
      </c>
      <c r="IT12" s="1" t="str">
        <f t="shared" si="2"/>
        <v/>
      </c>
      <c r="IU12" s="1" t="str">
        <f t="shared" si="2"/>
        <v/>
      </c>
      <c r="IV12" s="1" t="str">
        <f t="shared" si="2"/>
        <v/>
      </c>
      <c r="IW12" s="1" t="str">
        <f t="shared" si="2"/>
        <v/>
      </c>
      <c r="IX12" s="1" t="str">
        <f t="shared" si="2"/>
        <v/>
      </c>
      <c r="IY12" s="1" t="str">
        <f t="shared" si="2"/>
        <v/>
      </c>
      <c r="IZ12" s="1" t="str">
        <f t="shared" si="2"/>
        <v/>
      </c>
      <c r="JA12" s="1" t="str">
        <f t="shared" si="2"/>
        <v/>
      </c>
      <c r="JB12" s="1" t="str">
        <f t="shared" si="2"/>
        <v/>
      </c>
      <c r="JC12" s="1" t="str">
        <f t="shared" si="2"/>
        <v/>
      </c>
      <c r="JD12" s="1" t="str">
        <f t="shared" si="2"/>
        <v/>
      </c>
      <c r="JE12" s="1" t="str">
        <f t="shared" si="2"/>
        <v/>
      </c>
      <c r="JF12" s="1" t="str">
        <f t="shared" si="2"/>
        <v/>
      </c>
      <c r="JG12" s="1" t="str">
        <f t="shared" si="2"/>
        <v/>
      </c>
      <c r="JH12" s="1" t="str">
        <f t="shared" si="2"/>
        <v/>
      </c>
      <c r="LY12" s="1"/>
    </row>
    <row r="13" spans="1:337" x14ac:dyDescent="0.25">
      <c r="A13" s="5">
        <v>11</v>
      </c>
      <c r="B13" s="1">
        <v>637109.47585747973</v>
      </c>
      <c r="C13" s="1">
        <v>621179.88397185318</v>
      </c>
      <c r="D13" s="1">
        <v>625045.52616954455</v>
      </c>
      <c r="E13" s="1">
        <v>633000.17615991039</v>
      </c>
      <c r="F13" s="1">
        <v>636036.52014782582</v>
      </c>
      <c r="G13" s="1">
        <v>638238.87382364576</v>
      </c>
      <c r="H13" s="1">
        <v>647432.67955806409</v>
      </c>
      <c r="I13" s="1">
        <v>659055.13262101589</v>
      </c>
      <c r="J13" s="1">
        <v>676210.25957566383</v>
      </c>
      <c r="K13" s="1">
        <v>673126.93220544478</v>
      </c>
      <c r="L13" s="1">
        <v>670841.35505068302</v>
      </c>
      <c r="M13" s="1">
        <v>672430.12213576282</v>
      </c>
      <c r="N13" s="1">
        <v>680615.98217089497</v>
      </c>
      <c r="O13" s="1">
        <v>665294.38420715416</v>
      </c>
      <c r="P13" s="1">
        <v>663568.41551271558</v>
      </c>
      <c r="Q13" s="1">
        <v>670077.72854810779</v>
      </c>
      <c r="R13" s="1">
        <v>676952.25781340175</v>
      </c>
      <c r="S13" s="1">
        <v>686466.85578534007</v>
      </c>
      <c r="T13" s="1">
        <v>703372.95435546292</v>
      </c>
      <c r="U13" s="1">
        <v>729633.75754460669</v>
      </c>
      <c r="V13" s="1">
        <v>742078.96896826208</v>
      </c>
      <c r="W13" s="1">
        <v>736887.35024138913</v>
      </c>
      <c r="X13" s="1">
        <v>734286.90706106112</v>
      </c>
      <c r="Y13" s="1">
        <v>742562.03053150256</v>
      </c>
      <c r="Z13" s="1">
        <v>751157.73534415755</v>
      </c>
      <c r="AA13" s="1">
        <v>743274.23859267659</v>
      </c>
      <c r="AB13" s="1">
        <v>736318.87041959306</v>
      </c>
      <c r="AC13" s="1">
        <v>745793.22792088287</v>
      </c>
      <c r="AD13" s="1">
        <v>746036.53769851441</v>
      </c>
      <c r="AE13" s="1">
        <v>750373.37660802738</v>
      </c>
      <c r="AF13" s="1">
        <v>749810.39805808035</v>
      </c>
      <c r="AG13" s="1">
        <v>754870.37150981743</v>
      </c>
      <c r="AH13" s="1">
        <v>761363.85071351053</v>
      </c>
      <c r="AI13" s="1">
        <v>757493.62397944927</v>
      </c>
      <c r="AJ13" s="1">
        <v>756662.11897413339</v>
      </c>
      <c r="AK13" s="1">
        <v>762290.04141378542</v>
      </c>
      <c r="AL13" s="1">
        <v>771533.9596154599</v>
      </c>
      <c r="AM13" s="1">
        <v>766549.24894436914</v>
      </c>
      <c r="AN13" s="1">
        <v>765101.71556800487</v>
      </c>
      <c r="AO13" s="1">
        <v>774643.46357950533</v>
      </c>
      <c r="AP13" s="1">
        <v>780003.55010354728</v>
      </c>
      <c r="AQ13" s="1">
        <v>784799.61607416137</v>
      </c>
      <c r="AR13" s="1">
        <v>789097.77467182069</v>
      </c>
      <c r="AS13" s="1">
        <v>797135.0799846556</v>
      </c>
      <c r="AT13" s="1">
        <v>802578.36467391625</v>
      </c>
      <c r="AU13" s="1">
        <v>800137.83603174496</v>
      </c>
      <c r="AV13" s="1">
        <v>803703.73977912194</v>
      </c>
      <c r="AW13" s="1">
        <v>808453.07978132402</v>
      </c>
      <c r="AX13" s="1">
        <v>815799.29960243776</v>
      </c>
      <c r="AY13" s="1">
        <v>804973.73755709897</v>
      </c>
      <c r="AZ13" s="1">
        <v>795480.82926040888</v>
      </c>
      <c r="BA13" s="1">
        <v>794117.98648014315</v>
      </c>
      <c r="BB13" s="1">
        <v>794152.31657760195</v>
      </c>
      <c r="BC13" s="1">
        <v>789362.74993362767</v>
      </c>
      <c r="BD13" s="1">
        <v>783720.30480743165</v>
      </c>
      <c r="BE13" s="1">
        <v>771875.68167559919</v>
      </c>
      <c r="BF13" s="1">
        <v>754299.11087975069</v>
      </c>
      <c r="BG13" s="1">
        <v>750777.84545909055</v>
      </c>
      <c r="BH13" s="1">
        <v>753360.34982588678</v>
      </c>
      <c r="BI13" s="1">
        <v>716681.95170206809</v>
      </c>
      <c r="BJ13" s="1">
        <v>701745.28650631162</v>
      </c>
      <c r="BK13" s="1">
        <v>678761.02909882483</v>
      </c>
      <c r="BL13" s="1">
        <v>650862.76667821023</v>
      </c>
      <c r="BM13" s="1">
        <v>634738.66044618143</v>
      </c>
      <c r="BN13" s="1">
        <v>646162.26575102378</v>
      </c>
      <c r="BO13" s="1">
        <v>655496.50676524267</v>
      </c>
      <c r="BP13" s="1">
        <v>682963.67254837696</v>
      </c>
      <c r="BQ13" s="1">
        <v>689989.3130024604</v>
      </c>
      <c r="BR13" s="1">
        <v>705623.67804956832</v>
      </c>
      <c r="BS13" s="1">
        <v>744581.46765320655</v>
      </c>
      <c r="BT13" s="1">
        <v>724612.00079268031</v>
      </c>
      <c r="BU13" s="1">
        <v>708858.84934075107</v>
      </c>
      <c r="BV13" s="1">
        <v>722275.95513586467</v>
      </c>
      <c r="BW13" s="1">
        <v>706316.02060088562</v>
      </c>
      <c r="BX13" s="1">
        <v>695468.56624627323</v>
      </c>
      <c r="BY13" s="1">
        <v>692364.21784960222</v>
      </c>
      <c r="BZ13" s="1">
        <v>685030.57067326491</v>
      </c>
      <c r="CA13" s="1">
        <v>686215.65630529262</v>
      </c>
      <c r="CB13" s="1">
        <v>687276.96319333091</v>
      </c>
      <c r="CC13" s="1">
        <v>694473.98172069015</v>
      </c>
      <c r="CD13" s="1">
        <v>697001.14003135473</v>
      </c>
      <c r="CE13" s="1">
        <v>710192.91872671526</v>
      </c>
      <c r="CF13" s="1">
        <v>716163.26744503737</v>
      </c>
      <c r="CG13" s="1">
        <v>696833.16237578006</v>
      </c>
      <c r="CH13" s="1">
        <v>692920.38364342297</v>
      </c>
      <c r="CI13" s="1">
        <v>689916.17783916718</v>
      </c>
      <c r="CJ13" s="1">
        <v>668642.51065713004</v>
      </c>
      <c r="CK13" s="1">
        <v>667429.39012747514</v>
      </c>
      <c r="CL13" s="1">
        <v>671719.13642512669</v>
      </c>
      <c r="CM13" s="1">
        <v>668352.84703932935</v>
      </c>
      <c r="CN13" s="1">
        <v>668027.12815420993</v>
      </c>
      <c r="CO13" s="1">
        <v>663877.28160853218</v>
      </c>
      <c r="CP13" s="1">
        <v>666728.6259110386</v>
      </c>
      <c r="CQ13" s="1">
        <v>676385.12380465074</v>
      </c>
      <c r="CR13" s="1">
        <v>659327.91504116822</v>
      </c>
      <c r="CS13" s="1">
        <v>647222.75816550525</v>
      </c>
      <c r="CT13" s="1">
        <v>650503.54310328956</v>
      </c>
      <c r="CU13" s="1">
        <v>634269.20312699443</v>
      </c>
      <c r="CV13" s="1">
        <v>616552.49626275245</v>
      </c>
      <c r="CW13" s="1">
        <v>609654.54937383113</v>
      </c>
      <c r="CX13" s="1">
        <v>598639.67581520067</v>
      </c>
      <c r="CY13" s="1">
        <v>594693.29836427211</v>
      </c>
      <c r="CZ13" s="1">
        <v>608223.69475353439</v>
      </c>
      <c r="DA13" s="1">
        <v>601818.57545528049</v>
      </c>
      <c r="DB13" s="1">
        <v>587779.68795251811</v>
      </c>
      <c r="DC13" s="1">
        <v>610650.47992648021</v>
      </c>
      <c r="DD13" s="1">
        <v>609831.30065088649</v>
      </c>
      <c r="DE13" s="1">
        <v>567275.09684633568</v>
      </c>
      <c r="DF13" s="1">
        <v>546337.34670912067</v>
      </c>
      <c r="DG13" s="1">
        <v>549511.37857779069</v>
      </c>
      <c r="DH13" s="1">
        <v>548697.58802282251</v>
      </c>
      <c r="DI13" s="1">
        <v>552853.70247730357</v>
      </c>
      <c r="DJ13" s="1">
        <v>557769.61828804878</v>
      </c>
      <c r="DK13" s="1">
        <v>561154.01655295934</v>
      </c>
      <c r="DL13" s="1">
        <v>573646.84881553333</v>
      </c>
      <c r="DM13" s="1">
        <v>577190.70843116194</v>
      </c>
      <c r="DN13" s="1">
        <v>588115.13679124322</v>
      </c>
      <c r="DO13" s="1">
        <v>583683.38984124304</v>
      </c>
      <c r="DP13" s="1">
        <v>628353.60964962956</v>
      </c>
      <c r="DQ13" s="1">
        <v>597988.33751074038</v>
      </c>
      <c r="DR13" s="1">
        <v>602233.52843869221</v>
      </c>
      <c r="DS13" s="1">
        <v>608713.74066893104</v>
      </c>
      <c r="DT13" s="1">
        <v>601868.41386530502</v>
      </c>
      <c r="DU13" s="1">
        <v>598890.9893234612</v>
      </c>
      <c r="DV13" s="1">
        <v>599765.07201505522</v>
      </c>
      <c r="DW13" s="1">
        <v>605096.5474074278</v>
      </c>
      <c r="DX13" s="1">
        <v>617398.90372037247</v>
      </c>
      <c r="DY13" s="1">
        <v>619513.71939671831</v>
      </c>
      <c r="DZ13" s="1">
        <v>620388.12848206307</v>
      </c>
      <c r="EA13" s="1">
        <v>646860.50341910473</v>
      </c>
      <c r="EB13" s="1">
        <v>622486.10855806991</v>
      </c>
      <c r="EC13" s="1">
        <v>624346.4444876014</v>
      </c>
      <c r="ED13" s="1">
        <v>622244.12233125186</v>
      </c>
      <c r="EE13" s="1">
        <v>615908.88585442596</v>
      </c>
      <c r="EF13" s="1">
        <v>616076.87950488948</v>
      </c>
      <c r="EG13" s="1">
        <v>626216.84110895358</v>
      </c>
      <c r="EH13" s="1">
        <v>639417.88400831074</v>
      </c>
      <c r="EI13" s="1">
        <v>653770.39291132381</v>
      </c>
      <c r="EJ13" s="1">
        <v>662951.58252867754</v>
      </c>
      <c r="EK13" s="1">
        <v>657397.40086285886</v>
      </c>
      <c r="EL13" s="1">
        <v>646746.85219116951</v>
      </c>
      <c r="EM13" s="1">
        <v>648230.99427156639</v>
      </c>
      <c r="EN13" s="1">
        <v>646059.05919318541</v>
      </c>
      <c r="EO13" s="1">
        <v>647040.06676281593</v>
      </c>
      <c r="EP13" s="1">
        <v>648416.00463643856</v>
      </c>
      <c r="EQ13" s="1">
        <v>649951.91621765064</v>
      </c>
      <c r="ER13" s="1">
        <v>638539.43125847168</v>
      </c>
      <c r="ES13" s="1">
        <v>637821.01966054132</v>
      </c>
      <c r="ET13" s="1">
        <v>644434.52790541342</v>
      </c>
      <c r="EU13" s="1">
        <v>657083.97623358376</v>
      </c>
      <c r="EV13" s="1">
        <v>682410.00590367499</v>
      </c>
      <c r="EW13" s="1">
        <v>694048.66407221835</v>
      </c>
      <c r="EX13" s="1">
        <v>689162.75424324558</v>
      </c>
      <c r="EY13" s="1">
        <v>672905.23502864363</v>
      </c>
      <c r="EZ13" s="1">
        <v>692892.67371926131</v>
      </c>
      <c r="FA13" s="1">
        <v>671368.23617470707</v>
      </c>
      <c r="FB13" s="1">
        <v>665746.17072646949</v>
      </c>
      <c r="FC13" s="1">
        <v>670007.71289275761</v>
      </c>
      <c r="FD13" s="1">
        <v>663042.2253350328</v>
      </c>
      <c r="FE13" s="1">
        <v>662033.00976181077</v>
      </c>
      <c r="FF13" s="1">
        <v>660343.81443339214</v>
      </c>
      <c r="FG13" s="1">
        <v>662286.21055159892</v>
      </c>
      <c r="FH13" s="1">
        <v>681157.46931343246</v>
      </c>
      <c r="FI13" s="1">
        <v>693062.23082816193</v>
      </c>
      <c r="FJ13" s="1">
        <v>698443.84257973207</v>
      </c>
      <c r="FK13" s="1">
        <v>694707.5002142241</v>
      </c>
      <c r="FL13" s="1">
        <v>709139.79795415793</v>
      </c>
      <c r="FM13" s="1">
        <v>716934.88998635462</v>
      </c>
      <c r="FN13" s="1">
        <v>715136.17384192883</v>
      </c>
      <c r="FO13" s="1">
        <v>708013.5878443534</v>
      </c>
      <c r="FP13" s="1">
        <v>692567.12497555627</v>
      </c>
      <c r="FQ13" s="1">
        <v>683612.42442634306</v>
      </c>
      <c r="FR13" s="1">
        <v>675910.55170062906</v>
      </c>
      <c r="FS13" s="1">
        <v>676748.11737506045</v>
      </c>
      <c r="FT13" s="1">
        <v>692237.67915684753</v>
      </c>
      <c r="FU13" s="1">
        <v>717637.62357169006</v>
      </c>
      <c r="FV13" s="1">
        <v>722708.78856039047</v>
      </c>
      <c r="FW13" s="1">
        <v>698885.36493090843</v>
      </c>
      <c r="FX13" s="1">
        <v>730723.68437053973</v>
      </c>
      <c r="FY13" s="1">
        <v>724283.30351239222</v>
      </c>
      <c r="FZ13" s="1">
        <v>733845.67106306273</v>
      </c>
      <c r="GA13" s="1">
        <v>744263.0308362802</v>
      </c>
      <c r="GB13" s="1">
        <v>731747.63169491547</v>
      </c>
      <c r="GC13" s="1">
        <v>722495.19083943812</v>
      </c>
      <c r="GD13" s="1">
        <v>712860.13306237455</v>
      </c>
      <c r="GE13" s="1">
        <v>707908.85865321511</v>
      </c>
      <c r="GF13" s="1">
        <v>712101.22840633162</v>
      </c>
      <c r="GG13" s="1">
        <v>721443.92261214671</v>
      </c>
      <c r="GH13" s="1">
        <v>722608.9561907273</v>
      </c>
      <c r="GI13" s="1">
        <v>714756.19351255707</v>
      </c>
      <c r="GJ13" s="1">
        <v>720309.57197624561</v>
      </c>
      <c r="GK13" s="1">
        <v>725347.37415806029</v>
      </c>
      <c r="GL13" s="1">
        <v>723867.37005679985</v>
      </c>
      <c r="GM13" s="1">
        <v>718780.91708782734</v>
      </c>
      <c r="GN13" s="1">
        <v>715718.71188041894</v>
      </c>
      <c r="GO13" s="1">
        <v>698963.23420001403</v>
      </c>
      <c r="GP13" s="1">
        <v>653481.28372070706</v>
      </c>
      <c r="GQ13" s="1">
        <v>648256.79537748219</v>
      </c>
      <c r="GR13" s="1">
        <v>672481.08762313006</v>
      </c>
      <c r="GS13" s="1">
        <v>693818.80664412258</v>
      </c>
      <c r="GT13" s="1">
        <v>712028.87755095307</v>
      </c>
      <c r="GU13" s="1">
        <v>721531.98441975238</v>
      </c>
      <c r="GV13" s="1">
        <v>729428.37769050337</v>
      </c>
      <c r="GW13" s="1">
        <v>727278.73170530761</v>
      </c>
      <c r="GX13" s="1">
        <v>729409.20713376126</v>
      </c>
      <c r="GY13" s="1">
        <v>722644.31002086215</v>
      </c>
      <c r="GZ13" s="1">
        <v>710740.35369436897</v>
      </c>
      <c r="HA13" s="1" t="str">
        <f t="shared" si="2"/>
        <v/>
      </c>
      <c r="HB13" s="1" t="str">
        <f t="shared" si="2"/>
        <v/>
      </c>
      <c r="HC13" s="1" t="str">
        <f t="shared" si="2"/>
        <v/>
      </c>
      <c r="HD13" s="1" t="str">
        <f t="shared" si="2"/>
        <v/>
      </c>
      <c r="HE13" s="1" t="str">
        <f t="shared" si="2"/>
        <v/>
      </c>
      <c r="HF13" s="1" t="str">
        <f t="shared" si="2"/>
        <v/>
      </c>
      <c r="HG13" s="1" t="str">
        <f t="shared" si="2"/>
        <v/>
      </c>
      <c r="HH13" s="1" t="str">
        <f t="shared" si="2"/>
        <v/>
      </c>
      <c r="HI13" s="1" t="str">
        <f t="shared" si="2"/>
        <v/>
      </c>
      <c r="HJ13" s="1" t="str">
        <f t="shared" si="2"/>
        <v/>
      </c>
      <c r="HK13" s="1" t="str">
        <f t="shared" si="2"/>
        <v/>
      </c>
      <c r="HL13" s="1" t="str">
        <f t="shared" si="2"/>
        <v/>
      </c>
      <c r="HM13" s="1" t="str">
        <f t="shared" si="2"/>
        <v/>
      </c>
      <c r="HN13" s="1" t="str">
        <f t="shared" si="2"/>
        <v/>
      </c>
      <c r="HO13" s="1" t="str">
        <f t="shared" si="2"/>
        <v/>
      </c>
      <c r="HP13" s="1" t="str">
        <f t="shared" si="2"/>
        <v/>
      </c>
      <c r="HQ13" s="1" t="str">
        <f t="shared" si="2"/>
        <v/>
      </c>
      <c r="HR13" s="1" t="str">
        <f t="shared" si="2"/>
        <v/>
      </c>
      <c r="HS13" s="1" t="str">
        <f t="shared" si="2"/>
        <v/>
      </c>
      <c r="HT13" s="1" t="str">
        <f t="shared" si="2"/>
        <v/>
      </c>
      <c r="HU13" s="1" t="str">
        <f t="shared" si="2"/>
        <v/>
      </c>
      <c r="HV13" s="1" t="str">
        <f t="shared" si="2"/>
        <v/>
      </c>
      <c r="HW13" s="1" t="str">
        <f t="shared" si="2"/>
        <v/>
      </c>
      <c r="HX13" s="1" t="str">
        <f t="shared" si="2"/>
        <v/>
      </c>
      <c r="HY13" s="1" t="str">
        <f t="shared" si="2"/>
        <v/>
      </c>
      <c r="HZ13" s="1" t="str">
        <f t="shared" si="2"/>
        <v/>
      </c>
      <c r="IA13" s="1" t="str">
        <f t="shared" si="2"/>
        <v/>
      </c>
      <c r="IB13" s="1" t="str">
        <f t="shared" si="2"/>
        <v/>
      </c>
      <c r="IC13" s="1" t="str">
        <f t="shared" si="2"/>
        <v/>
      </c>
      <c r="ID13" s="1" t="str">
        <f t="shared" si="2"/>
        <v/>
      </c>
      <c r="IE13" s="1" t="str">
        <f t="shared" si="2"/>
        <v/>
      </c>
      <c r="IF13" s="1" t="str">
        <f t="shared" si="2"/>
        <v/>
      </c>
      <c r="IG13" s="1" t="str">
        <f t="shared" si="2"/>
        <v/>
      </c>
      <c r="IH13" s="1" t="str">
        <f t="shared" si="2"/>
        <v/>
      </c>
      <c r="II13" s="1" t="str">
        <f t="shared" si="2"/>
        <v/>
      </c>
      <c r="IJ13" s="1" t="str">
        <f t="shared" si="2"/>
        <v/>
      </c>
      <c r="IK13" s="1" t="str">
        <f t="shared" si="2"/>
        <v/>
      </c>
      <c r="IL13" s="1" t="str">
        <f t="shared" si="2"/>
        <v/>
      </c>
      <c r="IM13" s="1" t="str">
        <f t="shared" si="2"/>
        <v/>
      </c>
      <c r="IN13" s="1" t="str">
        <f t="shared" si="2"/>
        <v/>
      </c>
      <c r="IO13" s="1" t="str">
        <f t="shared" si="2"/>
        <v/>
      </c>
      <c r="IP13" s="1" t="str">
        <f t="shared" si="2"/>
        <v/>
      </c>
      <c r="IQ13" s="1" t="str">
        <f t="shared" si="2"/>
        <v/>
      </c>
      <c r="IR13" s="1" t="str">
        <f t="shared" si="2"/>
        <v/>
      </c>
      <c r="IS13" s="1" t="str">
        <f t="shared" si="2"/>
        <v/>
      </c>
      <c r="IT13" s="1" t="str">
        <f t="shared" si="2"/>
        <v/>
      </c>
      <c r="IU13" s="1" t="str">
        <f t="shared" si="2"/>
        <v/>
      </c>
      <c r="IV13" s="1" t="str">
        <f t="shared" si="2"/>
        <v/>
      </c>
      <c r="IW13" s="1" t="str">
        <f t="shared" si="2"/>
        <v/>
      </c>
      <c r="IX13" s="1" t="str">
        <f t="shared" si="2"/>
        <v/>
      </c>
      <c r="IY13" s="1" t="str">
        <f t="shared" si="2"/>
        <v/>
      </c>
      <c r="IZ13" s="1" t="str">
        <f t="shared" si="2"/>
        <v/>
      </c>
      <c r="JA13" s="1" t="str">
        <f t="shared" si="2"/>
        <v/>
      </c>
      <c r="JB13" s="1" t="str">
        <f t="shared" si="2"/>
        <v/>
      </c>
      <c r="JC13" s="1" t="str">
        <f t="shared" si="2"/>
        <v/>
      </c>
      <c r="JD13" s="1" t="str">
        <f t="shared" si="2"/>
        <v/>
      </c>
      <c r="JE13" s="1" t="str">
        <f t="shared" si="2"/>
        <v/>
      </c>
      <c r="JF13" s="1" t="str">
        <f t="shared" si="2"/>
        <v/>
      </c>
      <c r="JG13" s="1" t="str">
        <f t="shared" si="2"/>
        <v/>
      </c>
      <c r="JH13" s="1" t="str">
        <f t="shared" si="2"/>
        <v/>
      </c>
      <c r="LY13" s="1"/>
    </row>
    <row r="14" spans="1:337" x14ac:dyDescent="0.25">
      <c r="A14" s="5">
        <v>12</v>
      </c>
      <c r="B14" s="1">
        <v>620725.35411928012</v>
      </c>
      <c r="C14" s="1">
        <v>624064.96181344567</v>
      </c>
      <c r="D14" s="1">
        <v>632634.30939899629</v>
      </c>
      <c r="E14" s="1">
        <v>636153.63866542466</v>
      </c>
      <c r="F14" s="1">
        <v>638048.86903611349</v>
      </c>
      <c r="G14" s="1">
        <v>646225.71808382589</v>
      </c>
      <c r="H14" s="1">
        <v>655787.26407424244</v>
      </c>
      <c r="I14" s="1">
        <v>669259.42673841096</v>
      </c>
      <c r="J14" s="1">
        <v>673602.77409122908</v>
      </c>
      <c r="K14" s="1">
        <v>672118.57102538319</v>
      </c>
      <c r="L14" s="1">
        <v>673639.46900886996</v>
      </c>
      <c r="M14" s="1">
        <v>674919.48431714391</v>
      </c>
      <c r="N14" s="1">
        <v>671356.76587914594</v>
      </c>
      <c r="O14" s="1">
        <v>664487.65628498688</v>
      </c>
      <c r="P14" s="1">
        <v>670050.82424150093</v>
      </c>
      <c r="Q14" s="1">
        <v>673844.62770410138</v>
      </c>
      <c r="R14" s="1">
        <v>681484.15811672923</v>
      </c>
      <c r="S14" s="1">
        <v>694624.6656216844</v>
      </c>
      <c r="T14" s="1">
        <v>713977.25355061237</v>
      </c>
      <c r="U14" s="1">
        <v>742105.11118473718</v>
      </c>
      <c r="V14" s="1">
        <v>740859.94663099712</v>
      </c>
      <c r="W14" s="1">
        <v>733641.34411604062</v>
      </c>
      <c r="X14" s="1">
        <v>738807.793678927</v>
      </c>
      <c r="Y14" s="1">
        <v>745344.12940299558</v>
      </c>
      <c r="Z14" s="1">
        <v>745273.61684397969</v>
      </c>
      <c r="AA14" s="1">
        <v>737664.80804041552</v>
      </c>
      <c r="AB14" s="1">
        <v>742914.6815218355</v>
      </c>
      <c r="AC14" s="1">
        <v>751803.53119150072</v>
      </c>
      <c r="AD14" s="1">
        <v>750304.21483211545</v>
      </c>
      <c r="AE14" s="1">
        <v>759067.53839985433</v>
      </c>
      <c r="AF14" s="1">
        <v>759531.3564328826</v>
      </c>
      <c r="AG14" s="1">
        <v>764877.11905870668</v>
      </c>
      <c r="AH14" s="1">
        <v>759222.29086669581</v>
      </c>
      <c r="AI14" s="1">
        <v>756085.30992502882</v>
      </c>
      <c r="AJ14" s="1">
        <v>760737.19972427422</v>
      </c>
      <c r="AK14" s="1">
        <v>765351.56662233116</v>
      </c>
      <c r="AL14" s="1">
        <v>766176.0502903806</v>
      </c>
      <c r="AM14" s="1">
        <v>763536.47463385866</v>
      </c>
      <c r="AN14" s="1">
        <v>771920.70255655749</v>
      </c>
      <c r="AO14" s="1">
        <v>779672.28221760201</v>
      </c>
      <c r="AP14" s="1">
        <v>784786.03817543876</v>
      </c>
      <c r="AQ14" s="1">
        <v>793714.88018580223</v>
      </c>
      <c r="AR14" s="1">
        <v>798494.14807529713</v>
      </c>
      <c r="AS14" s="1">
        <v>805783.06309969653</v>
      </c>
      <c r="AT14" s="1">
        <v>799364.99938686087</v>
      </c>
      <c r="AU14" s="1">
        <v>798930.09667926142</v>
      </c>
      <c r="AV14" s="1">
        <v>808146.06913366797</v>
      </c>
      <c r="AW14" s="1">
        <v>811572.47937370162</v>
      </c>
      <c r="AX14" s="1">
        <v>810621.76653965563</v>
      </c>
      <c r="AY14" s="1">
        <v>800834.51026457478</v>
      </c>
      <c r="AZ14" s="1">
        <v>801580.83514218708</v>
      </c>
      <c r="BA14" s="1">
        <v>798235.81698523671</v>
      </c>
      <c r="BB14" s="1">
        <v>797640.41452353727</v>
      </c>
      <c r="BC14" s="1">
        <v>794279.32107800292</v>
      </c>
      <c r="BD14" s="1">
        <v>790039.10512685799</v>
      </c>
      <c r="BE14" s="1">
        <v>775840.44605102856</v>
      </c>
      <c r="BF14" s="1">
        <v>748148.32537454693</v>
      </c>
      <c r="BG14" s="1">
        <v>745558.63714062097</v>
      </c>
      <c r="BH14" s="1">
        <v>754805.67311575986</v>
      </c>
      <c r="BI14" s="1">
        <v>711382.6711559922</v>
      </c>
      <c r="BJ14" s="1">
        <v>689722.95285059663</v>
      </c>
      <c r="BK14" s="1">
        <v>669803.22007162496</v>
      </c>
      <c r="BL14" s="1">
        <v>647570.18356525106</v>
      </c>
      <c r="BM14" s="1">
        <v>630132.77957190666</v>
      </c>
      <c r="BN14" s="1">
        <v>641523.19601737685</v>
      </c>
      <c r="BO14" s="1">
        <v>656021.70802566316</v>
      </c>
      <c r="BP14" s="1">
        <v>685516.22452900349</v>
      </c>
      <c r="BQ14" s="1">
        <v>695302.10246729502</v>
      </c>
      <c r="BR14" s="1">
        <v>699957.32301893528</v>
      </c>
      <c r="BS14" s="1">
        <v>748744.19110101217</v>
      </c>
      <c r="BT14" s="1">
        <v>727395.7053936657</v>
      </c>
      <c r="BU14" s="1">
        <v>706296.64370244485</v>
      </c>
      <c r="BV14" s="1">
        <v>714584.18825194123</v>
      </c>
      <c r="BW14" s="1">
        <v>697835.49479914724</v>
      </c>
      <c r="BX14" s="1">
        <v>696229.83265870321</v>
      </c>
      <c r="BY14" s="1">
        <v>691405.44646162703</v>
      </c>
      <c r="BZ14" s="1">
        <v>683662.15950677334</v>
      </c>
      <c r="CA14" s="1">
        <v>690895.11018049438</v>
      </c>
      <c r="CB14" s="1">
        <v>690906.71696907911</v>
      </c>
      <c r="CC14" s="1">
        <v>698864.48242590693</v>
      </c>
      <c r="CD14" s="1">
        <v>692428.64281636127</v>
      </c>
      <c r="CE14" s="1">
        <v>712450.48100553523</v>
      </c>
      <c r="CF14" s="1">
        <v>715995.82932032854</v>
      </c>
      <c r="CG14" s="1">
        <v>690068.54174004553</v>
      </c>
      <c r="CH14" s="1">
        <v>687650.83064656041</v>
      </c>
      <c r="CI14" s="1">
        <v>681004.42741158151</v>
      </c>
      <c r="CJ14" s="1">
        <v>666550.42728590383</v>
      </c>
      <c r="CK14" s="1">
        <v>665741.49616632797</v>
      </c>
      <c r="CL14" s="1">
        <v>671704.31729446398</v>
      </c>
      <c r="CM14" s="1">
        <v>672548.40041556675</v>
      </c>
      <c r="CN14" s="1">
        <v>669917.67750979378</v>
      </c>
      <c r="CO14" s="1">
        <v>668358.32326546288</v>
      </c>
      <c r="CP14" s="1">
        <v>661602.32184522029</v>
      </c>
      <c r="CQ14" s="1">
        <v>679935.54537045397</v>
      </c>
      <c r="CR14" s="1">
        <v>657435.63557530823</v>
      </c>
      <c r="CS14" s="1">
        <v>640735.08195058885</v>
      </c>
      <c r="CT14" s="1">
        <v>646045.98471181979</v>
      </c>
      <c r="CU14" s="1">
        <v>624324.56075480988</v>
      </c>
      <c r="CV14" s="1">
        <v>612654.00535804534</v>
      </c>
      <c r="CW14" s="1">
        <v>606772.08587422292</v>
      </c>
      <c r="CX14" s="1">
        <v>596881.81145767658</v>
      </c>
      <c r="CY14" s="1">
        <v>597742.01328092255</v>
      </c>
      <c r="CZ14" s="1">
        <v>611242.56516177626</v>
      </c>
      <c r="DA14" s="1">
        <v>602652.38187827519</v>
      </c>
      <c r="DB14" s="1">
        <v>581898.73361216905</v>
      </c>
      <c r="DC14" s="1">
        <v>625328.60642023163</v>
      </c>
      <c r="DD14" s="1">
        <v>596542.08454067702</v>
      </c>
      <c r="DE14" s="1">
        <v>551962.41517860512</v>
      </c>
      <c r="DF14" s="1">
        <v>541887.93868025718</v>
      </c>
      <c r="DG14" s="1">
        <v>540079.31805884466</v>
      </c>
      <c r="DH14" s="1">
        <v>546019.65043555771</v>
      </c>
      <c r="DI14" s="1">
        <v>551850.43610988848</v>
      </c>
      <c r="DJ14" s="1">
        <v>556268.29459415167</v>
      </c>
      <c r="DK14" s="1">
        <v>565069.99708713754</v>
      </c>
      <c r="DL14" s="1">
        <v>578665.06022508629</v>
      </c>
      <c r="DM14" s="1">
        <v>580627.5096054906</v>
      </c>
      <c r="DN14" s="1">
        <v>586598.92957745935</v>
      </c>
      <c r="DO14" s="1">
        <v>597118.29290428793</v>
      </c>
      <c r="DP14" s="1">
        <v>628188.86675991141</v>
      </c>
      <c r="DQ14" s="1">
        <v>585055.84236298047</v>
      </c>
      <c r="DR14" s="1">
        <v>600882.99080323265</v>
      </c>
      <c r="DS14" s="1">
        <v>601427.72327724402</v>
      </c>
      <c r="DT14" s="1">
        <v>600236.1160906381</v>
      </c>
      <c r="DU14" s="1">
        <v>599312.24724388542</v>
      </c>
      <c r="DV14" s="1">
        <v>602137.45006028784</v>
      </c>
      <c r="DW14" s="1">
        <v>611161.76870791032</v>
      </c>
      <c r="DX14" s="1">
        <v>624093.49479539599</v>
      </c>
      <c r="DY14" s="1">
        <v>624728.82698491914</v>
      </c>
      <c r="DZ14" s="1">
        <v>616077.31812743517</v>
      </c>
      <c r="EA14" s="1">
        <v>655554.51111513865</v>
      </c>
      <c r="EB14" s="1">
        <v>611814.01382458466</v>
      </c>
      <c r="EC14" s="1">
        <v>615667.87350275507</v>
      </c>
      <c r="ED14" s="1">
        <v>623034.34719374508</v>
      </c>
      <c r="EE14" s="1">
        <v>608536.16424802528</v>
      </c>
      <c r="EF14" s="1">
        <v>616473.46221457911</v>
      </c>
      <c r="EG14" s="1">
        <v>628518.83229278075</v>
      </c>
      <c r="EH14" s="1">
        <v>643470.80496870796</v>
      </c>
      <c r="EI14" s="1">
        <v>663242.37014458189</v>
      </c>
      <c r="EJ14" s="1">
        <v>671227.26755776326</v>
      </c>
      <c r="EK14" s="1">
        <v>660987.43889317545</v>
      </c>
      <c r="EL14" s="1">
        <v>642348.79710516147</v>
      </c>
      <c r="EM14" s="1">
        <v>659929.60740761692</v>
      </c>
      <c r="EN14" s="1">
        <v>635893.7863618175</v>
      </c>
      <c r="EO14" s="1">
        <v>641866.85657011298</v>
      </c>
      <c r="EP14" s="1">
        <v>649839.13745511288</v>
      </c>
      <c r="EQ14" s="1">
        <v>641404.9078050137</v>
      </c>
      <c r="ER14" s="1">
        <v>639181.46258534095</v>
      </c>
      <c r="ES14" s="1">
        <v>639673.86136867886</v>
      </c>
      <c r="ET14" s="1">
        <v>648830.86071611615</v>
      </c>
      <c r="EU14" s="1">
        <v>667700.0387184287</v>
      </c>
      <c r="EV14" s="1">
        <v>691564.12485931697</v>
      </c>
      <c r="EW14" s="1">
        <v>695524.97606107476</v>
      </c>
      <c r="EX14" s="1">
        <v>683354.79637436406</v>
      </c>
      <c r="EY14" s="1">
        <v>687693.69152512285</v>
      </c>
      <c r="EZ14" s="1">
        <v>682053.89547460363</v>
      </c>
      <c r="FA14" s="1">
        <v>664018.56539628271</v>
      </c>
      <c r="FB14" s="1">
        <v>663844.09948112513</v>
      </c>
      <c r="FC14" s="1">
        <v>662863.31532768218</v>
      </c>
      <c r="FD14" s="1">
        <v>663148.03012643522</v>
      </c>
      <c r="FE14" s="1">
        <v>663643.43048764323</v>
      </c>
      <c r="FF14" s="1">
        <v>663628.10408602981</v>
      </c>
      <c r="FG14" s="1">
        <v>670584.87686712376</v>
      </c>
      <c r="FH14" s="1">
        <v>692597.78747778002</v>
      </c>
      <c r="FI14" s="1">
        <v>695751.96202215785</v>
      </c>
      <c r="FJ14" s="1">
        <v>692642.59724493744</v>
      </c>
      <c r="FK14" s="1">
        <v>709010.58521803794</v>
      </c>
      <c r="FL14" s="1">
        <v>698324.91084836365</v>
      </c>
      <c r="FM14" s="1">
        <v>713177.4691217955</v>
      </c>
      <c r="FN14" s="1">
        <v>714328.5301890769</v>
      </c>
      <c r="FO14" s="1">
        <v>701145.15340506588</v>
      </c>
      <c r="FP14" s="1">
        <v>691532.78293120023</v>
      </c>
      <c r="FQ14" s="1">
        <v>684682.71085708053</v>
      </c>
      <c r="FR14" s="1">
        <v>678885.62300582509</v>
      </c>
      <c r="FS14" s="1">
        <v>683601.53239479777</v>
      </c>
      <c r="FT14" s="1">
        <v>701060.04079922859</v>
      </c>
      <c r="FU14" s="1">
        <v>721433.16466638329</v>
      </c>
      <c r="FV14" s="1">
        <v>715589.59532564576</v>
      </c>
      <c r="FW14" s="1">
        <v>709317.37031774188</v>
      </c>
      <c r="FX14" s="1">
        <v>726426.88706342038</v>
      </c>
      <c r="FY14" s="1">
        <v>718504.62283427222</v>
      </c>
      <c r="FZ14" s="1">
        <v>737491.91927345656</v>
      </c>
      <c r="GA14" s="1">
        <v>736714.19685599802</v>
      </c>
      <c r="GB14" s="1">
        <v>729786.42807489459</v>
      </c>
      <c r="GC14" s="1">
        <v>723326.2493310218</v>
      </c>
      <c r="GD14" s="1">
        <v>715190.07991944812</v>
      </c>
      <c r="GE14" s="1">
        <v>713785.26820342359</v>
      </c>
      <c r="GF14" s="1">
        <v>721708.89995541051</v>
      </c>
      <c r="GG14" s="1">
        <v>725334.75960625883</v>
      </c>
      <c r="GH14" s="1">
        <v>713860.03847174044</v>
      </c>
      <c r="GI14" s="1">
        <v>720132.64533549314</v>
      </c>
      <c r="GJ14" s="1">
        <v>713831.67476109019</v>
      </c>
      <c r="GK14" s="1">
        <v>720888.17389514006</v>
      </c>
      <c r="GL14" s="1">
        <v>725206.72236690857</v>
      </c>
      <c r="GM14" s="1">
        <v>710686.55636653583</v>
      </c>
      <c r="GN14" s="1">
        <v>715306.16092796833</v>
      </c>
      <c r="GO14" s="1">
        <v>693025.58316798578</v>
      </c>
      <c r="GP14" s="1">
        <v>650036.71908494481</v>
      </c>
      <c r="GQ14" s="1">
        <v>652517.07607790234</v>
      </c>
      <c r="GR14" s="1">
        <v>680911.9116537309</v>
      </c>
      <c r="GS14" s="1">
        <v>697716.08669504907</v>
      </c>
      <c r="GT14" s="1">
        <v>706937.13220920064</v>
      </c>
      <c r="GU14" s="1">
        <v>731999.58952445304</v>
      </c>
      <c r="GV14" s="1">
        <v>721876.26603947976</v>
      </c>
      <c r="GW14" s="1">
        <v>727467.81040528649</v>
      </c>
      <c r="GX14" s="1">
        <v>730221.00937353855</v>
      </c>
      <c r="GY14" s="1">
        <v>713221.13246610225</v>
      </c>
      <c r="GZ14" s="1">
        <v>710121.99924759404</v>
      </c>
      <c r="HA14" s="1" t="str">
        <f t="shared" si="2"/>
        <v/>
      </c>
      <c r="HB14" s="1" t="str">
        <f t="shared" si="2"/>
        <v/>
      </c>
      <c r="HC14" s="1" t="str">
        <f t="shared" si="2"/>
        <v/>
      </c>
      <c r="HD14" s="1" t="str">
        <f t="shared" si="2"/>
        <v/>
      </c>
      <c r="HE14" s="1" t="str">
        <f t="shared" si="2"/>
        <v/>
      </c>
      <c r="HF14" s="1" t="str">
        <f t="shared" si="2"/>
        <v/>
      </c>
      <c r="HG14" s="1" t="str">
        <f t="shared" si="2"/>
        <v/>
      </c>
      <c r="HH14" s="1" t="str">
        <f t="shared" si="2"/>
        <v/>
      </c>
      <c r="HI14" s="1" t="str">
        <f t="shared" si="2"/>
        <v/>
      </c>
      <c r="HJ14" s="1" t="str">
        <f t="shared" si="2"/>
        <v/>
      </c>
      <c r="HK14" s="1" t="str">
        <f t="shared" si="2"/>
        <v/>
      </c>
      <c r="HL14" s="1" t="str">
        <f t="shared" si="2"/>
        <v/>
      </c>
      <c r="HM14" s="1" t="str">
        <f t="shared" si="2"/>
        <v/>
      </c>
      <c r="HN14" s="1" t="str">
        <f t="shared" si="2"/>
        <v/>
      </c>
      <c r="HO14" s="1" t="str">
        <f t="shared" si="2"/>
        <v/>
      </c>
      <c r="HP14" s="1" t="str">
        <f t="shared" si="2"/>
        <v/>
      </c>
      <c r="HQ14" s="1" t="str">
        <f t="shared" si="2"/>
        <v/>
      </c>
      <c r="HR14" s="1" t="str">
        <f t="shared" si="2"/>
        <v/>
      </c>
      <c r="HS14" s="1" t="str">
        <f t="shared" si="2"/>
        <v/>
      </c>
      <c r="HT14" s="1" t="str">
        <f t="shared" si="2"/>
        <v/>
      </c>
      <c r="HU14" s="1" t="str">
        <f t="shared" si="2"/>
        <v/>
      </c>
      <c r="HV14" s="1" t="str">
        <f t="shared" si="2"/>
        <v/>
      </c>
      <c r="HW14" s="1" t="str">
        <f t="shared" si="2"/>
        <v/>
      </c>
      <c r="HX14" s="1" t="str">
        <f t="shared" si="2"/>
        <v/>
      </c>
      <c r="HY14" s="1" t="str">
        <f t="shared" si="2"/>
        <v/>
      </c>
      <c r="HZ14" s="1" t="str">
        <f t="shared" si="2"/>
        <v/>
      </c>
      <c r="IA14" s="1" t="str">
        <f t="shared" si="2"/>
        <v/>
      </c>
      <c r="IB14" s="1" t="str">
        <f t="shared" si="2"/>
        <v/>
      </c>
      <c r="IC14" s="1" t="str">
        <f t="shared" si="2"/>
        <v/>
      </c>
      <c r="ID14" s="1" t="str">
        <f t="shared" si="2"/>
        <v/>
      </c>
      <c r="IE14" s="1" t="str">
        <f t="shared" si="2"/>
        <v/>
      </c>
      <c r="IF14" s="1" t="str">
        <f t="shared" si="2"/>
        <v/>
      </c>
      <c r="IG14" s="1" t="str">
        <f t="shared" si="2"/>
        <v/>
      </c>
      <c r="IH14" s="1" t="str">
        <f t="shared" si="2"/>
        <v/>
      </c>
      <c r="II14" s="1" t="str">
        <f t="shared" si="2"/>
        <v/>
      </c>
      <c r="IJ14" s="1" t="str">
        <f t="shared" si="2"/>
        <v/>
      </c>
      <c r="IK14" s="1" t="str">
        <f t="shared" si="2"/>
        <v/>
      </c>
      <c r="IL14" s="1" t="str">
        <f t="shared" si="2"/>
        <v/>
      </c>
      <c r="IM14" s="1" t="str">
        <f t="shared" si="2"/>
        <v/>
      </c>
      <c r="IN14" s="1" t="str">
        <f t="shared" si="2"/>
        <v/>
      </c>
      <c r="IO14" s="1" t="str">
        <f t="shared" si="2"/>
        <v/>
      </c>
      <c r="IP14" s="1" t="str">
        <f t="shared" si="2"/>
        <v/>
      </c>
      <c r="IQ14" s="1" t="str">
        <f t="shared" si="2"/>
        <v/>
      </c>
      <c r="IR14" s="1" t="str">
        <f t="shared" si="2"/>
        <v/>
      </c>
      <c r="IS14" s="1" t="str">
        <f t="shared" si="2"/>
        <v/>
      </c>
      <c r="IT14" s="1" t="str">
        <f t="shared" si="2"/>
        <v/>
      </c>
      <c r="IU14" s="1" t="str">
        <f t="shared" si="2"/>
        <v/>
      </c>
      <c r="IV14" s="1" t="str">
        <f t="shared" si="2"/>
        <v/>
      </c>
      <c r="IW14" s="1" t="str">
        <f t="shared" si="2"/>
        <v/>
      </c>
      <c r="IX14" s="1" t="str">
        <f t="shared" si="2"/>
        <v/>
      </c>
      <c r="IY14" s="1" t="str">
        <f t="shared" si="2"/>
        <v/>
      </c>
      <c r="IZ14" s="1" t="str">
        <f t="shared" si="2"/>
        <v/>
      </c>
      <c r="JA14" s="1" t="str">
        <f t="shared" si="2"/>
        <v/>
      </c>
      <c r="JB14" s="1" t="str">
        <f t="shared" si="2"/>
        <v/>
      </c>
      <c r="JC14" s="1" t="str">
        <f t="shared" si="2"/>
        <v/>
      </c>
      <c r="JD14" s="1" t="str">
        <f t="shared" si="2"/>
        <v/>
      </c>
      <c r="JE14" s="1" t="str">
        <f t="shared" si="2"/>
        <v/>
      </c>
      <c r="JF14" s="1" t="str">
        <f t="shared" si="2"/>
        <v/>
      </c>
      <c r="JG14" s="1" t="str">
        <f t="shared" si="2"/>
        <v/>
      </c>
      <c r="JH14" s="1" t="str">
        <f t="shared" si="2"/>
        <v/>
      </c>
      <c r="LY14" s="1"/>
    </row>
    <row r="15" spans="1:337" hidden="1" x14ac:dyDescent="0.25">
      <c r="A15" s="5"/>
      <c r="LY15" s="1"/>
    </row>
    <row r="16" spans="1:337" hidden="1" x14ac:dyDescent="0.25">
      <c r="A16" s="5"/>
      <c r="LY16" s="1"/>
    </row>
    <row r="17" spans="1:337" hidden="1" x14ac:dyDescent="0.25">
      <c r="A17" s="5"/>
      <c r="LY17" s="1"/>
    </row>
    <row r="18" spans="1:337" hidden="1" x14ac:dyDescent="0.25">
      <c r="A18" s="5"/>
      <c r="LY18" s="1"/>
    </row>
    <row r="19" spans="1:337" hidden="1" x14ac:dyDescent="0.25">
      <c r="A19" s="5"/>
      <c r="LY19" s="1"/>
    </row>
    <row r="20" spans="1:337" hidden="1" x14ac:dyDescent="0.25">
      <c r="A20" s="5"/>
      <c r="LY20" s="1"/>
    </row>
    <row r="21" spans="1:337" hidden="1" x14ac:dyDescent="0.25">
      <c r="A21" s="5"/>
      <c r="LY21" s="1"/>
    </row>
    <row r="22" spans="1:337" hidden="1" x14ac:dyDescent="0.25">
      <c r="A22" s="5"/>
      <c r="LY22" s="1"/>
    </row>
    <row r="23" spans="1:337" hidden="1" x14ac:dyDescent="0.25">
      <c r="A23" s="5"/>
      <c r="LY23" s="1"/>
    </row>
    <row r="24" spans="1:337" hidden="1" x14ac:dyDescent="0.25">
      <c r="A24" s="5"/>
      <c r="LY24" s="1"/>
    </row>
    <row r="25" spans="1:337" hidden="1" x14ac:dyDescent="0.25">
      <c r="A25" s="5"/>
      <c r="LY25" s="1"/>
    </row>
    <row r="26" spans="1:337" hidden="1" x14ac:dyDescent="0.25">
      <c r="A26" s="5"/>
      <c r="LY26" s="1"/>
    </row>
    <row r="27" spans="1:337" x14ac:dyDescent="0.25">
      <c r="A27" s="5"/>
      <c r="JN27" s="18"/>
      <c r="LY27" s="1"/>
    </row>
    <row r="28" spans="1:337" x14ac:dyDescent="0.25">
      <c r="A28" s="5"/>
      <c r="B28" s="1">
        <f t="shared" ref="B28:BM28" si="3">IF(OR(B3="",C3=""),0,MIN(24,C28+1))</f>
        <v>24</v>
      </c>
      <c r="C28" s="1">
        <f t="shared" si="3"/>
        <v>24</v>
      </c>
      <c r="D28" s="1">
        <f t="shared" si="3"/>
        <v>24</v>
      </c>
      <c r="E28" s="1">
        <f t="shared" si="3"/>
        <v>24</v>
      </c>
      <c r="F28" s="1">
        <f t="shared" si="3"/>
        <v>24</v>
      </c>
      <c r="G28" s="1">
        <f t="shared" si="3"/>
        <v>24</v>
      </c>
      <c r="H28" s="1">
        <f t="shared" si="3"/>
        <v>24</v>
      </c>
      <c r="I28" s="1">
        <f t="shared" si="3"/>
        <v>24</v>
      </c>
      <c r="J28" s="1">
        <f t="shared" si="3"/>
        <v>24</v>
      </c>
      <c r="K28" s="1">
        <f t="shared" si="3"/>
        <v>24</v>
      </c>
      <c r="L28" s="1">
        <f t="shared" si="3"/>
        <v>24</v>
      </c>
      <c r="M28" s="1">
        <f t="shared" si="3"/>
        <v>24</v>
      </c>
      <c r="N28" s="1">
        <f t="shared" si="3"/>
        <v>24</v>
      </c>
      <c r="O28" s="1">
        <f t="shared" si="3"/>
        <v>24</v>
      </c>
      <c r="P28" s="1">
        <f t="shared" si="3"/>
        <v>24</v>
      </c>
      <c r="Q28" s="1">
        <f t="shared" si="3"/>
        <v>24</v>
      </c>
      <c r="R28" s="1">
        <f t="shared" si="3"/>
        <v>24</v>
      </c>
      <c r="S28" s="1">
        <f t="shared" si="3"/>
        <v>24</v>
      </c>
      <c r="T28" s="1">
        <f t="shared" si="3"/>
        <v>24</v>
      </c>
      <c r="U28" s="1">
        <f t="shared" si="3"/>
        <v>24</v>
      </c>
      <c r="V28" s="1">
        <f t="shared" si="3"/>
        <v>24</v>
      </c>
      <c r="W28" s="1">
        <f t="shared" si="3"/>
        <v>24</v>
      </c>
      <c r="X28" s="1">
        <f t="shared" si="3"/>
        <v>24</v>
      </c>
      <c r="Y28" s="1">
        <f t="shared" si="3"/>
        <v>24</v>
      </c>
      <c r="Z28" s="1">
        <f t="shared" si="3"/>
        <v>24</v>
      </c>
      <c r="AA28" s="1">
        <f t="shared" si="3"/>
        <v>24</v>
      </c>
      <c r="AB28" s="1">
        <f t="shared" si="3"/>
        <v>24</v>
      </c>
      <c r="AC28" s="1">
        <f t="shared" si="3"/>
        <v>24</v>
      </c>
      <c r="AD28" s="1">
        <f t="shared" si="3"/>
        <v>24</v>
      </c>
      <c r="AE28" s="1">
        <f t="shared" si="3"/>
        <v>24</v>
      </c>
      <c r="AF28" s="1">
        <f t="shared" si="3"/>
        <v>24</v>
      </c>
      <c r="AG28" s="1">
        <f t="shared" si="3"/>
        <v>24</v>
      </c>
      <c r="AH28" s="1">
        <f t="shared" si="3"/>
        <v>24</v>
      </c>
      <c r="AI28" s="1">
        <f t="shared" si="3"/>
        <v>24</v>
      </c>
      <c r="AJ28" s="1">
        <f t="shared" si="3"/>
        <v>24</v>
      </c>
      <c r="AK28" s="1">
        <f t="shared" si="3"/>
        <v>24</v>
      </c>
      <c r="AL28" s="1">
        <f t="shared" si="3"/>
        <v>24</v>
      </c>
      <c r="AM28" s="1">
        <f t="shared" si="3"/>
        <v>24</v>
      </c>
      <c r="AN28" s="1">
        <f t="shared" si="3"/>
        <v>24</v>
      </c>
      <c r="AO28" s="1">
        <f t="shared" si="3"/>
        <v>24</v>
      </c>
      <c r="AP28" s="1">
        <f t="shared" si="3"/>
        <v>24</v>
      </c>
      <c r="AQ28" s="1">
        <f t="shared" si="3"/>
        <v>24</v>
      </c>
      <c r="AR28" s="1">
        <f t="shared" si="3"/>
        <v>24</v>
      </c>
      <c r="AS28" s="1">
        <f t="shared" si="3"/>
        <v>24</v>
      </c>
      <c r="AT28" s="1">
        <f t="shared" si="3"/>
        <v>24</v>
      </c>
      <c r="AU28" s="1">
        <f t="shared" si="3"/>
        <v>24</v>
      </c>
      <c r="AV28" s="1">
        <f t="shared" si="3"/>
        <v>24</v>
      </c>
      <c r="AW28" s="1">
        <f t="shared" si="3"/>
        <v>24</v>
      </c>
      <c r="AX28" s="1">
        <f t="shared" si="3"/>
        <v>24</v>
      </c>
      <c r="AY28" s="1">
        <f t="shared" si="3"/>
        <v>24</v>
      </c>
      <c r="AZ28" s="1">
        <f t="shared" si="3"/>
        <v>24</v>
      </c>
      <c r="BA28" s="1">
        <f t="shared" si="3"/>
        <v>24</v>
      </c>
      <c r="BB28" s="1">
        <f t="shared" si="3"/>
        <v>24</v>
      </c>
      <c r="BC28" s="1">
        <f t="shared" si="3"/>
        <v>24</v>
      </c>
      <c r="BD28" s="1">
        <f t="shared" si="3"/>
        <v>24</v>
      </c>
      <c r="BE28" s="1">
        <f t="shared" si="3"/>
        <v>24</v>
      </c>
      <c r="BF28" s="1">
        <f t="shared" si="3"/>
        <v>24</v>
      </c>
      <c r="BG28" s="1">
        <f t="shared" si="3"/>
        <v>24</v>
      </c>
      <c r="BH28" s="1">
        <f t="shared" si="3"/>
        <v>24</v>
      </c>
      <c r="BI28" s="1">
        <f t="shared" si="3"/>
        <v>24</v>
      </c>
      <c r="BJ28" s="1">
        <f t="shared" si="3"/>
        <v>24</v>
      </c>
      <c r="BK28" s="1">
        <f t="shared" si="3"/>
        <v>24</v>
      </c>
      <c r="BL28" s="1">
        <f t="shared" si="3"/>
        <v>24</v>
      </c>
      <c r="BM28" s="1">
        <f t="shared" si="3"/>
        <v>24</v>
      </c>
      <c r="BN28" s="1">
        <f t="shared" ref="BN28:DY28" si="4">IF(OR(BN3="",BO3=""),0,MIN(24,BO28+1))</f>
        <v>24</v>
      </c>
      <c r="BO28" s="1">
        <f t="shared" si="4"/>
        <v>24</v>
      </c>
      <c r="BP28" s="1">
        <f t="shared" si="4"/>
        <v>24</v>
      </c>
      <c r="BQ28" s="1">
        <f t="shared" si="4"/>
        <v>24</v>
      </c>
      <c r="BR28" s="1">
        <f t="shared" si="4"/>
        <v>24</v>
      </c>
      <c r="BS28" s="1">
        <f t="shared" si="4"/>
        <v>24</v>
      </c>
      <c r="BT28" s="1">
        <f t="shared" si="4"/>
        <v>24</v>
      </c>
      <c r="BU28" s="1">
        <f t="shared" si="4"/>
        <v>24</v>
      </c>
      <c r="BV28" s="1">
        <f t="shared" si="4"/>
        <v>24</v>
      </c>
      <c r="BW28" s="1">
        <f t="shared" si="4"/>
        <v>24</v>
      </c>
      <c r="BX28" s="1">
        <f t="shared" si="4"/>
        <v>24</v>
      </c>
      <c r="BY28" s="1">
        <f t="shared" si="4"/>
        <v>24</v>
      </c>
      <c r="BZ28" s="1">
        <f t="shared" si="4"/>
        <v>24</v>
      </c>
      <c r="CA28" s="1">
        <f t="shared" si="4"/>
        <v>24</v>
      </c>
      <c r="CB28" s="1">
        <f t="shared" si="4"/>
        <v>24</v>
      </c>
      <c r="CC28" s="1">
        <f t="shared" si="4"/>
        <v>24</v>
      </c>
      <c r="CD28" s="1">
        <f t="shared" si="4"/>
        <v>24</v>
      </c>
      <c r="CE28" s="1">
        <f t="shared" si="4"/>
        <v>24</v>
      </c>
      <c r="CF28" s="1">
        <f t="shared" si="4"/>
        <v>24</v>
      </c>
      <c r="CG28" s="1">
        <f t="shared" si="4"/>
        <v>24</v>
      </c>
      <c r="CH28" s="1">
        <f t="shared" si="4"/>
        <v>24</v>
      </c>
      <c r="CI28" s="1">
        <f t="shared" si="4"/>
        <v>24</v>
      </c>
      <c r="CJ28" s="1">
        <f t="shared" si="4"/>
        <v>24</v>
      </c>
      <c r="CK28" s="1">
        <f t="shared" si="4"/>
        <v>24</v>
      </c>
      <c r="CL28" s="1">
        <f t="shared" si="4"/>
        <v>24</v>
      </c>
      <c r="CM28" s="1">
        <f t="shared" si="4"/>
        <v>24</v>
      </c>
      <c r="CN28" s="1">
        <f t="shared" si="4"/>
        <v>24</v>
      </c>
      <c r="CO28" s="1">
        <f t="shared" si="4"/>
        <v>24</v>
      </c>
      <c r="CP28" s="1">
        <f t="shared" si="4"/>
        <v>24</v>
      </c>
      <c r="CQ28" s="1">
        <f t="shared" si="4"/>
        <v>24</v>
      </c>
      <c r="CR28" s="1">
        <f t="shared" si="4"/>
        <v>24</v>
      </c>
      <c r="CS28" s="1">
        <f t="shared" si="4"/>
        <v>24</v>
      </c>
      <c r="CT28" s="1">
        <f t="shared" si="4"/>
        <v>24</v>
      </c>
      <c r="CU28" s="1">
        <f t="shared" si="4"/>
        <v>24</v>
      </c>
      <c r="CV28" s="1">
        <f t="shared" si="4"/>
        <v>24</v>
      </c>
      <c r="CW28" s="1">
        <f t="shared" si="4"/>
        <v>24</v>
      </c>
      <c r="CX28" s="1">
        <f t="shared" si="4"/>
        <v>24</v>
      </c>
      <c r="CY28" s="1">
        <f t="shared" si="4"/>
        <v>24</v>
      </c>
      <c r="CZ28" s="1">
        <f t="shared" si="4"/>
        <v>24</v>
      </c>
      <c r="DA28" s="1">
        <f t="shared" si="4"/>
        <v>24</v>
      </c>
      <c r="DB28" s="1">
        <f t="shared" si="4"/>
        <v>24</v>
      </c>
      <c r="DC28" s="1">
        <f t="shared" si="4"/>
        <v>24</v>
      </c>
      <c r="DD28" s="1">
        <f t="shared" si="4"/>
        <v>24</v>
      </c>
      <c r="DE28" s="1">
        <f t="shared" si="4"/>
        <v>24</v>
      </c>
      <c r="DF28" s="1">
        <f t="shared" si="4"/>
        <v>24</v>
      </c>
      <c r="DG28" s="1">
        <f t="shared" si="4"/>
        <v>24</v>
      </c>
      <c r="DH28" s="1">
        <f t="shared" si="4"/>
        <v>24</v>
      </c>
      <c r="DI28" s="1">
        <f t="shared" si="4"/>
        <v>24</v>
      </c>
      <c r="DJ28" s="1">
        <f t="shared" si="4"/>
        <v>24</v>
      </c>
      <c r="DK28" s="1">
        <f t="shared" si="4"/>
        <v>24</v>
      </c>
      <c r="DL28" s="1">
        <f t="shared" si="4"/>
        <v>24</v>
      </c>
      <c r="DM28" s="1">
        <f t="shared" si="4"/>
        <v>24</v>
      </c>
      <c r="DN28" s="1">
        <f t="shared" si="4"/>
        <v>24</v>
      </c>
      <c r="DO28" s="1">
        <f t="shared" si="4"/>
        <v>24</v>
      </c>
      <c r="DP28" s="1">
        <f t="shared" si="4"/>
        <v>24</v>
      </c>
      <c r="DQ28" s="1">
        <f t="shared" si="4"/>
        <v>24</v>
      </c>
      <c r="DR28" s="1">
        <f t="shared" si="4"/>
        <v>24</v>
      </c>
      <c r="DS28" s="1">
        <f t="shared" si="4"/>
        <v>24</v>
      </c>
      <c r="DT28" s="1">
        <f t="shared" si="4"/>
        <v>24</v>
      </c>
      <c r="DU28" s="1">
        <f t="shared" si="4"/>
        <v>24</v>
      </c>
      <c r="DV28" s="1">
        <f t="shared" si="4"/>
        <v>24</v>
      </c>
      <c r="DW28" s="1">
        <f t="shared" si="4"/>
        <v>24</v>
      </c>
      <c r="DX28" s="1">
        <f t="shared" si="4"/>
        <v>24</v>
      </c>
      <c r="DY28" s="1">
        <f t="shared" si="4"/>
        <v>24</v>
      </c>
      <c r="DZ28" s="1">
        <f t="shared" ref="DZ28:GK28" si="5">IF(OR(DZ3="",EA3=""),0,MIN(24,EA28+1))</f>
        <v>24</v>
      </c>
      <c r="EA28" s="1">
        <f t="shared" si="5"/>
        <v>24</v>
      </c>
      <c r="EB28" s="1">
        <f t="shared" si="5"/>
        <v>24</v>
      </c>
      <c r="EC28" s="1">
        <f t="shared" si="5"/>
        <v>24</v>
      </c>
      <c r="ED28" s="1">
        <f t="shared" si="5"/>
        <v>24</v>
      </c>
      <c r="EE28" s="1">
        <f t="shared" si="5"/>
        <v>24</v>
      </c>
      <c r="EF28" s="1">
        <f t="shared" si="5"/>
        <v>24</v>
      </c>
      <c r="EG28" s="1">
        <f t="shared" si="5"/>
        <v>24</v>
      </c>
      <c r="EH28" s="1">
        <f t="shared" si="5"/>
        <v>24</v>
      </c>
      <c r="EI28" s="1">
        <f t="shared" si="5"/>
        <v>24</v>
      </c>
      <c r="EJ28" s="1">
        <f t="shared" si="5"/>
        <v>24</v>
      </c>
      <c r="EK28" s="1">
        <f t="shared" si="5"/>
        <v>24</v>
      </c>
      <c r="EL28" s="1">
        <f t="shared" si="5"/>
        <v>24</v>
      </c>
      <c r="EM28" s="1">
        <f t="shared" si="5"/>
        <v>24</v>
      </c>
      <c r="EN28" s="1">
        <f t="shared" si="5"/>
        <v>24</v>
      </c>
      <c r="EO28" s="1">
        <f t="shared" si="5"/>
        <v>24</v>
      </c>
      <c r="EP28" s="1">
        <f t="shared" si="5"/>
        <v>24</v>
      </c>
      <c r="EQ28" s="1">
        <f t="shared" si="5"/>
        <v>24</v>
      </c>
      <c r="ER28" s="1">
        <f t="shared" si="5"/>
        <v>24</v>
      </c>
      <c r="ES28" s="1">
        <f t="shared" si="5"/>
        <v>24</v>
      </c>
      <c r="ET28" s="1">
        <f t="shared" si="5"/>
        <v>24</v>
      </c>
      <c r="EU28" s="1">
        <f t="shared" si="5"/>
        <v>24</v>
      </c>
      <c r="EV28" s="1">
        <f t="shared" si="5"/>
        <v>24</v>
      </c>
      <c r="EW28" s="1">
        <f t="shared" si="5"/>
        <v>24</v>
      </c>
      <c r="EX28" s="1">
        <f t="shared" si="5"/>
        <v>24</v>
      </c>
      <c r="EY28" s="1">
        <f t="shared" si="5"/>
        <v>24</v>
      </c>
      <c r="EZ28" s="1">
        <f t="shared" si="5"/>
        <v>24</v>
      </c>
      <c r="FA28" s="1">
        <f t="shared" si="5"/>
        <v>24</v>
      </c>
      <c r="FB28" s="1">
        <f t="shared" si="5"/>
        <v>24</v>
      </c>
      <c r="FC28" s="1">
        <f t="shared" si="5"/>
        <v>24</v>
      </c>
      <c r="FD28" s="1">
        <f t="shared" si="5"/>
        <v>24</v>
      </c>
      <c r="FE28" s="1">
        <f t="shared" si="5"/>
        <v>24</v>
      </c>
      <c r="FF28" s="1">
        <f t="shared" si="5"/>
        <v>24</v>
      </c>
      <c r="FG28" s="1">
        <f t="shared" si="5"/>
        <v>24</v>
      </c>
      <c r="FH28" s="1">
        <f t="shared" si="5"/>
        <v>24</v>
      </c>
      <c r="FI28" s="1">
        <f t="shared" si="5"/>
        <v>24</v>
      </c>
      <c r="FJ28" s="1">
        <f t="shared" si="5"/>
        <v>24</v>
      </c>
      <c r="FK28" s="1">
        <f t="shared" si="5"/>
        <v>24</v>
      </c>
      <c r="FL28" s="1">
        <f t="shared" si="5"/>
        <v>24</v>
      </c>
      <c r="FM28" s="1">
        <f t="shared" si="5"/>
        <v>24</v>
      </c>
      <c r="FN28" s="1">
        <f t="shared" si="5"/>
        <v>24</v>
      </c>
      <c r="FO28" s="1">
        <f t="shared" si="5"/>
        <v>24</v>
      </c>
      <c r="FP28" s="1">
        <f t="shared" si="5"/>
        <v>24</v>
      </c>
      <c r="FQ28" s="1">
        <f t="shared" si="5"/>
        <v>24</v>
      </c>
      <c r="FR28" s="1">
        <f t="shared" si="5"/>
        <v>24</v>
      </c>
      <c r="FS28" s="1">
        <f t="shared" si="5"/>
        <v>24</v>
      </c>
      <c r="FT28" s="1">
        <f t="shared" si="5"/>
        <v>24</v>
      </c>
      <c r="FU28" s="1">
        <f t="shared" si="5"/>
        <v>24</v>
      </c>
      <c r="FV28" s="1">
        <f t="shared" si="5"/>
        <v>24</v>
      </c>
      <c r="FW28" s="1">
        <f t="shared" si="5"/>
        <v>24</v>
      </c>
      <c r="FX28" s="1">
        <f t="shared" si="5"/>
        <v>24</v>
      </c>
      <c r="FY28" s="1">
        <f t="shared" si="5"/>
        <v>24</v>
      </c>
      <c r="FZ28" s="1">
        <f t="shared" si="5"/>
        <v>24</v>
      </c>
      <c r="GA28" s="1">
        <f t="shared" si="5"/>
        <v>24</v>
      </c>
      <c r="GB28" s="1">
        <f t="shared" si="5"/>
        <v>23</v>
      </c>
      <c r="GC28" s="1">
        <f t="shared" si="5"/>
        <v>22</v>
      </c>
      <c r="GD28" s="1">
        <f t="shared" si="5"/>
        <v>21</v>
      </c>
      <c r="GE28" s="1">
        <f t="shared" si="5"/>
        <v>20</v>
      </c>
      <c r="GF28" s="1">
        <f t="shared" si="5"/>
        <v>19</v>
      </c>
      <c r="GG28" s="1">
        <f t="shared" si="5"/>
        <v>18</v>
      </c>
      <c r="GH28" s="1">
        <f t="shared" si="5"/>
        <v>17</v>
      </c>
      <c r="GI28" s="1">
        <f t="shared" si="5"/>
        <v>16</v>
      </c>
      <c r="GJ28" s="1">
        <f t="shared" si="5"/>
        <v>15</v>
      </c>
      <c r="GK28" s="1">
        <f t="shared" si="5"/>
        <v>14</v>
      </c>
      <c r="GL28" s="1">
        <f t="shared" ref="GL28:GX28" si="6">IF(OR(GL3="",GM3=""),0,MIN(24,GM28+1))</f>
        <v>13</v>
      </c>
      <c r="GM28" s="1">
        <f t="shared" si="6"/>
        <v>12</v>
      </c>
      <c r="GN28" s="1">
        <f t="shared" si="6"/>
        <v>11</v>
      </c>
      <c r="GO28" s="1">
        <f t="shared" si="6"/>
        <v>10</v>
      </c>
      <c r="GP28" s="1">
        <f t="shared" si="6"/>
        <v>9</v>
      </c>
      <c r="GQ28" s="1">
        <f t="shared" si="6"/>
        <v>8</v>
      </c>
      <c r="GR28" s="1">
        <f t="shared" si="6"/>
        <v>7</v>
      </c>
      <c r="GS28" s="1">
        <f t="shared" si="6"/>
        <v>6</v>
      </c>
      <c r="GT28" s="1">
        <f t="shared" si="6"/>
        <v>5</v>
      </c>
      <c r="GU28" s="1">
        <f t="shared" si="6"/>
        <v>4</v>
      </c>
      <c r="GV28" s="1">
        <f t="shared" si="6"/>
        <v>3</v>
      </c>
      <c r="GW28" s="1">
        <f t="shared" si="6"/>
        <v>2</v>
      </c>
      <c r="GX28" s="1">
        <f t="shared" si="6"/>
        <v>1</v>
      </c>
      <c r="GY28" s="1">
        <f>IF(OR(GY3="",JH3=""),0,MIN(24,JH28+1))</f>
        <v>0</v>
      </c>
      <c r="GZ28" s="1">
        <f t="shared" ref="GZ28:HH28" si="7">IF(OR(GZ3="",HA3=""),0,MIN(24,HA28+1))</f>
        <v>0</v>
      </c>
      <c r="HA28" s="1">
        <f t="shared" si="7"/>
        <v>0</v>
      </c>
      <c r="HB28" s="1">
        <f t="shared" si="7"/>
        <v>0</v>
      </c>
      <c r="HC28" s="1">
        <f t="shared" si="7"/>
        <v>0</v>
      </c>
      <c r="HD28" s="1">
        <f t="shared" si="7"/>
        <v>0</v>
      </c>
      <c r="HE28" s="1">
        <f t="shared" si="7"/>
        <v>0</v>
      </c>
      <c r="HF28" s="1">
        <f t="shared" si="7"/>
        <v>0</v>
      </c>
      <c r="HG28" s="1">
        <f t="shared" si="7"/>
        <v>0</v>
      </c>
      <c r="HH28" s="1">
        <f t="shared" si="7"/>
        <v>0</v>
      </c>
      <c r="HI28" s="1">
        <f>IF(OR(HI3="",JR3=""),0,MIN(24,JR28+1))</f>
        <v>0</v>
      </c>
      <c r="HJ28" s="1">
        <f t="shared" ref="HJ28:HR28" si="8">IF(OR(HJ3="",HK3=""),0,MIN(24,HK28+1))</f>
        <v>0</v>
      </c>
      <c r="HK28" s="1">
        <f t="shared" si="8"/>
        <v>0</v>
      </c>
      <c r="HL28" s="1">
        <f t="shared" si="8"/>
        <v>0</v>
      </c>
      <c r="HM28" s="1">
        <f t="shared" si="8"/>
        <v>0</v>
      </c>
      <c r="HN28" s="1">
        <f t="shared" si="8"/>
        <v>0</v>
      </c>
      <c r="HO28" s="1">
        <f t="shared" si="8"/>
        <v>0</v>
      </c>
      <c r="HP28" s="1">
        <f t="shared" si="8"/>
        <v>0</v>
      </c>
      <c r="HQ28" s="1">
        <f t="shared" si="8"/>
        <v>0</v>
      </c>
      <c r="HR28" s="1">
        <f t="shared" si="8"/>
        <v>0</v>
      </c>
      <c r="HS28" s="1">
        <f>IF(OR(HS3="",KB3=""),0,MIN(24,KB28+1))</f>
        <v>0</v>
      </c>
      <c r="HT28" s="1">
        <f t="shared" ref="HT28:IB28" si="9">IF(OR(HT3="",HU3=""),0,MIN(24,HU28+1))</f>
        <v>0</v>
      </c>
      <c r="HU28" s="1">
        <f t="shared" si="9"/>
        <v>0</v>
      </c>
      <c r="HV28" s="1">
        <f t="shared" si="9"/>
        <v>0</v>
      </c>
      <c r="HW28" s="1">
        <f t="shared" si="9"/>
        <v>0</v>
      </c>
      <c r="HX28" s="1">
        <f t="shared" si="9"/>
        <v>0</v>
      </c>
      <c r="HY28" s="1">
        <f t="shared" si="9"/>
        <v>0</v>
      </c>
      <c r="HZ28" s="1">
        <f t="shared" si="9"/>
        <v>0</v>
      </c>
      <c r="IA28" s="1">
        <f t="shared" si="9"/>
        <v>0</v>
      </c>
      <c r="IB28" s="1">
        <f t="shared" si="9"/>
        <v>0</v>
      </c>
      <c r="IC28" s="1">
        <f>IF(OR(IC3="",KL3=""),0,MIN(24,KL28+1))</f>
        <v>0</v>
      </c>
      <c r="ID28" s="1">
        <f t="shared" ref="ID28:IL28" si="10">IF(OR(ID3="",IE3=""),0,MIN(24,IE28+1))</f>
        <v>0</v>
      </c>
      <c r="IE28" s="1">
        <f t="shared" si="10"/>
        <v>0</v>
      </c>
      <c r="IF28" s="1">
        <f t="shared" si="10"/>
        <v>0</v>
      </c>
      <c r="IG28" s="1">
        <f t="shared" si="10"/>
        <v>0</v>
      </c>
      <c r="IH28" s="1">
        <f t="shared" si="10"/>
        <v>0</v>
      </c>
      <c r="II28" s="1">
        <f t="shared" si="10"/>
        <v>0</v>
      </c>
      <c r="IJ28" s="1">
        <f t="shared" si="10"/>
        <v>0</v>
      </c>
      <c r="IK28" s="1">
        <f t="shared" si="10"/>
        <v>0</v>
      </c>
      <c r="IL28" s="1">
        <f t="shared" si="10"/>
        <v>0</v>
      </c>
      <c r="IM28" s="1">
        <f>IF(OR(IM3="",KV3=""),0,MIN(24,KV28+1))</f>
        <v>0</v>
      </c>
      <c r="IN28" s="1">
        <f t="shared" ref="IN28:IV28" si="11">IF(OR(IN3="",IO3=""),0,MIN(24,IO28+1))</f>
        <v>0</v>
      </c>
      <c r="IO28" s="1">
        <f t="shared" si="11"/>
        <v>0</v>
      </c>
      <c r="IP28" s="1">
        <f t="shared" si="11"/>
        <v>0</v>
      </c>
      <c r="IQ28" s="1">
        <f t="shared" si="11"/>
        <v>0</v>
      </c>
      <c r="IR28" s="1">
        <f t="shared" si="11"/>
        <v>0</v>
      </c>
      <c r="IS28" s="1">
        <f t="shared" si="11"/>
        <v>0</v>
      </c>
      <c r="IT28" s="1">
        <f t="shared" si="11"/>
        <v>0</v>
      </c>
      <c r="IU28" s="1">
        <f t="shared" si="11"/>
        <v>0</v>
      </c>
      <c r="IV28" s="1">
        <f t="shared" si="11"/>
        <v>0</v>
      </c>
      <c r="IW28" s="1">
        <f>IF(OR(IW3="",LF3=""),0,MIN(24,LF28+1))</f>
        <v>0</v>
      </c>
      <c r="IX28" s="1">
        <f t="shared" ref="IX28:JF28" si="12">IF(OR(IX3="",IY3=""),0,MIN(24,IY28+1))</f>
        <v>0</v>
      </c>
      <c r="IY28" s="1">
        <f t="shared" si="12"/>
        <v>0</v>
      </c>
      <c r="IZ28" s="1">
        <f t="shared" si="12"/>
        <v>0</v>
      </c>
      <c r="JA28" s="1">
        <f t="shared" si="12"/>
        <v>0</v>
      </c>
      <c r="JB28" s="1">
        <f t="shared" si="12"/>
        <v>0</v>
      </c>
      <c r="JC28" s="1">
        <f t="shared" si="12"/>
        <v>0</v>
      </c>
      <c r="JD28" s="1">
        <f t="shared" si="12"/>
        <v>0</v>
      </c>
      <c r="JE28" s="1">
        <f t="shared" si="12"/>
        <v>0</v>
      </c>
      <c r="JF28" s="1">
        <f t="shared" si="12"/>
        <v>0</v>
      </c>
      <c r="JG28" s="1">
        <f>IF(OR(JG3="",LP3=""),0,MIN(24,LP28+1))</f>
        <v>0</v>
      </c>
      <c r="JH28" s="1">
        <f>IF(OR(JH3="",JI3=""),0,MIN(24,JI28+1))</f>
        <v>0</v>
      </c>
      <c r="LY28" s="1"/>
    </row>
    <row r="29" spans="1:337" ht="15.75" x14ac:dyDescent="0.25">
      <c r="A29" s="3" t="s">
        <v>1</v>
      </c>
      <c r="B29" s="7">
        <v>37986</v>
      </c>
      <c r="C29" s="7">
        <v>38017</v>
      </c>
      <c r="D29" s="7">
        <v>38046</v>
      </c>
      <c r="E29" s="7">
        <v>38077</v>
      </c>
      <c r="F29" s="7">
        <v>38107</v>
      </c>
      <c r="G29" s="7">
        <v>38138</v>
      </c>
      <c r="H29" s="7">
        <v>38168</v>
      </c>
      <c r="I29" s="7">
        <v>38199</v>
      </c>
      <c r="J29" s="7">
        <v>38230</v>
      </c>
      <c r="K29" s="7">
        <v>38260</v>
      </c>
      <c r="L29" s="7">
        <v>38291</v>
      </c>
      <c r="M29" s="7">
        <v>38321</v>
      </c>
      <c r="N29" s="7">
        <v>38352</v>
      </c>
      <c r="O29" s="7">
        <v>38383</v>
      </c>
      <c r="P29" s="7">
        <v>38411</v>
      </c>
      <c r="Q29" s="7">
        <v>38442</v>
      </c>
      <c r="R29" s="7">
        <v>38472</v>
      </c>
      <c r="S29" s="7">
        <v>38503</v>
      </c>
      <c r="T29" s="7">
        <v>38533</v>
      </c>
      <c r="U29" s="7">
        <v>38564</v>
      </c>
      <c r="V29" s="7">
        <v>38595</v>
      </c>
      <c r="W29" s="7">
        <v>38625</v>
      </c>
      <c r="X29" s="7">
        <v>38656</v>
      </c>
      <c r="Y29" s="7">
        <v>38686</v>
      </c>
      <c r="Z29" s="7">
        <v>38717</v>
      </c>
      <c r="AA29" s="7">
        <v>38748</v>
      </c>
      <c r="AB29" s="7">
        <v>38776</v>
      </c>
      <c r="AC29" s="7">
        <v>38807</v>
      </c>
      <c r="AD29" s="7">
        <v>38837</v>
      </c>
      <c r="AE29" s="7">
        <v>38868</v>
      </c>
      <c r="AF29" s="7">
        <v>38898</v>
      </c>
      <c r="AG29" s="7">
        <v>38929</v>
      </c>
      <c r="AH29" s="7">
        <v>38960</v>
      </c>
      <c r="AI29" s="7">
        <v>38990</v>
      </c>
      <c r="AJ29" s="7">
        <v>39021</v>
      </c>
      <c r="AK29" s="7">
        <v>39051</v>
      </c>
      <c r="AL29" s="7">
        <v>39082</v>
      </c>
      <c r="AM29" s="7">
        <v>39113</v>
      </c>
      <c r="AN29" s="7">
        <v>39141</v>
      </c>
      <c r="AO29" s="7">
        <v>39172</v>
      </c>
      <c r="AP29" s="7">
        <v>39202</v>
      </c>
      <c r="AQ29" s="7">
        <v>39233</v>
      </c>
      <c r="AR29" s="7">
        <v>39263</v>
      </c>
      <c r="AS29" s="7">
        <v>39294</v>
      </c>
      <c r="AT29" s="7">
        <v>39325</v>
      </c>
      <c r="AU29" s="7">
        <v>39355</v>
      </c>
      <c r="AV29" s="7">
        <v>39386</v>
      </c>
      <c r="AW29" s="7">
        <v>39416</v>
      </c>
      <c r="AX29" s="7">
        <v>39447</v>
      </c>
      <c r="AY29" s="7">
        <v>39478</v>
      </c>
      <c r="AZ29" s="7">
        <v>39507</v>
      </c>
      <c r="BA29" s="7">
        <v>39538</v>
      </c>
      <c r="BB29" s="7">
        <v>39568</v>
      </c>
      <c r="BC29" s="7">
        <v>39599</v>
      </c>
      <c r="BD29" s="7">
        <v>39629</v>
      </c>
      <c r="BE29" s="7">
        <v>39660</v>
      </c>
      <c r="BF29" s="7">
        <v>39691</v>
      </c>
      <c r="BG29" s="7">
        <v>39721</v>
      </c>
      <c r="BH29" s="7">
        <v>39752</v>
      </c>
      <c r="BI29" s="7">
        <v>39782</v>
      </c>
      <c r="BJ29" s="7">
        <v>39813</v>
      </c>
      <c r="BK29" s="7">
        <v>39844</v>
      </c>
      <c r="BL29" s="7">
        <v>39872</v>
      </c>
      <c r="BM29" s="7">
        <v>39903</v>
      </c>
      <c r="BN29" s="7">
        <v>39933</v>
      </c>
      <c r="BO29" s="7">
        <v>39964</v>
      </c>
      <c r="BP29" s="7">
        <v>39994</v>
      </c>
      <c r="BQ29" s="7">
        <v>40025</v>
      </c>
      <c r="BR29" s="7">
        <v>40056</v>
      </c>
      <c r="BS29" s="7">
        <v>40086</v>
      </c>
      <c r="BT29" s="7">
        <v>40117</v>
      </c>
      <c r="BU29" s="7">
        <v>40147</v>
      </c>
      <c r="BV29" s="7">
        <v>40178</v>
      </c>
      <c r="BW29" s="7">
        <v>40209</v>
      </c>
      <c r="BX29" s="7">
        <v>40237</v>
      </c>
      <c r="BY29" s="7">
        <v>40268</v>
      </c>
      <c r="BZ29" s="7">
        <v>40298</v>
      </c>
      <c r="CA29" s="7">
        <v>40329</v>
      </c>
      <c r="CB29" s="7">
        <v>40359</v>
      </c>
      <c r="CC29" s="7">
        <v>40390</v>
      </c>
      <c r="CD29" s="7">
        <v>40421</v>
      </c>
      <c r="CE29" s="7">
        <v>40451</v>
      </c>
      <c r="CF29" s="7">
        <v>40482</v>
      </c>
      <c r="CG29" s="7">
        <v>40512</v>
      </c>
      <c r="CH29" s="7">
        <v>40543</v>
      </c>
      <c r="CI29" s="7">
        <v>40574</v>
      </c>
      <c r="CJ29" s="7">
        <v>40602</v>
      </c>
      <c r="CK29" s="7">
        <v>40633</v>
      </c>
      <c r="CL29" s="7">
        <v>40663</v>
      </c>
      <c r="CM29" s="7">
        <v>40694</v>
      </c>
      <c r="CN29" s="7">
        <v>40724</v>
      </c>
      <c r="CO29" s="7">
        <v>40755</v>
      </c>
      <c r="CP29" s="7">
        <v>40786</v>
      </c>
      <c r="CQ29" s="7">
        <v>40816</v>
      </c>
      <c r="CR29" s="7">
        <v>40847</v>
      </c>
      <c r="CS29" s="7">
        <v>40877</v>
      </c>
      <c r="CT29" s="7">
        <v>40908</v>
      </c>
      <c r="CU29" s="7">
        <v>40939</v>
      </c>
      <c r="CV29" s="8">
        <v>40968</v>
      </c>
      <c r="CW29" s="7">
        <v>40999</v>
      </c>
      <c r="CX29" s="7">
        <v>41029</v>
      </c>
      <c r="CY29" s="7">
        <v>41060</v>
      </c>
      <c r="CZ29" s="7">
        <v>41090</v>
      </c>
      <c r="DA29" s="7">
        <v>41121</v>
      </c>
      <c r="DB29" s="7">
        <v>41152</v>
      </c>
      <c r="DC29" s="7">
        <v>41182</v>
      </c>
      <c r="DD29" s="7">
        <v>41213</v>
      </c>
      <c r="DE29" s="7">
        <v>41243</v>
      </c>
      <c r="DF29" s="7">
        <v>41274</v>
      </c>
      <c r="DG29" s="7">
        <v>41305</v>
      </c>
      <c r="DH29" s="7">
        <v>41333</v>
      </c>
      <c r="DI29" s="7">
        <v>41364</v>
      </c>
      <c r="DJ29" s="7">
        <v>41394</v>
      </c>
      <c r="DK29" s="7">
        <v>41425</v>
      </c>
      <c r="DL29" s="7">
        <v>41455</v>
      </c>
      <c r="DM29" s="7">
        <v>41486</v>
      </c>
      <c r="DN29" s="7">
        <v>41517</v>
      </c>
      <c r="DO29" s="7">
        <v>41547</v>
      </c>
      <c r="DP29" s="7">
        <v>41578</v>
      </c>
      <c r="DQ29" s="7">
        <v>41608</v>
      </c>
      <c r="DR29" s="7">
        <v>41639</v>
      </c>
      <c r="DS29" s="7">
        <v>41670</v>
      </c>
      <c r="DT29" s="7">
        <v>41698</v>
      </c>
      <c r="DU29" s="7">
        <v>41729</v>
      </c>
      <c r="DV29" s="7">
        <v>41759</v>
      </c>
      <c r="DW29" s="7">
        <v>41790</v>
      </c>
      <c r="DX29" s="7">
        <v>41820</v>
      </c>
      <c r="DY29" s="7">
        <v>41851</v>
      </c>
      <c r="DZ29" s="7">
        <v>41882</v>
      </c>
      <c r="EA29" s="7">
        <v>41912</v>
      </c>
      <c r="EB29" s="7">
        <v>41943</v>
      </c>
      <c r="EC29" s="7">
        <v>41973</v>
      </c>
      <c r="ED29" s="7">
        <v>42004</v>
      </c>
      <c r="EE29" s="7">
        <v>42035</v>
      </c>
      <c r="EF29" s="7">
        <v>42063</v>
      </c>
      <c r="EG29" s="7">
        <v>42094</v>
      </c>
      <c r="EH29" s="7">
        <v>42124</v>
      </c>
      <c r="EI29" s="7">
        <v>42155</v>
      </c>
      <c r="EJ29" s="7">
        <v>42185</v>
      </c>
      <c r="EK29" s="7">
        <v>42216</v>
      </c>
      <c r="EL29" s="7">
        <v>42247</v>
      </c>
      <c r="EM29" s="7">
        <v>42277</v>
      </c>
      <c r="EN29" s="7">
        <v>42308</v>
      </c>
      <c r="EO29" s="7">
        <v>42338</v>
      </c>
      <c r="EP29" s="7">
        <v>42369</v>
      </c>
      <c r="EQ29" s="7">
        <v>42400</v>
      </c>
      <c r="ER29" s="7">
        <v>42429</v>
      </c>
      <c r="ES29" s="7">
        <v>42460</v>
      </c>
      <c r="ET29" s="7">
        <v>42490</v>
      </c>
      <c r="EU29" s="7">
        <v>42521</v>
      </c>
      <c r="EV29" s="7">
        <v>42551</v>
      </c>
      <c r="EW29" s="7">
        <v>42582</v>
      </c>
      <c r="EX29" s="7">
        <v>42613</v>
      </c>
      <c r="EY29" s="7">
        <v>42643</v>
      </c>
      <c r="EZ29" s="7">
        <v>42674</v>
      </c>
      <c r="FA29" s="7">
        <v>42704</v>
      </c>
      <c r="FB29" s="7">
        <v>42735</v>
      </c>
      <c r="FC29" s="7">
        <v>42766</v>
      </c>
      <c r="FD29" s="7">
        <v>42794</v>
      </c>
      <c r="FE29" s="7">
        <v>42825</v>
      </c>
      <c r="FF29" s="7">
        <v>42855</v>
      </c>
      <c r="FG29" s="7">
        <v>42886</v>
      </c>
      <c r="FH29" s="7">
        <v>42916</v>
      </c>
      <c r="FI29" s="7">
        <v>42947</v>
      </c>
      <c r="FJ29" s="7">
        <v>42978</v>
      </c>
      <c r="FK29" s="7">
        <v>43008</v>
      </c>
      <c r="FL29" s="7">
        <v>43039</v>
      </c>
      <c r="FM29" s="7">
        <v>43069</v>
      </c>
      <c r="FN29" s="7">
        <v>43100</v>
      </c>
      <c r="FO29" s="7">
        <v>43131</v>
      </c>
      <c r="FP29" s="7">
        <v>43159</v>
      </c>
      <c r="FQ29" s="7">
        <v>43190</v>
      </c>
      <c r="FR29" s="7">
        <v>43220</v>
      </c>
      <c r="FS29" s="7">
        <v>43251</v>
      </c>
      <c r="FT29" s="7">
        <v>43281</v>
      </c>
      <c r="FU29" s="7">
        <v>43312</v>
      </c>
      <c r="FV29" s="7">
        <v>43343</v>
      </c>
      <c r="FW29" s="7">
        <v>43373</v>
      </c>
      <c r="FX29" s="7">
        <v>43404</v>
      </c>
      <c r="FY29" s="7">
        <v>43434</v>
      </c>
      <c r="FZ29" s="7">
        <v>43465</v>
      </c>
      <c r="GA29" s="7">
        <v>43496</v>
      </c>
      <c r="GB29" s="7">
        <v>43524</v>
      </c>
      <c r="GC29" s="7">
        <v>43555</v>
      </c>
      <c r="GD29" s="7">
        <v>43585</v>
      </c>
      <c r="GE29" s="7">
        <v>43616</v>
      </c>
      <c r="GF29" s="7">
        <v>43646</v>
      </c>
      <c r="GG29" s="7">
        <v>43677</v>
      </c>
      <c r="GH29" s="7">
        <v>43708</v>
      </c>
      <c r="GI29" s="7">
        <v>43738</v>
      </c>
      <c r="GJ29" s="7">
        <v>43769</v>
      </c>
      <c r="GK29" s="7">
        <v>43799</v>
      </c>
      <c r="GL29" s="7">
        <v>43830</v>
      </c>
      <c r="GM29" s="7">
        <v>43861</v>
      </c>
      <c r="GN29" s="7">
        <v>43890</v>
      </c>
      <c r="GO29" s="7">
        <v>43921</v>
      </c>
      <c r="GP29" s="7">
        <v>43951</v>
      </c>
      <c r="GQ29" s="7">
        <v>43982</v>
      </c>
      <c r="GR29" s="7">
        <v>44012</v>
      </c>
      <c r="GS29" s="7">
        <v>44043</v>
      </c>
      <c r="GT29" s="7">
        <v>44074</v>
      </c>
      <c r="GU29" s="7">
        <v>44104</v>
      </c>
      <c r="GV29" s="7">
        <v>44135</v>
      </c>
      <c r="GW29" s="7">
        <v>44165</v>
      </c>
      <c r="GX29" s="7">
        <v>44196</v>
      </c>
      <c r="GY29" s="7">
        <v>44227</v>
      </c>
      <c r="GZ29" s="7">
        <v>44255</v>
      </c>
      <c r="HA29" s="7">
        <v>44286</v>
      </c>
      <c r="HB29" s="7">
        <v>44316</v>
      </c>
      <c r="HC29" s="7">
        <v>44347</v>
      </c>
      <c r="HD29" s="7">
        <v>44377</v>
      </c>
      <c r="HE29" s="7">
        <v>44408</v>
      </c>
      <c r="HF29" s="7">
        <v>44439</v>
      </c>
      <c r="HG29" s="7">
        <v>44469</v>
      </c>
      <c r="HH29" s="7">
        <v>44500</v>
      </c>
      <c r="HI29" s="7">
        <v>44530</v>
      </c>
      <c r="HJ29" s="7">
        <v>44561</v>
      </c>
      <c r="HK29" s="7">
        <v>44592</v>
      </c>
      <c r="HL29" s="7">
        <v>44620</v>
      </c>
      <c r="HM29" s="7">
        <v>44651</v>
      </c>
      <c r="HN29" s="7">
        <v>44681</v>
      </c>
      <c r="HO29" s="7">
        <v>44712</v>
      </c>
      <c r="HP29" s="7">
        <v>44742</v>
      </c>
      <c r="HQ29" s="7">
        <v>44773</v>
      </c>
      <c r="HR29" s="7">
        <v>44804</v>
      </c>
      <c r="HS29" s="7">
        <v>44834</v>
      </c>
      <c r="HT29" s="7">
        <v>44865</v>
      </c>
      <c r="HU29" s="7">
        <v>44895</v>
      </c>
      <c r="HV29" s="7">
        <v>44926</v>
      </c>
      <c r="HW29" s="7">
        <v>44957</v>
      </c>
      <c r="HX29" s="7">
        <v>44985</v>
      </c>
      <c r="HY29" s="7">
        <v>45016</v>
      </c>
      <c r="HZ29" s="7">
        <v>45046</v>
      </c>
      <c r="IA29" s="7">
        <v>45077</v>
      </c>
      <c r="IB29" s="7">
        <v>45107</v>
      </c>
      <c r="IC29" s="7">
        <v>45138</v>
      </c>
      <c r="ID29" s="7">
        <v>45169</v>
      </c>
      <c r="IE29" s="7">
        <v>45199</v>
      </c>
      <c r="IF29" s="7">
        <v>45230</v>
      </c>
      <c r="IG29" s="7">
        <v>45260</v>
      </c>
      <c r="IH29" s="7">
        <v>45291</v>
      </c>
      <c r="II29" s="7">
        <v>45322</v>
      </c>
      <c r="IJ29" s="7">
        <v>45351</v>
      </c>
      <c r="IK29" s="7">
        <v>45382</v>
      </c>
      <c r="IL29" s="7">
        <v>45412</v>
      </c>
      <c r="IM29" s="7">
        <v>45443</v>
      </c>
      <c r="IN29" s="7">
        <v>45473</v>
      </c>
      <c r="IO29" s="7">
        <v>45504</v>
      </c>
      <c r="IP29" s="7">
        <v>45535</v>
      </c>
      <c r="IQ29" s="7">
        <v>45565</v>
      </c>
      <c r="IR29" s="7">
        <v>45596</v>
      </c>
      <c r="IS29" s="7">
        <v>45626</v>
      </c>
      <c r="IT29" s="7">
        <v>45657</v>
      </c>
      <c r="IU29" s="7">
        <v>45688</v>
      </c>
      <c r="IV29" s="7">
        <v>45716</v>
      </c>
      <c r="IW29" s="7">
        <v>45747</v>
      </c>
      <c r="IX29" s="7">
        <v>45777</v>
      </c>
      <c r="IY29" s="7">
        <v>45808</v>
      </c>
      <c r="IZ29" s="7">
        <v>45838</v>
      </c>
      <c r="JA29" s="7">
        <v>45869</v>
      </c>
      <c r="JB29" s="7">
        <v>45900</v>
      </c>
      <c r="JC29" s="7">
        <v>45930</v>
      </c>
      <c r="JD29" s="7">
        <v>45961</v>
      </c>
      <c r="JE29" s="7">
        <v>45991</v>
      </c>
      <c r="JF29" s="7">
        <v>46022</v>
      </c>
      <c r="JG29" s="7">
        <v>46053</v>
      </c>
      <c r="JH29" s="7">
        <v>46081</v>
      </c>
      <c r="JI29" s="10" t="s">
        <v>2</v>
      </c>
      <c r="JJ29" s="11" t="s">
        <v>3</v>
      </c>
      <c r="JK29" s="10" t="s">
        <v>4</v>
      </c>
      <c r="JL29" s="12" t="s">
        <v>5</v>
      </c>
      <c r="JM29" s="10" t="s">
        <v>6</v>
      </c>
      <c r="JN29" s="19">
        <v>1.28</v>
      </c>
      <c r="LY29" s="1"/>
    </row>
    <row r="30" spans="1:337" x14ac:dyDescent="0.25">
      <c r="A30" s="4">
        <v>1</v>
      </c>
      <c r="B30" s="9">
        <f ca="1">IF(OR(B3="",B$28&lt;$A30),"",B3/OFFSET(SSTotalCLM!$A$2,MATCH(B$29,SSTotalCLM!$A$2:$A$500)+$A30-1,1)-1)</f>
        <v>1.9246680377462688E-3</v>
      </c>
      <c r="C30" s="9">
        <f ca="1">IF(OR(C3="",C$28&lt;$A30),"",C3/OFFSET(SSTotalCLM!$A$2,MATCH(C$29,SSTotalCLM!$A$2:$A$500)+$A30-1,1)-1)</f>
        <v>-4.6300253360540555E-3</v>
      </c>
      <c r="D30" s="9">
        <f ca="1">IF(OR(D3="",D$28&lt;$A30),"",D3/OFFSET(SSTotalCLM!$A$2,MATCH(D$29,SSTotalCLM!$A$2:$A$500)+$A30-1,1)-1)</f>
        <v>-3.9494071376793283E-3</v>
      </c>
      <c r="E30" s="9">
        <f ca="1">IF(OR(E3="",E$28&lt;$A30),"",E3/OFFSET(SSTotalCLM!$A$2,MATCH(E$29,SSTotalCLM!$A$2:$A$500)+$A30-1,1)-1)</f>
        <v>4.4826351622351268E-4</v>
      </c>
      <c r="F30" s="9">
        <f ca="1">IF(OR(F3="",F$28&lt;$A30),"",F3/OFFSET(SSTotalCLM!$A$2,MATCH(F$29,SSTotalCLM!$A$2:$A$500)+$A30-1,1)-1)</f>
        <v>-2.8431073036696564E-3</v>
      </c>
      <c r="G30" s="9">
        <f ca="1">IF(OR(G3="",G$28&lt;$A30),"",G3/OFFSET(SSTotalCLM!$A$2,MATCH(G$29,SSTotalCLM!$A$2:$A$500)+$A30-1,1)-1)</f>
        <v>-8.6818323366100181E-3</v>
      </c>
      <c r="H30" s="9">
        <f ca="1">IF(OR(H3="",H$28&lt;$A30),"",H3/OFFSET(SSTotalCLM!$A$2,MATCH(H$29,SSTotalCLM!$A$2:$A$500)+$A30-1,1)-1)</f>
        <v>-1.2930566807397681E-2</v>
      </c>
      <c r="I30" s="9">
        <f ca="1">IF(OR(I3="",I$28&lt;$A30),"",I3/OFFSET(SSTotalCLM!$A$2,MATCH(I$29,SSTotalCLM!$A$2:$A$500)+$A30-1,1)-1)</f>
        <v>-1.1470821225267214E-2</v>
      </c>
      <c r="J30" s="9">
        <f ca="1">IF(OR(J3="",J$28&lt;$A30),"",J3/OFFSET(SSTotalCLM!$A$2,MATCH(J$29,SSTotalCLM!$A$2:$A$500)+$A30-1,1)-1)</f>
        <v>-1.7972928952666445E-3</v>
      </c>
      <c r="K30" s="9">
        <f ca="1">IF(OR(K3="",K$28&lt;$A30),"",K3/OFFSET(SSTotalCLM!$A$2,MATCH(K$29,SSTotalCLM!$A$2:$A$500)+$A30-1,1)-1)</f>
        <v>-1.0512217078906261E-4</v>
      </c>
      <c r="L30" s="9">
        <f ca="1">IF(OR(L3="",L$28&lt;$A30),"",L3/OFFSET(SSTotalCLM!$A$2,MATCH(L$29,SSTotalCLM!$A$2:$A$500)+$A30-1,1)-1)</f>
        <v>4.4108690869109068E-3</v>
      </c>
      <c r="M30" s="9">
        <f ca="1">IF(OR(M3="",M$28&lt;$A30),"",M3/OFFSET(SSTotalCLM!$A$2,MATCH(M$29,SSTotalCLM!$A$2:$A$500)+$A30-1,1)-1)</f>
        <v>-1.5048312704698086E-2</v>
      </c>
      <c r="N30" s="9">
        <f ca="1">IF(OR(N3="",N$28&lt;$A30),"",N3/OFFSET(SSTotalCLM!$A$2,MATCH(N$29,SSTotalCLM!$A$2:$A$500)+$A30-1,1)-1)</f>
        <v>1.0238028088857876E-2</v>
      </c>
      <c r="O30" s="9">
        <f ca="1">IF(OR(O3="",O$28&lt;$A30),"",O3/OFFSET(SSTotalCLM!$A$2,MATCH(O$29,SSTotalCLM!$A$2:$A$500)+$A30-1,1)-1)</f>
        <v>3.7777822188447274E-3</v>
      </c>
      <c r="P30" s="9">
        <f ca="1">IF(OR(P3="",P$28&lt;$A30),"",P3/OFFSET(SSTotalCLM!$A$2,MATCH(P$29,SSTotalCLM!$A$2:$A$500)+$A30-1,1)-1)</f>
        <v>-3.065805819557621E-5</v>
      </c>
      <c r="Q30" s="9">
        <f ca="1">IF(OR(Q3="",Q$28&lt;$A30),"",Q3/OFFSET(SSTotalCLM!$A$2,MATCH(Q$29,SSTotalCLM!$A$2:$A$500)+$A30-1,1)-1)</f>
        <v>-6.4946067132513052E-3</v>
      </c>
      <c r="R30" s="9">
        <f ca="1">IF(OR(R3="",R$28&lt;$A30),"",R3/OFFSET(SSTotalCLM!$A$2,MATCH(R$29,SSTotalCLM!$A$2:$A$500)+$A30-1,1)-1)</f>
        <v>-9.0335863209946021E-3</v>
      </c>
      <c r="S30" s="9">
        <f ca="1">IF(OR(S3="",S$28&lt;$A30),"",S3/OFFSET(SSTotalCLM!$A$2,MATCH(S$29,SSTotalCLM!$A$2:$A$500)+$A30-1,1)-1)</f>
        <v>-1.4566546637292399E-2</v>
      </c>
      <c r="T30" s="9">
        <f ca="1">IF(OR(T3="",T$28&lt;$A30),"",T3/OFFSET(SSTotalCLM!$A$2,MATCH(T$29,SSTotalCLM!$A$2:$A$500)+$A30-1,1)-1)</f>
        <v>-1.2239081497648407E-2</v>
      </c>
      <c r="U30" s="9">
        <f ca="1">IF(OR(U3="",U$28&lt;$A30),"",U3/OFFSET(SSTotalCLM!$A$2,MATCH(U$29,SSTotalCLM!$A$2:$A$500)+$A30-1,1)-1)</f>
        <v>-3.1060676173031432E-3</v>
      </c>
      <c r="V30" s="9">
        <f ca="1">IF(OR(V3="",V$28&lt;$A30),"",V3/OFFSET(SSTotalCLM!$A$2,MATCH(V$29,SSTotalCLM!$A$2:$A$500)+$A30-1,1)-1)</f>
        <v>2.1509192016535561E-3</v>
      </c>
      <c r="W30" s="9">
        <f ca="1">IF(OR(W3="",W$28&lt;$A30),"",W3/OFFSET(SSTotalCLM!$A$2,MATCH(W$29,SSTotalCLM!$A$2:$A$500)+$A30-1,1)-1)</f>
        <v>-1.4901075572085754E-3</v>
      </c>
      <c r="X30" s="9">
        <f ca="1">IF(OR(X3="",X$28&lt;$A30),"",X3/OFFSET(SSTotalCLM!$A$2,MATCH(X$29,SSTotalCLM!$A$2:$A$500)+$A30-1,1)-1)</f>
        <v>-3.4247103816322788E-3</v>
      </c>
      <c r="Y30" s="9">
        <f ca="1">IF(OR(Y3="",Y$28&lt;$A30),"",Y3/OFFSET(SSTotalCLM!$A$2,MATCH(Y$29,SSTotalCLM!$A$2:$A$500)+$A30-1,1)-1)</f>
        <v>-1.0904266224225467E-2</v>
      </c>
      <c r="Z30" s="9">
        <f ca="1">IF(OR(Z3="",Z$28&lt;$A30),"",Z3/OFFSET(SSTotalCLM!$A$2,MATCH(Z$29,SSTotalCLM!$A$2:$A$500)+$A30-1,1)-1)</f>
        <v>3.7563223724155215E-3</v>
      </c>
      <c r="AA30" s="9">
        <f ca="1">IF(OR(AA3="",AA$28&lt;$A30),"",AA3/OFFSET(SSTotalCLM!$A$2,MATCH(AA$29,SSTotalCLM!$A$2:$A$500)+$A30-1,1)-1)</f>
        <v>1.4378004537987099E-3</v>
      </c>
      <c r="AB30" s="9">
        <f ca="1">IF(OR(AB3="",AB$28&lt;$A30),"",AB3/OFFSET(SSTotalCLM!$A$2,MATCH(AB$29,SSTotalCLM!$A$2:$A$500)+$A30-1,1)-1)</f>
        <v>-1.7333074464118692E-3</v>
      </c>
      <c r="AC30" s="9">
        <f ca="1">IF(OR(AC3="",AC$28&lt;$A30),"",AC3/OFFSET(SSTotalCLM!$A$2,MATCH(AC$29,SSTotalCLM!$A$2:$A$500)+$A30-1,1)-1)</f>
        <v>3.7952269109116088E-3</v>
      </c>
      <c r="AD30" s="9">
        <f ca="1">IF(OR(AD3="",AD$28&lt;$A30),"",AD3/OFFSET(SSTotalCLM!$A$2,MATCH(AD$29,SSTotalCLM!$A$2:$A$500)+$A30-1,1)-1)</f>
        <v>2.8828019067195232E-3</v>
      </c>
      <c r="AE30" s="9">
        <f ca="1">IF(OR(AE3="",AE$28&lt;$A30),"",AE3/OFFSET(SSTotalCLM!$A$2,MATCH(AE$29,SSTotalCLM!$A$2:$A$500)+$A30-1,1)-1)</f>
        <v>9.0512733976959581E-3</v>
      </c>
      <c r="AF30" s="9">
        <f ca="1">IF(OR(AF3="",AF$28&lt;$A30),"",AF3/OFFSET(SSTotalCLM!$A$2,MATCH(AF$29,SSTotalCLM!$A$2:$A$500)+$A30-1,1)-1)</f>
        <v>6.0430826093800238E-3</v>
      </c>
      <c r="AG30" s="9">
        <f ca="1">IF(OR(AG3="",AG$28&lt;$A30),"",AG3/OFFSET(SSTotalCLM!$A$2,MATCH(AG$29,SSTotalCLM!$A$2:$A$500)+$A30-1,1)-1)</f>
        <v>2.9220313798068442E-3</v>
      </c>
      <c r="AH30" s="9">
        <f ca="1">IF(OR(AH3="",AH$28&lt;$A30),"",AH3/OFFSET(SSTotalCLM!$A$2,MATCH(AH$29,SSTotalCLM!$A$2:$A$500)+$A30-1,1)-1)</f>
        <v>7.2715019606817144E-4</v>
      </c>
      <c r="AI30" s="9">
        <f ca="1">IF(OR(AI3="",AI$28&lt;$A30),"",AI3/OFFSET(SSTotalCLM!$A$2,MATCH(AI$29,SSTotalCLM!$A$2:$A$500)+$A30-1,1)-1)</f>
        <v>-1.4016505155121095E-3</v>
      </c>
      <c r="AJ30" s="9">
        <f ca="1">IF(OR(AJ3="",AJ$28&lt;$A30),"",AJ3/OFFSET(SSTotalCLM!$A$2,MATCH(AJ$29,SSTotalCLM!$A$2:$A$500)+$A30-1,1)-1)</f>
        <v>-1.0245351971031047E-3</v>
      </c>
      <c r="AK30" s="9">
        <f ca="1">IF(OR(AK3="",AK$28&lt;$A30),"",AK3/OFFSET(SSTotalCLM!$A$2,MATCH(AK$29,SSTotalCLM!$A$2:$A$500)+$A30-1,1)-1)</f>
        <v>-6.0694823031691714E-3</v>
      </c>
      <c r="AL30" s="9">
        <f ca="1">IF(OR(AL3="",AL$28&lt;$A30),"",AL3/OFFSET(SSTotalCLM!$A$2,MATCH(AL$29,SSTotalCLM!$A$2:$A$500)+$A30-1,1)-1)</f>
        <v>-2.2587835430859515E-3</v>
      </c>
      <c r="AM30" s="9">
        <f ca="1">IF(OR(AM3="",AM$28&lt;$A30),"",AM3/OFFSET(SSTotalCLM!$A$2,MATCH(AM$29,SSTotalCLM!$A$2:$A$500)+$A30-1,1)-1)</f>
        <v>-1.4514198180466398E-3</v>
      </c>
      <c r="AN30" s="9">
        <f ca="1">IF(OR(AN3="",AN$28&lt;$A30),"",AN3/OFFSET(SSTotalCLM!$A$2,MATCH(AN$29,SSTotalCLM!$A$2:$A$500)+$A30-1,1)-1)</f>
        <v>-2.4031869734999489E-3</v>
      </c>
      <c r="AO30" s="9">
        <f ca="1">IF(OR(AO3="",AO$28&lt;$A30),"",AO3/OFFSET(SSTotalCLM!$A$2,MATCH(AO$29,SSTotalCLM!$A$2:$A$500)+$A30-1,1)-1)</f>
        <v>-5.1287987874681917E-4</v>
      </c>
      <c r="AP30" s="9">
        <f ca="1">IF(OR(AP3="",AP$28&lt;$A30),"",AP3/OFFSET(SSTotalCLM!$A$2,MATCH(AP$29,SSTotalCLM!$A$2:$A$500)+$A30-1,1)-1)</f>
        <v>-9.6871229040629281E-4</v>
      </c>
      <c r="AQ30" s="9">
        <f ca="1">IF(OR(AQ3="",AQ$28&lt;$A30),"",AQ3/OFFSET(SSTotalCLM!$A$2,MATCH(AQ$29,SSTotalCLM!$A$2:$A$500)+$A30-1,1)-1)</f>
        <v>4.6838982499641801E-3</v>
      </c>
      <c r="AR30" s="9">
        <f ca="1">IF(OR(AR3="",AR$28&lt;$A30),"",AR3/OFFSET(SSTotalCLM!$A$2,MATCH(AR$29,SSTotalCLM!$A$2:$A$500)+$A30-1,1)-1)</f>
        <v>1.9999856725085863E-3</v>
      </c>
      <c r="AS30" s="9">
        <f ca="1">IF(OR(AS3="",AS$28&lt;$A30),"",AS3/OFFSET(SSTotalCLM!$A$2,MATCH(AS$29,SSTotalCLM!$A$2:$A$500)+$A30-1,1)-1)</f>
        <v>2.4340155493016713E-3</v>
      </c>
      <c r="AT30" s="9">
        <f ca="1">IF(OR(AT3="",AT$28&lt;$A30),"",AT3/OFFSET(SSTotalCLM!$A$2,MATCH(AT$29,SSTotalCLM!$A$2:$A$500)+$A30-1,1)-1)</f>
        <v>-5.7243551458341368E-4</v>
      </c>
      <c r="AU30" s="9">
        <f ca="1">IF(OR(AU3="",AU$28&lt;$A30),"",AU3/OFFSET(SSTotalCLM!$A$2,MATCH(AU$29,SSTotalCLM!$A$2:$A$500)+$A30-1,1)-1)</f>
        <v>-5.5351652969424237E-3</v>
      </c>
      <c r="AV30" s="9">
        <f ca="1">IF(OR(AV3="",AV$28&lt;$A30),"",AV3/OFFSET(SSTotalCLM!$A$2,MATCH(AV$29,SSTotalCLM!$A$2:$A$500)+$A30-1,1)-1)</f>
        <v>6.2409303610011513E-4</v>
      </c>
      <c r="AW30" s="9">
        <f ca="1">IF(OR(AW3="",AW$28&lt;$A30),"",AW3/OFFSET(SSTotalCLM!$A$2,MATCH(AW$29,SSTotalCLM!$A$2:$A$500)+$A30-1,1)-1)</f>
        <v>-3.0904333695106478E-3</v>
      </c>
      <c r="AX30" s="9">
        <f ca="1">IF(OR(AX3="",AX$28&lt;$A30),"",AX3/OFFSET(SSTotalCLM!$A$2,MATCH(AX$29,SSTotalCLM!$A$2:$A$500)+$A30-1,1)-1)</f>
        <v>5.527107508171758E-3</v>
      </c>
      <c r="AY30" s="9">
        <f ca="1">IF(OR(AY3="",AY$28&lt;$A30),"",AY3/OFFSET(SSTotalCLM!$A$2,MATCH(AY$29,SSTotalCLM!$A$2:$A$500)+$A30-1,1)-1)</f>
        <v>5.4155377420177508E-3</v>
      </c>
      <c r="AZ30" s="9">
        <f ca="1">IF(OR(AZ3="",AZ$28&lt;$A30),"",AZ3/OFFSET(SSTotalCLM!$A$2,MATCH(AZ$29,SSTotalCLM!$A$2:$A$500)+$A30-1,1)-1)</f>
        <v>7.673155702240253E-3</v>
      </c>
      <c r="BA30" s="9">
        <f ca="1">IF(OR(BA3="",BA$28&lt;$A30),"",BA3/OFFSET(SSTotalCLM!$A$2,MATCH(BA$29,SSTotalCLM!$A$2:$A$500)+$A30-1,1)-1)</f>
        <v>4.1127506755582743E-3</v>
      </c>
      <c r="BB30" s="9">
        <f ca="1">IF(OR(BB3="",BB$28&lt;$A30),"",BB3/OFFSET(SSTotalCLM!$A$2,MATCH(BB$29,SSTotalCLM!$A$2:$A$500)+$A30-1,1)-1)</f>
        <v>7.9123514449233046E-3</v>
      </c>
      <c r="BC30" s="9">
        <f ca="1">IF(OR(BC3="",BC$28&lt;$A30),"",BC3/OFFSET(SSTotalCLM!$A$2,MATCH(BC$29,SSTotalCLM!$A$2:$A$500)+$A30-1,1)-1)</f>
        <v>1.0041707283726442E-2</v>
      </c>
      <c r="BD30" s="9">
        <f ca="1">IF(OR(BD3="",BD$28&lt;$A30),"",BD3/OFFSET(SSTotalCLM!$A$2,MATCH(BD$29,SSTotalCLM!$A$2:$A$500)+$A30-1,1)-1)</f>
        <v>7.4875092992721104E-3</v>
      </c>
      <c r="BE30" s="9">
        <f ca="1">IF(OR(BE3="",BE$28&lt;$A30),"",BE3/OFFSET(SSTotalCLM!$A$2,MATCH(BE$29,SSTotalCLM!$A$2:$A$500)+$A30-1,1)-1)</f>
        <v>5.5548404298160214E-3</v>
      </c>
      <c r="BF30" s="9">
        <f ca="1">IF(OR(BF3="",BF$28&lt;$A30),"",BF3/OFFSET(SSTotalCLM!$A$2,MATCH(BF$29,SSTotalCLM!$A$2:$A$500)+$A30-1,1)-1)</f>
        <v>-9.6626647693487389E-4</v>
      </c>
      <c r="BG30" s="9">
        <f ca="1">IF(OR(BG3="",BG$28&lt;$A30),"",BG3/OFFSET(SSTotalCLM!$A$2,MATCH(BG$29,SSTotalCLM!$A$2:$A$500)+$A30-1,1)-1)</f>
        <v>-3.5250100954290486E-3</v>
      </c>
      <c r="BH30" s="9">
        <f ca="1">IF(OR(BH3="",BH$28&lt;$A30),"",BH3/OFFSET(SSTotalCLM!$A$2,MATCH(BH$29,SSTotalCLM!$A$2:$A$500)+$A30-1,1)-1)</f>
        <v>2.2765771218190789E-2</v>
      </c>
      <c r="BI30" s="9">
        <f ca="1">IF(OR(BI3="",BI$28&lt;$A30),"",BI3/OFFSET(SSTotalCLM!$A$2,MATCH(BI$29,SSTotalCLM!$A$2:$A$500)+$A30-1,1)-1)</f>
        <v>5.7409855053860426E-3</v>
      </c>
      <c r="BJ30" s="9">
        <f ca="1">IF(OR(BJ3="",BJ$28&lt;$A30),"",BJ3/OFFSET(SSTotalCLM!$A$2,MATCH(BJ$29,SSTotalCLM!$A$2:$A$500)+$A30-1,1)-1)</f>
        <v>7.5324602787349981E-3</v>
      </c>
      <c r="BK30" s="9">
        <f ca="1">IF(OR(BK3="",BK$28&lt;$A30),"",BK3/OFFSET(SSTotalCLM!$A$2,MATCH(BK$29,SSTotalCLM!$A$2:$A$500)+$A30-1,1)-1)</f>
        <v>4.9399255695417033E-3</v>
      </c>
      <c r="BL30" s="9">
        <f ca="1">IF(OR(BL3="",BL$28&lt;$A30),"",BL3/OFFSET(SSTotalCLM!$A$2,MATCH(BL$29,SSTotalCLM!$A$2:$A$500)+$A30-1,1)-1)</f>
        <v>5.1486194627636817E-3</v>
      </c>
      <c r="BM30" s="9">
        <f ca="1">IF(OR(BM3="",BM$28&lt;$A30),"",BM3/OFFSET(SSTotalCLM!$A$2,MATCH(BM$29,SSTotalCLM!$A$2:$A$500)+$A30-1,1)-1)</f>
        <v>-2.320867572880192E-3</v>
      </c>
      <c r="BN30" s="9">
        <f ca="1">IF(OR(BN3="",BN$28&lt;$A30),"",BN3/OFFSET(SSTotalCLM!$A$2,MATCH(BN$29,SSTotalCLM!$A$2:$A$500)+$A30-1,1)-1)</f>
        <v>-1.0229651167530607E-2</v>
      </c>
      <c r="BO30" s="9">
        <f ca="1">IF(OR(BO3="",BO$28&lt;$A30),"",BO3/OFFSET(SSTotalCLM!$A$2,MATCH(BO$29,SSTotalCLM!$A$2:$A$500)+$A30-1,1)-1)</f>
        <v>-5.9355161361467346E-3</v>
      </c>
      <c r="BP30" s="9">
        <f ca="1">IF(OR(BP3="",BP$28&lt;$A30),"",BP3/OFFSET(SSTotalCLM!$A$2,MATCH(BP$29,SSTotalCLM!$A$2:$A$500)+$A30-1,1)-1)</f>
        <v>-6.299637616212217E-3</v>
      </c>
      <c r="BQ30" s="9">
        <f ca="1">IF(OR(BQ3="",BQ$28&lt;$A30),"",BQ3/OFFSET(SSTotalCLM!$A$2,MATCH(BQ$29,SSTotalCLM!$A$2:$A$500)+$A30-1,1)-1)</f>
        <v>-5.6845939362091258E-3</v>
      </c>
      <c r="BR30" s="9">
        <f ca="1">IF(OR(BR3="",BR$28&lt;$A30),"",BR3/OFFSET(SSTotalCLM!$A$2,MATCH(BR$29,SSTotalCLM!$A$2:$A$500)+$A30-1,1)-1)</f>
        <v>-1.9899246611773891E-2</v>
      </c>
      <c r="BS30" s="9">
        <f ca="1">IF(OR(BS3="",BS$28&lt;$A30),"",BS3/OFFSET(SSTotalCLM!$A$2,MATCH(BS$29,SSTotalCLM!$A$2:$A$500)+$A30-1,1)-1)</f>
        <v>6.402311956205109E-3</v>
      </c>
      <c r="BT30" s="9">
        <f ca="1">IF(OR(BT3="",BT$28&lt;$A30),"",BT3/OFFSET(SSTotalCLM!$A$2,MATCH(BT$29,SSTotalCLM!$A$2:$A$500)+$A30-1,1)-1)</f>
        <v>5.7930473715270825E-3</v>
      </c>
      <c r="BU30" s="9">
        <f ca="1">IF(OR(BU3="",BU$28&lt;$A30),"",BU3/OFFSET(SSTotalCLM!$A$2,MATCH(BU$29,SSTotalCLM!$A$2:$A$500)+$A30-1,1)-1)</f>
        <v>-7.5914392795464192E-3</v>
      </c>
      <c r="BV30" s="9">
        <f ca="1">IF(OR(BV3="",BV$28&lt;$A30),"",BV3/OFFSET(SSTotalCLM!$A$2,MATCH(BV$29,SSTotalCLM!$A$2:$A$500)+$A30-1,1)-1)</f>
        <v>5.4024261229244086E-3</v>
      </c>
      <c r="BW30" s="9">
        <f ca="1">IF(OR(BW3="",BW$28&lt;$A30),"",BW3/OFFSET(SSTotalCLM!$A$2,MATCH(BW$29,SSTotalCLM!$A$2:$A$500)+$A30-1,1)-1)</f>
        <v>2.3748438450261755E-3</v>
      </c>
      <c r="BX30" s="9">
        <f ca="1">IF(OR(BX3="",BX$28&lt;$A30),"",BX3/OFFSET(SSTotalCLM!$A$2,MATCH(BX$29,SSTotalCLM!$A$2:$A$500)+$A30-1,1)-1)</f>
        <v>1.9249140546497845E-3</v>
      </c>
      <c r="BY30" s="9">
        <f ca="1">IF(OR(BY3="",BY$28&lt;$A30),"",BY3/OFFSET(SSTotalCLM!$A$2,MATCH(BY$29,SSTotalCLM!$A$2:$A$500)+$A30-1,1)-1)</f>
        <v>3.58637126663508E-3</v>
      </c>
      <c r="BZ30" s="9">
        <f ca="1">IF(OR(BZ3="",BZ$28&lt;$A30),"",BZ3/OFFSET(SSTotalCLM!$A$2,MATCH(BZ$29,SSTotalCLM!$A$2:$A$500)+$A30-1,1)-1)</f>
        <v>-7.4231722984252624E-4</v>
      </c>
      <c r="CA30" s="9">
        <f ca="1">IF(OR(CA3="",CA$28&lt;$A30),"",CA3/OFFSET(SSTotalCLM!$A$2,MATCH(CA$29,SSTotalCLM!$A$2:$A$500)+$A30-1,1)-1)</f>
        <v>2.7474248842263016E-3</v>
      </c>
      <c r="CB30" s="9">
        <f ca="1">IF(OR(CB3="",CB$28&lt;$A30),"",CB3/OFFSET(SSTotalCLM!$A$2,MATCH(CB$29,SSTotalCLM!$A$2:$A$500)+$A30-1,1)-1)</f>
        <v>2.5000286971765817E-4</v>
      </c>
      <c r="CC30" s="9">
        <f ca="1">IF(OR(CC3="",CC$28&lt;$A30),"",CC3/OFFSET(SSTotalCLM!$A$2,MATCH(CC$29,SSTotalCLM!$A$2:$A$500)+$A30-1,1)-1)</f>
        <v>1.4431891151311937E-4</v>
      </c>
      <c r="CD30" s="9">
        <f ca="1">IF(OR(CD3="",CD$28&lt;$A30),"",CD3/OFFSET(SSTotalCLM!$A$2,MATCH(CD$29,SSTotalCLM!$A$2:$A$500)+$A30-1,1)-1)</f>
        <v>-1.2336819079881045E-2</v>
      </c>
      <c r="CE30" s="9">
        <f ca="1">IF(OR(CE3="",CE$28&lt;$A30),"",CE3/OFFSET(SSTotalCLM!$A$2,MATCH(CE$29,SSTotalCLM!$A$2:$A$500)+$A30-1,1)-1)</f>
        <v>-4.9619027200796806E-3</v>
      </c>
      <c r="CF30" s="9">
        <f ca="1">IF(OR(CF3="",CF$28&lt;$A30),"",CF3/OFFSET(SSTotalCLM!$A$2,MATCH(CF$29,SSTotalCLM!$A$2:$A$500)+$A30-1,1)-1)</f>
        <v>1.048222087484052E-2</v>
      </c>
      <c r="CG30" s="9">
        <f ca="1">IF(OR(CG3="",CG$28&lt;$A30),"",CG3/OFFSET(SSTotalCLM!$A$2,MATCH(CG$29,SSTotalCLM!$A$2:$A$500)+$A30-1,1)-1)</f>
        <v>-3.4065932144742295E-3</v>
      </c>
      <c r="CH30" s="9">
        <f ca="1">IF(OR(CH3="",CH$28&lt;$A30),"",CH3/OFFSET(SSTotalCLM!$A$2,MATCH(CH$29,SSTotalCLM!$A$2:$A$500)+$A30-1,1)-1)</f>
        <v>-1.7969145941754139E-3</v>
      </c>
      <c r="CI30" s="9">
        <f ca="1">IF(OR(CI3="",CI$28&lt;$A30),"",CI3/OFFSET(SSTotalCLM!$A$2,MATCH(CI$29,SSTotalCLM!$A$2:$A$500)+$A30-1,1)-1)</f>
        <v>7.5730706020813443E-3</v>
      </c>
      <c r="CJ30" s="9">
        <f ca="1">IF(OR(CJ3="",CJ$28&lt;$A30),"",CJ3/OFFSET(SSTotalCLM!$A$2,MATCH(CJ$29,SSTotalCLM!$A$2:$A$500)+$A30-1,1)-1)</f>
        <v>-4.181237934053339E-5</v>
      </c>
      <c r="CK30" s="9">
        <f ca="1">IF(OR(CK3="",CK$28&lt;$A30),"",CK3/OFFSET(SSTotalCLM!$A$2,MATCH(CK$29,SSTotalCLM!$A$2:$A$500)+$A30-1,1)-1)</f>
        <v>-1.6946110884427101E-3</v>
      </c>
      <c r="CL30" s="9">
        <f ca="1">IF(OR(CL3="",CL$28&lt;$A30),"",CL3/OFFSET(SSTotalCLM!$A$2,MATCH(CL$29,SSTotalCLM!$A$2:$A$500)+$A30-1,1)-1)</f>
        <v>5.9416890483587892E-4</v>
      </c>
      <c r="CM30" s="9">
        <f ca="1">IF(OR(CM3="",CM$28&lt;$A30),"",CM3/OFFSET(SSTotalCLM!$A$2,MATCH(CM$29,SSTotalCLM!$A$2:$A$500)+$A30-1,1)-1)</f>
        <v>3.5873153550165515E-3</v>
      </c>
      <c r="CN30" s="9">
        <f ca="1">IF(OR(CN3="",CN$28&lt;$A30),"",CN3/OFFSET(SSTotalCLM!$A$2,MATCH(CN$29,SSTotalCLM!$A$2:$A$500)+$A30-1,1)-1)</f>
        <v>3.4341549642229463E-3</v>
      </c>
      <c r="CO30" s="9">
        <f ca="1">IF(OR(CO3="",CO$28&lt;$A30),"",CO3/OFFSET(SSTotalCLM!$A$2,MATCH(CO$29,SSTotalCLM!$A$2:$A$500)+$A30-1,1)-1)</f>
        <v>1.1038222111858786E-4</v>
      </c>
      <c r="CP30" s="9">
        <f ca="1">IF(OR(CP3="",CP$28&lt;$A30),"",CP3/OFFSET(SSTotalCLM!$A$2,MATCH(CP$29,SSTotalCLM!$A$2:$A$500)+$A30-1,1)-1)</f>
        <v>-9.2474717984825094E-3</v>
      </c>
      <c r="CQ30" s="9">
        <f ca="1">IF(OR(CQ3="",CQ$28&lt;$A30),"",CQ3/OFFSET(SSTotalCLM!$A$2,MATCH(CQ$29,SSTotalCLM!$A$2:$A$500)+$A30-1,1)-1)</f>
        <v>2.2131048239697693E-2</v>
      </c>
      <c r="CR30" s="9">
        <f ca="1">IF(OR(CR3="",CR$28&lt;$A30),"",CR3/OFFSET(SSTotalCLM!$A$2,MATCH(CR$29,SSTotalCLM!$A$2:$A$500)+$A30-1,1)-1)</f>
        <v>9.833819000291788E-3</v>
      </c>
      <c r="CS30" s="9">
        <f ca="1">IF(OR(CS3="",CS$28&lt;$A30),"",CS3/OFFSET(SSTotalCLM!$A$2,MATCH(CS$29,SSTotalCLM!$A$2:$A$500)+$A30-1,1)-1)</f>
        <v>-6.8413857831420843E-3</v>
      </c>
      <c r="CT30" s="9">
        <f ca="1">IF(OR(CT3="",CT$28&lt;$A30),"",CT3/OFFSET(SSTotalCLM!$A$2,MATCH(CT$29,SSTotalCLM!$A$2:$A$500)+$A30-1,1)-1)</f>
        <v>6.2751595397307902E-3</v>
      </c>
      <c r="CU30" s="9">
        <f ca="1">IF(OR(CU3="",CU$28&lt;$A30),"",CU3/OFFSET(SSTotalCLM!$A$2,MATCH(CU$29,SSTotalCLM!$A$2:$A$500)+$A30-1,1)-1)</f>
        <v>5.1278794296514274E-3</v>
      </c>
      <c r="CV30" s="9">
        <f ca="1">IF(OR(CV3="",CV$28&lt;$A30),"",CV3/OFFSET(SSTotalCLM!$A$2,MATCH(CV$29,SSTotalCLM!$A$2:$A$500)+$A30-1,1)-1)</f>
        <v>2.5496899238866E-3</v>
      </c>
      <c r="CW30" s="9">
        <f ca="1">IF(OR(CW3="",CW$28&lt;$A30),"",CW3/OFFSET(SSTotalCLM!$A$2,MATCH(CW$29,SSTotalCLM!$A$2:$A$500)+$A30-1,1)-1)</f>
        <v>4.0134774649469573E-3</v>
      </c>
      <c r="CX30" s="9">
        <f ca="1">IF(OR(CX3="",CX$28&lt;$A30),"",CX3/OFFSET(SSTotalCLM!$A$2,MATCH(CX$29,SSTotalCLM!$A$2:$A$500)+$A30-1,1)-1)</f>
        <v>7.5503438991142424E-4</v>
      </c>
      <c r="CY30" s="9">
        <f ca="1">IF(OR(CY3="",CY$28&lt;$A30),"",CY3/OFFSET(SSTotalCLM!$A$2,MATCH(CY$29,SSTotalCLM!$A$2:$A$500)+$A30-1,1)-1)</f>
        <v>-7.206820207314113E-3</v>
      </c>
      <c r="CZ30" s="9">
        <f ca="1">IF(OR(CZ3="",CZ$28&lt;$A30),"",CZ3/OFFSET(SSTotalCLM!$A$2,MATCH(CZ$29,SSTotalCLM!$A$2:$A$500)+$A30-1,1)-1)</f>
        <v>6.4390168911625523E-3</v>
      </c>
      <c r="DA30" s="9">
        <f ca="1">IF(OR(DA3="",DA$28&lt;$A30),"",DA3/OFFSET(SSTotalCLM!$A$2,MATCH(DA$29,SSTotalCLM!$A$2:$A$500)+$A30-1,1)-1)</f>
        <v>5.2517731962768988E-3</v>
      </c>
      <c r="DB30" s="9">
        <f ca="1">IF(OR(DB3="",DB$28&lt;$A30),"",DB3/OFFSET(SSTotalCLM!$A$2,MATCH(DB$29,SSTotalCLM!$A$2:$A$500)+$A30-1,1)-1)</f>
        <v>-2.1933176465952609E-2</v>
      </c>
      <c r="DC30" s="9">
        <f ca="1">IF(OR(DC3="",DC$28&lt;$A30),"",DC3/OFFSET(SSTotalCLM!$A$2,MATCH(DC$29,SSTotalCLM!$A$2:$A$500)+$A30-1,1)-1)</f>
        <v>1.49295113649206E-2</v>
      </c>
      <c r="DD30" s="9">
        <f ca="1">IF(OR(DD3="",DD$28&lt;$A30),"",DD3/OFFSET(SSTotalCLM!$A$2,MATCH(DD$29,SSTotalCLM!$A$2:$A$500)+$A30-1,1)-1)</f>
        <v>2.0996800192519371E-2</v>
      </c>
      <c r="DE30" s="9">
        <f ca="1">IF(OR(DE3="",DE$28&lt;$A30),"",DE3/OFFSET(SSTotalCLM!$A$2,MATCH(DE$29,SSTotalCLM!$A$2:$A$500)+$A30-1,1)-1)</f>
        <v>2.8611879590763056E-3</v>
      </c>
      <c r="DF30" s="9">
        <f ca="1">IF(OR(DF3="",DF$28&lt;$A30),"",DF3/OFFSET(SSTotalCLM!$A$2,MATCH(DF$29,SSTotalCLM!$A$2:$A$500)+$A30-1,1)-1)</f>
        <v>-6.678768443026506E-3</v>
      </c>
      <c r="DG30" s="9">
        <f ca="1">IF(OR(DG3="",DG$28&lt;$A30),"",DG3/OFFSET(SSTotalCLM!$A$2,MATCH(DG$29,SSTotalCLM!$A$2:$A$500)+$A30-1,1)-1)</f>
        <v>-8.3873175282139778E-3</v>
      </c>
      <c r="DH30" s="9">
        <f ca="1">IF(OR(DH3="",DH$28&lt;$A30),"",DH3/OFFSET(SSTotalCLM!$A$2,MATCH(DH$29,SSTotalCLM!$A$2:$A$500)+$A30-1,1)-1)</f>
        <v>-6.9855452853849753E-3</v>
      </c>
      <c r="DI30" s="9">
        <f ca="1">IF(OR(DI3="",DI$28&lt;$A30),"",DI3/OFFSET(SSTotalCLM!$A$2,MATCH(DI$29,SSTotalCLM!$A$2:$A$500)+$A30-1,1)-1)</f>
        <v>-4.6677683599254394E-3</v>
      </c>
      <c r="DJ30" s="9">
        <f ca="1">IF(OR(DJ3="",DJ$28&lt;$A30),"",DJ3/OFFSET(SSTotalCLM!$A$2,MATCH(DJ$29,SSTotalCLM!$A$2:$A$500)+$A30-1,1)-1)</f>
        <v>-4.7246754127242552E-3</v>
      </c>
      <c r="DK30" s="9">
        <f ca="1">IF(OR(DK3="",DK$28&lt;$A30),"",DK3/OFFSET(SSTotalCLM!$A$2,MATCH(DK$29,SSTotalCLM!$A$2:$A$500)+$A30-1,1)-1)</f>
        <v>-5.7153462569643487E-3</v>
      </c>
      <c r="DL30" s="9">
        <f ca="1">IF(OR(DL3="",DL$28&lt;$A30),"",DL3/OFFSET(SSTotalCLM!$A$2,MATCH(DL$29,SSTotalCLM!$A$2:$A$500)+$A30-1,1)-1)</f>
        <v>-2.154453839160908E-3</v>
      </c>
      <c r="DM30" s="9">
        <f ca="1">IF(OR(DM3="",DM$28&lt;$A30),"",DM3/OFFSET(SSTotalCLM!$A$2,MATCH(DM$29,SSTotalCLM!$A$2:$A$500)+$A30-1,1)-1)</f>
        <v>-4.7341947244857741E-3</v>
      </c>
      <c r="DN30" s="9">
        <f ca="1">IF(OR(DN3="",DN$28&lt;$A30),"",DN3/OFFSET(SSTotalCLM!$A$2,MATCH(DN$29,SSTotalCLM!$A$2:$A$500)+$A30-1,1)-1)</f>
        <v>-1.0637578668061587E-2</v>
      </c>
      <c r="DO30" s="9">
        <f ca="1">IF(OR(DO3="",DO$28&lt;$A30),"",DO3/OFFSET(SSTotalCLM!$A$2,MATCH(DO$29,SSTotalCLM!$A$2:$A$500)+$A30-1,1)-1)</f>
        <v>-2.7572888439824195E-2</v>
      </c>
      <c r="DP30" s="9">
        <f ca="1">IF(OR(DP3="",DP$28&lt;$A30),"",DP3/OFFSET(SSTotalCLM!$A$2,MATCH(DP$29,SSTotalCLM!$A$2:$A$500)+$A30-1,1)-1)</f>
        <v>1.9080789145119015E-2</v>
      </c>
      <c r="DQ30" s="9">
        <f ca="1">IF(OR(DQ3="",DQ$28&lt;$A30),"",DQ3/OFFSET(SSTotalCLM!$A$2,MATCH(DQ$29,SSTotalCLM!$A$2:$A$500)+$A30-1,1)-1)</f>
        <v>-1.2528942802013554E-2</v>
      </c>
      <c r="DR30" s="9">
        <f ca="1">IF(OR(DR3="",DR$28&lt;$A30),"",DR3/OFFSET(SSTotalCLM!$A$2,MATCH(DR$29,SSTotalCLM!$A$2:$A$500)+$A30-1,1)-1)</f>
        <v>-4.3045378408372859E-3</v>
      </c>
      <c r="DS30" s="9">
        <f ca="1">IF(OR(DS3="",DS$28&lt;$A30),"",DS3/OFFSET(SSTotalCLM!$A$2,MATCH(DS$29,SSTotalCLM!$A$2:$A$500)+$A30-1,1)-1)</f>
        <v>1.2343160534094011E-3</v>
      </c>
      <c r="DT30" s="9">
        <f ca="1">IF(OR(DT3="",DT$28&lt;$A30),"",DT3/OFFSET(SSTotalCLM!$A$2,MATCH(DT$29,SSTotalCLM!$A$2:$A$500)+$A30-1,1)-1)</f>
        <v>3.3829848230266801E-3</v>
      </c>
      <c r="DU30" s="9">
        <f ca="1">IF(OR(DU3="",DU$28&lt;$A30),"",DU3/OFFSET(SSTotalCLM!$A$2,MATCH(DU$29,SSTotalCLM!$A$2:$A$500)+$A30-1,1)-1)</f>
        <v>-4.1504645829049114E-4</v>
      </c>
      <c r="DV30" s="9">
        <f ca="1">IF(OR(DV3="",DV$28&lt;$A30),"",DV3/OFFSET(SSTotalCLM!$A$2,MATCH(DV$29,SSTotalCLM!$A$2:$A$500)+$A30-1,1)-1)</f>
        <v>-1.7241367239005934E-3</v>
      </c>
      <c r="DW30" s="9">
        <f ca="1">IF(OR(DW3="",DW$28&lt;$A30),"",DW3/OFFSET(SSTotalCLM!$A$2,MATCH(DW$29,SSTotalCLM!$A$2:$A$500)+$A30-1,1)-1)</f>
        <v>-4.0235999800400934E-3</v>
      </c>
      <c r="DX30" s="9">
        <f ca="1">IF(OR(DX3="",DX$28&lt;$A30),"",DX3/OFFSET(SSTotalCLM!$A$2,MATCH(DX$29,SSTotalCLM!$A$2:$A$500)+$A30-1,1)-1)</f>
        <v>3.4980213820090533E-3</v>
      </c>
      <c r="DY30" s="9">
        <f ca="1">IF(OR(DY3="",DY$28&lt;$A30),"",DY3/OFFSET(SSTotalCLM!$A$2,MATCH(DY$29,SSTotalCLM!$A$2:$A$500)+$A30-1,1)-1)</f>
        <v>3.3094162619389245E-3</v>
      </c>
      <c r="DZ30" s="9">
        <f ca="1">IF(OR(DZ3="",DZ$28&lt;$A30),"",DZ3/OFFSET(SSTotalCLM!$A$2,MATCH(DZ$29,SSTotalCLM!$A$2:$A$500)+$A30-1,1)-1)</f>
        <v>-1.4520962682489924E-2</v>
      </c>
      <c r="EA30" s="9">
        <f ca="1">IF(OR(EA3="",EA$28&lt;$A30),"",EA3/OFFSET(SSTotalCLM!$A$2,MATCH(EA$29,SSTotalCLM!$A$2:$A$500)+$A30-1,1)-1)</f>
        <v>2.6592599631335201E-2</v>
      </c>
      <c r="EB30" s="9">
        <f ca="1">IF(OR(EB3="",EB$28&lt;$A30),"",EB3/OFFSET(SSTotalCLM!$A$2,MATCH(EB$29,SSTotalCLM!$A$2:$A$500)+$A30-1,1)-1)</f>
        <v>-9.2058977804433395E-3</v>
      </c>
      <c r="EC30" s="9">
        <f ca="1">IF(OR(EC3="",EC$28&lt;$A30),"",EC3/OFFSET(SSTotalCLM!$A$2,MATCH(EC$29,SSTotalCLM!$A$2:$A$500)+$A30-1,1)-1)</f>
        <v>-4.4507188637656903E-3</v>
      </c>
      <c r="ED30" s="9">
        <f ca="1">IF(OR(ED3="",ED$28&lt;$A30),"",ED3/OFFSET(SSTotalCLM!$A$2,MATCH(ED$29,SSTotalCLM!$A$2:$A$500)+$A30-1,1)-1)</f>
        <v>5.0671056820195126E-3</v>
      </c>
      <c r="EE30" s="9">
        <f ca="1">IF(OR(EE3="",EE$28&lt;$A30),"",EE3/OFFSET(SSTotalCLM!$A$2,MATCH(EE$29,SSTotalCLM!$A$2:$A$500)+$A30-1,1)-1)</f>
        <v>-6.4972400746255987E-3</v>
      </c>
      <c r="EF30" s="9">
        <f ca="1">IF(OR(EF3="",EF$28&lt;$A30),"",EF3/OFFSET(SSTotalCLM!$A$2,MATCH(EF$29,SSTotalCLM!$A$2:$A$500)+$A30-1,1)-1)</f>
        <v>-7.8340065247201052E-3</v>
      </c>
      <c r="EG30" s="9">
        <f ca="1">IF(OR(EG3="",EG$28&lt;$A30),"",EG3/OFFSET(SSTotalCLM!$A$2,MATCH(EG$29,SSTotalCLM!$A$2:$A$500)+$A30-1,1)-1)</f>
        <v>-7.5197729801541602E-3</v>
      </c>
      <c r="EH30" s="9">
        <f ca="1">IF(OR(EH3="",EH$28&lt;$A30),"",EH3/OFFSET(SSTotalCLM!$A$2,MATCH(EH$29,SSTotalCLM!$A$2:$A$500)+$A30-1,1)-1)</f>
        <v>-7.3577281059973298E-3</v>
      </c>
      <c r="EI30" s="9">
        <f ca="1">IF(OR(EI3="",EI$28&lt;$A30),"",EI3/OFFSET(SSTotalCLM!$A$2,MATCH(EI$29,SSTotalCLM!$A$2:$A$500)+$A30-1,1)-1)</f>
        <v>-1.8034923792586977E-4</v>
      </c>
      <c r="EJ30" s="9">
        <f ca="1">IF(OR(EJ3="",EJ$28&lt;$A30),"",EJ3/OFFSET(SSTotalCLM!$A$2,MATCH(EJ$29,SSTotalCLM!$A$2:$A$500)+$A30-1,1)-1)</f>
        <v>1.1513096157285352E-2</v>
      </c>
      <c r="EK30" s="9">
        <f ca="1">IF(OR(EK3="",EK$28&lt;$A30),"",EK3/OFFSET(SSTotalCLM!$A$2,MATCH(EK$29,SSTotalCLM!$A$2:$A$500)+$A30-1,1)-1)</f>
        <v>8.7506733641029566E-3</v>
      </c>
      <c r="EL30" s="9">
        <f ca="1">IF(OR(EL3="",EL$28&lt;$A30),"",EL3/OFFSET(SSTotalCLM!$A$2,MATCH(EL$29,SSTotalCLM!$A$2:$A$500)+$A30-1,1)-1)</f>
        <v>4.7602343888080156E-3</v>
      </c>
      <c r="EM30" s="9">
        <f ca="1">IF(OR(EM3="",EM$28&lt;$A30),"",EM3/OFFSET(SSTotalCLM!$A$2,MATCH(EM$29,SSTotalCLM!$A$2:$A$500)+$A30-1,1)-1)</f>
        <v>6.8674010233016336E-3</v>
      </c>
      <c r="EN30" s="9">
        <f ca="1">IF(OR(EN3="",EN$28&lt;$A30),"",EN3/OFFSET(SSTotalCLM!$A$2,MATCH(EN$29,SSTotalCLM!$A$2:$A$500)+$A30-1,1)-1)</f>
        <v>-6.8355864317376502E-3</v>
      </c>
      <c r="EO30" s="9">
        <f ca="1">IF(OR(EO3="",EO$28&lt;$A30),"",EO3/OFFSET(SSTotalCLM!$A$2,MATCH(EO$29,SSTotalCLM!$A$2:$A$500)+$A30-1,1)-1)</f>
        <v>-5.7310744857065332E-3</v>
      </c>
      <c r="EP30" s="9">
        <f ca="1">IF(OR(EP3="",EP$28&lt;$A30),"",EP3/OFFSET(SSTotalCLM!$A$2,MATCH(EP$29,SSTotalCLM!$A$2:$A$500)+$A30-1,1)-1)</f>
        <v>-3.0020418358978063E-6</v>
      </c>
      <c r="EQ30" s="9">
        <f ca="1">IF(OR(EQ3="",EQ$28&lt;$A30),"",EQ3/OFFSET(SSTotalCLM!$A$2,MATCH(EQ$29,SSTotalCLM!$A$2:$A$500)+$A30-1,1)-1)</f>
        <v>2.897556384489075E-3</v>
      </c>
      <c r="ER30" s="9">
        <f ca="1">IF(OR(ER3="",ER$28&lt;$A30),"",ER3/OFFSET(SSTotalCLM!$A$2,MATCH(ER$29,SSTotalCLM!$A$2:$A$500)+$A30-1,1)-1)</f>
        <v>1.3683790927008221E-3</v>
      </c>
      <c r="ES30" s="9">
        <f ca="1">IF(OR(ES3="",ES$28&lt;$A30),"",ES3/OFFSET(SSTotalCLM!$A$2,MATCH(ES$29,SSTotalCLM!$A$2:$A$500)+$A30-1,1)-1)</f>
        <v>-2.1850016237917602E-3</v>
      </c>
      <c r="ET30" s="9">
        <f ca="1">IF(OR(ET3="",ET$28&lt;$A30),"",ET3/OFFSET(SSTotalCLM!$A$2,MATCH(ET$29,SSTotalCLM!$A$2:$A$500)+$A30-1,1)-1)</f>
        <v>-6.0398944471158345E-3</v>
      </c>
      <c r="EU30" s="9">
        <f ca="1">IF(OR(EU3="",EU$28&lt;$A30),"",EU3/OFFSET(SSTotalCLM!$A$2,MATCH(EU$29,SSTotalCLM!$A$2:$A$500)+$A30-1,1)-1)</f>
        <v>-9.9863396685018202E-3</v>
      </c>
      <c r="EV30" s="9">
        <f ca="1">IF(OR(EV3="",EV$28&lt;$A30),"",EV3/OFFSET(SSTotalCLM!$A$2,MATCH(EV$29,SSTotalCLM!$A$2:$A$500)+$A30-1,1)-1)</f>
        <v>-1.1928883126817169E-3</v>
      </c>
      <c r="EW30" s="9">
        <f ca="1">IF(OR(EW3="",EW$28&lt;$A30),"",EW3/OFFSET(SSTotalCLM!$A$2,MATCH(EW$29,SSTotalCLM!$A$2:$A$500)+$A30-1,1)-1)</f>
        <v>5.2367441539220572E-3</v>
      </c>
      <c r="EX30" s="9">
        <f ca="1">IF(OR(EX3="",EX$28&lt;$A30),"",EX3/OFFSET(SSTotalCLM!$A$2,MATCH(EX$29,SSTotalCLM!$A$2:$A$500)+$A30-1,1)-1)</f>
        <v>9.1307770164814617E-3</v>
      </c>
      <c r="EY30" s="9">
        <f ca="1">IF(OR(EY3="",EY$28&lt;$A30),"",EY3/OFFSET(SSTotalCLM!$A$2,MATCH(EY$29,SSTotalCLM!$A$2:$A$500)+$A30-1,1)-1)</f>
        <v>-5.2694449159352841E-3</v>
      </c>
      <c r="EZ30" s="9">
        <f ca="1">IF(OR(EZ3="",EZ$28&lt;$A30),"",EZ3/OFFSET(SSTotalCLM!$A$2,MATCH(EZ$29,SSTotalCLM!$A$2:$A$500)+$A30-1,1)-1)</f>
        <v>9.5133116702701415E-3</v>
      </c>
      <c r="FA30" s="9">
        <f ca="1">IF(OR(FA3="",FA$28&lt;$A30),"",FA3/OFFSET(SSTotalCLM!$A$2,MATCH(FA$29,SSTotalCLM!$A$2:$A$500)+$A30-1,1)-1)</f>
        <v>8.0793569462001003E-4</v>
      </c>
      <c r="FB30" s="9">
        <f ca="1">IF(OR(FB3="",FB$28&lt;$A30),"",FB3/OFFSET(SSTotalCLM!$A$2,MATCH(FB$29,SSTotalCLM!$A$2:$A$500)+$A30-1,1)-1)</f>
        <v>-5.2755489415267087E-3</v>
      </c>
      <c r="FC30" s="9">
        <f ca="1">IF(OR(FC3="",FC$28&lt;$A30),"",FC3/OFFSET(SSTotalCLM!$A$2,MATCH(FC$29,SSTotalCLM!$A$2:$A$500)+$A30-1,1)-1)</f>
        <v>4.9386601955792031E-4</v>
      </c>
      <c r="FD30" s="9">
        <f ca="1">IF(OR(FD3="",FD$28&lt;$A30),"",FD3/OFFSET(SSTotalCLM!$A$2,MATCH(FD$29,SSTotalCLM!$A$2:$A$500)+$A30-1,1)-1)</f>
        <v>1.4709706905340347E-3</v>
      </c>
      <c r="FE30" s="9">
        <f ca="1">IF(OR(FE3="",FE$28&lt;$A30),"",FE3/OFFSET(SSTotalCLM!$A$2,MATCH(FE$29,SSTotalCLM!$A$2:$A$500)+$A30-1,1)-1)</f>
        <v>3.5997463035843946E-3</v>
      </c>
      <c r="FF30" s="9">
        <f ca="1">IF(OR(FF3="",FF$28&lt;$A30),"",FF3/OFFSET(SSTotalCLM!$A$2,MATCH(FF$29,SSTotalCLM!$A$2:$A$500)+$A30-1,1)-1)</f>
        <v>6.9487552306668476E-4</v>
      </c>
      <c r="FG30" s="9">
        <f ca="1">IF(OR(FG3="",FG$28&lt;$A30),"",FG3/OFFSET(SSTotalCLM!$A$2,MATCH(FG$29,SSTotalCLM!$A$2:$A$500)+$A30-1,1)-1)</f>
        <v>-6.1962136183808525E-3</v>
      </c>
      <c r="FH30" s="9">
        <f ca="1">IF(OR(FH3="",FH$28&lt;$A30),"",FH3/OFFSET(SSTotalCLM!$A$2,MATCH(FH$29,SSTotalCLM!$A$2:$A$500)+$A30-1,1)-1)</f>
        <v>4.5045691140277455E-5</v>
      </c>
      <c r="FI30" s="9">
        <f ca="1">IF(OR(FI3="",FI$28&lt;$A30),"",FI3/OFFSET(SSTotalCLM!$A$2,MATCH(FI$29,SSTotalCLM!$A$2:$A$500)+$A30-1,1)-1)</f>
        <v>-1.7052822819925151E-3</v>
      </c>
      <c r="FJ30" s="9">
        <f ca="1">IF(OR(FJ3="",FJ$28&lt;$A30),"",FJ3/OFFSET(SSTotalCLM!$A$2,MATCH(FJ$29,SSTotalCLM!$A$2:$A$500)+$A30-1,1)-1)</f>
        <v>-1.3049605416999288E-3</v>
      </c>
      <c r="FK30" s="9">
        <f ca="1">IF(OR(FK3="",FK$28&lt;$A30),"",FK3/OFFSET(SSTotalCLM!$A$2,MATCH(FK$29,SSTotalCLM!$A$2:$A$500)+$A30-1,1)-1)</f>
        <v>-2.8549315690828969E-4</v>
      </c>
      <c r="FL30" s="9">
        <f ca="1">IF(OR(FL3="",FL$28&lt;$A30),"",FL3/OFFSET(SSTotalCLM!$A$2,MATCH(FL$29,SSTotalCLM!$A$2:$A$500)+$A30-1,1)-1)</f>
        <v>-1.4341051659274906E-2</v>
      </c>
      <c r="FM30" s="9">
        <f ca="1">IF(OR(FM3="",FM$28&lt;$A30),"",FM3/OFFSET(SSTotalCLM!$A$2,MATCH(FM$29,SSTotalCLM!$A$2:$A$500)+$A30-1,1)-1)</f>
        <v>-1.0314813952250201E-4</v>
      </c>
      <c r="FN30" s="9">
        <f ca="1">IF(OR(FN3="",FN$28&lt;$A30),"",FN3/OFFSET(SSTotalCLM!$A$2,MATCH(FN$29,SSTotalCLM!$A$2:$A$500)+$A30-1,1)-1)</f>
        <v>5.4730542458498732E-3</v>
      </c>
      <c r="FO30" s="9">
        <f ca="1">IF(OR(FO3="",FO$28&lt;$A30),"",FO3/OFFSET(SSTotalCLM!$A$2,MATCH(FO$29,SSTotalCLM!$A$2:$A$500)+$A30-1,1)-1)</f>
        <v>6.3498619481099361E-3</v>
      </c>
      <c r="FP30" s="9">
        <f ca="1">IF(OR(FP3="",FP$28&lt;$A30),"",FP3/OFFSET(SSTotalCLM!$A$2,MATCH(FP$29,SSTotalCLM!$A$2:$A$500)+$A30-1,1)-1)</f>
        <v>5.5577161435313993E-3</v>
      </c>
      <c r="FQ30" s="9">
        <f ca="1">IF(OR(FQ3="",FQ$28&lt;$A30),"",FQ3/OFFSET(SSTotalCLM!$A$2,MATCH(FQ$29,SSTotalCLM!$A$2:$A$500)+$A30-1,1)-1)</f>
        <v>5.3871989036640144E-3</v>
      </c>
      <c r="FR30" s="9">
        <f ca="1">IF(OR(FR3="",FR$28&lt;$A30),"",FR3/OFFSET(SSTotalCLM!$A$2,MATCH(FR$29,SSTotalCLM!$A$2:$A$500)+$A30-1,1)-1)</f>
        <v>4.4137949814770927E-4</v>
      </c>
      <c r="FS30" s="9">
        <f ca="1">IF(OR(FS3="",FS$28&lt;$A30),"",FS3/OFFSET(SSTotalCLM!$A$2,MATCH(FS$29,SSTotalCLM!$A$2:$A$500)+$A30-1,1)-1)</f>
        <v>-2.6147283755884043E-3</v>
      </c>
      <c r="FT30" s="9">
        <f ca="1">IF(OR(FT3="",FT$28&lt;$A30),"",FT3/OFFSET(SSTotalCLM!$A$2,MATCH(FT$29,SSTotalCLM!$A$2:$A$500)+$A30-1,1)-1)</f>
        <v>-9.8192312304035134E-3</v>
      </c>
      <c r="FU30" s="9">
        <f ca="1">IF(OR(FU3="",FU$28&lt;$A30),"",FU3/OFFSET(SSTotalCLM!$A$2,MATCH(FU$29,SSTotalCLM!$A$2:$A$500)+$A30-1,1)-1)</f>
        <v>2.005514134269637E-3</v>
      </c>
      <c r="FV30" s="9">
        <f ca="1">IF(OR(FV3="",FV$28&lt;$A30),"",FV3/OFFSET(SSTotalCLM!$A$2,MATCH(FV$29,SSTotalCLM!$A$2:$A$500)+$A30-1,1)-1)</f>
        <v>1.2692810503361462E-2</v>
      </c>
      <c r="FW30" s="9">
        <f ca="1">IF(OR(FW3="",FW$28&lt;$A30),"",FW3/OFFSET(SSTotalCLM!$A$2,MATCH(FW$29,SSTotalCLM!$A$2:$A$500)+$A30-1,1)-1)</f>
        <v>-1.5545417814237905E-2</v>
      </c>
      <c r="FX30" s="9">
        <f ca="1">IF(OR(FX3="",FX$28&lt;$A30),"",FX3/OFFSET(SSTotalCLM!$A$2,MATCH(FX$29,SSTotalCLM!$A$2:$A$500)+$A30-1,1)-1)</f>
        <v>-5.3720833968984305E-4</v>
      </c>
      <c r="FY30" s="9">
        <f ca="1">IF(OR(FY3="",FY$28&lt;$A30),"",FY3/OFFSET(SSTotalCLM!$A$2,MATCH(FY$29,SSTotalCLM!$A$2:$A$500)+$A30-1,1)-1)</f>
        <v>-1.0381872296895134E-2</v>
      </c>
      <c r="FZ30" s="9">
        <f ca="1">IF(OR(FZ3="",FZ$28&lt;$A30),"",FZ3/OFFSET(SSTotalCLM!$A$2,MATCH(FZ$29,SSTotalCLM!$A$2:$A$500)+$A30-1,1)-1)</f>
        <v>-3.2711195443255736E-3</v>
      </c>
      <c r="GA30" s="9">
        <f ca="1">IF(OR(GA3="",GA$28&lt;$A30),"",GA3/OFFSET(SSTotalCLM!$A$2,MATCH(GA$29,SSTotalCLM!$A$2:$A$500)+$A30-1,1)-1)</f>
        <v>3.7833868659924441E-3</v>
      </c>
      <c r="GB30" s="9">
        <f ca="1">IF(OR(GB3="",GB$28&lt;$A30),"",GB3/OFFSET(SSTotalCLM!$A$2,MATCH(GB$29,SSTotalCLM!$A$2:$A$500)+$A30-1,1)-1)</f>
        <v>5.3410401708047228E-3</v>
      </c>
      <c r="GC30" s="9">
        <f ca="1">IF(OR(GC3="",GC$28&lt;$A30),"",GC3/OFFSET(SSTotalCLM!$A$2,MATCH(GC$29,SSTotalCLM!$A$2:$A$500)+$A30-1,1)-1)</f>
        <v>6.0334996733291124E-3</v>
      </c>
      <c r="GD30" s="9">
        <f ca="1">IF(OR(GD3="",GD$28&lt;$A30),"",GD3/OFFSET(SSTotalCLM!$A$2,MATCH(GD$29,SSTotalCLM!$A$2:$A$500)+$A30-1,1)-1)</f>
        <v>6.0671941979890676E-3</v>
      </c>
      <c r="GE30" s="9">
        <f ca="1">IF(OR(GE3="",GE$28&lt;$A30),"",GE3/OFFSET(SSTotalCLM!$A$2,MATCH(GE$29,SSTotalCLM!$A$2:$A$500)+$A30-1,1)-1)</f>
        <v>2.3821293787131825E-3</v>
      </c>
      <c r="GF30" s="9">
        <f ca="1">IF(OR(GF3="",GF$28&lt;$A30),"",GF3/OFFSET(SSTotalCLM!$A$2,MATCH(GF$29,SSTotalCLM!$A$2:$A$500)+$A30-1,1)-1)</f>
        <v>2.684133040904424E-4</v>
      </c>
      <c r="GG30" s="9">
        <f ca="1">IF(OR(GG3="",GG$28&lt;$A30),"",GG3/OFFSET(SSTotalCLM!$A$2,MATCH(GG$29,SSTotalCLM!$A$2:$A$500)+$A30-1,1)-1)</f>
        <v>1.2631373996401241E-3</v>
      </c>
      <c r="GH30" s="9">
        <f ca="1">IF(OR(GH3="",GH$28&lt;$A30),"",GH3/OFFSET(SSTotalCLM!$A$2,MATCH(GH$29,SSTotalCLM!$A$2:$A$500)+$A30-1,1)-1)</f>
        <v>8.6153090628500184E-3</v>
      </c>
      <c r="GI30" s="9">
        <f ca="1">IF(OR(GI3="",GI$28&lt;$A30),"",GI3/OFFSET(SSTotalCLM!$A$2,MATCH(GI$29,SSTotalCLM!$A$2:$A$500)+$A30-1,1)-1)</f>
        <v>1.6734045705293354E-3</v>
      </c>
      <c r="GJ30" s="9">
        <f ca="1">IF(OR(GJ3="",GJ$28&lt;$A30),"",GJ3/OFFSET(SSTotalCLM!$A$2,MATCH(GJ$29,SSTotalCLM!$A$2:$A$500)+$A30-1,1)-1)</f>
        <v>-6.0357405312840839E-3</v>
      </c>
      <c r="GK30" s="9">
        <f ca="1">IF(OR(GK3="",GK$28&lt;$A30),"",GK3/OFFSET(SSTotalCLM!$A$2,MATCH(GK$29,SSTotalCLM!$A$2:$A$500)+$A30-1,1)-1)</f>
        <v>-1.7068680260884372E-3</v>
      </c>
      <c r="GL30" s="9">
        <f ca="1">IF(OR(GL3="",GL$28&lt;$A30),"",GL3/OFFSET(SSTotalCLM!$A$2,MATCH(GL$29,SSTotalCLM!$A$2:$A$500)+$A30-1,1)-1)</f>
        <v>4.6343463900748727E-3</v>
      </c>
      <c r="GM30" s="9">
        <f ca="1">IF(OR(GM3="",GM$28&lt;$A30),"",GM3/OFFSET(SSTotalCLM!$A$2,MATCH(GM$29,SSTotalCLM!$A$2:$A$500)+$A30-1,1)-1)</f>
        <v>-3.7163214053609339E-3</v>
      </c>
      <c r="GN30" s="9">
        <f ca="1">IF(OR(GN3="",GN$28&lt;$A30),"",GN3/OFFSET(SSTotalCLM!$A$2,MATCH(GN$29,SSTotalCLM!$A$2:$A$500)+$A30-1,1)-1)</f>
        <v>1.5178264553734166E-2</v>
      </c>
      <c r="GO30" s="9">
        <f ca="1">IF(OR(GO3="",GO$28&lt;$A30),"",GO3/OFFSET(SSTotalCLM!$A$2,MATCH(GO$29,SSTotalCLM!$A$2:$A$500)+$A30-1,1)-1)</f>
        <v>3.3898783895370821E-2</v>
      </c>
      <c r="GP30" s="9">
        <f ca="1">IF(OR(GP3="",GP$28&lt;$A30),"",GP3/OFFSET(SSTotalCLM!$A$2,MATCH(GP$29,SSTotalCLM!$A$2:$A$500)+$A30-1,1)-1)</f>
        <v>4.6372187280041555E-3</v>
      </c>
      <c r="GQ30" s="9">
        <f ca="1">IF(OR(GQ3="",GQ$28&lt;$A30),"",GQ3/OFFSET(SSTotalCLM!$A$2,MATCH(GQ$29,SSTotalCLM!$A$2:$A$500)+$A30-1,1)-1)</f>
        <v>-9.3521485025170881E-3</v>
      </c>
      <c r="GR30" s="9">
        <f ca="1">IF(OR(GR3="",GR$28&lt;$A30),"",GR3/OFFSET(SSTotalCLM!$A$2,MATCH(GR$29,SSTotalCLM!$A$2:$A$500)+$A30-1,1)-1)</f>
        <v>-9.4373557213950354E-3</v>
      </c>
      <c r="GS30" s="9">
        <f ca="1">IF(OR(GS3="",GS$28&lt;$A30),"",GS3/OFFSET(SSTotalCLM!$A$2,MATCH(GS$29,SSTotalCLM!$A$2:$A$500)+$A30-1,1)-1)</f>
        <v>-9.8011647698225124E-3</v>
      </c>
      <c r="GT30" s="9">
        <f ca="1">IF(OR(GT3="",GT$28&lt;$A30),"",GT3/OFFSET(SSTotalCLM!$A$2,MATCH(GT$29,SSTotalCLM!$A$2:$A$500)+$A30-1,1)-1)</f>
        <v>-1.0807086248908249E-2</v>
      </c>
      <c r="GU30" s="9">
        <f ca="1">IF(OR(GU3="",GU$28&lt;$A30),"",GU3/OFFSET(SSTotalCLM!$A$2,MATCH(GU$29,SSTotalCLM!$A$2:$A$500)+$A30-1,1)-1)</f>
        <v>4.4149338113608216E-3</v>
      </c>
      <c r="GV30" s="9">
        <f ca="1">IF(OR(GV3="",GV$28&lt;$A30),"",GV3/OFFSET(SSTotalCLM!$A$2,MATCH(GV$29,SSTotalCLM!$A$2:$A$500)+$A30-1,1)-1)</f>
        <v>-4.659791987779327E-3</v>
      </c>
      <c r="GW30" s="9">
        <f ca="1">IF(OR(GW3="",GW$28&lt;$A30),"",GW3/OFFSET(SSTotalCLM!$A$2,MATCH(GW$29,SSTotalCLM!$A$2:$A$500)+$A30-1,1)-1)</f>
        <v>-6.5410816109623404E-4</v>
      </c>
      <c r="GX30" s="9">
        <f ca="1">IF(OR(GX3="",GX$28&lt;$A30),"",GX3/OFFSET(SSTotalCLM!$A$2,MATCH(GX$29,SSTotalCLM!$A$2:$A$500)+$A30-1,1)-1)</f>
        <v>5.4748068291998742E-3</v>
      </c>
      <c r="GY30" s="9" t="str">
        <f ca="1">IF(OR(GY3="",GY$28&lt;$A30),"",GY3/OFFSET(SSTotalCLM!$A$2,MATCH(GY$29,SSTotalCLM!$A$2:$A$500)+$A30-1,1)-1)</f>
        <v/>
      </c>
      <c r="GZ30" s="9" t="str">
        <f ca="1">IF(OR(GZ3="",GZ$28&lt;$A30),"",GZ3/OFFSET(SSTotalCLM!$A$2,MATCH(GZ$29,SSTotalCLM!$A$2:$A$500)+$A30-1,1)-1)</f>
        <v/>
      </c>
      <c r="HA30" s="9" t="str">
        <f ca="1">IF(OR(HA3="",HA$28&lt;$A30),"",HA3/OFFSET(SSTotalCLM!$A$2,MATCH(HA$29,SSTotalCLM!$A$2:$A$500)+$A30-1,1)-1)</f>
        <v/>
      </c>
      <c r="HB30" s="9" t="str">
        <f ca="1">IF(OR(HB3="",HB$28&lt;$A30),"",HB3/OFFSET(SSTotalCLM!$A$2,MATCH(HB$29,SSTotalCLM!$A$2:$A$500)+$A30-1,1)-1)</f>
        <v/>
      </c>
      <c r="HC30" s="9" t="str">
        <f ca="1">IF(OR(HC3="",HC$28&lt;$A30),"",HC3/OFFSET(SSTotalCLM!$A$2,MATCH(HC$29,SSTotalCLM!$A$2:$A$500)+$A30-1,1)-1)</f>
        <v/>
      </c>
      <c r="HD30" s="9" t="str">
        <f ca="1">IF(OR(HD3="",HD$28&lt;$A30),"",HD3/OFFSET(SSTotalCLM!$A$2,MATCH(HD$29,SSTotalCLM!$A$2:$A$500)+$A30-1,1)-1)</f>
        <v/>
      </c>
      <c r="HE30" s="9" t="str">
        <f ca="1">IF(OR(HE3="",HE$28&lt;$A30),"",HE3/OFFSET(SSTotalCLM!$A$2,MATCH(HE$29,SSTotalCLM!$A$2:$A$500)+$A30-1,1)-1)</f>
        <v/>
      </c>
      <c r="HF30" s="9" t="str">
        <f ca="1">IF(OR(HF3="",HF$28&lt;$A30),"",HF3/OFFSET(SSTotalCLM!$A$2,MATCH(HF$29,SSTotalCLM!$A$2:$A$500)+$A30-1,1)-1)</f>
        <v/>
      </c>
      <c r="HG30" s="9" t="str">
        <f ca="1">IF(OR(HG3="",HG$28&lt;$A30),"",HG3/OFFSET(SSTotalCLM!$A$2,MATCH(HG$29,SSTotalCLM!$A$2:$A$500)+$A30-1,1)-1)</f>
        <v/>
      </c>
      <c r="HH30" s="9" t="str">
        <f ca="1">IF(OR(HH3="",HH$28&lt;$A30),"",HH3/OFFSET(SSTotalCLM!$A$2,MATCH(HH$29,SSTotalCLM!$A$2:$A$500)+$A30-1,1)-1)</f>
        <v/>
      </c>
      <c r="HI30" s="9" t="str">
        <f ca="1">IF(OR(HI3="",HI$28&lt;$A30),"",HI3/OFFSET(SSTotalCLM!$A$2,MATCH(HI$29,SSTotalCLM!$A$2:$A$500)+$A30-1,1)-1)</f>
        <v/>
      </c>
      <c r="HJ30" s="9" t="str">
        <f ca="1">IF(OR(HJ3="",HJ$28&lt;$A30),"",HJ3/OFFSET(SSTotalCLM!$A$2,MATCH(HJ$29,SSTotalCLM!$A$2:$A$500)+$A30-1,1)-1)</f>
        <v/>
      </c>
      <c r="HK30" s="9" t="str">
        <f ca="1">IF(OR(HK3="",HK$28&lt;$A30),"",HK3/OFFSET(SSTotalCLM!$A$2,MATCH(HK$29,SSTotalCLM!$A$2:$A$500)+$A30-1,1)-1)</f>
        <v/>
      </c>
      <c r="HL30" s="9" t="str">
        <f ca="1">IF(OR(HL3="",HL$28&lt;$A30),"",HL3/OFFSET(SSTotalCLM!$A$2,MATCH(HL$29,SSTotalCLM!$A$2:$A$500)+$A30-1,1)-1)</f>
        <v/>
      </c>
      <c r="HM30" s="9" t="str">
        <f ca="1">IF(OR(HM3="",HM$28&lt;$A30),"",HM3/OFFSET(SSTotalCLM!$A$2,MATCH(HM$29,SSTotalCLM!$A$2:$A$500)+$A30-1,1)-1)</f>
        <v/>
      </c>
      <c r="HN30" s="9" t="str">
        <f ca="1">IF(OR(HN3="",HN$28&lt;$A30),"",HN3/OFFSET(SSTotalCLM!$A$2,MATCH(HN$29,SSTotalCLM!$A$2:$A$500)+$A30-1,1)-1)</f>
        <v/>
      </c>
      <c r="HO30" s="9" t="str">
        <f ca="1">IF(OR(HO3="",HO$28&lt;$A30),"",HO3/OFFSET(SSTotalCLM!$A$2,MATCH(HO$29,SSTotalCLM!$A$2:$A$500)+$A30-1,1)-1)</f>
        <v/>
      </c>
      <c r="HP30" s="9" t="str">
        <f ca="1">IF(OR(HP3="",HP$28&lt;$A30),"",HP3/OFFSET(SSTotalCLM!$A$2,MATCH(HP$29,SSTotalCLM!$A$2:$A$500)+$A30-1,1)-1)</f>
        <v/>
      </c>
      <c r="HQ30" s="9" t="str">
        <f ca="1">IF(OR(HQ3="",HQ$28&lt;$A30),"",HQ3/OFFSET(SSTotalCLM!$A$2,MATCH(HQ$29,SSTotalCLM!$A$2:$A$500)+$A30-1,1)-1)</f>
        <v/>
      </c>
      <c r="HR30" s="9" t="str">
        <f ca="1">IF(OR(HR3="",HR$28&lt;$A30),"",HR3/OFFSET(SSTotalCLM!$A$2,MATCH(HR$29,SSTotalCLM!$A$2:$A$500)+$A30-1,1)-1)</f>
        <v/>
      </c>
      <c r="HS30" s="9" t="str">
        <f ca="1">IF(OR(HS3="",HS$28&lt;$A30),"",HS3/OFFSET(SSTotalCLM!$A$2,MATCH(HS$29,SSTotalCLM!$A$2:$A$500)+$A30-1,1)-1)</f>
        <v/>
      </c>
      <c r="HT30" s="9" t="str">
        <f ca="1">IF(OR(HT3="",HT$28&lt;$A30),"",HT3/OFFSET(SSTotalCLM!$A$2,MATCH(HT$29,SSTotalCLM!$A$2:$A$500)+$A30-1,1)-1)</f>
        <v/>
      </c>
      <c r="HU30" s="9" t="str">
        <f ca="1">IF(OR(HU3="",HU$28&lt;$A30),"",HU3/OFFSET(SSTotalCLM!$A$2,MATCH(HU$29,SSTotalCLM!$A$2:$A$500)+$A30-1,1)-1)</f>
        <v/>
      </c>
      <c r="HV30" s="9" t="str">
        <f ca="1">IF(OR(HV3="",HV$28&lt;$A30),"",HV3/OFFSET(SSTotalCLM!$A$2,MATCH(HV$29,SSTotalCLM!$A$2:$A$500)+$A30-1,1)-1)</f>
        <v/>
      </c>
      <c r="HW30" s="9" t="str">
        <f ca="1">IF(OR(HW3="",HW$28&lt;$A30),"",HW3/OFFSET(SSTotalCLM!$A$2,MATCH(HW$29,SSTotalCLM!$A$2:$A$500)+$A30-1,1)-1)</f>
        <v/>
      </c>
      <c r="HX30" s="9" t="str">
        <f ca="1">IF(OR(HX3="",HX$28&lt;$A30),"",HX3/OFFSET(SSTotalCLM!$A$2,MATCH(HX$29,SSTotalCLM!$A$2:$A$500)+$A30-1,1)-1)</f>
        <v/>
      </c>
      <c r="HY30" s="9" t="str">
        <f ca="1">IF(OR(HY3="",HY$28&lt;$A30),"",HY3/OFFSET(SSTotalCLM!$A$2,MATCH(HY$29,SSTotalCLM!$A$2:$A$500)+$A30-1,1)-1)</f>
        <v/>
      </c>
      <c r="HZ30" s="9" t="str">
        <f ca="1">IF(OR(HZ3="",HZ$28&lt;$A30),"",HZ3/OFFSET(SSTotalCLM!$A$2,MATCH(HZ$29,SSTotalCLM!$A$2:$A$500)+$A30-1,1)-1)</f>
        <v/>
      </c>
      <c r="IA30" s="9" t="str">
        <f ca="1">IF(OR(IA3="",IA$28&lt;$A30),"",IA3/OFFSET(SSTotalCLM!$A$2,MATCH(IA$29,SSTotalCLM!$A$2:$A$500)+$A30-1,1)-1)</f>
        <v/>
      </c>
      <c r="IB30" s="9" t="str">
        <f ca="1">IF(OR(IB3="",IB$28&lt;$A30),"",IB3/OFFSET(SSTotalCLM!$A$2,MATCH(IB$29,SSTotalCLM!$A$2:$A$500)+$A30-1,1)-1)</f>
        <v/>
      </c>
      <c r="IC30" s="9" t="str">
        <f ca="1">IF(OR(IC3="",IC$28&lt;$A30),"",IC3/OFFSET(SSTotalCLM!$A$2,MATCH(IC$29,SSTotalCLM!$A$2:$A$500)+$A30-1,1)-1)</f>
        <v/>
      </c>
      <c r="ID30" s="9" t="str">
        <f ca="1">IF(OR(ID3="",ID$28&lt;$A30),"",ID3/OFFSET(SSTotalCLM!$A$2,MATCH(ID$29,SSTotalCLM!$A$2:$A$500)+$A30-1,1)-1)</f>
        <v/>
      </c>
      <c r="IE30" s="9" t="str">
        <f ca="1">IF(OR(IE3="",IE$28&lt;$A30),"",IE3/OFFSET(SSTotalCLM!$A$2,MATCH(IE$29,SSTotalCLM!$A$2:$A$500)+$A30-1,1)-1)</f>
        <v/>
      </c>
      <c r="IF30" s="9" t="str">
        <f ca="1">IF(OR(IF3="",IF$28&lt;$A30),"",IF3/OFFSET(SSTotalCLM!$A$2,MATCH(IF$29,SSTotalCLM!$A$2:$A$500)+$A30-1,1)-1)</f>
        <v/>
      </c>
      <c r="IG30" s="9" t="str">
        <f ca="1">IF(OR(IG3="",IG$28&lt;$A30),"",IG3/OFFSET(SSTotalCLM!$A$2,MATCH(IG$29,SSTotalCLM!$A$2:$A$500)+$A30-1,1)-1)</f>
        <v/>
      </c>
      <c r="IH30" s="9" t="str">
        <f ca="1">IF(OR(IH3="",IH$28&lt;$A30),"",IH3/OFFSET(SSTotalCLM!$A$2,MATCH(IH$29,SSTotalCLM!$A$2:$A$500)+$A30-1,1)-1)</f>
        <v/>
      </c>
      <c r="II30" s="9" t="str">
        <f ca="1">IF(OR(II3="",II$28&lt;$A30),"",II3/OFFSET(SSTotalCLM!$A$2,MATCH(II$29,SSTotalCLM!$A$2:$A$500)+$A30-1,1)-1)</f>
        <v/>
      </c>
      <c r="IJ30" s="9" t="str">
        <f ca="1">IF(OR(IJ3="",IJ$28&lt;$A30),"",IJ3/OFFSET(SSTotalCLM!$A$2,MATCH(IJ$29,SSTotalCLM!$A$2:$A$500)+$A30-1,1)-1)</f>
        <v/>
      </c>
      <c r="IK30" s="9" t="str">
        <f ca="1">IF(OR(IK3="",IK$28&lt;$A30),"",IK3/OFFSET(SSTotalCLM!$A$2,MATCH(IK$29,SSTotalCLM!$A$2:$A$500)+$A30-1,1)-1)</f>
        <v/>
      </c>
      <c r="IL30" s="9" t="str">
        <f ca="1">IF(OR(IL3="",IL$28&lt;$A30),"",IL3/OFFSET(SSTotalCLM!$A$2,MATCH(IL$29,SSTotalCLM!$A$2:$A$500)+$A30-1,1)-1)</f>
        <v/>
      </c>
      <c r="IM30" s="9" t="str">
        <f ca="1">IF(OR(IM3="",IM$28&lt;$A30),"",IM3/OFFSET(SSTotalCLM!$A$2,MATCH(IM$29,SSTotalCLM!$A$2:$A$500)+$A30-1,1)-1)</f>
        <v/>
      </c>
      <c r="IN30" s="9" t="str">
        <f ca="1">IF(OR(IN3="",IN$28&lt;$A30),"",IN3/OFFSET(SSTotalCLM!$A$2,MATCH(IN$29,SSTotalCLM!$A$2:$A$500)+$A30-1,1)-1)</f>
        <v/>
      </c>
      <c r="IO30" s="9" t="str">
        <f ca="1">IF(OR(IO3="",IO$28&lt;$A30),"",IO3/OFFSET(SSTotalCLM!$A$2,MATCH(IO$29,SSTotalCLM!$A$2:$A$500)+$A30-1,1)-1)</f>
        <v/>
      </c>
      <c r="IP30" s="9" t="str">
        <f ca="1">IF(OR(IP3="",IP$28&lt;$A30),"",IP3/OFFSET(SSTotalCLM!$A$2,MATCH(IP$29,SSTotalCLM!$A$2:$A$500)+$A30-1,1)-1)</f>
        <v/>
      </c>
      <c r="IQ30" s="9" t="str">
        <f ca="1">IF(OR(IQ3="",IQ$28&lt;$A30),"",IQ3/OFFSET(SSTotalCLM!$A$2,MATCH(IQ$29,SSTotalCLM!$A$2:$A$500)+$A30-1,1)-1)</f>
        <v/>
      </c>
      <c r="IR30" s="9" t="str">
        <f ca="1">IF(OR(IR3="",IR$28&lt;$A30),"",IR3/OFFSET(SSTotalCLM!$A$2,MATCH(IR$29,SSTotalCLM!$A$2:$A$500)+$A30-1,1)-1)</f>
        <v/>
      </c>
      <c r="IS30" s="9" t="str">
        <f ca="1">IF(OR(IS3="",IS$28&lt;$A30),"",IS3/OFFSET(SSTotalCLM!$A$2,MATCH(IS$29,SSTotalCLM!$A$2:$A$500)+$A30-1,1)-1)</f>
        <v/>
      </c>
      <c r="IT30" s="9" t="str">
        <f ca="1">IF(OR(IT3="",IT$28&lt;$A30),"",IT3/OFFSET(SSTotalCLM!$A$2,MATCH(IT$29,SSTotalCLM!$A$2:$A$500)+$A30-1,1)-1)</f>
        <v/>
      </c>
      <c r="IU30" s="9" t="str">
        <f ca="1">IF(OR(IU3="",IU$28&lt;$A30),"",IU3/OFFSET(SSTotalCLM!$A$2,MATCH(IU$29,SSTotalCLM!$A$2:$A$500)+$A30-1,1)-1)</f>
        <v/>
      </c>
      <c r="IV30" s="9" t="str">
        <f ca="1">IF(OR(IV3="",IV$28&lt;$A30),"",IV3/OFFSET(SSTotalCLM!$A$2,MATCH(IV$29,SSTotalCLM!$A$2:$A$500)+$A30-1,1)-1)</f>
        <v/>
      </c>
      <c r="IW30" s="9" t="str">
        <f ca="1">IF(OR(IW3="",IW$28&lt;$A30),"",IW3/OFFSET(SSTotalCLM!$A$2,MATCH(IW$29,SSTotalCLM!$A$2:$A$500)+$A30-1,1)-1)</f>
        <v/>
      </c>
      <c r="IX30" s="9" t="str">
        <f ca="1">IF(OR(IX3="",IX$28&lt;$A30),"",IX3/OFFSET(SSTotalCLM!$A$2,MATCH(IX$29,SSTotalCLM!$A$2:$A$500)+$A30-1,1)-1)</f>
        <v/>
      </c>
      <c r="IY30" s="9" t="str">
        <f ca="1">IF(OR(IY3="",IY$28&lt;$A30),"",IY3/OFFSET(SSTotalCLM!$A$2,MATCH(IY$29,SSTotalCLM!$A$2:$A$500)+$A30-1,1)-1)</f>
        <v/>
      </c>
      <c r="IZ30" s="9" t="str">
        <f ca="1">IF(OR(IZ3="",IZ$28&lt;$A30),"",IZ3/OFFSET(SSTotalCLM!$A$2,MATCH(IZ$29,SSTotalCLM!$A$2:$A$500)+$A30-1,1)-1)</f>
        <v/>
      </c>
      <c r="JA30" s="9" t="str">
        <f ca="1">IF(OR(JA3="",JA$28&lt;$A30),"",JA3/OFFSET(SSTotalCLM!$A$2,MATCH(JA$29,SSTotalCLM!$A$2:$A$500)+$A30-1,1)-1)</f>
        <v/>
      </c>
      <c r="JB30" s="9" t="str">
        <f ca="1">IF(OR(JB3="",JB$28&lt;$A30),"",JB3/OFFSET(SSTotalCLM!$A$2,MATCH(JB$29,SSTotalCLM!$A$2:$A$500)+$A30-1,1)-1)</f>
        <v/>
      </c>
      <c r="JC30" s="9" t="str">
        <f ca="1">IF(OR(JC3="",JC$28&lt;$A30),"",JC3/OFFSET(SSTotalCLM!$A$2,MATCH(JC$29,SSTotalCLM!$A$2:$A$500)+$A30-1,1)-1)</f>
        <v/>
      </c>
      <c r="JD30" s="9" t="str">
        <f ca="1">IF(OR(JD3="",JD$28&lt;$A30),"",JD3/OFFSET(SSTotalCLM!$A$2,MATCH(JD$29,SSTotalCLM!$A$2:$A$500)+$A30-1,1)-1)</f>
        <v/>
      </c>
      <c r="JE30" s="9" t="str">
        <f ca="1">IF(OR(JE3="",JE$28&lt;$A30),"",JE3/OFFSET(SSTotalCLM!$A$2,MATCH(JE$29,SSTotalCLM!$A$2:$A$500)+$A30-1,1)-1)</f>
        <v/>
      </c>
      <c r="JF30" s="9" t="str">
        <f ca="1">IF(OR(JF3="",JF$28&lt;$A30),"",JF3/OFFSET(SSTotalCLM!$A$2,MATCH(JF$29,SSTotalCLM!$A$2:$A$500)+$A30-1,1)-1)</f>
        <v/>
      </c>
      <c r="JG30" s="9" t="str">
        <f ca="1">IF(OR(JG3="",JG$28&lt;$A30),"",JG3/OFFSET(SSTotalCLM!$A$2,MATCH(JG$29,SSTotalCLM!$A$2:$A$500)+$A30-1,1)-1)</f>
        <v/>
      </c>
      <c r="JH30" s="9" t="str">
        <f ca="1">IF(OR(JH3="",JH$28&lt;$A30),"",JH3/OFFSET(SSTotalCLM!$A$2,MATCH(JH$29,SSTotalCLM!$A$2:$A$500)+$A30-1,1)-1)</f>
        <v/>
      </c>
      <c r="JI30" s="13">
        <f t="shared" ref="JI30:JI41" ca="1" si="13">AVERAGE(OFFSET($B30,0,Inicio-1,1,Amplitud))</f>
        <v>7.6037085046275622E-4</v>
      </c>
      <c r="JJ30" s="13">
        <f t="shared" ref="JJ30:JJ41" ca="1" si="14">MEDIAN(OFFSET($B30,0,Inicio-1,1,Amplitud))</f>
        <v>8.5225844889391666E-4</v>
      </c>
      <c r="JK30" s="14">
        <f t="shared" ref="JK30:JK41" ca="1" si="15">VARP(OFFSET($B30,0,Inicio-1,1,Amplitud))</f>
        <v>8.1630215630585588E-5</v>
      </c>
      <c r="JL30" s="17">
        <f ca="1">SQRT(JK30)</f>
        <v>9.0349441409776077E-3</v>
      </c>
      <c r="JM30" s="15" t="str">
        <f t="shared" ref="JM30:JM41" ca="1" si="16">CONCATENATE("[ ",TEXT(JI30-2*JL30,"0,00%")," ; ",TEXT(JI30+2*JL30,"0,00%")," ]")</f>
        <v>[ -1,73% ; 1,88% ]</v>
      </c>
      <c r="JN30" s="17">
        <f t="shared" ref="JN30:JN41" ca="1" si="17">JL30*JN$29</f>
        <v>1.1564728500451338E-2</v>
      </c>
      <c r="LY30" s="1"/>
    </row>
    <row r="31" spans="1:337" x14ac:dyDescent="0.25">
      <c r="A31" s="4">
        <v>2</v>
      </c>
      <c r="B31" s="9">
        <f ca="1">IF(OR(B4="",B$28&lt;$A31),"",B4/OFFSET(SSTotalCLM!$A$2,MATCH(B$29,SSTotalCLM!$A$2:$A$500)+$A31-1,1)-1)</f>
        <v>-3.6311880149350051E-3</v>
      </c>
      <c r="C31" s="9">
        <f ca="1">IF(OR(C4="",C$28&lt;$A31),"",C4/OFFSET(SSTotalCLM!$A$2,MATCH(C$29,SSTotalCLM!$A$2:$A$500)+$A31-1,1)-1)</f>
        <v>-4.4361833185810884E-3</v>
      </c>
      <c r="D31" s="9">
        <f ca="1">IF(OR(D4="",D$28&lt;$A31),"",D4/OFFSET(SSTotalCLM!$A$2,MATCH(D$29,SSTotalCLM!$A$2:$A$500)+$A31-1,1)-1)</f>
        <v>5.2026233930724253E-4</v>
      </c>
      <c r="E31" s="9">
        <f ca="1">IF(OR(E4="",E$28&lt;$A31),"",E4/OFFSET(SSTotalCLM!$A$2,MATCH(E$29,SSTotalCLM!$A$2:$A$500)+$A31-1,1)-1)</f>
        <v>-2.8005370241107608E-3</v>
      </c>
      <c r="F31" s="9">
        <f ca="1">IF(OR(F4="",F$28&lt;$A31),"",F4/OFFSET(SSTotalCLM!$A$2,MATCH(F$29,SSTotalCLM!$A$2:$A$500)+$A31-1,1)-1)</f>
        <v>-8.7622781623427626E-3</v>
      </c>
      <c r="G31" s="9">
        <f ca="1">IF(OR(G4="",G$28&lt;$A31),"",G4/OFFSET(SSTotalCLM!$A$2,MATCH(G$29,SSTotalCLM!$A$2:$A$500)+$A31-1,1)-1)</f>
        <v>-1.4427151245041236E-2</v>
      </c>
      <c r="H31" s="9">
        <f ca="1">IF(OR(H4="",H$28&lt;$A31),"",H4/OFFSET(SSTotalCLM!$A$2,MATCH(H$29,SSTotalCLM!$A$2:$A$500)+$A31-1,1)-1)</f>
        <v>-1.5716957126869047E-2</v>
      </c>
      <c r="I31" s="9">
        <f ca="1">IF(OR(I4="",I$28&lt;$A31),"",I4/OFFSET(SSTotalCLM!$A$2,MATCH(I$29,SSTotalCLM!$A$2:$A$500)+$A31-1,1)-1)</f>
        <v>-8.3508436615176151E-3</v>
      </c>
      <c r="J31" s="9">
        <f ca="1">IF(OR(J4="",J$28&lt;$A31),"",J4/OFFSET(SSTotalCLM!$A$2,MATCH(J$29,SSTotalCLM!$A$2:$A$500)+$A31-1,1)-1)</f>
        <v>5.2804383688909162E-4</v>
      </c>
      <c r="K31" s="9">
        <f ca="1">IF(OR(K4="",K$28&lt;$A31),"",K4/OFFSET(SSTotalCLM!$A$2,MATCH(K$29,SSTotalCLM!$A$2:$A$500)+$A31-1,1)-1)</f>
        <v>4.3510025326072288E-3</v>
      </c>
      <c r="L31" s="9">
        <f ca="1">IF(OR(L4="",L$28&lt;$A31),"",L4/OFFSET(SSTotalCLM!$A$2,MATCH(L$29,SSTotalCLM!$A$2:$A$500)+$A31-1,1)-1)</f>
        <v>-1.2624481365625329E-2</v>
      </c>
      <c r="M31" s="9">
        <f ca="1">IF(OR(M4="",M$28&lt;$A31),"",M4/OFFSET(SSTotalCLM!$A$2,MATCH(M$29,SSTotalCLM!$A$2:$A$500)+$A31-1,1)-1)</f>
        <v>1.218355152599937E-3</v>
      </c>
      <c r="N31" s="9">
        <f ca="1">IF(OR(N4="",N$28&lt;$A31),"",N4/OFFSET(SSTotalCLM!$A$2,MATCH(N$29,SSTotalCLM!$A$2:$A$500)+$A31-1,1)-1)</f>
        <v>9.4226942315727147E-3</v>
      </c>
      <c r="O31" s="9">
        <f ca="1">IF(OR(O4="",O$28&lt;$A31),"",O4/OFFSET(SSTotalCLM!$A$2,MATCH(O$29,SSTotalCLM!$A$2:$A$500)+$A31-1,1)-1)</f>
        <v>5.8038068970756029E-6</v>
      </c>
      <c r="P31" s="9">
        <f ca="1">IF(OR(P4="",P$28&lt;$A31),"",P4/OFFSET(SSTotalCLM!$A$2,MATCH(P$29,SSTotalCLM!$A$2:$A$500)+$A31-1,1)-1)</f>
        <v>-5.8451687777372197E-3</v>
      </c>
      <c r="Q31" s="9">
        <f ca="1">IF(OR(Q4="",Q$28&lt;$A31),"",Q4/OFFSET(SSTotalCLM!$A$2,MATCH(Q$29,SSTotalCLM!$A$2:$A$500)+$A31-1,1)-1)</f>
        <v>-1.1995772381737102E-2</v>
      </c>
      <c r="R31" s="9">
        <f ca="1">IF(OR(R4="",R$28&lt;$A31),"",R4/OFFSET(SSTotalCLM!$A$2,MATCH(R$29,SSTotalCLM!$A$2:$A$500)+$A31-1,1)-1)</f>
        <v>-1.9007216904731838E-2</v>
      </c>
      <c r="S31" s="9">
        <f ca="1">IF(OR(S4="",S$28&lt;$A31),"",S4/OFFSET(SSTotalCLM!$A$2,MATCH(S$29,SSTotalCLM!$A$2:$A$500)+$A31-1,1)-1)</f>
        <v>-2.1767288007309316E-2</v>
      </c>
      <c r="T31" s="9">
        <f ca="1">IF(OR(T4="",T$28&lt;$A31),"",T4/OFFSET(SSTotalCLM!$A$2,MATCH(T$29,SSTotalCLM!$A$2:$A$500)+$A31-1,1)-1)</f>
        <v>-1.4272346658019797E-2</v>
      </c>
      <c r="U31" s="9">
        <f ca="1">IF(OR(U4="",U$28&lt;$A31),"",U4/OFFSET(SSTotalCLM!$A$2,MATCH(U$29,SSTotalCLM!$A$2:$A$500)+$A31-1,1)-1)</f>
        <v>1.2219168182172613E-3</v>
      </c>
      <c r="V31" s="9">
        <f ca="1">IF(OR(V4="",V$28&lt;$A31),"",V4/OFFSET(SSTotalCLM!$A$2,MATCH(V$29,SSTotalCLM!$A$2:$A$500)+$A31-1,1)-1)</f>
        <v>2.5395768370943816E-3</v>
      </c>
      <c r="W31" s="9">
        <f ca="1">IF(OR(W4="",W$28&lt;$A31),"",W4/OFFSET(SSTotalCLM!$A$2,MATCH(W$29,SSTotalCLM!$A$2:$A$500)+$A31-1,1)-1)</f>
        <v>-5.0392736268337623E-3</v>
      </c>
      <c r="X31" s="9">
        <f ca="1">IF(OR(X4="",X$28&lt;$A31),"",X4/OFFSET(SSTotalCLM!$A$2,MATCH(X$29,SSTotalCLM!$A$2:$A$500)+$A31-1,1)-1)</f>
        <v>-1.3163679803048223E-2</v>
      </c>
      <c r="Y31" s="9">
        <f ca="1">IF(OR(Y4="",Y$28&lt;$A31),"",Y4/OFFSET(SSTotalCLM!$A$2,MATCH(Y$29,SSTotalCLM!$A$2:$A$500)+$A31-1,1)-1)</f>
        <v>-1.0208250467194091E-3</v>
      </c>
      <c r="Z31" s="9">
        <f ca="1">IF(OR(Z4="",Z$28&lt;$A31),"",Z4/OFFSET(SSTotalCLM!$A$2,MATCH(Z$29,SSTotalCLM!$A$2:$A$500)+$A31-1,1)-1)</f>
        <v>4.8139156604869449E-3</v>
      </c>
      <c r="AA31" s="9">
        <f ca="1">IF(OR(AA4="",AA$28&lt;$A31),"",AA4/OFFSET(SSTotalCLM!$A$2,MATCH(AA$29,SSTotalCLM!$A$2:$A$500)+$A31-1,1)-1)</f>
        <v>8.9568821519891983E-5</v>
      </c>
      <c r="AB31" s="9">
        <f ca="1">IF(OR(AB4="",AB$28&lt;$A31),"",AB4/OFFSET(SSTotalCLM!$A$2,MATCH(AB$29,SSTotalCLM!$A$2:$A$500)+$A31-1,1)-1)</f>
        <v>2.6206872067724429E-3</v>
      </c>
      <c r="AC31" s="9">
        <f ca="1">IF(OR(AC4="",AC$28&lt;$A31),"",AC4/OFFSET(SSTotalCLM!$A$2,MATCH(AC$29,SSTotalCLM!$A$2:$A$500)+$A31-1,1)-1)</f>
        <v>7.9828217860431483E-3</v>
      </c>
      <c r="AD31" s="9">
        <f ca="1">IF(OR(AD4="",AD$28&lt;$A31),"",AD4/OFFSET(SSTotalCLM!$A$2,MATCH(AD$29,SSTotalCLM!$A$2:$A$500)+$A31-1,1)-1)</f>
        <v>9.986877638999303E-3</v>
      </c>
      <c r="AE31" s="9">
        <f ca="1">IF(OR(AE4="",AE$28&lt;$A31),"",AE4/OFFSET(SSTotalCLM!$A$2,MATCH(AE$29,SSTotalCLM!$A$2:$A$500)+$A31-1,1)-1)</f>
        <v>1.6454401403796171E-2</v>
      </c>
      <c r="AF31" s="9">
        <f ca="1">IF(OR(AF4="",AF$28&lt;$A31),"",AF4/OFFSET(SSTotalCLM!$A$2,MATCH(AF$29,SSTotalCLM!$A$2:$A$500)+$A31-1,1)-1)</f>
        <v>1.0289417948675883E-2</v>
      </c>
      <c r="AG31" s="9">
        <f ca="1">IF(OR(AG4="",AG$28&lt;$A31),"",AG4/OFFSET(SSTotalCLM!$A$2,MATCH(AG$29,SSTotalCLM!$A$2:$A$500)+$A31-1,1)-1)</f>
        <v>3.3917269220229418E-3</v>
      </c>
      <c r="AH31" s="9">
        <f ca="1">IF(OR(AH4="",AH$28&lt;$A31),"",AH4/OFFSET(SSTotalCLM!$A$2,MATCH(AH$29,SSTotalCLM!$A$2:$A$500)+$A31-1,1)-1)</f>
        <v>-8.3665272323141249E-4</v>
      </c>
      <c r="AI31" s="9">
        <f ca="1">IF(OR(AI4="",AI$28&lt;$A31),"",AI4/OFFSET(SSTotalCLM!$A$2,MATCH(AI$29,SSTotalCLM!$A$2:$A$500)+$A31-1,1)-1)</f>
        <v>-2.0204088641549989E-3</v>
      </c>
      <c r="AJ31" s="9">
        <f ca="1">IF(OR(AJ4="",AJ$28&lt;$A31),"",AJ4/OFFSET(SSTotalCLM!$A$2,MATCH(AJ$29,SSTotalCLM!$A$2:$A$500)+$A31-1,1)-1)</f>
        <v>-8.3205214808181882E-3</v>
      </c>
      <c r="AK31" s="9">
        <f ca="1">IF(OR(AK4="",AK$28&lt;$A31),"",AK4/OFFSET(SSTotalCLM!$A$2,MATCH(AK$29,SSTotalCLM!$A$2:$A$500)+$A31-1,1)-1)</f>
        <v>-6.9518459256132648E-3</v>
      </c>
      <c r="AL31" s="9">
        <f ca="1">IF(OR(AL4="",AL$28&lt;$A31),"",AL4/OFFSET(SSTotalCLM!$A$2,MATCH(AL$29,SSTotalCLM!$A$2:$A$500)+$A31-1,1)-1)</f>
        <v>-3.6803868710361121E-3</v>
      </c>
      <c r="AM31" s="9">
        <f ca="1">IF(OR(AM4="",AM$28&lt;$A31),"",AM4/OFFSET(SSTotalCLM!$A$2,MATCH(AM$29,SSTotalCLM!$A$2:$A$500)+$A31-1,1)-1)</f>
        <v>-3.6634123282254238E-3</v>
      </c>
      <c r="AN31" s="9">
        <f ca="1">IF(OR(AN4="",AN$28&lt;$A31),"",AN4/OFFSET(SSTotalCLM!$A$2,MATCH(AN$29,SSTotalCLM!$A$2:$A$500)+$A31-1,1)-1)</f>
        <v>-2.060202703440206E-3</v>
      </c>
      <c r="AO31" s="9">
        <f ca="1">IF(OR(AO4="",AO$28&lt;$A31),"",AO4/OFFSET(SSTotalCLM!$A$2,MATCH(AO$29,SSTotalCLM!$A$2:$A$500)+$A31-1,1)-1)</f>
        <v>-1.1092632393996382E-3</v>
      </c>
      <c r="AP31" s="9">
        <f ca="1">IF(OR(AP4="",AP$28&lt;$A31),"",AP4/OFFSET(SSTotalCLM!$A$2,MATCH(AP$29,SSTotalCLM!$A$2:$A$500)+$A31-1,1)-1)</f>
        <v>4.8934714497586018E-3</v>
      </c>
      <c r="AQ31" s="9">
        <f ca="1">IF(OR(AQ4="",AQ$28&lt;$A31),"",AQ4/OFFSET(SSTotalCLM!$A$2,MATCH(AQ$29,SSTotalCLM!$A$2:$A$500)+$A31-1,1)-1)</f>
        <v>5.3936885102912058E-3</v>
      </c>
      <c r="AR31" s="9">
        <f ca="1">IF(OR(AR4="",AR$28&lt;$A31),"",AR4/OFFSET(SSTotalCLM!$A$2,MATCH(AR$29,SSTotalCLM!$A$2:$A$500)+$A31-1,1)-1)</f>
        <v>4.4024243489408921E-3</v>
      </c>
      <c r="AS31" s="9">
        <f ca="1">IF(OR(AS4="",AS$28&lt;$A31),"",AS4/OFFSET(SSTotalCLM!$A$2,MATCH(AS$29,SSTotalCLM!$A$2:$A$500)+$A31-1,1)-1)</f>
        <v>1.2829350978955656E-3</v>
      </c>
      <c r="AT31" s="9">
        <f ca="1">IF(OR(AT4="",AT$28&lt;$A31),"",AT4/OFFSET(SSTotalCLM!$A$2,MATCH(AT$29,SSTotalCLM!$A$2:$A$500)+$A31-1,1)-1)</f>
        <v>-6.6741978090919529E-3</v>
      </c>
      <c r="AU31" s="9">
        <f ca="1">IF(OR(AU4="",AU$28&lt;$A31),"",AU4/OFFSET(SSTotalCLM!$A$2,MATCH(AU$29,SSTotalCLM!$A$2:$A$500)+$A31-1,1)-1)</f>
        <v>-3.5694478096129911E-3</v>
      </c>
      <c r="AV31" s="9">
        <f ca="1">IF(OR(AV4="",AV$28&lt;$A31),"",AV4/OFFSET(SSTotalCLM!$A$2,MATCH(AV$29,SSTotalCLM!$A$2:$A$500)+$A31-1,1)-1)</f>
        <v>-3.4656658105912674E-3</v>
      </c>
      <c r="AW31" s="9">
        <f ca="1">IF(OR(AW4="",AW$28&lt;$A31),"",AW4/OFFSET(SSTotalCLM!$A$2,MATCH(AW$29,SSTotalCLM!$A$2:$A$500)+$A31-1,1)-1)</f>
        <v>3.71531356663235E-3</v>
      </c>
      <c r="AX31" s="9">
        <f ca="1">IF(OR(AX4="",AX$28&lt;$A31),"",AX4/OFFSET(SSTotalCLM!$A$2,MATCH(AX$29,SSTotalCLM!$A$2:$A$500)+$A31-1,1)-1)</f>
        <v>1.0065899386925592E-2</v>
      </c>
      <c r="AY31" s="9">
        <f ca="1">IF(OR(AY4="",AY$28&lt;$A31),"",AY4/OFFSET(SSTotalCLM!$A$2,MATCH(AY$29,SSTotalCLM!$A$2:$A$500)+$A31-1,1)-1)</f>
        <v>1.2722934762925631E-2</v>
      </c>
      <c r="AZ31" s="9">
        <f ca="1">IF(OR(AZ4="",AZ$28&lt;$A31),"",AZ4/OFFSET(SSTotalCLM!$A$2,MATCH(AZ$29,SSTotalCLM!$A$2:$A$500)+$A31-1,1)-1)</f>
        <v>1.0613648685158239E-2</v>
      </c>
      <c r="BA31" s="9">
        <f ca="1">IF(OR(BA4="",BA$28&lt;$A31),"",BA4/OFFSET(SSTotalCLM!$A$2,MATCH(BA$29,SSTotalCLM!$A$2:$A$500)+$A31-1,1)-1)</f>
        <v>1.1427072409414762E-2</v>
      </c>
      <c r="BB31" s="9">
        <f ca="1">IF(OR(BB4="",BB$28&lt;$A31),"",BB4/OFFSET(SSTotalCLM!$A$2,MATCH(BB$29,SSTotalCLM!$A$2:$A$500)+$A31-1,1)-1)</f>
        <v>1.7332684020597844E-2</v>
      </c>
      <c r="BC31" s="9">
        <f ca="1">IF(OR(BC4="",BC$28&lt;$A31),"",BC4/OFFSET(SSTotalCLM!$A$2,MATCH(BC$29,SSTotalCLM!$A$2:$A$500)+$A31-1,1)-1)</f>
        <v>1.7217481214770736E-2</v>
      </c>
      <c r="BD31" s="9">
        <f ca="1">IF(OR(BD4="",BD$28&lt;$A31),"",BD4/OFFSET(SSTotalCLM!$A$2,MATCH(BD$29,SSTotalCLM!$A$2:$A$500)+$A31-1,1)-1)</f>
        <v>1.4672954412918049E-2</v>
      </c>
      <c r="BE31" s="9">
        <f ca="1">IF(OR(BE4="",BE$28&lt;$A31),"",BE4/OFFSET(SSTotalCLM!$A$2,MATCH(BE$29,SSTotalCLM!$A$2:$A$500)+$A31-1,1)-1)</f>
        <v>6.9882057898045247E-3</v>
      </c>
      <c r="BF31" s="9">
        <f ca="1">IF(OR(BF4="",BF$28&lt;$A31),"",BF4/OFFSET(SSTotalCLM!$A$2,MATCH(BF$29,SSTotalCLM!$A$2:$A$500)+$A31-1,1)-1)</f>
        <v>-5.8353055764676087E-3</v>
      </c>
      <c r="BG31" s="9">
        <f ca="1">IF(OR(BG4="",BG$28&lt;$A31),"",BG4/OFFSET(SSTotalCLM!$A$2,MATCH(BG$29,SSTotalCLM!$A$2:$A$500)+$A31-1,1)-1)</f>
        <v>1.9214507199238895E-2</v>
      </c>
      <c r="BH31" s="9">
        <f ca="1">IF(OR(BH4="",BH$28&lt;$A31),"",BH4/OFFSET(SSTotalCLM!$A$2,MATCH(BH$29,SSTotalCLM!$A$2:$A$500)+$A31-1,1)-1)</f>
        <v>2.6315127599604526E-2</v>
      </c>
      <c r="BI31" s="9">
        <f ca="1">IF(OR(BI4="",BI$28&lt;$A31),"",BI4/OFFSET(SSTotalCLM!$A$2,MATCH(BI$29,SSTotalCLM!$A$2:$A$500)+$A31-1,1)-1)</f>
        <v>1.2462198039782546E-2</v>
      </c>
      <c r="BJ31" s="9">
        <f ca="1">IF(OR(BJ4="",BJ$28&lt;$A31),"",BJ4/OFFSET(SSTotalCLM!$A$2,MATCH(BJ$29,SSTotalCLM!$A$2:$A$500)+$A31-1,1)-1)</f>
        <v>1.1877591468789195E-2</v>
      </c>
      <c r="BK31" s="9">
        <f ca="1">IF(OR(BK4="",BK$28&lt;$A31),"",BK4/OFFSET(SSTotalCLM!$A$2,MATCH(BK$29,SSTotalCLM!$A$2:$A$500)+$A31-1,1)-1)</f>
        <v>1.0194341036299015E-2</v>
      </c>
      <c r="BL31" s="9">
        <f ca="1">IF(OR(BL4="",BL$28&lt;$A31),"",BL4/OFFSET(SSTotalCLM!$A$2,MATCH(BL$29,SSTotalCLM!$A$2:$A$500)+$A31-1,1)-1)</f>
        <v>2.3408543863336906E-3</v>
      </c>
      <c r="BM31" s="9">
        <f ca="1">IF(OR(BM4="",BM$28&lt;$A31),"",BM4/OFFSET(SSTotalCLM!$A$2,MATCH(BM$29,SSTotalCLM!$A$2:$A$500)+$A31-1,1)-1)</f>
        <v>-1.3785387546865313E-2</v>
      </c>
      <c r="BN31" s="9">
        <f ca="1">IF(OR(BN4="",BN$28&lt;$A31),"",BN4/OFFSET(SSTotalCLM!$A$2,MATCH(BN$29,SSTotalCLM!$A$2:$A$500)+$A31-1,1)-1)</f>
        <v>-1.5382267642239711E-2</v>
      </c>
      <c r="BO31" s="9">
        <f ca="1">IF(OR(BO4="",BO$28&lt;$A31),"",BO4/OFFSET(SSTotalCLM!$A$2,MATCH(BO$29,SSTotalCLM!$A$2:$A$500)+$A31-1,1)-1)</f>
        <v>-1.1884650922763806E-2</v>
      </c>
      <c r="BP31" s="9">
        <f ca="1">IF(OR(BP4="",BP$28&lt;$A31),"",BP4/OFFSET(SSTotalCLM!$A$2,MATCH(BP$29,SSTotalCLM!$A$2:$A$500)+$A31-1,1)-1)</f>
        <v>-1.1215599487448324E-2</v>
      </c>
      <c r="BQ31" s="9">
        <f ca="1">IF(OR(BQ4="",BQ$28&lt;$A31),"",BQ4/OFFSET(SSTotalCLM!$A$2,MATCH(BQ$29,SSTotalCLM!$A$2:$A$500)+$A31-1,1)-1)</f>
        <v>-2.6177738153132735E-2</v>
      </c>
      <c r="BR31" s="9">
        <f ca="1">IF(OR(BR4="",BR$28&lt;$A31),"",BR4/OFFSET(SSTotalCLM!$A$2,MATCH(BR$29,SSTotalCLM!$A$2:$A$500)+$A31-1,1)-1)</f>
        <v>-1.2705227232619243E-2</v>
      </c>
      <c r="BS31" s="9">
        <f ca="1">IF(OR(BS4="",BS$28&lt;$A31),"",BS4/OFFSET(SSTotalCLM!$A$2,MATCH(BS$29,SSTotalCLM!$A$2:$A$500)+$A31-1,1)-1)</f>
        <v>1.3263748284364718E-2</v>
      </c>
      <c r="BT31" s="9">
        <f ca="1">IF(OR(BT4="",BT$28&lt;$A31),"",BT4/OFFSET(SSTotalCLM!$A$2,MATCH(BT$29,SSTotalCLM!$A$2:$A$500)+$A31-1,1)-1)</f>
        <v>-2.3579562438047486E-4</v>
      </c>
      <c r="BU31" s="9">
        <f ca="1">IF(OR(BU4="",BU$28&lt;$A31),"",BU4/OFFSET(SSTotalCLM!$A$2,MATCH(BU$29,SSTotalCLM!$A$2:$A$500)+$A31-1,1)-1)</f>
        <v>-2.5702621610192988E-3</v>
      </c>
      <c r="BV31" s="9">
        <f ca="1">IF(OR(BV4="",BV$28&lt;$A31),"",BV4/OFFSET(SSTotalCLM!$A$2,MATCH(BV$29,SSTotalCLM!$A$2:$A$500)+$A31-1,1)-1)</f>
        <v>7.6228178056576557E-3</v>
      </c>
      <c r="BW31" s="9">
        <f ca="1">IF(OR(BW4="",BW$28&lt;$A31),"",BW4/OFFSET(SSTotalCLM!$A$2,MATCH(BW$29,SSTotalCLM!$A$2:$A$500)+$A31-1,1)-1)</f>
        <v>4.6439517896967875E-3</v>
      </c>
      <c r="BX31" s="9">
        <f ca="1">IF(OR(BX4="",BX$28&lt;$A31),"",BX4/OFFSET(SSTotalCLM!$A$2,MATCH(BX$29,SSTotalCLM!$A$2:$A$500)+$A31-1,1)-1)</f>
        <v>5.0850205939272364E-3</v>
      </c>
      <c r="BY31" s="9">
        <f ca="1">IF(OR(BY4="",BY$28&lt;$A31),"",BY4/OFFSET(SSTotalCLM!$A$2,MATCH(BY$29,SSTotalCLM!$A$2:$A$500)+$A31-1,1)-1)</f>
        <v>3.6106394017276777E-3</v>
      </c>
      <c r="BZ31" s="9">
        <f ca="1">IF(OR(BZ4="",BZ$28&lt;$A31),"",BZ4/OFFSET(SSTotalCLM!$A$2,MATCH(BZ$29,SSTotalCLM!$A$2:$A$500)+$A31-1,1)-1)</f>
        <v>1.2192112900581975E-3</v>
      </c>
      <c r="CA31" s="9">
        <f ca="1">IF(OR(CA4="",CA$28&lt;$A31),"",CA4/OFFSET(SSTotalCLM!$A$2,MATCH(CA$29,SSTotalCLM!$A$2:$A$500)+$A31-1,1)-1)</f>
        <v>2.3013421370683407E-3</v>
      </c>
      <c r="CB31" s="9">
        <f ca="1">IF(OR(CB4="",CB$28&lt;$A31),"",CB4/OFFSET(SSTotalCLM!$A$2,MATCH(CB$29,SSTotalCLM!$A$2:$A$500)+$A31-1,1)-1)</f>
        <v>2.5149389449552473E-4</v>
      </c>
      <c r="CC31" s="9">
        <f ca="1">IF(OR(CC4="",CC$28&lt;$A31),"",CC4/OFFSET(SSTotalCLM!$A$2,MATCH(CC$29,SSTotalCLM!$A$2:$A$500)+$A31-1,1)-1)</f>
        <v>-9.6674011319475284E-3</v>
      </c>
      <c r="CD31" s="9">
        <f ca="1">IF(OR(CD4="",CD$28&lt;$A31),"",CD4/OFFSET(SSTotalCLM!$A$2,MATCH(CD$29,SSTotalCLM!$A$2:$A$500)+$A31-1,1)-1)</f>
        <v>-1.27714807596917E-2</v>
      </c>
      <c r="CE31" s="9">
        <f ca="1">IF(OR(CE4="",CE$28&lt;$A31),"",CE4/OFFSET(SSTotalCLM!$A$2,MATCH(CE$29,SSTotalCLM!$A$2:$A$500)+$A31-1,1)-1)</f>
        <v>8.5671170373879946E-3</v>
      </c>
      <c r="CF31" s="9">
        <f ca="1">IF(OR(CF4="",CF$28&lt;$A31),"",CF4/OFFSET(SSTotalCLM!$A$2,MATCH(CF$29,SSTotalCLM!$A$2:$A$500)+$A31-1,1)-1)</f>
        <v>9.6867450525992549E-3</v>
      </c>
      <c r="CG31" s="9">
        <f ca="1">IF(OR(CG4="",CG$28&lt;$A31),"",CG4/OFFSET(SSTotalCLM!$A$2,MATCH(CG$29,SSTotalCLM!$A$2:$A$500)+$A31-1,1)-1)</f>
        <v>-2.6014981171916807E-3</v>
      </c>
      <c r="CH31" s="9">
        <f ca="1">IF(OR(CH4="",CH$28&lt;$A31),"",CH4/OFFSET(SSTotalCLM!$A$2,MATCH(CH$29,SSTotalCLM!$A$2:$A$500)+$A31-1,1)-1)</f>
        <v>5.8985490886691583E-3</v>
      </c>
      <c r="CI31" s="9">
        <f ca="1">IF(OR(CI4="",CI$28&lt;$A31),"",CI4/OFFSET(SSTotalCLM!$A$2,MATCH(CI$29,SSTotalCLM!$A$2:$A$500)+$A31-1,1)-1)</f>
        <v>7.2036939255342158E-3</v>
      </c>
      <c r="CJ31" s="9">
        <f ca="1">IF(OR(CJ4="",CJ$28&lt;$A31),"",CJ4/OFFSET(SSTotalCLM!$A$2,MATCH(CJ$29,SSTotalCLM!$A$2:$A$500)+$A31-1,1)-1)</f>
        <v>-1.7311164140363378E-3</v>
      </c>
      <c r="CK31" s="9">
        <f ca="1">IF(OR(CK4="",CK$28&lt;$A31),"",CK4/OFFSET(SSTotalCLM!$A$2,MATCH(CK$29,SSTotalCLM!$A$2:$A$500)+$A31-1,1)-1)</f>
        <v>-1.0202378689301295E-3</v>
      </c>
      <c r="CL31" s="9">
        <f ca="1">IF(OR(CL4="",CL$28&lt;$A31),"",CL4/OFFSET(SSTotalCLM!$A$2,MATCH(CL$29,SSTotalCLM!$A$2:$A$500)+$A31-1,1)-1)</f>
        <v>3.9090955822294049E-3</v>
      </c>
      <c r="CM31" s="9">
        <f ca="1">IF(OR(CM4="",CM$28&lt;$A31),"",CM4/OFFSET(SSTotalCLM!$A$2,MATCH(CM$29,SSTotalCLM!$A$2:$A$500)+$A31-1,1)-1)</f>
        <v>6.47663947395416E-3</v>
      </c>
      <c r="CN31" s="9">
        <f ca="1">IF(OR(CN4="",CN$28&lt;$A31),"",CN4/OFFSET(SSTotalCLM!$A$2,MATCH(CN$29,SSTotalCLM!$A$2:$A$500)+$A31-1,1)-1)</f>
        <v>3.8207593985295496E-3</v>
      </c>
      <c r="CO31" s="9">
        <f ca="1">IF(OR(CO4="",CO$28&lt;$A31),"",CO4/OFFSET(SSTotalCLM!$A$2,MATCH(CO$29,SSTotalCLM!$A$2:$A$500)+$A31-1,1)-1)</f>
        <v>-4.7837914978875462E-3</v>
      </c>
      <c r="CP31" s="9">
        <f ca="1">IF(OR(CP4="",CP$28&lt;$A31),"",CP4/OFFSET(SSTotalCLM!$A$2,MATCH(CP$29,SSTotalCLM!$A$2:$A$500)+$A31-1,1)-1)</f>
        <v>1.2720058119322308E-2</v>
      </c>
      <c r="CQ31" s="9">
        <f ca="1">IF(OR(CQ4="",CQ$28&lt;$A31),"",CQ4/OFFSET(SSTotalCLM!$A$2,MATCH(CQ$29,SSTotalCLM!$A$2:$A$500)+$A31-1,1)-1)</f>
        <v>2.5290441829565857E-2</v>
      </c>
      <c r="CR31" s="9">
        <f ca="1">IF(OR(CR4="",CR$28&lt;$A31),"",CR4/OFFSET(SSTotalCLM!$A$2,MATCH(CR$29,SSTotalCLM!$A$2:$A$500)+$A31-1,1)-1)</f>
        <v>-1.3180748362517924E-3</v>
      </c>
      <c r="CS31" s="9">
        <f ca="1">IF(OR(CS4="",CS$28&lt;$A31),"",CS4/OFFSET(SSTotalCLM!$A$2,MATCH(CS$29,SSTotalCLM!$A$2:$A$500)+$A31-1,1)-1)</f>
        <v>8.3400299400326894E-4</v>
      </c>
      <c r="CT31" s="9">
        <f ca="1">IF(OR(CT4="",CT$28&lt;$A31),"",CT4/OFFSET(SSTotalCLM!$A$2,MATCH(CT$29,SSTotalCLM!$A$2:$A$500)+$A31-1,1)-1)</f>
        <v>1.3796693250973879E-2</v>
      </c>
      <c r="CU31" s="9">
        <f ca="1">IF(OR(CU4="",CU$28&lt;$A31),"",CU4/OFFSET(SSTotalCLM!$A$2,MATCH(CU$29,SSTotalCLM!$A$2:$A$500)+$A31-1,1)-1)</f>
        <v>7.7403456455673592E-3</v>
      </c>
      <c r="CV31" s="9">
        <f ca="1">IF(OR(CV4="",CV$28&lt;$A31),"",CV4/OFFSET(SSTotalCLM!$A$2,MATCH(CV$29,SSTotalCLM!$A$2:$A$500)+$A31-1,1)-1)</f>
        <v>5.5123755160793042E-3</v>
      </c>
      <c r="CW31" s="9">
        <f ca="1">IF(OR(CW4="",CW$28&lt;$A31),"",CW4/OFFSET(SSTotalCLM!$A$2,MATCH(CW$29,SSTotalCLM!$A$2:$A$500)+$A31-1,1)-1)</f>
        <v>3.2803698810994764E-3</v>
      </c>
      <c r="CX31" s="9">
        <f ca="1">IF(OR(CX4="",CX$28&lt;$A31),"",CX4/OFFSET(SSTotalCLM!$A$2,MATCH(CX$29,SSTotalCLM!$A$2:$A$500)+$A31-1,1)-1)</f>
        <v>-5.6270497307648881E-3</v>
      </c>
      <c r="CY31" s="9">
        <f ca="1">IF(OR(CY4="",CY$28&lt;$A31),"",CY4/OFFSET(SSTotalCLM!$A$2,MATCH(CY$29,SSTotalCLM!$A$2:$A$500)+$A31-1,1)-1)</f>
        <v>-9.3844302037726646E-4</v>
      </c>
      <c r="CZ31" s="9">
        <f ca="1">IF(OR(CZ4="",CZ$28&lt;$A31),"",CZ4/OFFSET(SSTotalCLM!$A$2,MATCH(CZ$29,SSTotalCLM!$A$2:$A$500)+$A31-1,1)-1)</f>
        <v>1.2036664540654884E-2</v>
      </c>
      <c r="DA31" s="9">
        <f ca="1">IF(OR(DA4="",DA$28&lt;$A31),"",DA4/OFFSET(SSTotalCLM!$A$2,MATCH(DA$29,SSTotalCLM!$A$2:$A$500)+$A31-1,1)-1)</f>
        <v>-1.2603973795792145E-2</v>
      </c>
      <c r="DB31" s="9">
        <f ca="1">IF(OR(DB4="",DB$28&lt;$A31),"",DB4/OFFSET(SSTotalCLM!$A$2,MATCH(DB$29,SSTotalCLM!$A$2:$A$500)+$A31-1,1)-1)</f>
        <v>-1.1408005695274115E-2</v>
      </c>
      <c r="DC31" s="9">
        <f ca="1">IF(OR(DC4="",DC$28&lt;$A31),"",DC4/OFFSET(SSTotalCLM!$A$2,MATCH(DC$29,SSTotalCLM!$A$2:$A$500)+$A31-1,1)-1)</f>
        <v>3.9279324172824204E-2</v>
      </c>
      <c r="DD31" s="9">
        <f ca="1">IF(OR(DD4="",DD$28&lt;$A31),"",DD4/OFFSET(SSTotalCLM!$A$2,MATCH(DD$29,SSTotalCLM!$A$2:$A$500)+$A31-1,1)-1)</f>
        <v>2.9053730808846767E-2</v>
      </c>
      <c r="DE31" s="9">
        <f ca="1">IF(OR(DE4="",DE$28&lt;$A31),"",DE4/OFFSET(SSTotalCLM!$A$2,MATCH(DE$29,SSTotalCLM!$A$2:$A$500)+$A31-1,1)-1)</f>
        <v>-1.4383109454675358E-3</v>
      </c>
      <c r="DF31" s="9">
        <f ca="1">IF(OR(DF4="",DF$28&lt;$A31),"",DF4/OFFSET(SSTotalCLM!$A$2,MATCH(DF$29,SSTotalCLM!$A$2:$A$500)+$A31-1,1)-1)</f>
        <v>-1.6196732338090825E-2</v>
      </c>
      <c r="DG31" s="9">
        <f ca="1">IF(OR(DG4="",DG$28&lt;$A31),"",DG4/OFFSET(SSTotalCLM!$A$2,MATCH(DG$29,SSTotalCLM!$A$2:$A$500)+$A31-1,1)-1)</f>
        <v>-1.5646646150226151E-2</v>
      </c>
      <c r="DH31" s="9">
        <f ca="1">IF(OR(DH4="",DH$28&lt;$A31),"",DH4/OFFSET(SSTotalCLM!$A$2,MATCH(DH$29,SSTotalCLM!$A$2:$A$500)+$A31-1,1)-1)</f>
        <v>-1.1510404850379019E-2</v>
      </c>
      <c r="DI31" s="9">
        <f ca="1">IF(OR(DI4="",DI$28&lt;$A31),"",DI4/OFFSET(SSTotalCLM!$A$2,MATCH(DI$29,SSTotalCLM!$A$2:$A$500)+$A31-1,1)-1)</f>
        <v>-1.043578257545108E-2</v>
      </c>
      <c r="DJ31" s="9">
        <f ca="1">IF(OR(DJ4="",DJ$28&lt;$A31),"",DJ4/OFFSET(SSTotalCLM!$A$2,MATCH(DJ$29,SSTotalCLM!$A$2:$A$500)+$A31-1,1)-1)</f>
        <v>-8.8778365011278337E-3</v>
      </c>
      <c r="DK31" s="9">
        <f ca="1">IF(OR(DK4="",DK$28&lt;$A31),"",DK4/OFFSET(SSTotalCLM!$A$2,MATCH(DK$29,SSTotalCLM!$A$2:$A$500)+$A31-1,1)-1)</f>
        <v>-8.211304743830472E-3</v>
      </c>
      <c r="DL31" s="9">
        <f ca="1">IF(OR(DL4="",DL$28&lt;$A31),"",DL4/OFFSET(SSTotalCLM!$A$2,MATCH(DL$29,SSTotalCLM!$A$2:$A$500)+$A31-1,1)-1)</f>
        <v>-3.5954852432532602E-3</v>
      </c>
      <c r="DM31" s="9">
        <f ca="1">IF(OR(DM4="",DM$28&lt;$A31),"",DM4/OFFSET(SSTotalCLM!$A$2,MATCH(DM$29,SSTotalCLM!$A$2:$A$500)+$A31-1,1)-1)</f>
        <v>-6.4350672844655232E-3</v>
      </c>
      <c r="DN31" s="9">
        <f ca="1">IF(OR(DN4="",DN$28&lt;$A31),"",DN4/OFFSET(SSTotalCLM!$A$2,MATCH(DN$29,SSTotalCLM!$A$2:$A$500)+$A31-1,1)-1)</f>
        <v>-3.0230817730898862E-2</v>
      </c>
      <c r="DO31" s="9">
        <f ca="1">IF(OR(DO4="",DO$28&lt;$A31),"",DO4/OFFSET(SSTotalCLM!$A$2,MATCH(DO$29,SSTotalCLM!$A$2:$A$500)+$A31-1,1)-1)</f>
        <v>-8.2039768793422674E-3</v>
      </c>
      <c r="DP31" s="9">
        <f ca="1">IF(OR(DP4="",DP$28&lt;$A31),"",DP4/OFFSET(SSTotalCLM!$A$2,MATCH(DP$29,SSTotalCLM!$A$2:$A$500)+$A31-1,1)-1)</f>
        <v>9.7534452584397968E-3</v>
      </c>
      <c r="DQ31" s="9">
        <f ca="1">IF(OR(DQ4="",DQ$28&lt;$A31),"",DQ4/OFFSET(SSTotalCLM!$A$2,MATCH(DQ$29,SSTotalCLM!$A$2:$A$500)+$A31-1,1)-1)</f>
        <v>-1.9673664459341045E-2</v>
      </c>
      <c r="DR31" s="9">
        <f ca="1">IF(OR(DR4="",DR$28&lt;$A31),"",DR4/OFFSET(SSTotalCLM!$A$2,MATCH(DR$29,SSTotalCLM!$A$2:$A$500)+$A31-1,1)-1)</f>
        <v>-4.7910156789313652E-3</v>
      </c>
      <c r="DS31" s="9">
        <f ca="1">IF(OR(DS4="",DS$28&lt;$A31),"",DS4/OFFSET(SSTotalCLM!$A$2,MATCH(DS$29,SSTotalCLM!$A$2:$A$500)+$A31-1,1)-1)</f>
        <v>4.2879557751405173E-3</v>
      </c>
      <c r="DT31" s="9">
        <f ca="1">IF(OR(DT4="",DT$28&lt;$A31),"",DT4/OFFSET(SSTotalCLM!$A$2,MATCH(DT$29,SSTotalCLM!$A$2:$A$500)+$A31-1,1)-1)</f>
        <v>2.0401140489090253E-3</v>
      </c>
      <c r="DU31" s="9">
        <f ca="1">IF(OR(DU4="",DU$28&lt;$A31),"",DU4/OFFSET(SSTotalCLM!$A$2,MATCH(DU$29,SSTotalCLM!$A$2:$A$500)+$A31-1,1)-1)</f>
        <v>-2.3598028558379225E-3</v>
      </c>
      <c r="DV31" s="9">
        <f ca="1">IF(OR(DV4="",DV$28&lt;$A31),"",DV4/OFFSET(SSTotalCLM!$A$2,MATCH(DV$29,SSTotalCLM!$A$2:$A$500)+$A31-1,1)-1)</f>
        <v>-5.6395469455026159E-3</v>
      </c>
      <c r="DW31" s="9">
        <f ca="1">IF(OR(DW4="",DW$28&lt;$A31),"",DW4/OFFSET(SSTotalCLM!$A$2,MATCH(DW$29,SSTotalCLM!$A$2:$A$500)+$A31-1,1)-1)</f>
        <v>-1.5516149836836135E-4</v>
      </c>
      <c r="DX31" s="9">
        <f ca="1">IF(OR(DX4="",DX$28&lt;$A31),"",DX4/OFFSET(SSTotalCLM!$A$2,MATCH(DX$29,SSTotalCLM!$A$2:$A$500)+$A31-1,1)-1)</f>
        <v>7.15286376815083E-3</v>
      </c>
      <c r="DY31" s="9">
        <f ca="1">IF(OR(DY4="",DY$28&lt;$A31),"",DY4/OFFSET(SSTotalCLM!$A$2,MATCH(DY$29,SSTotalCLM!$A$2:$A$500)+$A31-1,1)-1)</f>
        <v>-1.1214774891340484E-2</v>
      </c>
      <c r="DZ31" s="9">
        <f ca="1">IF(OR(DZ4="",DZ$28&lt;$A31),"",DZ4/OFFSET(SSTotalCLM!$A$2,MATCH(DZ$29,SSTotalCLM!$A$2:$A$500)+$A31-1,1)-1)</f>
        <v>9.8876506771896633E-3</v>
      </c>
      <c r="EA31" s="9">
        <f ca="1">IF(OR(EA4="",EA$28&lt;$A31),"",EA4/OFFSET(SSTotalCLM!$A$2,MATCH(EA$29,SSTotalCLM!$A$2:$A$500)+$A31-1,1)-1)</f>
        <v>1.3396688881154084E-2</v>
      </c>
      <c r="EB31" s="9">
        <f ca="1">IF(OR(EB4="",EB$28&lt;$A31),"",EB4/OFFSET(SSTotalCLM!$A$2,MATCH(EB$29,SSTotalCLM!$A$2:$A$500)+$A31-1,1)-1)</f>
        <v>-1.2704760056309494E-2</v>
      </c>
      <c r="EC31" s="9">
        <f ca="1">IF(OR(EC4="",EC$28&lt;$A31),"",EC4/OFFSET(SSTotalCLM!$A$2,MATCH(EC$29,SSTotalCLM!$A$2:$A$500)+$A31-1,1)-1)</f>
        <v>4.6634994623295789E-4</v>
      </c>
      <c r="ED31" s="9">
        <f ca="1">IF(OR(ED4="",ED$28&lt;$A31),"",ED4/OFFSET(SSTotalCLM!$A$2,MATCH(ED$29,SSTotalCLM!$A$2:$A$500)+$A31-1,1)-1)</f>
        <v>-1.0495285533945742E-3</v>
      </c>
      <c r="EE31" s="9">
        <f ca="1">IF(OR(EE4="",EE$28&lt;$A31),"",EE4/OFFSET(SSTotalCLM!$A$2,MATCH(EE$29,SSTotalCLM!$A$2:$A$500)+$A31-1,1)-1)</f>
        <v>-1.3780126830607586E-2</v>
      </c>
      <c r="EF31" s="9">
        <f ca="1">IF(OR(EF4="",EF$28&lt;$A31),"",EF4/OFFSET(SSTotalCLM!$A$2,MATCH(EF$29,SSTotalCLM!$A$2:$A$500)+$A31-1,1)-1)</f>
        <v>-1.4008282681700401E-2</v>
      </c>
      <c r="EG31" s="9">
        <f ca="1">IF(OR(EG4="",EG$28&lt;$A31),"",EG4/OFFSET(SSTotalCLM!$A$2,MATCH(EG$29,SSTotalCLM!$A$2:$A$500)+$A31-1,1)-1)</f>
        <v>-1.3902338694824379E-2</v>
      </c>
      <c r="EH31" s="9">
        <f ca="1">IF(OR(EH4="",EH$28&lt;$A31),"",EH4/OFFSET(SSTotalCLM!$A$2,MATCH(EH$29,SSTotalCLM!$A$2:$A$500)+$A31-1,1)-1)</f>
        <v>-5.7743625939116194E-3</v>
      </c>
      <c r="EI31" s="9">
        <f ca="1">IF(OR(EI4="",EI$28&lt;$A31),"",EI4/OFFSET(SSTotalCLM!$A$2,MATCH(EI$29,SSTotalCLM!$A$2:$A$500)+$A31-1,1)-1)</f>
        <v>1.2869387990085634E-2</v>
      </c>
      <c r="EJ31" s="9">
        <f ca="1">IF(OR(EJ4="",EJ$28&lt;$A31),"",EJ4/OFFSET(SSTotalCLM!$A$2,MATCH(EJ$29,SSTotalCLM!$A$2:$A$500)+$A31-1,1)-1)</f>
        <v>1.7618563260471509E-2</v>
      </c>
      <c r="EK31" s="9">
        <f ca="1">IF(OR(EK4="",EK$28&lt;$A31),"",EK4/OFFSET(SSTotalCLM!$A$2,MATCH(EK$29,SSTotalCLM!$A$2:$A$500)+$A31-1,1)-1)</f>
        <v>1.0182436983552368E-2</v>
      </c>
      <c r="EL31" s="9">
        <f ca="1">IF(OR(EL4="",EL$28&lt;$A31),"",EL4/OFFSET(SSTotalCLM!$A$2,MATCH(EL$29,SSTotalCLM!$A$2:$A$500)+$A31-1,1)-1)</f>
        <v>6.4588188879008968E-3</v>
      </c>
      <c r="EM31" s="9">
        <f ca="1">IF(OR(EM4="",EM$28&lt;$A31),"",EM4/OFFSET(SSTotalCLM!$A$2,MATCH(EM$29,SSTotalCLM!$A$2:$A$500)+$A31-1,1)-1)</f>
        <v>-3.1390100182104863E-3</v>
      </c>
      <c r="EN31" s="9">
        <f ca="1">IF(OR(EN4="",EN$28&lt;$A31),"",EN4/OFFSET(SSTotalCLM!$A$2,MATCH(EN$29,SSTotalCLM!$A$2:$A$500)+$A31-1,1)-1)</f>
        <v>-1.3420471927654276E-2</v>
      </c>
      <c r="EO31" s="9">
        <f ca="1">IF(OR(EO4="",EO$28&lt;$A31),"",EO4/OFFSET(SSTotalCLM!$A$2,MATCH(EO$29,SSTotalCLM!$A$2:$A$500)+$A31-1,1)-1)</f>
        <v>-4.8904570852748019E-3</v>
      </c>
      <c r="EP31" s="9">
        <f ca="1">IF(OR(EP4="",EP$28&lt;$A31),"",EP4/OFFSET(SSTotalCLM!$A$2,MATCH(EP$29,SSTotalCLM!$A$2:$A$500)+$A31-1,1)-1)</f>
        <v>2.7163784358748E-3</v>
      </c>
      <c r="EQ31" s="9">
        <f ca="1">IF(OR(EQ4="",EQ$28&lt;$A31),"",EQ4/OFFSET(SSTotalCLM!$A$2,MATCH(EQ$29,SSTotalCLM!$A$2:$A$500)+$A31-1,1)-1)</f>
        <v>4.3759557515361536E-3</v>
      </c>
      <c r="ER31" s="9">
        <f ca="1">IF(OR(ER4="",ER$28&lt;$A31),"",ER4/OFFSET(SSTotalCLM!$A$2,MATCH(ER$29,SSTotalCLM!$A$2:$A$500)+$A31-1,1)-1)</f>
        <v>-1.241488850681649E-3</v>
      </c>
      <c r="ES31" s="9">
        <f ca="1">IF(OR(ES4="",ES$28&lt;$A31),"",ES4/OFFSET(SSTotalCLM!$A$2,MATCH(ES$29,SSTotalCLM!$A$2:$A$500)+$A31-1,1)-1)</f>
        <v>-8.833851446834462E-3</v>
      </c>
      <c r="ET31" s="9">
        <f ca="1">IF(OR(ET4="",ET$28&lt;$A31),"",ET4/OFFSET(SSTotalCLM!$A$2,MATCH(ET$29,SSTotalCLM!$A$2:$A$500)+$A31-1,1)-1)</f>
        <v>-1.4950039412304883E-2</v>
      </c>
      <c r="EU31" s="9">
        <f ca="1">IF(OR(EU4="",EU$28&lt;$A31),"",EU4/OFFSET(SSTotalCLM!$A$2,MATCH(EU$29,SSTotalCLM!$A$2:$A$500)+$A31-1,1)-1)</f>
        <v>-9.3470432087129351E-3</v>
      </c>
      <c r="EV31" s="9">
        <f ca="1">IF(OR(EV4="",EV$28&lt;$A31),"",EV4/OFFSET(SSTotalCLM!$A$2,MATCH(EV$29,SSTotalCLM!$A$2:$A$500)+$A31-1,1)-1)</f>
        <v>3.0254924123018778E-3</v>
      </c>
      <c r="EW31" s="9">
        <f ca="1">IF(OR(EW4="",EW$28&lt;$A31),"",EW4/OFFSET(SSTotalCLM!$A$2,MATCH(EW$29,SSTotalCLM!$A$2:$A$500)+$A31-1,1)-1)</f>
        <v>1.188866281789358E-2</v>
      </c>
      <c r="EX31" s="9">
        <f ca="1">IF(OR(EX4="",EX$28&lt;$A31),"",EX4/OFFSET(SSTotalCLM!$A$2,MATCH(EX$29,SSTotalCLM!$A$2:$A$500)+$A31-1,1)-1)</f>
        <v>-1.5386403342428912E-3</v>
      </c>
      <c r="EY31" s="9">
        <f ca="1">IF(OR(EY4="",EY$28&lt;$A31),"",EY4/OFFSET(SSTotalCLM!$A$2,MATCH(EY$29,SSTotalCLM!$A$2:$A$500)+$A31-1,1)-1)</f>
        <v>3.1463450330044829E-3</v>
      </c>
      <c r="EZ31" s="9">
        <f ca="1">IF(OR(EZ4="",EZ$28&lt;$A31),"",EZ4/OFFSET(SSTotalCLM!$A$2,MATCH(EZ$29,SSTotalCLM!$A$2:$A$500)+$A31-1,1)-1)</f>
        <v>7.2924628562953675E-3</v>
      </c>
      <c r="FA31" s="9">
        <f ca="1">IF(OR(FA4="",FA$28&lt;$A31),"",FA4/OFFSET(SSTotalCLM!$A$2,MATCH(FA$29,SSTotalCLM!$A$2:$A$500)+$A31-1,1)-1)</f>
        <v>-4.3411719576323948E-3</v>
      </c>
      <c r="FB31" s="9">
        <f ca="1">IF(OR(FB4="",FB$28&lt;$A31),"",FB4/OFFSET(SSTotalCLM!$A$2,MATCH(FB$29,SSTotalCLM!$A$2:$A$500)+$A31-1,1)-1)</f>
        <v>-4.2063334883523096E-3</v>
      </c>
      <c r="FC31" s="9">
        <f ca="1">IF(OR(FC4="",FC$28&lt;$A31),"",FC4/OFFSET(SSTotalCLM!$A$2,MATCH(FC$29,SSTotalCLM!$A$2:$A$500)+$A31-1,1)-1)</f>
        <v>1.6193195171823049E-3</v>
      </c>
      <c r="FD31" s="9">
        <f ca="1">IF(OR(FD4="",FD$28&lt;$A31),"",FD4/OFFSET(SSTotalCLM!$A$2,MATCH(FD$29,SSTotalCLM!$A$2:$A$500)+$A31-1,1)-1)</f>
        <v>4.7434425247134815E-3</v>
      </c>
      <c r="FE31" s="9">
        <f ca="1">IF(OR(FE4="",FE$28&lt;$A31),"",FE4/OFFSET(SSTotalCLM!$A$2,MATCH(FE$29,SSTotalCLM!$A$2:$A$500)+$A31-1,1)-1)</f>
        <v>3.181771942637468E-3</v>
      </c>
      <c r="FF31" s="9">
        <f ca="1">IF(OR(FF4="",FF$28&lt;$A31),"",FF4/OFFSET(SSTotalCLM!$A$2,MATCH(FF$29,SSTotalCLM!$A$2:$A$500)+$A31-1,1)-1)</f>
        <v>-5.7014728413715687E-3</v>
      </c>
      <c r="FG31" s="9">
        <f ca="1">IF(OR(FG4="",FG$28&lt;$A31),"",FG4/OFFSET(SSTotalCLM!$A$2,MATCH(FG$29,SSTotalCLM!$A$2:$A$500)+$A31-1,1)-1)</f>
        <v>-5.1530375001772599E-3</v>
      </c>
      <c r="FH31" s="9">
        <f ca="1">IF(OR(FH4="",FH$28&lt;$A31),"",FH4/OFFSET(SSTotalCLM!$A$2,MATCH(FH$29,SSTotalCLM!$A$2:$A$500)+$A31-1,1)-1)</f>
        <v>-2.1138552752569817E-3</v>
      </c>
      <c r="FI31" s="9">
        <f ca="1">IF(OR(FI4="",FI$28&lt;$A31),"",FI4/OFFSET(SSTotalCLM!$A$2,MATCH(FI$29,SSTotalCLM!$A$2:$A$500)+$A31-1,1)-1)</f>
        <v>-2.8929446332481845E-3</v>
      </c>
      <c r="FJ31" s="9">
        <f ca="1">IF(OR(FJ4="",FJ$28&lt;$A31),"",FJ4/OFFSET(SSTotalCLM!$A$2,MATCH(FJ$29,SSTotalCLM!$A$2:$A$500)+$A31-1,1)-1)</f>
        <v>-2.74632551789733E-3</v>
      </c>
      <c r="FK31" s="9">
        <f ca="1">IF(OR(FK4="",FK$28&lt;$A31),"",FK4/OFFSET(SSTotalCLM!$A$2,MATCH(FK$29,SSTotalCLM!$A$2:$A$500)+$A31-1,1)-1)</f>
        <v>-1.487943866716368E-2</v>
      </c>
      <c r="FL31" s="9">
        <f ca="1">IF(OR(FL4="",FL$28&lt;$A31),"",FL4/OFFSET(SSTotalCLM!$A$2,MATCH(FL$29,SSTotalCLM!$A$2:$A$500)+$A31-1,1)-1)</f>
        <v>-1.2094407079003555E-2</v>
      </c>
      <c r="FM31" s="9">
        <f ca="1">IF(OR(FM4="",FM$28&lt;$A31),"",FM4/OFFSET(SSTotalCLM!$A$2,MATCH(FM$29,SSTotalCLM!$A$2:$A$500)+$A31-1,1)-1)</f>
        <v>5.0129473559969995E-3</v>
      </c>
      <c r="FN31" s="9">
        <f ca="1">IF(OR(FN4="",FN$28&lt;$A31),"",FN4/OFFSET(SSTotalCLM!$A$2,MATCH(FN$29,SSTotalCLM!$A$2:$A$500)+$A31-1,1)-1)</f>
        <v>1.1046191076322653E-2</v>
      </c>
      <c r="FO31" s="9">
        <f ca="1">IF(OR(FO4="",FO$28&lt;$A31),"",FO4/OFFSET(SSTotalCLM!$A$2,MATCH(FO$29,SSTotalCLM!$A$2:$A$500)+$A31-1,1)-1)</f>
        <v>1.1329086032549451E-2</v>
      </c>
      <c r="FP31" s="9">
        <f ca="1">IF(OR(FP4="",FP$28&lt;$A31),"",FP4/OFFSET(SSTotalCLM!$A$2,MATCH(FP$29,SSTotalCLM!$A$2:$A$500)+$A31-1,1)-1)</f>
        <v>9.9679606665743492E-3</v>
      </c>
      <c r="FQ31" s="9">
        <f ca="1">IF(OR(FQ4="",FQ$28&lt;$A31),"",FQ4/OFFSET(SSTotalCLM!$A$2,MATCH(FQ$29,SSTotalCLM!$A$2:$A$500)+$A31-1,1)-1)</f>
        <v>6.0561270599406303E-3</v>
      </c>
      <c r="FR31" s="9">
        <f ca="1">IF(OR(FR4="",FR$28&lt;$A31),"",FR4/OFFSET(SSTotalCLM!$A$2,MATCH(FR$29,SSTotalCLM!$A$2:$A$500)+$A31-1,1)-1)</f>
        <v>-7.7967060466610505E-4</v>
      </c>
      <c r="FS31" s="9">
        <f ca="1">IF(OR(FS4="",FS$28&lt;$A31),"",FS4/OFFSET(SSTotalCLM!$A$2,MATCH(FS$29,SSTotalCLM!$A$2:$A$500)+$A31-1,1)-1)</f>
        <v>-1.2805243012540046E-2</v>
      </c>
      <c r="FT31" s="9">
        <f ca="1">IF(OR(FT4="",FT$28&lt;$A31),"",FT4/OFFSET(SSTotalCLM!$A$2,MATCH(FT$29,SSTotalCLM!$A$2:$A$500)+$A31-1,1)-1)</f>
        <v>-8.7944191803340788E-3</v>
      </c>
      <c r="FU31" s="9">
        <f ca="1">IF(OR(FU4="",FU$28&lt;$A31),"",FU4/OFFSET(SSTotalCLM!$A$2,MATCH(FU$29,SSTotalCLM!$A$2:$A$500)+$A31-1,1)-1)</f>
        <v>1.3495536131916452E-2</v>
      </c>
      <c r="FV31" s="9">
        <f ca="1">IF(OR(FV4="",FV$28&lt;$A31),"",FV4/OFFSET(SSTotalCLM!$A$2,MATCH(FV$29,SSTotalCLM!$A$2:$A$500)+$A31-1,1)-1)</f>
        <v>-6.4514575346510394E-3</v>
      </c>
      <c r="FW31" s="9">
        <f ca="1">IF(OR(FW4="",FW$28&lt;$A31),"",FW4/OFFSET(SSTotalCLM!$A$2,MATCH(FW$29,SSTotalCLM!$A$2:$A$500)+$A31-1,1)-1)</f>
        <v>-1.4905868449865745E-2</v>
      </c>
      <c r="FX31" s="9">
        <f ca="1">IF(OR(FX4="",FX$28&lt;$A31),"",FX4/OFFSET(SSTotalCLM!$A$2,MATCH(FX$29,SSTotalCLM!$A$2:$A$500)+$A31-1,1)-1)</f>
        <v>-9.7236639744049391E-3</v>
      </c>
      <c r="FY31" s="9">
        <f ca="1">IF(OR(FY4="",FY$28&lt;$A31),"",FY4/OFFSET(SSTotalCLM!$A$2,MATCH(FY$29,SSTotalCLM!$A$2:$A$500)+$A31-1,1)-1)</f>
        <v>-1.4317913404320648E-2</v>
      </c>
      <c r="FZ31" s="9">
        <f ca="1">IF(OR(FZ4="",FZ$28&lt;$A31),"",FZ4/OFFSET(SSTotalCLM!$A$2,MATCH(FZ$29,SSTotalCLM!$A$2:$A$500)+$A31-1,1)-1)</f>
        <v>9.1897865291001857E-4</v>
      </c>
      <c r="GA31" s="9">
        <f ca="1">IF(OR(GA4="",GA$28&lt;$A31),"",GA4/OFFSET(SSTotalCLM!$A$2,MATCH(GA$29,SSTotalCLM!$A$2:$A$500)+$A31-1,1)-1)</f>
        <v>9.4213642722082991E-3</v>
      </c>
      <c r="GB31" s="9">
        <f ca="1">IF(OR(GB4="",GB$28&lt;$A31),"",GB4/OFFSET(SSTotalCLM!$A$2,MATCH(GB$29,SSTotalCLM!$A$2:$A$500)+$A31-1,1)-1)</f>
        <v>1.0863724375438144E-2</v>
      </c>
      <c r="GC31" s="9">
        <f ca="1">IF(OR(GC4="",GC$28&lt;$A31),"",GC4/OFFSET(SSTotalCLM!$A$2,MATCH(GC$29,SSTotalCLM!$A$2:$A$500)+$A31-1,1)-1)</f>
        <v>1.1707457138819377E-2</v>
      </c>
      <c r="GD31" s="9">
        <f ca="1">IF(OR(GD4="",GD$28&lt;$A31),"",GD4/OFFSET(SSTotalCLM!$A$2,MATCH(GD$29,SSTotalCLM!$A$2:$A$500)+$A31-1,1)-1)</f>
        <v>8.4916375409049838E-3</v>
      </c>
      <c r="GE31" s="9">
        <f ca="1">IF(OR(GE4="",GE$28&lt;$A31),"",GE4/OFFSET(SSTotalCLM!$A$2,MATCH(GE$29,SSTotalCLM!$A$2:$A$500)+$A31-1,1)-1)</f>
        <v>1.5946211361912432E-3</v>
      </c>
      <c r="GF31" s="9">
        <f ca="1">IF(OR(GF4="",GF$28&lt;$A31),"",GF4/OFFSET(SSTotalCLM!$A$2,MATCH(GF$29,SSTotalCLM!$A$2:$A$500)+$A31-1,1)-1)</f>
        <v>1.4351167706208035E-3</v>
      </c>
      <c r="GG31" s="9">
        <f ca="1">IF(OR(GG4="",GG$28&lt;$A31),"",GG4/OFFSET(SSTotalCLM!$A$2,MATCH(GG$29,SSTotalCLM!$A$2:$A$500)+$A31-1,1)-1)</f>
        <v>1.0342747383307316E-2</v>
      </c>
      <c r="GH31" s="9">
        <f ca="1">IF(OR(GH4="",GH$28&lt;$A31),"",GH4/OFFSET(SSTotalCLM!$A$2,MATCH(GH$29,SSTotalCLM!$A$2:$A$500)+$A31-1,1)-1)</f>
        <v>4.6323078398193829E-3</v>
      </c>
      <c r="GI31" s="9">
        <f ca="1">IF(OR(GI4="",GI$28&lt;$A31),"",GI4/OFFSET(SSTotalCLM!$A$2,MATCH(GI$29,SSTotalCLM!$A$2:$A$500)+$A31-1,1)-1)</f>
        <v>-5.1771517061010019E-3</v>
      </c>
      <c r="GJ31" s="9">
        <f ca="1">IF(OR(GJ4="",GJ$28&lt;$A31),"",GJ4/OFFSET(SSTotalCLM!$A$2,MATCH(GJ$29,SSTotalCLM!$A$2:$A$500)+$A31-1,1)-1)</f>
        <v>-9.6075654277033573E-3</v>
      </c>
      <c r="GK31" s="9">
        <f ca="1">IF(OR(GK4="",GK$28&lt;$A31),"",GK4/OFFSET(SSTotalCLM!$A$2,MATCH(GK$29,SSTotalCLM!$A$2:$A$500)+$A31-1,1)-1)</f>
        <v>3.1464354935362149E-3</v>
      </c>
      <c r="GL31" s="9">
        <f ca="1">IF(OR(GL4="",GL$28&lt;$A31),"",GL4/OFFSET(SSTotalCLM!$A$2,MATCH(GL$29,SSTotalCLM!$A$2:$A$500)+$A31-1,1)-1)</f>
        <v>1.0982039432649859E-3</v>
      </c>
      <c r="GM31" s="9">
        <f ca="1">IF(OR(GM4="",GM$28&lt;$A31),"",GM4/OFFSET(SSTotalCLM!$A$2,MATCH(GM$29,SSTotalCLM!$A$2:$A$500)+$A31-1,1)-1)</f>
        <v>1.0075239031186234E-2</v>
      </c>
      <c r="GN31" s="9">
        <f ca="1">IF(OR(GN4="",GN$28&lt;$A31),"",GN4/OFFSET(SSTotalCLM!$A$2,MATCH(GN$29,SSTotalCLM!$A$2:$A$500)+$A31-1,1)-1)</f>
        <v>4.7287986230576173E-2</v>
      </c>
      <c r="GO31" s="9">
        <f ca="1">IF(OR(GO4="",GO$28&lt;$A31),"",GO4/OFFSET(SSTotalCLM!$A$2,MATCH(GO$29,SSTotalCLM!$A$2:$A$500)+$A31-1,1)-1)</f>
        <v>2.7235621060960113E-2</v>
      </c>
      <c r="GP31" s="9">
        <f ca="1">IF(OR(GP4="",GP$28&lt;$A31),"",GP4/OFFSET(SSTotalCLM!$A$2,MATCH(GP$29,SSTotalCLM!$A$2:$A$500)+$A31-1,1)-1)</f>
        <v>-7.016993103448832E-3</v>
      </c>
      <c r="GQ31" s="9">
        <f ca="1">IF(OR(GQ4="",GQ$28&lt;$A31),"",GQ4/OFFSET(SSTotalCLM!$A$2,MATCH(GQ$29,SSTotalCLM!$A$2:$A$500)+$A31-1,1)-1)</f>
        <v>-1.920665912410402E-2</v>
      </c>
      <c r="GR31" s="9">
        <f ca="1">IF(OR(GR4="",GR$28&lt;$A31),"",GR4/OFFSET(SSTotalCLM!$A$2,MATCH(GR$29,SSTotalCLM!$A$2:$A$500)+$A31-1,1)-1)</f>
        <v>-1.4246741786432038E-2</v>
      </c>
      <c r="GS31" s="9">
        <f ca="1">IF(OR(GS4="",GS$28&lt;$A31),"",GS4/OFFSET(SSTotalCLM!$A$2,MATCH(GS$29,SSTotalCLM!$A$2:$A$500)+$A31-1,1)-1)</f>
        <v>-2.1039178296720529E-2</v>
      </c>
      <c r="GT31" s="9">
        <f ca="1">IF(OR(GT4="",GT$28&lt;$A31),"",GT4/OFFSET(SSTotalCLM!$A$2,MATCH(GT$29,SSTotalCLM!$A$2:$A$500)+$A31-1,1)-1)</f>
        <v>-7.8824252122895455E-3</v>
      </c>
      <c r="GU31" s="9">
        <f ca="1">IF(OR(GU4="",GU$28&lt;$A31),"",GU4/OFFSET(SSTotalCLM!$A$2,MATCH(GU$29,SSTotalCLM!$A$2:$A$500)+$A31-1,1)-1)</f>
        <v>-6.2684754413699917E-4</v>
      </c>
      <c r="GV31" s="9">
        <f ca="1">IF(OR(GV4="",GV$28&lt;$A31),"",GV4/OFFSET(SSTotalCLM!$A$2,MATCH(GV$29,SSTotalCLM!$A$2:$A$500)+$A31-1,1)-1)</f>
        <v>-6.5130381075364507E-3</v>
      </c>
      <c r="GW31" s="9">
        <f ca="1">IF(OR(GW4="",GW$28&lt;$A31),"",GW4/OFFSET(SSTotalCLM!$A$2,MATCH(GW$29,SSTotalCLM!$A$2:$A$500)+$A31-1,1)-1)</f>
        <v>6.1522639429889558E-3</v>
      </c>
      <c r="GX31" s="9" t="str">
        <f ca="1">IF(OR(GX4="",GX$28&lt;$A31),"",GX4/OFFSET(SSTotalCLM!$A$2,MATCH(GX$29,SSTotalCLM!$A$2:$A$500)+$A31-1,1)-1)</f>
        <v/>
      </c>
      <c r="GY31" s="9" t="str">
        <f ca="1">IF(OR(GY4="",GY$28&lt;$A31),"",GY4/OFFSET(SSTotalCLM!$A$2,MATCH(GY$29,SSTotalCLM!$A$2:$A$500)+$A31-1,1)-1)</f>
        <v/>
      </c>
      <c r="GZ31" s="9" t="str">
        <f ca="1">IF(OR(GZ4="",GZ$28&lt;$A31),"",GZ4/OFFSET(SSTotalCLM!$A$2,MATCH(GZ$29,SSTotalCLM!$A$2:$A$500)+$A31-1,1)-1)</f>
        <v/>
      </c>
      <c r="HA31" s="9" t="str">
        <f ca="1">IF(OR(HA4="",HA$28&lt;$A31),"",HA4/OFFSET(SSTotalCLM!$A$2,MATCH(HA$29,SSTotalCLM!$A$2:$A$500)+$A31-1,1)-1)</f>
        <v/>
      </c>
      <c r="HB31" s="9" t="str">
        <f ca="1">IF(OR(HB4="",HB$28&lt;$A31),"",HB4/OFFSET(SSTotalCLM!$A$2,MATCH(HB$29,SSTotalCLM!$A$2:$A$500)+$A31-1,1)-1)</f>
        <v/>
      </c>
      <c r="HC31" s="9" t="str">
        <f ca="1">IF(OR(HC4="",HC$28&lt;$A31),"",HC4/OFFSET(SSTotalCLM!$A$2,MATCH(HC$29,SSTotalCLM!$A$2:$A$500)+$A31-1,1)-1)</f>
        <v/>
      </c>
      <c r="HD31" s="9" t="str">
        <f ca="1">IF(OR(HD4="",HD$28&lt;$A31),"",HD4/OFFSET(SSTotalCLM!$A$2,MATCH(HD$29,SSTotalCLM!$A$2:$A$500)+$A31-1,1)-1)</f>
        <v/>
      </c>
      <c r="HE31" s="9" t="str">
        <f ca="1">IF(OR(HE4="",HE$28&lt;$A31),"",HE4/OFFSET(SSTotalCLM!$A$2,MATCH(HE$29,SSTotalCLM!$A$2:$A$500)+$A31-1,1)-1)</f>
        <v/>
      </c>
      <c r="HF31" s="9" t="str">
        <f ca="1">IF(OR(HF4="",HF$28&lt;$A31),"",HF4/OFFSET(SSTotalCLM!$A$2,MATCH(HF$29,SSTotalCLM!$A$2:$A$500)+$A31-1,1)-1)</f>
        <v/>
      </c>
      <c r="HG31" s="9" t="str">
        <f ca="1">IF(OR(HG4="",HG$28&lt;$A31),"",HG4/OFFSET(SSTotalCLM!$A$2,MATCH(HG$29,SSTotalCLM!$A$2:$A$500)+$A31-1,1)-1)</f>
        <v/>
      </c>
      <c r="HH31" s="9" t="str">
        <f ca="1">IF(OR(HH4="",HH$28&lt;$A31),"",HH4/OFFSET(SSTotalCLM!$A$2,MATCH(HH$29,SSTotalCLM!$A$2:$A$500)+$A31-1,1)-1)</f>
        <v/>
      </c>
      <c r="HI31" s="9" t="str">
        <f ca="1">IF(OR(HI4="",HI$28&lt;$A31),"",HI4/OFFSET(SSTotalCLM!$A$2,MATCH(HI$29,SSTotalCLM!$A$2:$A$500)+$A31-1,1)-1)</f>
        <v/>
      </c>
      <c r="HJ31" s="9" t="str">
        <f ca="1">IF(OR(HJ4="",HJ$28&lt;$A31),"",HJ4/OFFSET(SSTotalCLM!$A$2,MATCH(HJ$29,SSTotalCLM!$A$2:$A$500)+$A31-1,1)-1)</f>
        <v/>
      </c>
      <c r="HK31" s="9" t="str">
        <f ca="1">IF(OR(HK4="",HK$28&lt;$A31),"",HK4/OFFSET(SSTotalCLM!$A$2,MATCH(HK$29,SSTotalCLM!$A$2:$A$500)+$A31-1,1)-1)</f>
        <v/>
      </c>
      <c r="HL31" s="9" t="str">
        <f ca="1">IF(OR(HL4="",HL$28&lt;$A31),"",HL4/OFFSET(SSTotalCLM!$A$2,MATCH(HL$29,SSTotalCLM!$A$2:$A$500)+$A31-1,1)-1)</f>
        <v/>
      </c>
      <c r="HM31" s="9" t="str">
        <f ca="1">IF(OR(HM4="",HM$28&lt;$A31),"",HM4/OFFSET(SSTotalCLM!$A$2,MATCH(HM$29,SSTotalCLM!$A$2:$A$500)+$A31-1,1)-1)</f>
        <v/>
      </c>
      <c r="HN31" s="9" t="str">
        <f ca="1">IF(OR(HN4="",HN$28&lt;$A31),"",HN4/OFFSET(SSTotalCLM!$A$2,MATCH(HN$29,SSTotalCLM!$A$2:$A$500)+$A31-1,1)-1)</f>
        <v/>
      </c>
      <c r="HO31" s="9" t="str">
        <f ca="1">IF(OR(HO4="",HO$28&lt;$A31),"",HO4/OFFSET(SSTotalCLM!$A$2,MATCH(HO$29,SSTotalCLM!$A$2:$A$500)+$A31-1,1)-1)</f>
        <v/>
      </c>
      <c r="HP31" s="9" t="str">
        <f ca="1">IF(OR(HP4="",HP$28&lt;$A31),"",HP4/OFFSET(SSTotalCLM!$A$2,MATCH(HP$29,SSTotalCLM!$A$2:$A$500)+$A31-1,1)-1)</f>
        <v/>
      </c>
      <c r="HQ31" s="9" t="str">
        <f ca="1">IF(OR(HQ4="",HQ$28&lt;$A31),"",HQ4/OFFSET(SSTotalCLM!$A$2,MATCH(HQ$29,SSTotalCLM!$A$2:$A$500)+$A31-1,1)-1)</f>
        <v/>
      </c>
      <c r="HR31" s="9" t="str">
        <f ca="1">IF(OR(HR4="",HR$28&lt;$A31),"",HR4/OFFSET(SSTotalCLM!$A$2,MATCH(HR$29,SSTotalCLM!$A$2:$A$500)+$A31-1,1)-1)</f>
        <v/>
      </c>
      <c r="HS31" s="9" t="str">
        <f ca="1">IF(OR(HS4="",HS$28&lt;$A31),"",HS4/OFFSET(SSTotalCLM!$A$2,MATCH(HS$29,SSTotalCLM!$A$2:$A$500)+$A31-1,1)-1)</f>
        <v/>
      </c>
      <c r="HT31" s="9" t="str">
        <f ca="1">IF(OR(HT4="",HT$28&lt;$A31),"",HT4/OFFSET(SSTotalCLM!$A$2,MATCH(HT$29,SSTotalCLM!$A$2:$A$500)+$A31-1,1)-1)</f>
        <v/>
      </c>
      <c r="HU31" s="9" t="str">
        <f ca="1">IF(OR(HU4="",HU$28&lt;$A31),"",HU4/OFFSET(SSTotalCLM!$A$2,MATCH(HU$29,SSTotalCLM!$A$2:$A$500)+$A31-1,1)-1)</f>
        <v/>
      </c>
      <c r="HV31" s="9" t="str">
        <f ca="1">IF(OR(HV4="",HV$28&lt;$A31),"",HV4/OFFSET(SSTotalCLM!$A$2,MATCH(HV$29,SSTotalCLM!$A$2:$A$500)+$A31-1,1)-1)</f>
        <v/>
      </c>
      <c r="HW31" s="9" t="str">
        <f ca="1">IF(OR(HW4="",HW$28&lt;$A31),"",HW4/OFFSET(SSTotalCLM!$A$2,MATCH(HW$29,SSTotalCLM!$A$2:$A$500)+$A31-1,1)-1)</f>
        <v/>
      </c>
      <c r="HX31" s="9" t="str">
        <f ca="1">IF(OR(HX4="",HX$28&lt;$A31),"",HX4/OFFSET(SSTotalCLM!$A$2,MATCH(HX$29,SSTotalCLM!$A$2:$A$500)+$A31-1,1)-1)</f>
        <v/>
      </c>
      <c r="HY31" s="9" t="str">
        <f ca="1">IF(OR(HY4="",HY$28&lt;$A31),"",HY4/OFFSET(SSTotalCLM!$A$2,MATCH(HY$29,SSTotalCLM!$A$2:$A$500)+$A31-1,1)-1)</f>
        <v/>
      </c>
      <c r="HZ31" s="9" t="str">
        <f ca="1">IF(OR(HZ4="",HZ$28&lt;$A31),"",HZ4/OFFSET(SSTotalCLM!$A$2,MATCH(HZ$29,SSTotalCLM!$A$2:$A$500)+$A31-1,1)-1)</f>
        <v/>
      </c>
      <c r="IA31" s="9" t="str">
        <f ca="1">IF(OR(IA4="",IA$28&lt;$A31),"",IA4/OFFSET(SSTotalCLM!$A$2,MATCH(IA$29,SSTotalCLM!$A$2:$A$500)+$A31-1,1)-1)</f>
        <v/>
      </c>
      <c r="IB31" s="9" t="str">
        <f ca="1">IF(OR(IB4="",IB$28&lt;$A31),"",IB4/OFFSET(SSTotalCLM!$A$2,MATCH(IB$29,SSTotalCLM!$A$2:$A$500)+$A31-1,1)-1)</f>
        <v/>
      </c>
      <c r="IC31" s="9" t="str">
        <f ca="1">IF(OR(IC4="",IC$28&lt;$A31),"",IC4/OFFSET(SSTotalCLM!$A$2,MATCH(IC$29,SSTotalCLM!$A$2:$A$500)+$A31-1,1)-1)</f>
        <v/>
      </c>
      <c r="ID31" s="9" t="str">
        <f ca="1">IF(OR(ID4="",ID$28&lt;$A31),"",ID4/OFFSET(SSTotalCLM!$A$2,MATCH(ID$29,SSTotalCLM!$A$2:$A$500)+$A31-1,1)-1)</f>
        <v/>
      </c>
      <c r="IE31" s="9" t="str">
        <f ca="1">IF(OR(IE4="",IE$28&lt;$A31),"",IE4/OFFSET(SSTotalCLM!$A$2,MATCH(IE$29,SSTotalCLM!$A$2:$A$500)+$A31-1,1)-1)</f>
        <v/>
      </c>
      <c r="IF31" s="9" t="str">
        <f ca="1">IF(OR(IF4="",IF$28&lt;$A31),"",IF4/OFFSET(SSTotalCLM!$A$2,MATCH(IF$29,SSTotalCLM!$A$2:$A$500)+$A31-1,1)-1)</f>
        <v/>
      </c>
      <c r="IG31" s="9" t="str">
        <f ca="1">IF(OR(IG4="",IG$28&lt;$A31),"",IG4/OFFSET(SSTotalCLM!$A$2,MATCH(IG$29,SSTotalCLM!$A$2:$A$500)+$A31-1,1)-1)</f>
        <v/>
      </c>
      <c r="IH31" s="9" t="str">
        <f ca="1">IF(OR(IH4="",IH$28&lt;$A31),"",IH4/OFFSET(SSTotalCLM!$A$2,MATCH(IH$29,SSTotalCLM!$A$2:$A$500)+$A31-1,1)-1)</f>
        <v/>
      </c>
      <c r="II31" s="9" t="str">
        <f ca="1">IF(OR(II4="",II$28&lt;$A31),"",II4/OFFSET(SSTotalCLM!$A$2,MATCH(II$29,SSTotalCLM!$A$2:$A$500)+$A31-1,1)-1)</f>
        <v/>
      </c>
      <c r="IJ31" s="9" t="str">
        <f ca="1">IF(OR(IJ4="",IJ$28&lt;$A31),"",IJ4/OFFSET(SSTotalCLM!$A$2,MATCH(IJ$29,SSTotalCLM!$A$2:$A$500)+$A31-1,1)-1)</f>
        <v/>
      </c>
      <c r="IK31" s="9" t="str">
        <f ca="1">IF(OR(IK4="",IK$28&lt;$A31),"",IK4/OFFSET(SSTotalCLM!$A$2,MATCH(IK$29,SSTotalCLM!$A$2:$A$500)+$A31-1,1)-1)</f>
        <v/>
      </c>
      <c r="IL31" s="9" t="str">
        <f ca="1">IF(OR(IL4="",IL$28&lt;$A31),"",IL4/OFFSET(SSTotalCLM!$A$2,MATCH(IL$29,SSTotalCLM!$A$2:$A$500)+$A31-1,1)-1)</f>
        <v/>
      </c>
      <c r="IM31" s="9" t="str">
        <f ca="1">IF(OR(IM4="",IM$28&lt;$A31),"",IM4/OFFSET(SSTotalCLM!$A$2,MATCH(IM$29,SSTotalCLM!$A$2:$A$500)+$A31-1,1)-1)</f>
        <v/>
      </c>
      <c r="IN31" s="9" t="str">
        <f ca="1">IF(OR(IN4="",IN$28&lt;$A31),"",IN4/OFFSET(SSTotalCLM!$A$2,MATCH(IN$29,SSTotalCLM!$A$2:$A$500)+$A31-1,1)-1)</f>
        <v/>
      </c>
      <c r="IO31" s="9" t="str">
        <f ca="1">IF(OR(IO4="",IO$28&lt;$A31),"",IO4/OFFSET(SSTotalCLM!$A$2,MATCH(IO$29,SSTotalCLM!$A$2:$A$500)+$A31-1,1)-1)</f>
        <v/>
      </c>
      <c r="IP31" s="9" t="str">
        <f ca="1">IF(OR(IP4="",IP$28&lt;$A31),"",IP4/OFFSET(SSTotalCLM!$A$2,MATCH(IP$29,SSTotalCLM!$A$2:$A$500)+$A31-1,1)-1)</f>
        <v/>
      </c>
      <c r="IQ31" s="9" t="str">
        <f ca="1">IF(OR(IQ4="",IQ$28&lt;$A31),"",IQ4/OFFSET(SSTotalCLM!$A$2,MATCH(IQ$29,SSTotalCLM!$A$2:$A$500)+$A31-1,1)-1)</f>
        <v/>
      </c>
      <c r="IR31" s="9" t="str">
        <f ca="1">IF(OR(IR4="",IR$28&lt;$A31),"",IR4/OFFSET(SSTotalCLM!$A$2,MATCH(IR$29,SSTotalCLM!$A$2:$A$500)+$A31-1,1)-1)</f>
        <v/>
      </c>
      <c r="IS31" s="9" t="str">
        <f ca="1">IF(OR(IS4="",IS$28&lt;$A31),"",IS4/OFFSET(SSTotalCLM!$A$2,MATCH(IS$29,SSTotalCLM!$A$2:$A$500)+$A31-1,1)-1)</f>
        <v/>
      </c>
      <c r="IT31" s="9" t="str">
        <f ca="1">IF(OR(IT4="",IT$28&lt;$A31),"",IT4/OFFSET(SSTotalCLM!$A$2,MATCH(IT$29,SSTotalCLM!$A$2:$A$500)+$A31-1,1)-1)</f>
        <v/>
      </c>
      <c r="IU31" s="9" t="str">
        <f ca="1">IF(OR(IU4="",IU$28&lt;$A31),"",IU4/OFFSET(SSTotalCLM!$A$2,MATCH(IU$29,SSTotalCLM!$A$2:$A$500)+$A31-1,1)-1)</f>
        <v/>
      </c>
      <c r="IV31" s="9" t="str">
        <f ca="1">IF(OR(IV4="",IV$28&lt;$A31),"",IV4/OFFSET(SSTotalCLM!$A$2,MATCH(IV$29,SSTotalCLM!$A$2:$A$500)+$A31-1,1)-1)</f>
        <v/>
      </c>
      <c r="IW31" s="9" t="str">
        <f ca="1">IF(OR(IW4="",IW$28&lt;$A31),"",IW4/OFFSET(SSTotalCLM!$A$2,MATCH(IW$29,SSTotalCLM!$A$2:$A$500)+$A31-1,1)-1)</f>
        <v/>
      </c>
      <c r="IX31" s="9" t="str">
        <f ca="1">IF(OR(IX4="",IX$28&lt;$A31),"",IX4/OFFSET(SSTotalCLM!$A$2,MATCH(IX$29,SSTotalCLM!$A$2:$A$500)+$A31-1,1)-1)</f>
        <v/>
      </c>
      <c r="IY31" s="9" t="str">
        <f ca="1">IF(OR(IY4="",IY$28&lt;$A31),"",IY4/OFFSET(SSTotalCLM!$A$2,MATCH(IY$29,SSTotalCLM!$A$2:$A$500)+$A31-1,1)-1)</f>
        <v/>
      </c>
      <c r="IZ31" s="9" t="str">
        <f ca="1">IF(OR(IZ4="",IZ$28&lt;$A31),"",IZ4/OFFSET(SSTotalCLM!$A$2,MATCH(IZ$29,SSTotalCLM!$A$2:$A$500)+$A31-1,1)-1)</f>
        <v/>
      </c>
      <c r="JA31" s="9" t="str">
        <f ca="1">IF(OR(JA4="",JA$28&lt;$A31),"",JA4/OFFSET(SSTotalCLM!$A$2,MATCH(JA$29,SSTotalCLM!$A$2:$A$500)+$A31-1,1)-1)</f>
        <v/>
      </c>
      <c r="JB31" s="9" t="str">
        <f ca="1">IF(OR(JB4="",JB$28&lt;$A31),"",JB4/OFFSET(SSTotalCLM!$A$2,MATCH(JB$29,SSTotalCLM!$A$2:$A$500)+$A31-1,1)-1)</f>
        <v/>
      </c>
      <c r="JC31" s="9" t="str">
        <f ca="1">IF(OR(JC4="",JC$28&lt;$A31),"",JC4/OFFSET(SSTotalCLM!$A$2,MATCH(JC$29,SSTotalCLM!$A$2:$A$500)+$A31-1,1)-1)</f>
        <v/>
      </c>
      <c r="JD31" s="9" t="str">
        <f ca="1">IF(OR(JD4="",JD$28&lt;$A31),"",JD4/OFFSET(SSTotalCLM!$A$2,MATCH(JD$29,SSTotalCLM!$A$2:$A$500)+$A31-1,1)-1)</f>
        <v/>
      </c>
      <c r="JE31" s="9" t="str">
        <f ca="1">IF(OR(JE4="",JE$28&lt;$A31),"",JE4/OFFSET(SSTotalCLM!$A$2,MATCH(JE$29,SSTotalCLM!$A$2:$A$500)+$A31-1,1)-1)</f>
        <v/>
      </c>
      <c r="JF31" s="9" t="str">
        <f ca="1">IF(OR(JF4="",JF$28&lt;$A31),"",JF4/OFFSET(SSTotalCLM!$A$2,MATCH(JF$29,SSTotalCLM!$A$2:$A$500)+$A31-1,1)-1)</f>
        <v/>
      </c>
      <c r="JG31" s="9" t="str">
        <f ca="1">IF(OR(JG4="",JG$28&lt;$A31),"",JG4/OFFSET(SSTotalCLM!$A$2,MATCH(JG$29,SSTotalCLM!$A$2:$A$500)+$A31-1,1)-1)</f>
        <v/>
      </c>
      <c r="JH31" s="9" t="str">
        <f ca="1">IF(OR(JH4="",JH$28&lt;$A31),"",JH4/OFFSET(SSTotalCLM!$A$2,MATCH(JH$29,SSTotalCLM!$A$2:$A$500)+$A31-1,1)-1)</f>
        <v/>
      </c>
      <c r="JI31" s="13">
        <f t="shared" ca="1" si="13"/>
        <v>4.5031913743436225E-4</v>
      </c>
      <c r="JJ31" s="13">
        <f t="shared" ca="1" si="14"/>
        <v>9.1897865291001857E-4</v>
      </c>
      <c r="JK31" s="14">
        <f t="shared" ca="1" si="15"/>
        <v>1.813161506096749E-4</v>
      </c>
      <c r="JL31" s="17">
        <f t="shared" ref="JL31:JL41" ca="1" si="18">SQRT(JK31)</f>
        <v>1.3465368565682668E-2</v>
      </c>
      <c r="JM31" s="15" t="str">
        <f t="shared" ca="1" si="16"/>
        <v>[ -2,65% ; 2,74% ]</v>
      </c>
      <c r="JN31" s="17">
        <f t="shared" ca="1" si="17"/>
        <v>1.7235671764073816E-2</v>
      </c>
      <c r="LY31" s="1"/>
    </row>
    <row r="32" spans="1:337" x14ac:dyDescent="0.25">
      <c r="A32" s="4">
        <v>3</v>
      </c>
      <c r="B32" s="9">
        <f ca="1">IF(OR(B5="",B$28&lt;$A32),"",B5/OFFSET(SSTotalCLM!$A$2,MATCH(B$29,SSTotalCLM!$A$2:$A$500)+$A32-1,1)-1)</f>
        <v>-4.4657384323742999E-3</v>
      </c>
      <c r="C32" s="9">
        <f ca="1">IF(OR(C5="",C$28&lt;$A32),"",C5/OFFSET(SSTotalCLM!$A$2,MATCH(C$29,SSTotalCLM!$A$2:$A$500)+$A32-1,1)-1)</f>
        <v>-6.2713392582491867E-4</v>
      </c>
      <c r="D32" s="9">
        <f ca="1">IF(OR(D5="",D$28&lt;$A32),"",D5/OFFSET(SSTotalCLM!$A$2,MATCH(D$29,SSTotalCLM!$A$2:$A$500)+$A32-1,1)-1)</f>
        <v>-2.8318684499892832E-3</v>
      </c>
      <c r="E32" s="9">
        <f ca="1">IF(OR(E5="",E$28&lt;$A32),"",E5/OFFSET(SSTotalCLM!$A$2,MATCH(E$29,SSTotalCLM!$A$2:$A$500)+$A32-1,1)-1)</f>
        <v>-8.5949948337719073E-3</v>
      </c>
      <c r="F32" s="9">
        <f ca="1">IF(OR(F5="",F$28&lt;$A32),"",F5/OFFSET(SSTotalCLM!$A$2,MATCH(F$29,SSTotalCLM!$A$2:$A$500)+$A32-1,1)-1)</f>
        <v>-1.4714861442168381E-2</v>
      </c>
      <c r="G32" s="9">
        <f ca="1">IF(OR(G5="",G$28&lt;$A32),"",G5/OFFSET(SSTotalCLM!$A$2,MATCH(G$29,SSTotalCLM!$A$2:$A$500)+$A32-1,1)-1)</f>
        <v>-1.7830229880464565E-2</v>
      </c>
      <c r="H32" s="9">
        <f ca="1">IF(OR(H5="",H$28&lt;$A32),"",H5/OFFSET(SSTotalCLM!$A$2,MATCH(H$29,SSTotalCLM!$A$2:$A$500)+$A32-1,1)-1)</f>
        <v>-1.3334759113408867E-2</v>
      </c>
      <c r="I32" s="9">
        <f ca="1">IF(OR(I5="",I$28&lt;$A32),"",I5/OFFSET(SSTotalCLM!$A$2,MATCH(I$29,SSTotalCLM!$A$2:$A$500)+$A32-1,1)-1)</f>
        <v>-8.2095020305152921E-3</v>
      </c>
      <c r="J32" s="9">
        <f ca="1">IF(OR(J5="",J$28&lt;$A32),"",J5/OFFSET(SSTotalCLM!$A$2,MATCH(J$29,SSTotalCLM!$A$2:$A$500)+$A32-1,1)-1)</f>
        <v>3.0556168500084357E-3</v>
      </c>
      <c r="K32" s="9">
        <f ca="1">IF(OR(K5="",K$28&lt;$A32),"",K5/OFFSET(SSTotalCLM!$A$2,MATCH(K$29,SSTotalCLM!$A$2:$A$500)+$A32-1,1)-1)</f>
        <v>-1.4264199413587364E-2</v>
      </c>
      <c r="L32" s="9">
        <f ca="1">IF(OR(L5="",L$28&lt;$A32),"",L5/OFFSET(SSTotalCLM!$A$2,MATCH(L$29,SSTotalCLM!$A$2:$A$500)+$A32-1,1)-1)</f>
        <v>4.930210646198141E-3</v>
      </c>
      <c r="M32" s="9">
        <f ca="1">IF(OR(M5="",M$28&lt;$A32),"",M5/OFFSET(SSTotalCLM!$A$2,MATCH(M$29,SSTotalCLM!$A$2:$A$500)+$A32-1,1)-1)</f>
        <v>2.0553944834187377E-3</v>
      </c>
      <c r="N32" s="9">
        <f ca="1">IF(OR(N5="",N$28&lt;$A32),"",N5/OFFSET(SSTotalCLM!$A$2,MATCH(N$29,SSTotalCLM!$A$2:$A$500)+$A32-1,1)-1)</f>
        <v>6.8508611722783996E-3</v>
      </c>
      <c r="O32" s="9">
        <f ca="1">IF(OR(O5="",O$28&lt;$A32),"",O5/OFFSET(SSTotalCLM!$A$2,MATCH(O$29,SSTotalCLM!$A$2:$A$500)+$A32-1,1)-1)</f>
        <v>-4.0146773002560643E-3</v>
      </c>
      <c r="P32" s="9">
        <f ca="1">IF(OR(P5="",P$28&lt;$A32),"",P5/OFFSET(SSTotalCLM!$A$2,MATCH(P$29,SSTotalCLM!$A$2:$A$500)+$A32-1,1)-1)</f>
        <v>-1.1878492550626896E-2</v>
      </c>
      <c r="Q32" s="9">
        <f ca="1">IF(OR(Q5="",Q$28&lt;$A32),"",Q5/OFFSET(SSTotalCLM!$A$2,MATCH(Q$29,SSTotalCLM!$A$2:$A$500)+$A32-1,1)-1)</f>
        <v>-2.1658525282929775E-2</v>
      </c>
      <c r="R32" s="9">
        <f ca="1">IF(OR(R5="",R$28&lt;$A32),"",R5/OFFSET(SSTotalCLM!$A$2,MATCH(R$29,SSTotalCLM!$A$2:$A$500)+$A32-1,1)-1)</f>
        <v>-2.5577192919338909E-2</v>
      </c>
      <c r="S32" s="9">
        <f ca="1">IF(OR(S5="",S$28&lt;$A32),"",S5/OFFSET(SSTotalCLM!$A$2,MATCH(S$29,SSTotalCLM!$A$2:$A$500)+$A32-1,1)-1)</f>
        <v>-2.3912939970689884E-2</v>
      </c>
      <c r="T32" s="9">
        <f ca="1">IF(OR(T5="",T$28&lt;$A32),"",T5/OFFSET(SSTotalCLM!$A$2,MATCH(T$29,SSTotalCLM!$A$2:$A$500)+$A32-1,1)-1)</f>
        <v>-1.0285912540059394E-2</v>
      </c>
      <c r="U32" s="9">
        <f ca="1">IF(OR(U5="",U$28&lt;$A32),"",U5/OFFSET(SSTotalCLM!$A$2,MATCH(U$29,SSTotalCLM!$A$2:$A$500)+$A32-1,1)-1)</f>
        <v>-5.7294711099586948E-4</v>
      </c>
      <c r="V32" s="9">
        <f ca="1">IF(OR(V5="",V$28&lt;$A32),"",V5/OFFSET(SSTotalCLM!$A$2,MATCH(V$29,SSTotalCLM!$A$2:$A$500)+$A32-1,1)-1)</f>
        <v>-4.1101078295247007E-5</v>
      </c>
      <c r="W32" s="9">
        <f ca="1">IF(OR(W5="",W$28&lt;$A32),"",W5/OFFSET(SSTotalCLM!$A$2,MATCH(W$29,SSTotalCLM!$A$2:$A$500)+$A32-1,1)-1)</f>
        <v>-1.1927725265409195E-2</v>
      </c>
      <c r="X32" s="9">
        <f ca="1">IF(OR(X5="",X$28&lt;$A32),"",X5/OFFSET(SSTotalCLM!$A$2,MATCH(X$29,SSTotalCLM!$A$2:$A$500)+$A32-1,1)-1)</f>
        <v>-5.8861543839137109E-3</v>
      </c>
      <c r="Y32" s="9">
        <f ca="1">IF(OR(Y5="",Y$28&lt;$A32),"",Y5/OFFSET(SSTotalCLM!$A$2,MATCH(Y$29,SSTotalCLM!$A$2:$A$500)+$A32-1,1)-1)</f>
        <v>-1.063565036364178E-3</v>
      </c>
      <c r="Z32" s="9">
        <f ca="1">IF(OR(Z5="",Z$28&lt;$A32),"",Z5/OFFSET(SSTotalCLM!$A$2,MATCH(Z$29,SSTotalCLM!$A$2:$A$500)+$A32-1,1)-1)</f>
        <v>3.4096557593596977E-3</v>
      </c>
      <c r="AA32" s="9">
        <f ca="1">IF(OR(AA5="",AA$28&lt;$A32),"",AA5/OFFSET(SSTotalCLM!$A$2,MATCH(AA$29,SSTotalCLM!$A$2:$A$500)+$A32-1,1)-1)</f>
        <v>3.3604391261063959E-3</v>
      </c>
      <c r="AB32" s="9">
        <f ca="1">IF(OR(AB5="",AB$28&lt;$A32),"",AB5/OFFSET(SSTotalCLM!$A$2,MATCH(AB$29,SSTotalCLM!$A$2:$A$500)+$A32-1,1)-1)</f>
        <v>5.5937392667064767E-3</v>
      </c>
      <c r="AC32" s="9">
        <f ca="1">IF(OR(AC5="",AC$28&lt;$A32),"",AC5/OFFSET(SSTotalCLM!$A$2,MATCH(AC$29,SSTotalCLM!$A$2:$A$500)+$A32-1,1)-1)</f>
        <v>1.6801820907101916E-2</v>
      </c>
      <c r="AD32" s="9">
        <f ca="1">IF(OR(AD5="",AD$28&lt;$A32),"",AD5/OFFSET(SSTotalCLM!$A$2,MATCH(AD$29,SSTotalCLM!$A$2:$A$500)+$A32-1,1)-1)</f>
        <v>1.5160060801736597E-2</v>
      </c>
      <c r="AE32" s="9">
        <f ca="1">IF(OR(AE5="",AE$28&lt;$A32),"",AE5/OFFSET(SSTotalCLM!$A$2,MATCH(AE$29,SSTotalCLM!$A$2:$A$500)+$A32-1,1)-1)</f>
        <v>2.063219493112034E-2</v>
      </c>
      <c r="AF32" s="9">
        <f ca="1">IF(OR(AF5="",AF$28&lt;$A32),"",AF5/OFFSET(SSTotalCLM!$A$2,MATCH(AF$29,SSTotalCLM!$A$2:$A$500)+$A32-1,1)-1)</f>
        <v>9.6383075746080404E-3</v>
      </c>
      <c r="AG32" s="9">
        <f ca="1">IF(OR(AG5="",AG$28&lt;$A32),"",AG5/OFFSET(SSTotalCLM!$A$2,MATCH(AG$29,SSTotalCLM!$A$2:$A$500)+$A32-1,1)-1)</f>
        <v>1.9283316663611938E-3</v>
      </c>
      <c r="AH32" s="9">
        <f ca="1">IF(OR(AH5="",AH$28&lt;$A32),"",AH5/OFFSET(SSTotalCLM!$A$2,MATCH(AH$29,SSTotalCLM!$A$2:$A$500)+$A32-1,1)-1)</f>
        <v>-1.3929997531133553E-3</v>
      </c>
      <c r="AI32" s="9">
        <f ca="1">IF(OR(AI5="",AI$28&lt;$A32),"",AI5/OFFSET(SSTotalCLM!$A$2,MATCH(AI$29,SSTotalCLM!$A$2:$A$500)+$A32-1,1)-1)</f>
        <v>-9.2462976338912872E-3</v>
      </c>
      <c r="AJ32" s="9">
        <f ca="1">IF(OR(AJ5="",AJ$28&lt;$A32),"",AJ5/OFFSET(SSTotalCLM!$A$2,MATCH(AJ$29,SSTotalCLM!$A$2:$A$500)+$A32-1,1)-1)</f>
        <v>-7.8445217831488723E-3</v>
      </c>
      <c r="AK32" s="9">
        <f ca="1">IF(OR(AK5="",AK$28&lt;$A32),"",AK5/OFFSET(SSTotalCLM!$A$2,MATCH(AK$29,SSTotalCLM!$A$2:$A$500)+$A32-1,1)-1)</f>
        <v>-8.2610416083669369E-3</v>
      </c>
      <c r="AL32" s="9">
        <f ca="1">IF(OR(AL5="",AL$28&lt;$A32),"",AL5/OFFSET(SSTotalCLM!$A$2,MATCH(AL$29,SSTotalCLM!$A$2:$A$500)+$A32-1,1)-1)</f>
        <v>-6.0400810355167867E-3</v>
      </c>
      <c r="AM32" s="9">
        <f ca="1">IF(OR(AM5="",AM$28&lt;$A32),"",AM5/OFFSET(SSTotalCLM!$A$2,MATCH(AM$29,SSTotalCLM!$A$2:$A$500)+$A32-1,1)-1)</f>
        <v>-3.6998702335474531E-3</v>
      </c>
      <c r="AN32" s="9">
        <f ca="1">IF(OR(AN5="",AN$28&lt;$A32),"",AN5/OFFSET(SSTotalCLM!$A$2,MATCH(AN$29,SSTotalCLM!$A$2:$A$500)+$A32-1,1)-1)</f>
        <v>-3.124212880453836E-3</v>
      </c>
      <c r="AO32" s="9">
        <f ca="1">IF(OR(AO5="",AO$28&lt;$A32),"",AO5/OFFSET(SSTotalCLM!$A$2,MATCH(AO$29,SSTotalCLM!$A$2:$A$500)+$A32-1,1)-1)</f>
        <v>4.4980732735431239E-3</v>
      </c>
      <c r="AP32" s="9">
        <f ca="1">IF(OR(AP5="",AP$28&lt;$A32),"",AP5/OFFSET(SSTotalCLM!$A$2,MATCH(AP$29,SSTotalCLM!$A$2:$A$500)+$A32-1,1)-1)</f>
        <v>4.8033673903340457E-3</v>
      </c>
      <c r="AQ32" s="9">
        <f ca="1">IF(OR(AQ5="",AQ$28&lt;$A32),"",AQ5/OFFSET(SSTotalCLM!$A$2,MATCH(AQ$29,SSTotalCLM!$A$2:$A$500)+$A32-1,1)-1)</f>
        <v>9.1858960387496413E-3</v>
      </c>
      <c r="AR32" s="9">
        <f ca="1">IF(OR(AR5="",AR$28&lt;$A32),"",AR5/OFFSET(SSTotalCLM!$A$2,MATCH(AR$29,SSTotalCLM!$A$2:$A$500)+$A32-1,1)-1)</f>
        <v>3.7361031287486135E-3</v>
      </c>
      <c r="AS32" s="9">
        <f ca="1">IF(OR(AS5="",AS$28&lt;$A32),"",AS5/OFFSET(SSTotalCLM!$A$2,MATCH(AS$29,SSTotalCLM!$A$2:$A$500)+$A32-1,1)-1)</f>
        <v>-3.7664083723508712E-3</v>
      </c>
      <c r="AT32" s="9">
        <f ca="1">IF(OR(AT5="",AT$28&lt;$A32),"",AT5/OFFSET(SSTotalCLM!$A$2,MATCH(AT$29,SSTotalCLM!$A$2:$A$500)+$A32-1,1)-1)</f>
        <v>-4.5261061235116751E-3</v>
      </c>
      <c r="AU32" s="9">
        <f ca="1">IF(OR(AU5="",AU$28&lt;$A32),"",AU5/OFFSET(SSTotalCLM!$A$2,MATCH(AU$29,SSTotalCLM!$A$2:$A$500)+$A32-1,1)-1)</f>
        <v>-6.7847744290731038E-3</v>
      </c>
      <c r="AV32" s="9">
        <f ca="1">IF(OR(AV5="",AV$28&lt;$A32),"",AV5/OFFSET(SSTotalCLM!$A$2,MATCH(AV$29,SSTotalCLM!$A$2:$A$500)+$A32-1,1)-1)</f>
        <v>4.2399349270056952E-3</v>
      </c>
      <c r="AW32" s="9">
        <f ca="1">IF(OR(AW5="",AW$28&lt;$A32),"",AW5/OFFSET(SSTotalCLM!$A$2,MATCH(AW$29,SSTotalCLM!$A$2:$A$500)+$A32-1,1)-1)</f>
        <v>7.2994117672036118E-3</v>
      </c>
      <c r="AX32" s="9">
        <f ca="1">IF(OR(AX5="",AX$28&lt;$A32),"",AX5/OFFSET(SSTotalCLM!$A$2,MATCH(AX$29,SSTotalCLM!$A$2:$A$500)+$A32-1,1)-1)</f>
        <v>1.7908629648144991E-2</v>
      </c>
      <c r="AY32" s="9">
        <f ca="1">IF(OR(AY5="",AY$28&lt;$A32),"",AY5/OFFSET(SSTotalCLM!$A$2,MATCH(AY$29,SSTotalCLM!$A$2:$A$500)+$A32-1,1)-1)</f>
        <v>1.5615980062745782E-2</v>
      </c>
      <c r="AZ32" s="9">
        <f ca="1">IF(OR(AZ5="",AZ$28&lt;$A32),"",AZ5/OFFSET(SSTotalCLM!$A$2,MATCH(AZ$29,SSTotalCLM!$A$2:$A$500)+$A32-1,1)-1)</f>
        <v>1.8343499952746756E-2</v>
      </c>
      <c r="BA32" s="9">
        <f ca="1">IF(OR(BA5="",BA$28&lt;$A32),"",BA5/OFFSET(SSTotalCLM!$A$2,MATCH(BA$29,SSTotalCLM!$A$2:$A$500)+$A32-1,1)-1)</f>
        <v>2.1387463898621117E-2</v>
      </c>
      <c r="BB32" s="9">
        <f ca="1">IF(OR(BB5="",BB$28&lt;$A32),"",BB5/OFFSET(SSTotalCLM!$A$2,MATCH(BB$29,SSTotalCLM!$A$2:$A$500)+$A32-1,1)-1)</f>
        <v>2.4663003256895744E-2</v>
      </c>
      <c r="BC32" s="9">
        <f ca="1">IF(OR(BC5="",BC$28&lt;$A32),"",BC5/OFFSET(SSTotalCLM!$A$2,MATCH(BC$29,SSTotalCLM!$A$2:$A$500)+$A32-1,1)-1)</f>
        <v>2.4186175655895203E-2</v>
      </c>
      <c r="BD32" s="9">
        <f ca="1">IF(OR(BD5="",BD$28&lt;$A32),"",BD5/OFFSET(SSTotalCLM!$A$2,MATCH(BD$29,SSTotalCLM!$A$2:$A$500)+$A32-1,1)-1)</f>
        <v>1.8005037769980747E-2</v>
      </c>
      <c r="BE32" s="9">
        <f ca="1">IF(OR(BE5="",BE$28&lt;$A32),"",BE5/OFFSET(SSTotalCLM!$A$2,MATCH(BE$29,SSTotalCLM!$A$2:$A$500)+$A32-1,1)-1)</f>
        <v>8.5038059906017427E-3</v>
      </c>
      <c r="BF32" s="9">
        <f ca="1">IF(OR(BF5="",BF$28&lt;$A32),"",BF5/OFFSET(SSTotalCLM!$A$2,MATCH(BF$29,SSTotalCLM!$A$2:$A$500)+$A32-1,1)-1)</f>
        <v>1.6498706701867816E-2</v>
      </c>
      <c r="BG32" s="9">
        <f ca="1">IF(OR(BG5="",BG$28&lt;$A32),"",BG5/OFFSET(SSTotalCLM!$A$2,MATCH(BG$29,SSTotalCLM!$A$2:$A$500)+$A32-1,1)-1)</f>
        <v>2.1478470899585655E-2</v>
      </c>
      <c r="BH32" s="9">
        <f ca="1">IF(OR(BH5="",BH$28&lt;$A32),"",BH5/OFFSET(SSTotalCLM!$A$2,MATCH(BH$29,SSTotalCLM!$A$2:$A$500)+$A32-1,1)-1)</f>
        <v>3.5802876109230164E-2</v>
      </c>
      <c r="BI32" s="9">
        <f ca="1">IF(OR(BI5="",BI$28&lt;$A32),"",BI5/OFFSET(SSTotalCLM!$A$2,MATCH(BI$29,SSTotalCLM!$A$2:$A$500)+$A32-1,1)-1)</f>
        <v>1.7869283070196751E-2</v>
      </c>
      <c r="BJ32" s="9">
        <f ca="1">IF(OR(BJ5="",BJ$28&lt;$A32),"",BJ5/OFFSET(SSTotalCLM!$A$2,MATCH(BJ$29,SSTotalCLM!$A$2:$A$500)+$A32-1,1)-1)</f>
        <v>1.8920309718057915E-2</v>
      </c>
      <c r="BK32" s="9">
        <f ca="1">IF(OR(BK5="",BK$28&lt;$A32),"",BK5/OFFSET(SSTotalCLM!$A$2,MATCH(BK$29,SSTotalCLM!$A$2:$A$500)+$A32-1,1)-1)</f>
        <v>8.9279930649255324E-3</v>
      </c>
      <c r="BL32" s="9">
        <f ca="1">IF(OR(BL5="",BL$28&lt;$A32),"",BL5/OFFSET(SSTotalCLM!$A$2,MATCH(BL$29,SSTotalCLM!$A$2:$A$500)+$A32-1,1)-1)</f>
        <v>-7.9261274582126395E-3</v>
      </c>
      <c r="BM32" s="9">
        <f ca="1">IF(OR(BM5="",BM$28&lt;$A32),"",BM5/OFFSET(SSTotalCLM!$A$2,MATCH(BM$29,SSTotalCLM!$A$2:$A$500)+$A32-1,1)-1)</f>
        <v>-2.1129521600715351E-2</v>
      </c>
      <c r="BN32" s="9">
        <f ca="1">IF(OR(BN5="",BN$28&lt;$A32),"",BN5/OFFSET(SSTotalCLM!$A$2,MATCH(BN$29,SSTotalCLM!$A$2:$A$500)+$A32-1,1)-1)</f>
        <v>-2.5328176507596112E-2</v>
      </c>
      <c r="BO32" s="9">
        <f ca="1">IF(OR(BO5="",BO$28&lt;$A32),"",BO5/OFFSET(SSTotalCLM!$A$2,MATCH(BO$29,SSTotalCLM!$A$2:$A$500)+$A32-1,1)-1)</f>
        <v>-2.0174291828661151E-2</v>
      </c>
      <c r="BP32" s="9">
        <f ca="1">IF(OR(BP5="",BP$28&lt;$A32),"",BP5/OFFSET(SSTotalCLM!$A$2,MATCH(BP$29,SSTotalCLM!$A$2:$A$500)+$A32-1,1)-1)</f>
        <v>-3.1947287389199053E-2</v>
      </c>
      <c r="BQ32" s="9">
        <f ca="1">IF(OR(BQ5="",BQ$28&lt;$A32),"",BQ5/OFFSET(SSTotalCLM!$A$2,MATCH(BQ$29,SSTotalCLM!$A$2:$A$500)+$A32-1,1)-1)</f>
        <v>-2.053368638299502E-2</v>
      </c>
      <c r="BR32" s="9">
        <f ca="1">IF(OR(BR5="",BR$28&lt;$A32),"",BR5/OFFSET(SSTotalCLM!$A$2,MATCH(BR$29,SSTotalCLM!$A$2:$A$500)+$A32-1,1)-1)</f>
        <v>-1.2624181264362377E-2</v>
      </c>
      <c r="BS32" s="9">
        <f ca="1">IF(OR(BS5="",BS$28&lt;$A32),"",BS5/OFFSET(SSTotalCLM!$A$2,MATCH(BS$29,SSTotalCLM!$A$2:$A$500)+$A32-1,1)-1)</f>
        <v>9.7391792978309688E-3</v>
      </c>
      <c r="BT32" s="9">
        <f ca="1">IF(OR(BT5="",BT$28&lt;$A32),"",BT5/OFFSET(SSTotalCLM!$A$2,MATCH(BT$29,SSTotalCLM!$A$2:$A$500)+$A32-1,1)-1)</f>
        <v>7.1323914629988217E-3</v>
      </c>
      <c r="BU32" s="9">
        <f ca="1">IF(OR(BU5="",BU$28&lt;$A32),"",BU5/OFFSET(SSTotalCLM!$A$2,MATCH(BU$29,SSTotalCLM!$A$2:$A$500)+$A32-1,1)-1)</f>
        <v>-1.2138105017868162E-3</v>
      </c>
      <c r="BV32" s="9">
        <f ca="1">IF(OR(BV5="",BV$28&lt;$A32),"",BV5/OFFSET(SSTotalCLM!$A$2,MATCH(BV$29,SSTotalCLM!$A$2:$A$500)+$A32-1,1)-1)</f>
        <v>1.1540855736291267E-2</v>
      </c>
      <c r="BW32" s="9">
        <f ca="1">IF(OR(BW5="",BW$28&lt;$A32),"",BW5/OFFSET(SSTotalCLM!$A$2,MATCH(BW$29,SSTotalCLM!$A$2:$A$500)+$A32-1,1)-1)</f>
        <v>9.0275971243318764E-3</v>
      </c>
      <c r="BX32" s="9">
        <f ca="1">IF(OR(BX5="",BX$28&lt;$A32),"",BX5/OFFSET(SSTotalCLM!$A$2,MATCH(BX$29,SSTotalCLM!$A$2:$A$500)+$A32-1,1)-1)</f>
        <v>4.3260317475317667E-3</v>
      </c>
      <c r="BY32" s="9">
        <f ca="1">IF(OR(BY5="",BY$28&lt;$A32),"",BY5/OFFSET(SSTotalCLM!$A$2,MATCH(BY$29,SSTotalCLM!$A$2:$A$500)+$A32-1,1)-1)</f>
        <v>6.9563330802768775E-3</v>
      </c>
      <c r="BZ32" s="9">
        <f ca="1">IF(OR(BZ5="",BZ$28&lt;$A32),"",BZ5/OFFSET(SSTotalCLM!$A$2,MATCH(BZ$29,SSTotalCLM!$A$2:$A$500)+$A32-1,1)-1)</f>
        <v>1.1558613562452358E-3</v>
      </c>
      <c r="CA32" s="9">
        <f ca="1">IF(OR(CA5="",CA$28&lt;$A32),"",CA5/OFFSET(SSTotalCLM!$A$2,MATCH(CA$29,SSTotalCLM!$A$2:$A$500)+$A32-1,1)-1)</f>
        <v>2.3646758907793775E-3</v>
      </c>
      <c r="CB32" s="9">
        <f ca="1">IF(OR(CB5="",CB$28&lt;$A32),"",CB5/OFFSET(SSTotalCLM!$A$2,MATCH(CB$29,SSTotalCLM!$A$2:$A$500)+$A32-1,1)-1)</f>
        <v>-1.3165395319211903E-2</v>
      </c>
      <c r="CC32" s="9">
        <f ca="1">IF(OR(CC5="",CC$28&lt;$A32),"",CC5/OFFSET(SSTotalCLM!$A$2,MATCH(CC$29,SSTotalCLM!$A$2:$A$500)+$A32-1,1)-1)</f>
        <v>-1.1954227879082069E-2</v>
      </c>
      <c r="CD32" s="9">
        <f ca="1">IF(OR(CD5="",CD$28&lt;$A32),"",CD5/OFFSET(SSTotalCLM!$A$2,MATCH(CD$29,SSTotalCLM!$A$2:$A$500)+$A32-1,1)-1)</f>
        <v>-2.4762732956212785E-3</v>
      </c>
      <c r="CE32" s="9">
        <f ca="1">IF(OR(CE5="",CE$28&lt;$A32),"",CE5/OFFSET(SSTotalCLM!$A$2,MATCH(CE$29,SSTotalCLM!$A$2:$A$500)+$A32-1,1)-1)</f>
        <v>5.3683857577699889E-3</v>
      </c>
      <c r="CF32" s="9">
        <f ca="1">IF(OR(CF5="",CF$28&lt;$A32),"",CF5/OFFSET(SSTotalCLM!$A$2,MATCH(CF$29,SSTotalCLM!$A$2:$A$500)+$A32-1,1)-1)</f>
        <v>1.4039335002300701E-2</v>
      </c>
      <c r="CG32" s="9">
        <f ca="1">IF(OR(CG5="",CG$28&lt;$A32),"",CG5/OFFSET(SSTotalCLM!$A$2,MATCH(CG$29,SSTotalCLM!$A$2:$A$500)+$A32-1,1)-1)</f>
        <v>5.5211664838770158E-3</v>
      </c>
      <c r="CH32" s="9">
        <f ca="1">IF(OR(CH5="",CH$28&lt;$A32),"",CH5/OFFSET(SSTotalCLM!$A$2,MATCH(CH$29,SSTotalCLM!$A$2:$A$500)+$A32-1,1)-1)</f>
        <v>5.8273960434993555E-3</v>
      </c>
      <c r="CI32" s="9">
        <f ca="1">IF(OR(CI5="",CI$28&lt;$A32),"",CI5/OFFSET(SSTotalCLM!$A$2,MATCH(CI$29,SSTotalCLM!$A$2:$A$500)+$A32-1,1)-1)</f>
        <v>5.2563952481896603E-3</v>
      </c>
      <c r="CJ32" s="9">
        <f ca="1">IF(OR(CJ5="",CJ$28&lt;$A32),"",CJ5/OFFSET(SSTotalCLM!$A$2,MATCH(CJ$29,SSTotalCLM!$A$2:$A$500)+$A32-1,1)-1)</f>
        <v>-1.2597632622043387E-3</v>
      </c>
      <c r="CK32" s="9">
        <f ca="1">IF(OR(CK5="",CK$28&lt;$A32),"",CK5/OFFSET(SSTotalCLM!$A$2,MATCH(CK$29,SSTotalCLM!$A$2:$A$500)+$A32-1,1)-1)</f>
        <v>1.523840648467667E-3</v>
      </c>
      <c r="CL32" s="9">
        <f ca="1">IF(OR(CL5="",CL$28&lt;$A32),"",CL5/OFFSET(SSTotalCLM!$A$2,MATCH(CL$29,SSTotalCLM!$A$2:$A$500)+$A32-1,1)-1)</f>
        <v>7.0017988913151363E-3</v>
      </c>
      <c r="CM32" s="9">
        <f ca="1">IF(OR(CM5="",CM$28&lt;$A32),"",CM5/OFFSET(SSTotalCLM!$A$2,MATCH(CM$29,SSTotalCLM!$A$2:$A$500)+$A32-1,1)-1)</f>
        <v>6.4350907584613815E-3</v>
      </c>
      <c r="CN32" s="9">
        <f ca="1">IF(OR(CN5="",CN$28&lt;$A32),"",CN5/OFFSET(SSTotalCLM!$A$2,MATCH(CN$29,SSTotalCLM!$A$2:$A$500)+$A32-1,1)-1)</f>
        <v>1.124028266263899E-5</v>
      </c>
      <c r="CO32" s="9">
        <f ca="1">IF(OR(CO5="",CO$28&lt;$A32),"",CO5/OFFSET(SSTotalCLM!$A$2,MATCH(CO$29,SSTotalCLM!$A$2:$A$500)+$A32-1,1)-1)</f>
        <v>1.7210075546981285E-2</v>
      </c>
      <c r="CP32" s="9">
        <f ca="1">IF(OR(CP5="",CP$28&lt;$A32),"",CP5/OFFSET(SSTotalCLM!$A$2,MATCH(CP$29,SSTotalCLM!$A$2:$A$500)+$A32-1,1)-1)</f>
        <v>1.3950722403982985E-2</v>
      </c>
      <c r="CQ32" s="9">
        <f ca="1">IF(OR(CQ5="",CQ$28&lt;$A32),"",CQ5/OFFSET(SSTotalCLM!$A$2,MATCH(CQ$29,SSTotalCLM!$A$2:$A$500)+$A32-1,1)-1)</f>
        <v>2.1358118238645085E-2</v>
      </c>
      <c r="CR32" s="9">
        <f ca="1">IF(OR(CR5="",CR$28&lt;$A32),"",CR5/OFFSET(SSTotalCLM!$A$2,MATCH(CR$29,SSTotalCLM!$A$2:$A$500)+$A32-1,1)-1)</f>
        <v>9.8126891188503595E-3</v>
      </c>
      <c r="CS32" s="9">
        <f ca="1">IF(OR(CS5="",CS$28&lt;$A32),"",CS5/OFFSET(SSTotalCLM!$A$2,MATCH(CS$29,SSTotalCLM!$A$2:$A$500)+$A32-1,1)-1)</f>
        <v>5.3196873690333213E-3</v>
      </c>
      <c r="CT32" s="9">
        <f ca="1">IF(OR(CT5="",CT$28&lt;$A32),"",CT5/OFFSET(SSTotalCLM!$A$2,MATCH(CT$29,SSTotalCLM!$A$2:$A$500)+$A32-1,1)-1)</f>
        <v>1.7690202791103893E-2</v>
      </c>
      <c r="CU32" s="9">
        <f ca="1">IF(OR(CU5="",CU$28&lt;$A32),"",CU5/OFFSET(SSTotalCLM!$A$2,MATCH(CU$29,SSTotalCLM!$A$2:$A$500)+$A32-1,1)-1)</f>
        <v>1.2777433533735616E-2</v>
      </c>
      <c r="CV32" s="9">
        <f ca="1">IF(OR(CV5="",CV$28&lt;$A32),"",CV5/OFFSET(SSTotalCLM!$A$2,MATCH(CV$29,SSTotalCLM!$A$2:$A$500)+$A32-1,1)-1)</f>
        <v>5.4807794694811118E-3</v>
      </c>
      <c r="CW32" s="9">
        <f ca="1">IF(OR(CW5="",CW$28&lt;$A32),"",CW5/OFFSET(SSTotalCLM!$A$2,MATCH(CW$29,SSTotalCLM!$A$2:$A$500)+$A32-1,1)-1)</f>
        <v>-2.0963151579315165E-3</v>
      </c>
      <c r="CX32" s="9">
        <f ca="1">IF(OR(CX5="",CX$28&lt;$A32),"",CX5/OFFSET(SSTotalCLM!$A$2,MATCH(CX$29,SSTotalCLM!$A$2:$A$500)+$A32-1,1)-1)</f>
        <v>3.396166058866612E-5</v>
      </c>
      <c r="CY32" s="9">
        <f ca="1">IF(OR(CY5="",CY$28&lt;$A32),"",CY5/OFFSET(SSTotalCLM!$A$2,MATCH(CY$29,SSTotalCLM!$A$2:$A$500)+$A32-1,1)-1)</f>
        <v>1.3889614287472263E-3</v>
      </c>
      <c r="CZ32" s="9">
        <f ca="1">IF(OR(CZ5="",CZ$28&lt;$A32),"",CZ5/OFFSET(SSTotalCLM!$A$2,MATCH(CZ$29,SSTotalCLM!$A$2:$A$500)+$A32-1,1)-1)</f>
        <v>-5.7287655096687207E-3</v>
      </c>
      <c r="DA32" s="9">
        <f ca="1">IF(OR(DA5="",DA$28&lt;$A32),"",DA5/OFFSET(SSTotalCLM!$A$2,MATCH(DA$29,SSTotalCLM!$A$2:$A$500)+$A32-1,1)-1)</f>
        <v>-2.9816892946765705E-3</v>
      </c>
      <c r="DB32" s="9">
        <f ca="1">IF(OR(DB5="",DB$28&lt;$A32),"",DB5/OFFSET(SSTotalCLM!$A$2,MATCH(DB$29,SSTotalCLM!$A$2:$A$500)+$A32-1,1)-1)</f>
        <v>9.02320827027836E-3</v>
      </c>
      <c r="DC32" s="9">
        <f ca="1">IF(OR(DC5="",DC$28&lt;$A32),"",DC5/OFFSET(SSTotalCLM!$A$2,MATCH(DC$29,SSTotalCLM!$A$2:$A$500)+$A32-1,1)-1)</f>
        <v>4.4401197628902933E-2</v>
      </c>
      <c r="DD32" s="9">
        <f ca="1">IF(OR(DD5="",DD$28&lt;$A32),"",DD5/OFFSET(SSTotalCLM!$A$2,MATCH(DD$29,SSTotalCLM!$A$2:$A$500)+$A32-1,1)-1)</f>
        <v>2.5724269285851253E-2</v>
      </c>
      <c r="DE32" s="9">
        <f ca="1">IF(OR(DE5="",DE$28&lt;$A32),"",DE5/OFFSET(SSTotalCLM!$A$2,MATCH(DE$29,SSTotalCLM!$A$2:$A$500)+$A32-1,1)-1)</f>
        <v>-1.0507462900355424E-2</v>
      </c>
      <c r="DF32" s="9">
        <f ca="1">IF(OR(DF5="",DF$28&lt;$A32),"",DF5/OFFSET(SSTotalCLM!$A$2,MATCH(DF$29,SSTotalCLM!$A$2:$A$500)+$A32-1,1)-1)</f>
        <v>-2.5168495539664049E-2</v>
      </c>
      <c r="DG32" s="9">
        <f ca="1">IF(OR(DG5="",DG$28&lt;$A32),"",DG5/OFFSET(SSTotalCLM!$A$2,MATCH(DG$29,SSTotalCLM!$A$2:$A$500)+$A32-1,1)-1)</f>
        <v>-1.9266280564913418E-2</v>
      </c>
      <c r="DH32" s="9">
        <f ca="1">IF(OR(DH5="",DH$28&lt;$A32),"",DH5/OFFSET(SSTotalCLM!$A$2,MATCH(DH$29,SSTotalCLM!$A$2:$A$500)+$A32-1,1)-1)</f>
        <v>-1.6152451210582619E-2</v>
      </c>
      <c r="DI32" s="9">
        <f ca="1">IF(OR(DI5="",DI$28&lt;$A32),"",DI5/OFFSET(SSTotalCLM!$A$2,MATCH(DI$29,SSTotalCLM!$A$2:$A$500)+$A32-1,1)-1)</f>
        <v>-1.4295167161703426E-2</v>
      </c>
      <c r="DJ32" s="9">
        <f ca="1">IF(OR(DJ5="",DJ$28&lt;$A32),"",DJ5/OFFSET(SSTotalCLM!$A$2,MATCH(DJ$29,SSTotalCLM!$A$2:$A$500)+$A32-1,1)-1)</f>
        <v>-1.3839753755993001E-2</v>
      </c>
      <c r="DK32" s="9">
        <f ca="1">IF(OR(DK5="",DK$28&lt;$A32),"",DK5/OFFSET(SSTotalCLM!$A$2,MATCH(DK$29,SSTotalCLM!$A$2:$A$500)+$A32-1,1)-1)</f>
        <v>-1.12091892141164E-2</v>
      </c>
      <c r="DL32" s="9">
        <f ca="1">IF(OR(DL5="",DL$28&lt;$A32),"",DL5/OFFSET(SSTotalCLM!$A$2,MATCH(DL$29,SSTotalCLM!$A$2:$A$500)+$A32-1,1)-1)</f>
        <v>-1.1383071516427479E-2</v>
      </c>
      <c r="DM32" s="9">
        <f ca="1">IF(OR(DM5="",DM$28&lt;$A32),"",DM5/OFFSET(SSTotalCLM!$A$2,MATCH(DM$29,SSTotalCLM!$A$2:$A$500)+$A32-1,1)-1)</f>
        <v>-3.239176171556124E-2</v>
      </c>
      <c r="DN32" s="9">
        <f ca="1">IF(OR(DN5="",DN$28&lt;$A32),"",DN5/OFFSET(SSTotalCLM!$A$2,MATCH(DN$29,SSTotalCLM!$A$2:$A$500)+$A32-1,1)-1)</f>
        <v>-9.6911652313603769E-3</v>
      </c>
      <c r="DO32" s="9">
        <f ca="1">IF(OR(DO5="",DO$28&lt;$A32),"",DO5/OFFSET(SSTotalCLM!$A$2,MATCH(DO$29,SSTotalCLM!$A$2:$A$500)+$A32-1,1)-1)</f>
        <v>-1.9818911454153376E-2</v>
      </c>
      <c r="DP32" s="9">
        <f ca="1">IF(OR(DP5="",DP$28&lt;$A32),"",DP5/OFFSET(SSTotalCLM!$A$2,MATCH(DP$29,SSTotalCLM!$A$2:$A$500)+$A32-1,1)-1)</f>
        <v>6.8678482425019727E-3</v>
      </c>
      <c r="DQ32" s="9">
        <f ca="1">IF(OR(DQ5="",DQ$28&lt;$A32),"",DQ5/OFFSET(SSTotalCLM!$A$2,MATCH(DQ$29,SSTotalCLM!$A$2:$A$500)+$A32-1,1)-1)</f>
        <v>-1.972381922075428E-2</v>
      </c>
      <c r="DR32" s="9">
        <f ca="1">IF(OR(DR5="",DR$28&lt;$A32),"",DR5/OFFSET(SSTotalCLM!$A$2,MATCH(DR$29,SSTotalCLM!$A$2:$A$500)+$A32-1,1)-1)</f>
        <v>-3.8489712792869613E-3</v>
      </c>
      <c r="DS32" s="9">
        <f ca="1">IF(OR(DS5="",DS$28&lt;$A32),"",DS5/OFFSET(SSTotalCLM!$A$2,MATCH(DS$29,SSTotalCLM!$A$2:$A$500)+$A32-1,1)-1)</f>
        <v>2.9506556063698675E-3</v>
      </c>
      <c r="DT32" s="9">
        <f ca="1">IF(OR(DT5="",DT$28&lt;$A32),"",DT5/OFFSET(SSTotalCLM!$A$2,MATCH(DT$29,SSTotalCLM!$A$2:$A$500)+$A32-1,1)-1)</f>
        <v>2.1328644945484143E-4</v>
      </c>
      <c r="DU32" s="9">
        <f ca="1">IF(OR(DU5="",DU$28&lt;$A32),"",DU5/OFFSET(SSTotalCLM!$A$2,MATCH(DU$29,SSTotalCLM!$A$2:$A$500)+$A32-1,1)-1)</f>
        <v>-6.4974183299754129E-3</v>
      </c>
      <c r="DV32" s="9">
        <f ca="1">IF(OR(DV5="",DV$28&lt;$A32),"",DV5/OFFSET(SSTotalCLM!$A$2,MATCH(DV$29,SSTotalCLM!$A$2:$A$500)+$A32-1,1)-1)</f>
        <v>-2.6213956618583723E-3</v>
      </c>
      <c r="DW32" s="9">
        <f ca="1">IF(OR(DW5="",DW$28&lt;$A32),"",DW5/OFFSET(SSTotalCLM!$A$2,MATCH(DW$29,SSTotalCLM!$A$2:$A$500)+$A32-1,1)-1)</f>
        <v>3.4219288305887829E-3</v>
      </c>
      <c r="DX32" s="9">
        <f ca="1">IF(OR(DX5="",DX$28&lt;$A32),"",DX5/OFFSET(SSTotalCLM!$A$2,MATCH(DX$29,SSTotalCLM!$A$2:$A$500)+$A32-1,1)-1)</f>
        <v>-9.529301554942804E-3</v>
      </c>
      <c r="DY32" s="9">
        <f ca="1">IF(OR(DY5="",DY$28&lt;$A32),"",DY5/OFFSET(SSTotalCLM!$A$2,MATCH(DY$29,SSTotalCLM!$A$2:$A$500)+$A32-1,1)-1)</f>
        <v>1.3555353454675956E-2</v>
      </c>
      <c r="DZ32" s="9">
        <f ca="1">IF(OR(DZ5="",DZ$28&lt;$A32),"",DZ5/OFFSET(SSTotalCLM!$A$2,MATCH(DZ$29,SSTotalCLM!$A$2:$A$500)+$A32-1,1)-1)</f>
        <v>-6.8194936577613552E-3</v>
      </c>
      <c r="EA32" s="9">
        <f ca="1">IF(OR(EA5="",EA$28&lt;$A32),"",EA5/OFFSET(SSTotalCLM!$A$2,MATCH(EA$29,SSTotalCLM!$A$2:$A$500)+$A32-1,1)-1)</f>
        <v>1.4149870005395249E-2</v>
      </c>
      <c r="EB32" s="9">
        <f ca="1">IF(OR(EB5="",EB$28&lt;$A32),"",EB5/OFFSET(SSTotalCLM!$A$2,MATCH(EB$29,SSTotalCLM!$A$2:$A$500)+$A32-1,1)-1)</f>
        <v>-1.0133074916955809E-2</v>
      </c>
      <c r="EC32" s="9">
        <f ca="1">IF(OR(EC5="",EC$28&lt;$A32),"",EC5/OFFSET(SSTotalCLM!$A$2,MATCH(EC$29,SSTotalCLM!$A$2:$A$500)+$A32-1,1)-1)</f>
        <v>-6.7819851544245191E-3</v>
      </c>
      <c r="ED32" s="9">
        <f ca="1">IF(OR(ED5="",ED$28&lt;$A32),"",ED5/OFFSET(SSTotalCLM!$A$2,MATCH(ED$29,SSTotalCLM!$A$2:$A$500)+$A32-1,1)-1)</f>
        <v>-6.9597375245343818E-3</v>
      </c>
      <c r="EE32" s="9">
        <f ca="1">IF(OR(EE5="",EE$28&lt;$A32),"",EE5/OFFSET(SSTotalCLM!$A$2,MATCH(EE$29,SSTotalCLM!$A$2:$A$500)+$A32-1,1)-1)</f>
        <v>-2.0218721397713191E-2</v>
      </c>
      <c r="EF32" s="9">
        <f ca="1">IF(OR(EF5="",EF$28&lt;$A32),"",EF5/OFFSET(SSTotalCLM!$A$2,MATCH(EF$29,SSTotalCLM!$A$2:$A$500)+$A32-1,1)-1)</f>
        <v>-2.1404018883942721E-2</v>
      </c>
      <c r="EG32" s="9">
        <f ca="1">IF(OR(EG5="",EG$28&lt;$A32),"",EG5/OFFSET(SSTotalCLM!$A$2,MATCH(EG$29,SSTotalCLM!$A$2:$A$500)+$A32-1,1)-1)</f>
        <v>-1.3640736729709002E-2</v>
      </c>
      <c r="EH32" s="9">
        <f ca="1">IF(OR(EH5="",EH$28&lt;$A32),"",EH5/OFFSET(SSTotalCLM!$A$2,MATCH(EH$29,SSTotalCLM!$A$2:$A$500)+$A32-1,1)-1)</f>
        <v>5.2708832759902347E-3</v>
      </c>
      <c r="EI32" s="9">
        <f ca="1">IF(OR(EI5="",EI$28&lt;$A32),"",EI5/OFFSET(SSTotalCLM!$A$2,MATCH(EI$29,SSTotalCLM!$A$2:$A$500)+$A32-1,1)-1)</f>
        <v>2.2167669000188406E-2</v>
      </c>
      <c r="EJ32" s="9">
        <f ca="1">IF(OR(EJ5="",EJ$28&lt;$A32),"",EJ5/OFFSET(SSTotalCLM!$A$2,MATCH(EJ$29,SSTotalCLM!$A$2:$A$500)+$A32-1,1)-1)</f>
        <v>2.2372542827917119E-2</v>
      </c>
      <c r="EK32" s="9">
        <f ca="1">IF(OR(EK5="",EK$28&lt;$A32),"",EK5/OFFSET(SSTotalCLM!$A$2,MATCH(EK$29,SSTotalCLM!$A$2:$A$500)+$A32-1,1)-1)</f>
        <v>1.9970184624265697E-2</v>
      </c>
      <c r="EL32" s="9">
        <f ca="1">IF(OR(EL5="",EL$28&lt;$A32),"",EL5/OFFSET(SSTotalCLM!$A$2,MATCH(EL$29,SSTotalCLM!$A$2:$A$500)+$A32-1,1)-1)</f>
        <v>-2.5360824006529503E-3</v>
      </c>
      <c r="EM32" s="9">
        <f ca="1">IF(OR(EM5="",EM$28&lt;$A32),"",EM5/OFFSET(SSTotalCLM!$A$2,MATCH(EM$29,SSTotalCLM!$A$2:$A$500)+$A32-1,1)-1)</f>
        <v>-2.4344388944435025E-3</v>
      </c>
      <c r="EN32" s="9">
        <f ca="1">IF(OR(EN5="",EN$28&lt;$A32),"",EN5/OFFSET(SSTotalCLM!$A$2,MATCH(EN$29,SSTotalCLM!$A$2:$A$500)+$A32-1,1)-1)</f>
        <v>-1.0609199755081011E-2</v>
      </c>
      <c r="EO32" s="9">
        <f ca="1">IF(OR(EO5="",EO$28&lt;$A32),"",EO5/OFFSET(SSTotalCLM!$A$2,MATCH(EO$29,SSTotalCLM!$A$2:$A$500)+$A32-1,1)-1)</f>
        <v>-2.7522898619402048E-3</v>
      </c>
      <c r="EP32" s="9">
        <f ca="1">IF(OR(EP5="",EP$28&lt;$A32),"",EP5/OFFSET(SSTotalCLM!$A$2,MATCH(EP$29,SSTotalCLM!$A$2:$A$500)+$A32-1,1)-1)</f>
        <v>4.2077175941905853E-3</v>
      </c>
      <c r="EQ32" s="9">
        <f ca="1">IF(OR(EQ5="",EQ$28&lt;$A32),"",EQ5/OFFSET(SSTotalCLM!$A$2,MATCH(EQ$29,SSTotalCLM!$A$2:$A$500)+$A32-1,1)-1)</f>
        <v>1.4020004475323589E-3</v>
      </c>
      <c r="ER32" s="9">
        <f ca="1">IF(OR(ER5="",ER$28&lt;$A32),"",ER5/OFFSET(SSTotalCLM!$A$2,MATCH(ER$29,SSTotalCLM!$A$2:$A$500)+$A32-1,1)-1)</f>
        <v>-7.0122119615741996E-3</v>
      </c>
      <c r="ES32" s="9">
        <f ca="1">IF(OR(ES5="",ES$28&lt;$A32),"",ES5/OFFSET(SSTotalCLM!$A$2,MATCH(ES$29,SSTotalCLM!$A$2:$A$500)+$A32-1,1)-1)</f>
        <v>-1.8415742614023678E-2</v>
      </c>
      <c r="ET32" s="9">
        <f ca="1">IF(OR(ET5="",ET$28&lt;$A32),"",ET5/OFFSET(SSTotalCLM!$A$2,MATCH(ET$29,SSTotalCLM!$A$2:$A$500)+$A32-1,1)-1)</f>
        <v>-1.4302520710311573E-2</v>
      </c>
      <c r="EU32" s="9">
        <f ca="1">IF(OR(EU5="",EU$28&lt;$A32),"",EU5/OFFSET(SSTotalCLM!$A$2,MATCH(EU$29,SSTotalCLM!$A$2:$A$500)+$A32-1,1)-1)</f>
        <v>-7.454177184048727E-3</v>
      </c>
      <c r="EV32" s="9">
        <f ca="1">IF(OR(EV5="",EV$28&lt;$A32),"",EV5/OFFSET(SSTotalCLM!$A$2,MATCH(EV$29,SSTotalCLM!$A$2:$A$500)+$A32-1,1)-1)</f>
        <v>1.0973968440403992E-2</v>
      </c>
      <c r="EW32" s="9">
        <f ca="1">IF(OR(EW5="",EW$28&lt;$A32),"",EW5/OFFSET(SSTotalCLM!$A$2,MATCH(EW$29,SSTotalCLM!$A$2:$A$500)+$A32-1,1)-1)</f>
        <v>7.0620411860258248E-3</v>
      </c>
      <c r="EX32" s="9">
        <f ca="1">IF(OR(EX5="",EX$28&lt;$A32),"",EX5/OFFSET(SSTotalCLM!$A$2,MATCH(EX$29,SSTotalCLM!$A$2:$A$500)+$A32-1,1)-1)</f>
        <v>1.1480931572385611E-2</v>
      </c>
      <c r="EY32" s="9">
        <f ca="1">IF(OR(EY5="",EY$28&lt;$A32),"",EY5/OFFSET(SSTotalCLM!$A$2,MATCH(EY$29,SSTotalCLM!$A$2:$A$500)+$A32-1,1)-1)</f>
        <v>2.8951643106700509E-3</v>
      </c>
      <c r="EZ32" s="9">
        <f ca="1">IF(OR(EZ5="",EZ$28&lt;$A32),"",EZ5/OFFSET(SSTotalCLM!$A$2,MATCH(EZ$29,SSTotalCLM!$A$2:$A$500)+$A32-1,1)-1)</f>
        <v>5.0620478695997395E-3</v>
      </c>
      <c r="FA32" s="9">
        <f ca="1">IF(OR(FA5="",FA$28&lt;$A32),"",FA5/OFFSET(SSTotalCLM!$A$2,MATCH(FA$29,SSTotalCLM!$A$2:$A$500)+$A32-1,1)-1)</f>
        <v>-3.2307473796262531E-3</v>
      </c>
      <c r="FB32" s="9">
        <f ca="1">IF(OR(FB5="",FB$28&lt;$A32),"",FB5/OFFSET(SSTotalCLM!$A$2,MATCH(FB$29,SSTotalCLM!$A$2:$A$500)+$A32-1,1)-1)</f>
        <v>-3.0684946794545809E-3</v>
      </c>
      <c r="FC32" s="9">
        <f ca="1">IF(OR(FC5="",FC$28&lt;$A32),"",FC5/OFFSET(SSTotalCLM!$A$2,MATCH(FC$29,SSTotalCLM!$A$2:$A$500)+$A32-1,1)-1)</f>
        <v>4.2831974650883176E-3</v>
      </c>
      <c r="FD32" s="9">
        <f ca="1">IF(OR(FD5="",FD$28&lt;$A32),"",FD5/OFFSET(SSTotalCLM!$A$2,MATCH(FD$29,SSTotalCLM!$A$2:$A$500)+$A32-1,1)-1)</f>
        <v>4.704076932258161E-3</v>
      </c>
      <c r="FE32" s="9">
        <f ca="1">IF(OR(FE5="",FE$28&lt;$A32),"",FE5/OFFSET(SSTotalCLM!$A$2,MATCH(FE$29,SSTotalCLM!$A$2:$A$500)+$A32-1,1)-1)</f>
        <v>-2.7977116598503216E-3</v>
      </c>
      <c r="FF32" s="9">
        <f ca="1">IF(OR(FF5="",FF$28&lt;$A32),"",FF5/OFFSET(SSTotalCLM!$A$2,MATCH(FF$29,SSTotalCLM!$A$2:$A$500)+$A32-1,1)-1)</f>
        <v>-4.7634606930945234E-3</v>
      </c>
      <c r="FG32" s="9">
        <f ca="1">IF(OR(FG5="",FG$28&lt;$A32),"",FG5/OFFSET(SSTotalCLM!$A$2,MATCH(FG$29,SSTotalCLM!$A$2:$A$500)+$A32-1,1)-1)</f>
        <v>-7.5774089841287307E-3</v>
      </c>
      <c r="FH32" s="9">
        <f ca="1">IF(OR(FH5="",FH$28&lt;$A32),"",FH5/OFFSET(SSTotalCLM!$A$2,MATCH(FH$29,SSTotalCLM!$A$2:$A$500)+$A32-1,1)-1)</f>
        <v>-3.6775439015555023E-3</v>
      </c>
      <c r="FI32" s="9">
        <f ca="1">IF(OR(FI5="",FI$28&lt;$A32),"",FI5/OFFSET(SSTotalCLM!$A$2,MATCH(FI$29,SSTotalCLM!$A$2:$A$500)+$A32-1,1)-1)</f>
        <v>-2.4830317527315682E-3</v>
      </c>
      <c r="FJ32" s="9">
        <f ca="1">IF(OR(FJ5="",FJ$28&lt;$A32),"",FJ5/OFFSET(SSTotalCLM!$A$2,MATCH(FJ$29,SSTotalCLM!$A$2:$A$500)+$A32-1,1)-1)</f>
        <v>-1.7519461125966029E-2</v>
      </c>
      <c r="FK32" s="9">
        <f ca="1">IF(OR(FK5="",FK$28&lt;$A32),"",FK5/OFFSET(SSTotalCLM!$A$2,MATCH(FK$29,SSTotalCLM!$A$2:$A$500)+$A32-1,1)-1)</f>
        <v>-1.3857049331126636E-2</v>
      </c>
      <c r="FL32" s="9">
        <f ca="1">IF(OR(FL5="",FL$28&lt;$A32),"",FL5/OFFSET(SSTotalCLM!$A$2,MATCH(FL$29,SSTotalCLM!$A$2:$A$500)+$A32-1,1)-1)</f>
        <v>-9.0338655947825863E-3</v>
      </c>
      <c r="FM32" s="9">
        <f ca="1">IF(OR(FM5="",FM$28&lt;$A32),"",FM5/OFFSET(SSTotalCLM!$A$2,MATCH(FM$29,SSTotalCLM!$A$2:$A$500)+$A32-1,1)-1)</f>
        <v>1.1157414496216767E-2</v>
      </c>
      <c r="FN32" s="9">
        <f ca="1">IF(OR(FN5="",FN$28&lt;$A32),"",FN5/OFFSET(SSTotalCLM!$A$2,MATCH(FN$29,SSTotalCLM!$A$2:$A$500)+$A32-1,1)-1)</f>
        <v>1.6854960185923806E-2</v>
      </c>
      <c r="FO32" s="9">
        <f ca="1">IF(OR(FO5="",FO$28&lt;$A32),"",FO5/OFFSET(SSTotalCLM!$A$2,MATCH(FO$29,SSTotalCLM!$A$2:$A$500)+$A32-1,1)-1)</f>
        <v>1.709721546449483E-2</v>
      </c>
      <c r="FP32" s="9">
        <f ca="1">IF(OR(FP5="",FP$28&lt;$A32),"",FP5/OFFSET(SSTotalCLM!$A$2,MATCH(FP$29,SSTotalCLM!$A$2:$A$500)+$A32-1,1)-1)</f>
        <v>1.1357858432278212E-2</v>
      </c>
      <c r="FQ32" s="9">
        <f ca="1">IF(OR(FQ5="",FQ$28&lt;$A32),"",FQ5/OFFSET(SSTotalCLM!$A$2,MATCH(FQ$29,SSTotalCLM!$A$2:$A$500)+$A32-1,1)-1)</f>
        <v>5.9668583164351752E-3</v>
      </c>
      <c r="FR32" s="9">
        <f ca="1">IF(OR(FR5="",FR$28&lt;$A32),"",FR5/OFFSET(SSTotalCLM!$A$2,MATCH(FR$29,SSTotalCLM!$A$2:$A$500)+$A32-1,1)-1)</f>
        <v>-1.2498305004448818E-2</v>
      </c>
      <c r="FS32" s="9">
        <f ca="1">IF(OR(FS5="",FS$28&lt;$A32),"",FS5/OFFSET(SSTotalCLM!$A$2,MATCH(FS$29,SSTotalCLM!$A$2:$A$500)+$A32-1,1)-1)</f>
        <v>-1.1467202530430876E-2</v>
      </c>
      <c r="FT32" s="9">
        <f ca="1">IF(OR(FT5="",FT$28&lt;$A32),"",FT5/OFFSET(SSTotalCLM!$A$2,MATCH(FT$29,SSTotalCLM!$A$2:$A$500)+$A32-1,1)-1)</f>
        <v>7.7589259027188717E-4</v>
      </c>
      <c r="FU32" s="9">
        <f ca="1">IF(OR(FU5="",FU$28&lt;$A32),"",FU5/OFFSET(SSTotalCLM!$A$2,MATCH(FU$29,SSTotalCLM!$A$2:$A$500)+$A32-1,1)-1)</f>
        <v>-4.3931957009657463E-3</v>
      </c>
      <c r="FV32" s="9">
        <f ca="1">IF(OR(FV5="",FV$28&lt;$A32),"",FV5/OFFSET(SSTotalCLM!$A$2,MATCH(FV$29,SSTotalCLM!$A$2:$A$500)+$A32-1,1)-1)</f>
        <v>9.0328686733531782E-5</v>
      </c>
      <c r="FW32" s="9">
        <f ca="1">IF(OR(FW5="",FW$28&lt;$A32),"",FW5/OFFSET(SSTotalCLM!$A$2,MATCH(FW$29,SSTotalCLM!$A$2:$A$500)+$A32-1,1)-1)</f>
        <v>-2.613950630794637E-2</v>
      </c>
      <c r="FX32" s="9">
        <f ca="1">IF(OR(FX5="",FX$28&lt;$A32),"",FX5/OFFSET(SSTotalCLM!$A$2,MATCH(FX$29,SSTotalCLM!$A$2:$A$500)+$A32-1,1)-1)</f>
        <v>-1.305245253314169E-2</v>
      </c>
      <c r="FY32" s="9">
        <f ca="1">IF(OR(FY5="",FY$28&lt;$A32),"",FY5/OFFSET(SSTotalCLM!$A$2,MATCH(FY$29,SSTotalCLM!$A$2:$A$500)+$A32-1,1)-1)</f>
        <v>-1.1915952914425487E-2</v>
      </c>
      <c r="FZ32" s="9">
        <f ca="1">IF(OR(FZ5="",FZ$28&lt;$A32),"",FZ5/OFFSET(SSTotalCLM!$A$2,MATCH(FZ$29,SSTotalCLM!$A$2:$A$500)+$A32-1,1)-1)</f>
        <v>5.6702327509090544E-3</v>
      </c>
      <c r="GA32" s="9">
        <f ca="1">IF(OR(GA5="",GA$28&lt;$A32),"",GA5/OFFSET(SSTotalCLM!$A$2,MATCH(GA$29,SSTotalCLM!$A$2:$A$500)+$A32-1,1)-1)</f>
        <v>1.6561722739933726E-2</v>
      </c>
      <c r="GB32" s="9">
        <f ca="1">IF(OR(GB5="",GB$28&lt;$A32),"",GB5/OFFSET(SSTotalCLM!$A$2,MATCH(GB$29,SSTotalCLM!$A$2:$A$500)+$A32-1,1)-1)</f>
        <v>1.738578286011494E-2</v>
      </c>
      <c r="GC32" s="9">
        <f ca="1">IF(OR(GC5="",GC$28&lt;$A32),"",GC5/OFFSET(SSTotalCLM!$A$2,MATCH(GC$29,SSTotalCLM!$A$2:$A$500)+$A32-1,1)-1)</f>
        <v>1.3816218905879918E-2</v>
      </c>
      <c r="GD32" s="9">
        <f ca="1">IF(OR(GD5="",GD$28&lt;$A32),"",GD5/OFFSET(SSTotalCLM!$A$2,MATCH(GD$29,SSTotalCLM!$A$2:$A$500)+$A32-1,1)-1)</f>
        <v>1.0496114302695814E-2</v>
      </c>
      <c r="GE32" s="9">
        <f ca="1">IF(OR(GE5="",GE$28&lt;$A32),"",GE5/OFFSET(SSTotalCLM!$A$2,MATCH(GE$29,SSTotalCLM!$A$2:$A$500)+$A32-1,1)-1)</f>
        <v>4.4833170317977178E-3</v>
      </c>
      <c r="GF32" s="9">
        <f ca="1">IF(OR(GF5="",GF$28&lt;$A32),"",GF5/OFFSET(SSTotalCLM!$A$2,MATCH(GF$29,SSTotalCLM!$A$2:$A$500)+$A32-1,1)-1)</f>
        <v>9.3261273188069982E-3</v>
      </c>
      <c r="GG32" s="9">
        <f ca="1">IF(OR(GG5="",GG$28&lt;$A32),"",GG5/OFFSET(SSTotalCLM!$A$2,MATCH(GG$29,SSTotalCLM!$A$2:$A$500)+$A32-1,1)-1)</f>
        <v>6.2901363900775831E-3</v>
      </c>
      <c r="GH32" s="9">
        <f ca="1">IF(OR(GH5="",GH$28&lt;$A32),"",GH5/OFFSET(SSTotalCLM!$A$2,MATCH(GH$29,SSTotalCLM!$A$2:$A$500)+$A32-1,1)-1)</f>
        <v>-4.0220552614321781E-3</v>
      </c>
      <c r="GI32" s="9">
        <f ca="1">IF(OR(GI5="",GI$28&lt;$A32),"",GI5/OFFSET(SSTotalCLM!$A$2,MATCH(GI$29,SSTotalCLM!$A$2:$A$500)+$A32-1,1)-1)</f>
        <v>-8.4334202235472056E-3</v>
      </c>
      <c r="GJ32" s="9">
        <f ca="1">IF(OR(GJ5="",GJ$28&lt;$A32),"",GJ5/OFFSET(SSTotalCLM!$A$2,MATCH(GJ$29,SSTotalCLM!$A$2:$A$500)+$A32-1,1)-1)</f>
        <v>-4.8752546652155448E-3</v>
      </c>
      <c r="GK32" s="9">
        <f ca="1">IF(OR(GK5="",GK$28&lt;$A32),"",GK5/OFFSET(SSTotalCLM!$A$2,MATCH(GK$29,SSTotalCLM!$A$2:$A$500)+$A32-1,1)-1)</f>
        <v>-1.1786254089044546E-3</v>
      </c>
      <c r="GL32" s="9">
        <f ca="1">IF(OR(GL5="",GL$28&lt;$A32),"",GL5/OFFSET(SSTotalCLM!$A$2,MATCH(GL$29,SSTotalCLM!$A$2:$A$500)+$A32-1,1)-1)</f>
        <v>1.7443497366339766E-2</v>
      </c>
      <c r="GM32" s="9">
        <f ca="1">IF(OR(GM5="",GM$28&lt;$A32),"",GM5/OFFSET(SSTotalCLM!$A$2,MATCH(GM$29,SSTotalCLM!$A$2:$A$500)+$A32-1,1)-1)</f>
        <v>4.2746933180871194E-2</v>
      </c>
      <c r="GN32" s="9">
        <f ca="1">IF(OR(GN5="",GN$28&lt;$A32),"",GN5/OFFSET(SSTotalCLM!$A$2,MATCH(GN$29,SSTotalCLM!$A$2:$A$500)+$A32-1,1)-1)</f>
        <v>4.1376091836751616E-2</v>
      </c>
      <c r="GO32" s="9">
        <f ca="1">IF(OR(GO5="",GO$28&lt;$A32),"",GO5/OFFSET(SSTotalCLM!$A$2,MATCH(GO$29,SSTotalCLM!$A$2:$A$500)+$A32-1,1)-1)</f>
        <v>1.5487428803488967E-2</v>
      </c>
      <c r="GP32" s="9">
        <f ca="1">IF(OR(GP5="",GP$28&lt;$A32),"",GP5/OFFSET(SSTotalCLM!$A$2,MATCH(GP$29,SSTotalCLM!$A$2:$A$500)+$A32-1,1)-1)</f>
        <v>-1.6581265889996311E-2</v>
      </c>
      <c r="GQ32" s="9">
        <f ca="1">IF(OR(GQ5="",GQ$28&lt;$A32),"",GQ5/OFFSET(SSTotalCLM!$A$2,MATCH(GQ$29,SSTotalCLM!$A$2:$A$500)+$A32-1,1)-1)</f>
        <v>-2.8824007023117382E-2</v>
      </c>
      <c r="GR32" s="9">
        <f ca="1">IF(OR(GR5="",GR$28&lt;$A32),"",GR5/OFFSET(SSTotalCLM!$A$2,MATCH(GR$29,SSTotalCLM!$A$2:$A$500)+$A32-1,1)-1)</f>
        <v>-2.8654073758214049E-2</v>
      </c>
      <c r="GS32" s="9">
        <f ca="1">IF(OR(GS5="",GS$28&lt;$A32),"",GS5/OFFSET(SSTotalCLM!$A$2,MATCH(GS$29,SSTotalCLM!$A$2:$A$500)+$A32-1,1)-1)</f>
        <v>-1.8151661462323165E-2</v>
      </c>
      <c r="GT32" s="9">
        <f ca="1">IF(OR(GT5="",GT$28&lt;$A32),"",GT5/OFFSET(SSTotalCLM!$A$2,MATCH(GT$29,SSTotalCLM!$A$2:$A$500)+$A32-1,1)-1)</f>
        <v>-1.710363957188743E-2</v>
      </c>
      <c r="GU32" s="9">
        <f ca="1">IF(OR(GU5="",GU$28&lt;$A32),"",GU5/OFFSET(SSTotalCLM!$A$2,MATCH(GU$29,SSTotalCLM!$A$2:$A$500)+$A32-1,1)-1)</f>
        <v>-3.2180225055555844E-3</v>
      </c>
      <c r="GV32" s="9">
        <f ca="1">IF(OR(GV5="",GV$28&lt;$A32),"",GV5/OFFSET(SSTotalCLM!$A$2,MATCH(GV$29,SSTotalCLM!$A$2:$A$500)+$A32-1,1)-1)</f>
        <v>-6.7890448703100681E-4</v>
      </c>
      <c r="GW32" s="9" t="str">
        <f ca="1">IF(OR(GW5="",GW$28&lt;$A32),"",GW5/OFFSET(SSTotalCLM!$A$2,MATCH(GW$29,SSTotalCLM!$A$2:$A$500)+$A32-1,1)-1)</f>
        <v/>
      </c>
      <c r="GX32" s="9" t="str">
        <f ca="1">IF(OR(GX5="",GX$28&lt;$A32),"",GX5/OFFSET(SSTotalCLM!$A$2,MATCH(GX$29,SSTotalCLM!$A$2:$A$500)+$A32-1,1)-1)</f>
        <v/>
      </c>
      <c r="GY32" s="9" t="str">
        <f ca="1">IF(OR(GY5="",GY$28&lt;$A32),"",GY5/OFFSET(SSTotalCLM!$A$2,MATCH(GY$29,SSTotalCLM!$A$2:$A$500)+$A32-1,1)-1)</f>
        <v/>
      </c>
      <c r="GZ32" s="9" t="str">
        <f ca="1">IF(OR(GZ5="",GZ$28&lt;$A32),"",GZ5/OFFSET(SSTotalCLM!$A$2,MATCH(GZ$29,SSTotalCLM!$A$2:$A$500)+$A32-1,1)-1)</f>
        <v/>
      </c>
      <c r="HA32" s="9" t="str">
        <f ca="1">IF(OR(HA5="",HA$28&lt;$A32),"",HA5/OFFSET(SSTotalCLM!$A$2,MATCH(HA$29,SSTotalCLM!$A$2:$A$500)+$A32-1,1)-1)</f>
        <v/>
      </c>
      <c r="HB32" s="9" t="str">
        <f ca="1">IF(OR(HB5="",HB$28&lt;$A32),"",HB5/OFFSET(SSTotalCLM!$A$2,MATCH(HB$29,SSTotalCLM!$A$2:$A$500)+$A32-1,1)-1)</f>
        <v/>
      </c>
      <c r="HC32" s="9" t="str">
        <f ca="1">IF(OR(HC5="",HC$28&lt;$A32),"",HC5/OFFSET(SSTotalCLM!$A$2,MATCH(HC$29,SSTotalCLM!$A$2:$A$500)+$A32-1,1)-1)</f>
        <v/>
      </c>
      <c r="HD32" s="9" t="str">
        <f ca="1">IF(OR(HD5="",HD$28&lt;$A32),"",HD5/OFFSET(SSTotalCLM!$A$2,MATCH(HD$29,SSTotalCLM!$A$2:$A$500)+$A32-1,1)-1)</f>
        <v/>
      </c>
      <c r="HE32" s="9" t="str">
        <f ca="1">IF(OR(HE5="",HE$28&lt;$A32),"",HE5/OFFSET(SSTotalCLM!$A$2,MATCH(HE$29,SSTotalCLM!$A$2:$A$500)+$A32-1,1)-1)</f>
        <v/>
      </c>
      <c r="HF32" s="9" t="str">
        <f ca="1">IF(OR(HF5="",HF$28&lt;$A32),"",HF5/OFFSET(SSTotalCLM!$A$2,MATCH(HF$29,SSTotalCLM!$A$2:$A$500)+$A32-1,1)-1)</f>
        <v/>
      </c>
      <c r="HG32" s="9" t="str">
        <f ca="1">IF(OR(HG5="",HG$28&lt;$A32),"",HG5/OFFSET(SSTotalCLM!$A$2,MATCH(HG$29,SSTotalCLM!$A$2:$A$500)+$A32-1,1)-1)</f>
        <v/>
      </c>
      <c r="HH32" s="9" t="str">
        <f ca="1">IF(OR(HH5="",HH$28&lt;$A32),"",HH5/OFFSET(SSTotalCLM!$A$2,MATCH(HH$29,SSTotalCLM!$A$2:$A$500)+$A32-1,1)-1)</f>
        <v/>
      </c>
      <c r="HI32" s="9" t="str">
        <f ca="1">IF(OR(HI5="",HI$28&lt;$A32),"",HI5/OFFSET(SSTotalCLM!$A$2,MATCH(HI$29,SSTotalCLM!$A$2:$A$500)+$A32-1,1)-1)</f>
        <v/>
      </c>
      <c r="HJ32" s="9" t="str">
        <f ca="1">IF(OR(HJ5="",HJ$28&lt;$A32),"",HJ5/OFFSET(SSTotalCLM!$A$2,MATCH(HJ$29,SSTotalCLM!$A$2:$A$500)+$A32-1,1)-1)</f>
        <v/>
      </c>
      <c r="HK32" s="9" t="str">
        <f ca="1">IF(OR(HK5="",HK$28&lt;$A32),"",HK5/OFFSET(SSTotalCLM!$A$2,MATCH(HK$29,SSTotalCLM!$A$2:$A$500)+$A32-1,1)-1)</f>
        <v/>
      </c>
      <c r="HL32" s="9" t="str">
        <f ca="1">IF(OR(HL5="",HL$28&lt;$A32),"",HL5/OFFSET(SSTotalCLM!$A$2,MATCH(HL$29,SSTotalCLM!$A$2:$A$500)+$A32-1,1)-1)</f>
        <v/>
      </c>
      <c r="HM32" s="9" t="str">
        <f ca="1">IF(OR(HM5="",HM$28&lt;$A32),"",HM5/OFFSET(SSTotalCLM!$A$2,MATCH(HM$29,SSTotalCLM!$A$2:$A$500)+$A32-1,1)-1)</f>
        <v/>
      </c>
      <c r="HN32" s="9" t="str">
        <f ca="1">IF(OR(HN5="",HN$28&lt;$A32),"",HN5/OFFSET(SSTotalCLM!$A$2,MATCH(HN$29,SSTotalCLM!$A$2:$A$500)+$A32-1,1)-1)</f>
        <v/>
      </c>
      <c r="HO32" s="9" t="str">
        <f ca="1">IF(OR(HO5="",HO$28&lt;$A32),"",HO5/OFFSET(SSTotalCLM!$A$2,MATCH(HO$29,SSTotalCLM!$A$2:$A$500)+$A32-1,1)-1)</f>
        <v/>
      </c>
      <c r="HP32" s="9" t="str">
        <f ca="1">IF(OR(HP5="",HP$28&lt;$A32),"",HP5/OFFSET(SSTotalCLM!$A$2,MATCH(HP$29,SSTotalCLM!$A$2:$A$500)+$A32-1,1)-1)</f>
        <v/>
      </c>
      <c r="HQ32" s="9" t="str">
        <f ca="1">IF(OR(HQ5="",HQ$28&lt;$A32),"",HQ5/OFFSET(SSTotalCLM!$A$2,MATCH(HQ$29,SSTotalCLM!$A$2:$A$500)+$A32-1,1)-1)</f>
        <v/>
      </c>
      <c r="HR32" s="9" t="str">
        <f ca="1">IF(OR(HR5="",HR$28&lt;$A32),"",HR5/OFFSET(SSTotalCLM!$A$2,MATCH(HR$29,SSTotalCLM!$A$2:$A$500)+$A32-1,1)-1)</f>
        <v/>
      </c>
      <c r="HS32" s="9" t="str">
        <f ca="1">IF(OR(HS5="",HS$28&lt;$A32),"",HS5/OFFSET(SSTotalCLM!$A$2,MATCH(HS$29,SSTotalCLM!$A$2:$A$500)+$A32-1,1)-1)</f>
        <v/>
      </c>
      <c r="HT32" s="9" t="str">
        <f ca="1">IF(OR(HT5="",HT$28&lt;$A32),"",HT5/OFFSET(SSTotalCLM!$A$2,MATCH(HT$29,SSTotalCLM!$A$2:$A$500)+$A32-1,1)-1)</f>
        <v/>
      </c>
      <c r="HU32" s="9" t="str">
        <f ca="1">IF(OR(HU5="",HU$28&lt;$A32),"",HU5/OFFSET(SSTotalCLM!$A$2,MATCH(HU$29,SSTotalCLM!$A$2:$A$500)+$A32-1,1)-1)</f>
        <v/>
      </c>
      <c r="HV32" s="9" t="str">
        <f ca="1">IF(OR(HV5="",HV$28&lt;$A32),"",HV5/OFFSET(SSTotalCLM!$A$2,MATCH(HV$29,SSTotalCLM!$A$2:$A$500)+$A32-1,1)-1)</f>
        <v/>
      </c>
      <c r="HW32" s="9" t="str">
        <f ca="1">IF(OR(HW5="",HW$28&lt;$A32),"",HW5/OFFSET(SSTotalCLM!$A$2,MATCH(HW$29,SSTotalCLM!$A$2:$A$500)+$A32-1,1)-1)</f>
        <v/>
      </c>
      <c r="HX32" s="9" t="str">
        <f ca="1">IF(OR(HX5="",HX$28&lt;$A32),"",HX5/OFFSET(SSTotalCLM!$A$2,MATCH(HX$29,SSTotalCLM!$A$2:$A$500)+$A32-1,1)-1)</f>
        <v/>
      </c>
      <c r="HY32" s="9" t="str">
        <f ca="1">IF(OR(HY5="",HY$28&lt;$A32),"",HY5/OFFSET(SSTotalCLM!$A$2,MATCH(HY$29,SSTotalCLM!$A$2:$A$500)+$A32-1,1)-1)</f>
        <v/>
      </c>
      <c r="HZ32" s="9" t="str">
        <f ca="1">IF(OR(HZ5="",HZ$28&lt;$A32),"",HZ5/OFFSET(SSTotalCLM!$A$2,MATCH(HZ$29,SSTotalCLM!$A$2:$A$500)+$A32-1,1)-1)</f>
        <v/>
      </c>
      <c r="IA32" s="9" t="str">
        <f ca="1">IF(OR(IA5="",IA$28&lt;$A32),"",IA5/OFFSET(SSTotalCLM!$A$2,MATCH(IA$29,SSTotalCLM!$A$2:$A$500)+$A32-1,1)-1)</f>
        <v/>
      </c>
      <c r="IB32" s="9" t="str">
        <f ca="1">IF(OR(IB5="",IB$28&lt;$A32),"",IB5/OFFSET(SSTotalCLM!$A$2,MATCH(IB$29,SSTotalCLM!$A$2:$A$500)+$A32-1,1)-1)</f>
        <v/>
      </c>
      <c r="IC32" s="9" t="str">
        <f ca="1">IF(OR(IC5="",IC$28&lt;$A32),"",IC5/OFFSET(SSTotalCLM!$A$2,MATCH(IC$29,SSTotalCLM!$A$2:$A$500)+$A32-1,1)-1)</f>
        <v/>
      </c>
      <c r="ID32" s="9" t="str">
        <f ca="1">IF(OR(ID5="",ID$28&lt;$A32),"",ID5/OFFSET(SSTotalCLM!$A$2,MATCH(ID$29,SSTotalCLM!$A$2:$A$500)+$A32-1,1)-1)</f>
        <v/>
      </c>
      <c r="IE32" s="9" t="str">
        <f ca="1">IF(OR(IE5="",IE$28&lt;$A32),"",IE5/OFFSET(SSTotalCLM!$A$2,MATCH(IE$29,SSTotalCLM!$A$2:$A$500)+$A32-1,1)-1)</f>
        <v/>
      </c>
      <c r="IF32" s="9" t="str">
        <f ca="1">IF(OR(IF5="",IF$28&lt;$A32),"",IF5/OFFSET(SSTotalCLM!$A$2,MATCH(IF$29,SSTotalCLM!$A$2:$A$500)+$A32-1,1)-1)</f>
        <v/>
      </c>
      <c r="IG32" s="9" t="str">
        <f ca="1">IF(OR(IG5="",IG$28&lt;$A32),"",IG5/OFFSET(SSTotalCLM!$A$2,MATCH(IG$29,SSTotalCLM!$A$2:$A$500)+$A32-1,1)-1)</f>
        <v/>
      </c>
      <c r="IH32" s="9" t="str">
        <f ca="1">IF(OR(IH5="",IH$28&lt;$A32),"",IH5/OFFSET(SSTotalCLM!$A$2,MATCH(IH$29,SSTotalCLM!$A$2:$A$500)+$A32-1,1)-1)</f>
        <v/>
      </c>
      <c r="II32" s="9" t="str">
        <f ca="1">IF(OR(II5="",II$28&lt;$A32),"",II5/OFFSET(SSTotalCLM!$A$2,MATCH(II$29,SSTotalCLM!$A$2:$A$500)+$A32-1,1)-1)</f>
        <v/>
      </c>
      <c r="IJ32" s="9" t="str">
        <f ca="1">IF(OR(IJ5="",IJ$28&lt;$A32),"",IJ5/OFFSET(SSTotalCLM!$A$2,MATCH(IJ$29,SSTotalCLM!$A$2:$A$500)+$A32-1,1)-1)</f>
        <v/>
      </c>
      <c r="IK32" s="9" t="str">
        <f ca="1">IF(OR(IK5="",IK$28&lt;$A32),"",IK5/OFFSET(SSTotalCLM!$A$2,MATCH(IK$29,SSTotalCLM!$A$2:$A$500)+$A32-1,1)-1)</f>
        <v/>
      </c>
      <c r="IL32" s="9" t="str">
        <f ca="1">IF(OR(IL5="",IL$28&lt;$A32),"",IL5/OFFSET(SSTotalCLM!$A$2,MATCH(IL$29,SSTotalCLM!$A$2:$A$500)+$A32-1,1)-1)</f>
        <v/>
      </c>
      <c r="IM32" s="9" t="str">
        <f ca="1">IF(OR(IM5="",IM$28&lt;$A32),"",IM5/OFFSET(SSTotalCLM!$A$2,MATCH(IM$29,SSTotalCLM!$A$2:$A$500)+$A32-1,1)-1)</f>
        <v/>
      </c>
      <c r="IN32" s="9" t="str">
        <f ca="1">IF(OR(IN5="",IN$28&lt;$A32),"",IN5/OFFSET(SSTotalCLM!$A$2,MATCH(IN$29,SSTotalCLM!$A$2:$A$500)+$A32-1,1)-1)</f>
        <v/>
      </c>
      <c r="IO32" s="9" t="str">
        <f ca="1">IF(OR(IO5="",IO$28&lt;$A32),"",IO5/OFFSET(SSTotalCLM!$A$2,MATCH(IO$29,SSTotalCLM!$A$2:$A$500)+$A32-1,1)-1)</f>
        <v/>
      </c>
      <c r="IP32" s="9" t="str">
        <f ca="1">IF(OR(IP5="",IP$28&lt;$A32),"",IP5/OFFSET(SSTotalCLM!$A$2,MATCH(IP$29,SSTotalCLM!$A$2:$A$500)+$A32-1,1)-1)</f>
        <v/>
      </c>
      <c r="IQ32" s="9" t="str">
        <f ca="1">IF(OR(IQ5="",IQ$28&lt;$A32),"",IQ5/OFFSET(SSTotalCLM!$A$2,MATCH(IQ$29,SSTotalCLM!$A$2:$A$500)+$A32-1,1)-1)</f>
        <v/>
      </c>
      <c r="IR32" s="9" t="str">
        <f ca="1">IF(OR(IR5="",IR$28&lt;$A32),"",IR5/OFFSET(SSTotalCLM!$A$2,MATCH(IR$29,SSTotalCLM!$A$2:$A$500)+$A32-1,1)-1)</f>
        <v/>
      </c>
      <c r="IS32" s="9" t="str">
        <f ca="1">IF(OR(IS5="",IS$28&lt;$A32),"",IS5/OFFSET(SSTotalCLM!$A$2,MATCH(IS$29,SSTotalCLM!$A$2:$A$500)+$A32-1,1)-1)</f>
        <v/>
      </c>
      <c r="IT32" s="9" t="str">
        <f ca="1">IF(OR(IT5="",IT$28&lt;$A32),"",IT5/OFFSET(SSTotalCLM!$A$2,MATCH(IT$29,SSTotalCLM!$A$2:$A$500)+$A32-1,1)-1)</f>
        <v/>
      </c>
      <c r="IU32" s="9" t="str">
        <f ca="1">IF(OR(IU5="",IU$28&lt;$A32),"",IU5/OFFSET(SSTotalCLM!$A$2,MATCH(IU$29,SSTotalCLM!$A$2:$A$500)+$A32-1,1)-1)</f>
        <v/>
      </c>
      <c r="IV32" s="9" t="str">
        <f ca="1">IF(OR(IV5="",IV$28&lt;$A32),"",IV5/OFFSET(SSTotalCLM!$A$2,MATCH(IV$29,SSTotalCLM!$A$2:$A$500)+$A32-1,1)-1)</f>
        <v/>
      </c>
      <c r="IW32" s="9" t="str">
        <f ca="1">IF(OR(IW5="",IW$28&lt;$A32),"",IW5/OFFSET(SSTotalCLM!$A$2,MATCH(IW$29,SSTotalCLM!$A$2:$A$500)+$A32-1,1)-1)</f>
        <v/>
      </c>
      <c r="IX32" s="9" t="str">
        <f ca="1">IF(OR(IX5="",IX$28&lt;$A32),"",IX5/OFFSET(SSTotalCLM!$A$2,MATCH(IX$29,SSTotalCLM!$A$2:$A$500)+$A32-1,1)-1)</f>
        <v/>
      </c>
      <c r="IY32" s="9" t="str">
        <f ca="1">IF(OR(IY5="",IY$28&lt;$A32),"",IY5/OFFSET(SSTotalCLM!$A$2,MATCH(IY$29,SSTotalCLM!$A$2:$A$500)+$A32-1,1)-1)</f>
        <v/>
      </c>
      <c r="IZ32" s="9" t="str">
        <f ca="1">IF(OR(IZ5="",IZ$28&lt;$A32),"",IZ5/OFFSET(SSTotalCLM!$A$2,MATCH(IZ$29,SSTotalCLM!$A$2:$A$500)+$A32-1,1)-1)</f>
        <v/>
      </c>
      <c r="JA32" s="9" t="str">
        <f ca="1">IF(OR(JA5="",JA$28&lt;$A32),"",JA5/OFFSET(SSTotalCLM!$A$2,MATCH(JA$29,SSTotalCLM!$A$2:$A$500)+$A32-1,1)-1)</f>
        <v/>
      </c>
      <c r="JB32" s="9" t="str">
        <f ca="1">IF(OR(JB5="",JB$28&lt;$A32),"",JB5/OFFSET(SSTotalCLM!$A$2,MATCH(JB$29,SSTotalCLM!$A$2:$A$500)+$A32-1,1)-1)</f>
        <v/>
      </c>
      <c r="JC32" s="9" t="str">
        <f ca="1">IF(OR(JC5="",JC$28&lt;$A32),"",JC5/OFFSET(SSTotalCLM!$A$2,MATCH(JC$29,SSTotalCLM!$A$2:$A$500)+$A32-1,1)-1)</f>
        <v/>
      </c>
      <c r="JD32" s="9" t="str">
        <f ca="1">IF(OR(JD5="",JD$28&lt;$A32),"",JD5/OFFSET(SSTotalCLM!$A$2,MATCH(JD$29,SSTotalCLM!$A$2:$A$500)+$A32-1,1)-1)</f>
        <v/>
      </c>
      <c r="JE32" s="9" t="str">
        <f ca="1">IF(OR(JE5="",JE$28&lt;$A32),"",JE5/OFFSET(SSTotalCLM!$A$2,MATCH(JE$29,SSTotalCLM!$A$2:$A$500)+$A32-1,1)-1)</f>
        <v/>
      </c>
      <c r="JF32" s="9" t="str">
        <f ca="1">IF(OR(JF5="",JF$28&lt;$A32),"",JF5/OFFSET(SSTotalCLM!$A$2,MATCH(JF$29,SSTotalCLM!$A$2:$A$500)+$A32-1,1)-1)</f>
        <v/>
      </c>
      <c r="JG32" s="9" t="str">
        <f ca="1">IF(OR(JG5="",JG$28&lt;$A32),"",JG5/OFFSET(SSTotalCLM!$A$2,MATCH(JG$29,SSTotalCLM!$A$2:$A$500)+$A32-1,1)-1)</f>
        <v/>
      </c>
      <c r="JH32" s="9" t="str">
        <f ca="1">IF(OR(JH5="",JH$28&lt;$A32),"",JH5/OFFSET(SSTotalCLM!$A$2,MATCH(JH$29,SSTotalCLM!$A$2:$A$500)+$A32-1,1)-1)</f>
        <v/>
      </c>
      <c r="JI32" s="13">
        <f t="shared" ca="1" si="13"/>
        <v>-1.022144427336065E-4</v>
      </c>
      <c r="JJ32" s="13">
        <f t="shared" ca="1" si="14"/>
        <v>-9.2876494796773068E-4</v>
      </c>
      <c r="JK32" s="14">
        <f t="shared" ca="1" si="15"/>
        <v>2.8595144530730178E-4</v>
      </c>
      <c r="JL32" s="17">
        <f t="shared" ca="1" si="18"/>
        <v>1.691009891476989E-2</v>
      </c>
      <c r="JM32" s="15" t="str">
        <f t="shared" ca="1" si="16"/>
        <v>[ -3,39% ; 3,37% ]</v>
      </c>
      <c r="JN32" s="17">
        <f t="shared" ca="1" si="17"/>
        <v>2.164492661090546E-2</v>
      </c>
      <c r="LY32" s="1"/>
    </row>
    <row r="33" spans="1:337" x14ac:dyDescent="0.25">
      <c r="A33" s="4">
        <v>4</v>
      </c>
      <c r="B33" s="9">
        <f ca="1">IF(OR(B6="",B$28&lt;$A33),"",B6/OFFSET(SSTotalCLM!$A$2,MATCH(B$29,SSTotalCLM!$A$2:$A$500)+$A33-1,1)-1)</f>
        <v>6.9887897498954743E-4</v>
      </c>
      <c r="C33" s="9">
        <f ca="1">IF(OR(C6="",C$28&lt;$A33),"",C6/OFFSET(SSTotalCLM!$A$2,MATCH(C$29,SSTotalCLM!$A$2:$A$500)+$A33-1,1)-1)</f>
        <v>-3.5348857565035141E-3</v>
      </c>
      <c r="D33" s="9">
        <f ca="1">IF(OR(D6="",D$28&lt;$A33),"",D6/OFFSET(SSTotalCLM!$A$2,MATCH(D$29,SSTotalCLM!$A$2:$A$500)+$A33-1,1)-1)</f>
        <v>-8.4291757357163322E-3</v>
      </c>
      <c r="E33" s="9">
        <f ca="1">IF(OR(E6="",E$28&lt;$A33),"",E6/OFFSET(SSTotalCLM!$A$2,MATCH(E$29,SSTotalCLM!$A$2:$A$500)+$A33-1,1)-1)</f>
        <v>-1.4576769694479297E-2</v>
      </c>
      <c r="F33" s="9">
        <f ca="1">IF(OR(F6="",F$28&lt;$A33),"",F6/OFFSET(SSTotalCLM!$A$2,MATCH(F$29,SSTotalCLM!$A$2:$A$500)+$A33-1,1)-1)</f>
        <v>-1.8333773681728394E-2</v>
      </c>
      <c r="G33" s="9">
        <f ca="1">IF(OR(G6="",G$28&lt;$A33),"",G6/OFFSET(SSTotalCLM!$A$2,MATCH(G$29,SSTotalCLM!$A$2:$A$500)+$A33-1,1)-1)</f>
        <v>-1.4462249819041428E-2</v>
      </c>
      <c r="H33" s="9">
        <f ca="1">IF(OR(H6="",H$28&lt;$A33),"",H6/OFFSET(SSTotalCLM!$A$2,MATCH(H$29,SSTotalCLM!$A$2:$A$500)+$A33-1,1)-1)</f>
        <v>-1.2748241622112744E-2</v>
      </c>
      <c r="I33" s="9">
        <f ca="1">IF(OR(I6="",I$28&lt;$A33),"",I6/OFFSET(SSTotalCLM!$A$2,MATCH(I$29,SSTotalCLM!$A$2:$A$500)+$A33-1,1)-1)</f>
        <v>-3.8787104989037591E-3</v>
      </c>
      <c r="J33" s="9">
        <f ca="1">IF(OR(J6="",J$28&lt;$A33),"",J6/OFFSET(SSTotalCLM!$A$2,MATCH(J$29,SSTotalCLM!$A$2:$A$500)+$A33-1,1)-1)</f>
        <v>-1.2702757147512456E-2</v>
      </c>
      <c r="K33" s="9">
        <f ca="1">IF(OR(K6="",K$28&lt;$A33),"",K6/OFFSET(SSTotalCLM!$A$2,MATCH(K$29,SSTotalCLM!$A$2:$A$500)+$A33-1,1)-1)</f>
        <v>5.7111493129304858E-3</v>
      </c>
      <c r="L33" s="9">
        <f ca="1">IF(OR(L6="",L$28&lt;$A33),"",L6/OFFSET(SSTotalCLM!$A$2,MATCH(L$29,SSTotalCLM!$A$2:$A$500)+$A33-1,1)-1)</f>
        <v>4.8448916742720449E-3</v>
      </c>
      <c r="M33" s="9">
        <f ca="1">IF(OR(M6="",M$28&lt;$A33),"",M6/OFFSET(SSTotalCLM!$A$2,MATCH(M$29,SSTotalCLM!$A$2:$A$500)+$A33-1,1)-1)</f>
        <v>-3.4515985076088995E-4</v>
      </c>
      <c r="N33" s="9">
        <f ca="1">IF(OR(N6="",N$28&lt;$A33),"",N6/OFFSET(SSTotalCLM!$A$2,MATCH(N$29,SSTotalCLM!$A$2:$A$500)+$A33-1,1)-1)</f>
        <v>1.2376516077279298E-3</v>
      </c>
      <c r="O33" s="9">
        <f ca="1">IF(OR(O6="",O$28&lt;$A33),"",O6/OFFSET(SSTotalCLM!$A$2,MATCH(O$29,SSTotalCLM!$A$2:$A$500)+$A33-1,1)-1)</f>
        <v>-1.0963355091668903E-2</v>
      </c>
      <c r="P33" s="9">
        <f ca="1">IF(OR(P6="",P$28&lt;$A33),"",P6/OFFSET(SSTotalCLM!$A$2,MATCH(P$29,SSTotalCLM!$A$2:$A$500)+$A33-1,1)-1)</f>
        <v>-2.1709259625307786E-2</v>
      </c>
      <c r="Q33" s="9">
        <f ca="1">IF(OR(Q6="",Q$28&lt;$A33),"",Q6/OFFSET(SSTotalCLM!$A$2,MATCH(Q$29,SSTotalCLM!$A$2:$A$500)+$A33-1,1)-1)</f>
        <v>-2.8749260314999914E-2</v>
      </c>
      <c r="R33" s="9">
        <f ca="1">IF(OR(R6="",R$28&lt;$A33),"",R6/OFFSET(SSTotalCLM!$A$2,MATCH(R$29,SSTotalCLM!$A$2:$A$500)+$A33-1,1)-1)</f>
        <v>-2.8297472745241192E-2</v>
      </c>
      <c r="S33" s="9">
        <f ca="1">IF(OR(S6="",S$28&lt;$A33),"",S6/OFFSET(SSTotalCLM!$A$2,MATCH(S$29,SSTotalCLM!$A$2:$A$500)+$A33-1,1)-1)</f>
        <v>-1.9998846304166373E-2</v>
      </c>
      <c r="T33" s="9">
        <f ca="1">IF(OR(T6="",T$28&lt;$A33),"",T6/OFFSET(SSTotalCLM!$A$2,MATCH(T$29,SSTotalCLM!$A$2:$A$500)+$A33-1,1)-1)</f>
        <v>-1.1037320181047083E-2</v>
      </c>
      <c r="U33" s="9">
        <f ca="1">IF(OR(U6="",U$28&lt;$A33),"",U6/OFFSET(SSTotalCLM!$A$2,MATCH(U$29,SSTotalCLM!$A$2:$A$500)+$A33-1,1)-1)</f>
        <v>-1.2769335534327242E-3</v>
      </c>
      <c r="V33" s="9">
        <f ca="1">IF(OR(V6="",V$28&lt;$A33),"",V6/OFFSET(SSTotalCLM!$A$2,MATCH(V$29,SSTotalCLM!$A$2:$A$500)+$A33-1,1)-1)</f>
        <v>-8.6910411737243232E-3</v>
      </c>
      <c r="W33" s="9">
        <f ca="1">IF(OR(W6="",W$28&lt;$A33),"",W6/OFFSET(SSTotalCLM!$A$2,MATCH(W$29,SSTotalCLM!$A$2:$A$500)+$A33-1,1)-1)</f>
        <v>-6.6285504869419976E-3</v>
      </c>
      <c r="X33" s="9">
        <f ca="1">IF(OR(X6="",X$28&lt;$A33),"",X6/OFFSET(SSTotalCLM!$A$2,MATCH(X$29,SSTotalCLM!$A$2:$A$500)+$A33-1,1)-1)</f>
        <v>-5.505308731147962E-3</v>
      </c>
      <c r="Y33" s="9">
        <f ca="1">IF(OR(Y6="",Y$28&lt;$A33),"",Y6/OFFSET(SSTotalCLM!$A$2,MATCH(Y$29,SSTotalCLM!$A$2:$A$500)+$A33-1,1)-1)</f>
        <v>-2.4440495064651513E-3</v>
      </c>
      <c r="Z33" s="9">
        <f ca="1">IF(OR(Z6="",Z$28&lt;$A33),"",Z6/OFFSET(SSTotalCLM!$A$2,MATCH(Z$29,SSTotalCLM!$A$2:$A$500)+$A33-1,1)-1)</f>
        <v>6.9822275252005017E-3</v>
      </c>
      <c r="AA33" s="9">
        <f ca="1">IF(OR(AA6="",AA$28&lt;$A33),"",AA6/OFFSET(SSTotalCLM!$A$2,MATCH(AA$29,SSTotalCLM!$A$2:$A$500)+$A33-1,1)-1)</f>
        <v>6.5784640214792134E-3</v>
      </c>
      <c r="AB33" s="9">
        <f ca="1">IF(OR(AB6="",AB$28&lt;$A33),"",AB6/OFFSET(SSTotalCLM!$A$2,MATCH(AB$29,SSTotalCLM!$A$2:$A$500)+$A33-1,1)-1)</f>
        <v>1.4293975591021857E-2</v>
      </c>
      <c r="AC33" s="9">
        <f ca="1">IF(OR(AC6="",AC$28&lt;$A33),"",AC6/OFFSET(SSTotalCLM!$A$2,MATCH(AC$29,SSTotalCLM!$A$2:$A$500)+$A33-1,1)-1)</f>
        <v>2.3883144026008774E-2</v>
      </c>
      <c r="AD33" s="9">
        <f ca="1">IF(OR(AD6="",AD$28&lt;$A33),"",AD6/OFFSET(SSTotalCLM!$A$2,MATCH(AD$29,SSTotalCLM!$A$2:$A$500)+$A33-1,1)-1)</f>
        <v>1.9853310327781371E-2</v>
      </c>
      <c r="AE33" s="9">
        <f ca="1">IF(OR(AE6="",AE$28&lt;$A33),"",AE6/OFFSET(SSTotalCLM!$A$2,MATCH(AE$29,SSTotalCLM!$A$2:$A$500)+$A33-1,1)-1)</f>
        <v>1.9933449495388222E-2</v>
      </c>
      <c r="AF33" s="9">
        <f ca="1">IF(OR(AF6="",AF$28&lt;$A33),"",AF6/OFFSET(SSTotalCLM!$A$2,MATCH(AF$29,SSTotalCLM!$A$2:$A$500)+$A33-1,1)-1)</f>
        <v>8.8456708088588965E-3</v>
      </c>
      <c r="AG33" s="9">
        <f ca="1">IF(OR(AG6="",AG$28&lt;$A33),"",AG6/OFFSET(SSTotalCLM!$A$2,MATCH(AG$29,SSTotalCLM!$A$2:$A$500)+$A33-1,1)-1)</f>
        <v>1.7669703520484248E-3</v>
      </c>
      <c r="AH33" s="9">
        <f ca="1">IF(OR(AH6="",AH$28&lt;$A33),"",AH6/OFFSET(SSTotalCLM!$A$2,MATCH(AH$29,SSTotalCLM!$A$2:$A$500)+$A33-1,1)-1)</f>
        <v>-8.3640564705145248E-3</v>
      </c>
      <c r="AI33" s="9">
        <f ca="1">IF(OR(AI6="",AI$28&lt;$A33),"",AI6/OFFSET(SSTotalCLM!$A$2,MATCH(AI$29,SSTotalCLM!$A$2:$A$500)+$A33-1,1)-1)</f>
        <v>-8.5760501685732127E-3</v>
      </c>
      <c r="AJ33" s="9">
        <f ca="1">IF(OR(AJ6="",AJ$28&lt;$A33),"",AJ6/OFFSET(SSTotalCLM!$A$2,MATCH(AJ$29,SSTotalCLM!$A$2:$A$500)+$A33-1,1)-1)</f>
        <v>-9.1041283125620209E-3</v>
      </c>
      <c r="AK33" s="9">
        <f ca="1">IF(OR(AK6="",AK$28&lt;$A33),"",AK6/OFFSET(SSTotalCLM!$A$2,MATCH(AK$29,SSTotalCLM!$A$2:$A$500)+$A33-1,1)-1)</f>
        <v>-1.1319088923557596E-2</v>
      </c>
      <c r="AL33" s="9">
        <f ca="1">IF(OR(AL6="",AL$28&lt;$A33),"",AL6/OFFSET(SSTotalCLM!$A$2,MATCH(AL$29,SSTotalCLM!$A$2:$A$500)+$A33-1,1)-1)</f>
        <v>-5.4147380339963913E-3</v>
      </c>
      <c r="AM33" s="9">
        <f ca="1">IF(OR(AM6="",AM$28&lt;$A33),"",AM6/OFFSET(SSTotalCLM!$A$2,MATCH(AM$29,SSTotalCLM!$A$2:$A$500)+$A33-1,1)-1)</f>
        <v>-3.8707090678078426E-3</v>
      </c>
      <c r="AN33" s="9">
        <f ca="1">IF(OR(AN6="",AN$28&lt;$A33),"",AN6/OFFSET(SSTotalCLM!$A$2,MATCH(AN$29,SSTotalCLM!$A$2:$A$500)+$A33-1,1)-1)</f>
        <v>2.7660356294270105E-3</v>
      </c>
      <c r="AO33" s="9">
        <f ca="1">IF(OR(AO6="",AO$28&lt;$A33),"",AO6/OFFSET(SSTotalCLM!$A$2,MATCH(AO$29,SSTotalCLM!$A$2:$A$500)+$A33-1,1)-1)</f>
        <v>4.7418744869747176E-3</v>
      </c>
      <c r="AP33" s="9">
        <f ca="1">IF(OR(AP6="",AP$28&lt;$A33),"",AP6/OFFSET(SSTotalCLM!$A$2,MATCH(AP$29,SSTotalCLM!$A$2:$A$500)+$A33-1,1)-1)</f>
        <v>8.2919514815420481E-3</v>
      </c>
      <c r="AQ33" s="9">
        <f ca="1">IF(OR(AQ6="",AQ$28&lt;$A33),"",AQ6/OFFSET(SSTotalCLM!$A$2,MATCH(AQ$29,SSTotalCLM!$A$2:$A$500)+$A33-1,1)-1)</f>
        <v>8.4028131137396933E-3</v>
      </c>
      <c r="AR33" s="9">
        <f ca="1">IF(OR(AR6="",AR$28&lt;$A33),"",AR6/OFFSET(SSTotalCLM!$A$2,MATCH(AR$29,SSTotalCLM!$A$2:$A$500)+$A33-1,1)-1)</f>
        <v>-1.423906978213263E-3</v>
      </c>
      <c r="AS33" s="9">
        <f ca="1">IF(OR(AS6="",AS$28&lt;$A33),"",AS6/OFFSET(SSTotalCLM!$A$2,MATCH(AS$29,SSTotalCLM!$A$2:$A$500)+$A33-1,1)-1)</f>
        <v>-1.3189001050142313E-3</v>
      </c>
      <c r="AT33" s="9">
        <f ca="1">IF(OR(AT6="",AT$28&lt;$A33),"",AT6/OFFSET(SSTotalCLM!$A$2,MATCH(AT$29,SSTotalCLM!$A$2:$A$500)+$A33-1,1)-1)</f>
        <v>-7.8383691674117628E-3</v>
      </c>
      <c r="AU33" s="9">
        <f ca="1">IF(OR(AU6="",AU$28&lt;$A33),"",AU6/OFFSET(SSTotalCLM!$A$2,MATCH(AU$29,SSTotalCLM!$A$2:$A$500)+$A33-1,1)-1)</f>
        <v>-1.0673683036909187E-3</v>
      </c>
      <c r="AV33" s="9">
        <f ca="1">IF(OR(AV6="",AV$28&lt;$A33),"",AV6/OFFSET(SSTotalCLM!$A$2,MATCH(AV$29,SSTotalCLM!$A$2:$A$500)+$A33-1,1)-1)</f>
        <v>8.5541910539308486E-3</v>
      </c>
      <c r="AW33" s="9">
        <f ca="1">IF(OR(AW6="",AW$28&lt;$A33),"",AW6/OFFSET(SSTotalCLM!$A$2,MATCH(AW$29,SSTotalCLM!$A$2:$A$500)+$A33-1,1)-1)</f>
        <v>1.4274661562255542E-2</v>
      </c>
      <c r="AX33" s="9">
        <f ca="1">IF(OR(AX6="",AX$28&lt;$A33),"",AX6/OFFSET(SSTotalCLM!$A$2,MATCH(AX$29,SSTotalCLM!$A$2:$A$500)+$A33-1,1)-1)</f>
        <v>2.0851240486300382E-2</v>
      </c>
      <c r="AY33" s="9">
        <f ca="1">IF(OR(AY6="",AY$28&lt;$A33),"",AY6/OFFSET(SSTotalCLM!$A$2,MATCH(AY$29,SSTotalCLM!$A$2:$A$500)+$A33-1,1)-1)</f>
        <v>2.353864111511017E-2</v>
      </c>
      <c r="AZ33" s="9">
        <f ca="1">IF(OR(AZ6="",AZ$28&lt;$A33),"",AZ6/OFFSET(SSTotalCLM!$A$2,MATCH(AZ$29,SSTotalCLM!$A$2:$A$500)+$A33-1,1)-1)</f>
        <v>2.8081893450791151E-2</v>
      </c>
      <c r="BA33" s="9">
        <f ca="1">IF(OR(BA6="",BA$28&lt;$A33),"",BA6/OFFSET(SSTotalCLM!$A$2,MATCH(BA$29,SSTotalCLM!$A$2:$A$500)+$A33-1,1)-1)</f>
        <v>2.8645602481561783E-2</v>
      </c>
      <c r="BB33" s="9">
        <f ca="1">IF(OR(BB6="",BB$28&lt;$A33),"",BB6/OFFSET(SSTotalCLM!$A$2,MATCH(BB$29,SSTotalCLM!$A$2:$A$500)+$A33-1,1)-1)</f>
        <v>3.2375019677823635E-2</v>
      </c>
      <c r="BC33" s="9">
        <f ca="1">IF(OR(BC6="",BC$28&lt;$A33),"",BC6/OFFSET(SSTotalCLM!$A$2,MATCH(BC$29,SSTotalCLM!$A$2:$A$500)+$A33-1,1)-1)</f>
        <v>2.7734912791185229E-2</v>
      </c>
      <c r="BD33" s="9">
        <f ca="1">IF(OR(BD6="",BD$28&lt;$A33),"",BD6/OFFSET(SSTotalCLM!$A$2,MATCH(BD$29,SSTotalCLM!$A$2:$A$500)+$A33-1,1)-1)</f>
        <v>1.9392376500091624E-2</v>
      </c>
      <c r="BE33" s="9">
        <f ca="1">IF(OR(BE6="",BE$28&lt;$A33),"",BE6/OFFSET(SSTotalCLM!$A$2,MATCH(BE$29,SSTotalCLM!$A$2:$A$500)+$A33-1,1)-1)</f>
        <v>3.2768023352114151E-2</v>
      </c>
      <c r="BF33" s="9">
        <f ca="1">IF(OR(BF6="",BF$28&lt;$A33),"",BF6/OFFSET(SSTotalCLM!$A$2,MATCH(BF$29,SSTotalCLM!$A$2:$A$500)+$A33-1,1)-1)</f>
        <v>1.8033155878126816E-2</v>
      </c>
      <c r="BG33" s="9">
        <f ca="1">IF(OR(BG6="",BG$28&lt;$A33),"",BG6/OFFSET(SSTotalCLM!$A$2,MATCH(BG$29,SSTotalCLM!$A$2:$A$500)+$A33-1,1)-1)</f>
        <v>3.074584957250881E-2</v>
      </c>
      <c r="BH33" s="9">
        <f ca="1">IF(OR(BH6="",BH$28&lt;$A33),"",BH6/OFFSET(SSTotalCLM!$A$2,MATCH(BH$29,SSTotalCLM!$A$2:$A$500)+$A33-1,1)-1)</f>
        <v>4.3787705648256514E-2</v>
      </c>
      <c r="BI33" s="9">
        <f ca="1">IF(OR(BI6="",BI$28&lt;$A33),"",BI6/OFFSET(SSTotalCLM!$A$2,MATCH(BI$29,SSTotalCLM!$A$2:$A$500)+$A33-1,1)-1)</f>
        <v>2.6339702651982488E-2</v>
      </c>
      <c r="BJ33" s="9">
        <f ca="1">IF(OR(BJ6="",BJ$28&lt;$A33),"",BJ6/OFFSET(SSTotalCLM!$A$2,MATCH(BJ$29,SSTotalCLM!$A$2:$A$500)+$A33-1,1)-1)</f>
        <v>1.7818042024656311E-2</v>
      </c>
      <c r="BK33" s="9">
        <f ca="1">IF(OR(BK6="",BK$28&lt;$A33),"",BK6/OFFSET(SSTotalCLM!$A$2,MATCH(BK$29,SSTotalCLM!$A$2:$A$500)+$A33-1,1)-1)</f>
        <v>1.2784549528579436E-3</v>
      </c>
      <c r="BL33" s="9">
        <f ca="1">IF(OR(BL6="",BL$28&lt;$A33),"",BL6/OFFSET(SSTotalCLM!$A$2,MATCH(BL$29,SSTotalCLM!$A$2:$A$500)+$A33-1,1)-1)</f>
        <v>-1.3305871917099643E-2</v>
      </c>
      <c r="BM33" s="9">
        <f ca="1">IF(OR(BM6="",BM$28&lt;$A33),"",BM6/OFFSET(SSTotalCLM!$A$2,MATCH(BM$29,SSTotalCLM!$A$2:$A$500)+$A33-1,1)-1)</f>
        <v>-3.1920741084110693E-2</v>
      </c>
      <c r="BN33" s="9">
        <f ca="1">IF(OR(BN6="",BN$28&lt;$A33),"",BN6/OFFSET(SSTotalCLM!$A$2,MATCH(BN$29,SSTotalCLM!$A$2:$A$500)+$A33-1,1)-1)</f>
        <v>-3.2287080495847498E-2</v>
      </c>
      <c r="BO33" s="9">
        <f ca="1">IF(OR(BO6="",BO$28&lt;$A33),"",BO6/OFFSET(SSTotalCLM!$A$2,MATCH(BO$29,SSTotalCLM!$A$2:$A$500)+$A33-1,1)-1)</f>
        <v>-4.2226115904561712E-2</v>
      </c>
      <c r="BP33" s="9">
        <f ca="1">IF(OR(BP6="",BP$28&lt;$A33),"",BP6/OFFSET(SSTotalCLM!$A$2,MATCH(BP$29,SSTotalCLM!$A$2:$A$500)+$A33-1,1)-1)</f>
        <v>-2.7325371150039302E-2</v>
      </c>
      <c r="BQ33" s="9">
        <f ca="1">IF(OR(BQ6="",BQ$28&lt;$A33),"",BQ6/OFFSET(SSTotalCLM!$A$2,MATCH(BQ$29,SSTotalCLM!$A$2:$A$500)+$A33-1,1)-1)</f>
        <v>-2.0125350634600192E-2</v>
      </c>
      <c r="BR33" s="9">
        <f ca="1">IF(OR(BR6="",BR$28&lt;$A33),"",BR6/OFFSET(SSTotalCLM!$A$2,MATCH(BR$29,SSTotalCLM!$A$2:$A$500)+$A33-1,1)-1)</f>
        <v>-2.2248470256832631E-2</v>
      </c>
      <c r="BS33" s="9">
        <f ca="1">IF(OR(BS6="",BS$28&lt;$A33),"",BS6/OFFSET(SSTotalCLM!$A$2,MATCH(BS$29,SSTotalCLM!$A$2:$A$500)+$A33-1,1)-1)</f>
        <v>2.1654738003596075E-2</v>
      </c>
      <c r="BT33" s="9">
        <f ca="1">IF(OR(BT6="",BT$28&lt;$A33),"",BT6/OFFSET(SSTotalCLM!$A$2,MATCH(BT$29,SSTotalCLM!$A$2:$A$500)+$A33-1,1)-1)</f>
        <v>9.1602777611259345E-3</v>
      </c>
      <c r="BU33" s="9">
        <f ca="1">IF(OR(BU6="",BU$28&lt;$A33),"",BU6/OFFSET(SSTotalCLM!$A$2,MATCH(BU$29,SSTotalCLM!$A$2:$A$500)+$A33-1,1)-1)</f>
        <v>1.0166802589994806E-3</v>
      </c>
      <c r="BV33" s="9">
        <f ca="1">IF(OR(BV6="",BV$28&lt;$A33),"",BV6/OFFSET(SSTotalCLM!$A$2,MATCH(BV$29,SSTotalCLM!$A$2:$A$500)+$A33-1,1)-1)</f>
        <v>1.7325237824612483E-2</v>
      </c>
      <c r="BW33" s="9">
        <f ca="1">IF(OR(BW6="",BW$28&lt;$A33),"",BW6/OFFSET(SSTotalCLM!$A$2,MATCH(BW$29,SSTotalCLM!$A$2:$A$500)+$A33-1,1)-1)</f>
        <v>7.8674914409155861E-3</v>
      </c>
      <c r="BX33" s="9">
        <f ca="1">IF(OR(BX6="",BX$28&lt;$A33),"",BX6/OFFSET(SSTotalCLM!$A$2,MATCH(BX$29,SSTotalCLM!$A$2:$A$500)+$A33-1,1)-1)</f>
        <v>9.4945126562893112E-3</v>
      </c>
      <c r="BY33" s="9">
        <f ca="1">IF(OR(BY6="",BY$28&lt;$A33),"",BY6/OFFSET(SSTotalCLM!$A$2,MATCH(BY$29,SSTotalCLM!$A$2:$A$500)+$A33-1,1)-1)</f>
        <v>7.7981028830771404E-3</v>
      </c>
      <c r="BZ33" s="9">
        <f ca="1">IF(OR(BZ6="",BZ$28&lt;$A33),"",BZ6/OFFSET(SSTotalCLM!$A$2,MATCH(BZ$29,SSTotalCLM!$A$2:$A$500)+$A33-1,1)-1)</f>
        <v>1.4337551256280445E-3</v>
      </c>
      <c r="CA33" s="9">
        <f ca="1">IF(OR(CA6="",CA$28&lt;$A33),"",CA6/OFFSET(SSTotalCLM!$A$2,MATCH(CA$29,SSTotalCLM!$A$2:$A$500)+$A33-1,1)-1)</f>
        <v>-1.0394485342862136E-2</v>
      </c>
      <c r="CB33" s="9">
        <f ca="1">IF(OR(CB6="",CB$28&lt;$A33),"",CB6/OFFSET(SSTotalCLM!$A$2,MATCH(CB$29,SSTotalCLM!$A$2:$A$500)+$A33-1,1)-1)</f>
        <v>-1.2822500793237546E-2</v>
      </c>
      <c r="CC33" s="9">
        <f ca="1">IF(OR(CC6="",CC$28&lt;$A33),"",CC6/OFFSET(SSTotalCLM!$A$2,MATCH(CC$29,SSTotalCLM!$A$2:$A$500)+$A33-1,1)-1)</f>
        <v>-1.8985029281309851E-3</v>
      </c>
      <c r="CD33" s="9">
        <f ca="1">IF(OR(CD6="",CD$28&lt;$A33),"",CD6/OFFSET(SSTotalCLM!$A$2,MATCH(CD$29,SSTotalCLM!$A$2:$A$500)+$A33-1,1)-1)</f>
        <v>-4.9029589925881911E-3</v>
      </c>
      <c r="CE33" s="9">
        <f ca="1">IF(OR(CE6="",CE$28&lt;$A33),"",CE6/OFFSET(SSTotalCLM!$A$2,MATCH(CE$29,SSTotalCLM!$A$2:$A$500)+$A33-1,1)-1)</f>
        <v>9.518248245805383E-3</v>
      </c>
      <c r="CF33" s="9">
        <f ca="1">IF(OR(CF6="",CF$28&lt;$A33),"",CF6/OFFSET(SSTotalCLM!$A$2,MATCH(CF$29,SSTotalCLM!$A$2:$A$500)+$A33-1,1)-1)</f>
        <v>2.382336002600316E-2</v>
      </c>
      <c r="CG33" s="9">
        <f ca="1">IF(OR(CG6="",CG$28&lt;$A33),"",CG6/OFFSET(SSTotalCLM!$A$2,MATCH(CG$29,SSTotalCLM!$A$2:$A$500)+$A33-1,1)-1)</f>
        <v>5.5082041645526658E-3</v>
      </c>
      <c r="CH33" s="9">
        <f ca="1">IF(OR(CH6="",CH$28&lt;$A33),"",CH6/OFFSET(SSTotalCLM!$A$2,MATCH(CH$29,SSTotalCLM!$A$2:$A$500)+$A33-1,1)-1)</f>
        <v>4.918739161279051E-3</v>
      </c>
      <c r="CI33" s="9">
        <f ca="1">IF(OR(CI6="",CI$28&lt;$A33),"",CI6/OFFSET(SSTotalCLM!$A$2,MATCH(CI$29,SSTotalCLM!$A$2:$A$500)+$A33-1,1)-1)</f>
        <v>7.6759722826502674E-3</v>
      </c>
      <c r="CJ33" s="9">
        <f ca="1">IF(OR(CJ6="",CJ$28&lt;$A33),"",CJ6/OFFSET(SSTotalCLM!$A$2,MATCH(CJ$29,SSTotalCLM!$A$2:$A$500)+$A33-1,1)-1)</f>
        <v>1.2341241458562191E-3</v>
      </c>
      <c r="CK33" s="9">
        <f ca="1">IF(OR(CK6="",CK$28&lt;$A33),"",CK6/OFFSET(SSTotalCLM!$A$2,MATCH(CK$29,SSTotalCLM!$A$2:$A$500)+$A33-1,1)-1)</f>
        <v>4.8650468254947121E-3</v>
      </c>
      <c r="CL33" s="9">
        <f ca="1">IF(OR(CL6="",CL$28&lt;$A33),"",CL6/OFFSET(SSTotalCLM!$A$2,MATCH(CL$29,SSTotalCLM!$A$2:$A$500)+$A33-1,1)-1)</f>
        <v>8.2817272041622036E-3</v>
      </c>
      <c r="CM33" s="9">
        <f ca="1">IF(OR(CM6="",CM$28&lt;$A33),"",CM6/OFFSET(SSTotalCLM!$A$2,MATCH(CM$29,SSTotalCLM!$A$2:$A$500)+$A33-1,1)-1)</f>
        <v>2.2793585269607064E-3</v>
      </c>
      <c r="CN33" s="9">
        <f ca="1">IF(OR(CN6="",CN$28&lt;$A33),"",CN6/OFFSET(SSTotalCLM!$A$2,MATCH(CN$29,SSTotalCLM!$A$2:$A$500)+$A33-1,1)-1)</f>
        <v>2.0927742575312935E-2</v>
      </c>
      <c r="CO33" s="9">
        <f ca="1">IF(OR(CO6="",CO$28&lt;$A33),"",CO6/OFFSET(SSTotalCLM!$A$2,MATCH(CO$29,SSTotalCLM!$A$2:$A$500)+$A33-1,1)-1)</f>
        <v>1.5404239098434358E-2</v>
      </c>
      <c r="CP33" s="9">
        <f ca="1">IF(OR(CP6="",CP$28&lt;$A33),"",CP6/OFFSET(SSTotalCLM!$A$2,MATCH(CP$29,SSTotalCLM!$A$2:$A$500)+$A33-1,1)-1)</f>
        <v>6.373773022099849E-3</v>
      </c>
      <c r="CQ33" s="9">
        <f ca="1">IF(OR(CQ6="",CQ$28&lt;$A33),"",CQ6/OFFSET(SSTotalCLM!$A$2,MATCH(CQ$29,SSTotalCLM!$A$2:$A$500)+$A33-1,1)-1)</f>
        <v>3.1238462910477605E-2</v>
      </c>
      <c r="CR33" s="9">
        <f ca="1">IF(OR(CR6="",CR$28&lt;$A33),"",CR6/OFFSET(SSTotalCLM!$A$2,MATCH(CR$29,SSTotalCLM!$A$2:$A$500)+$A33-1,1)-1)</f>
        <v>1.7069426721897818E-2</v>
      </c>
      <c r="CS33" s="9">
        <f ca="1">IF(OR(CS6="",CS$28&lt;$A33),"",CS6/OFFSET(SSTotalCLM!$A$2,MATCH(CS$29,SSTotalCLM!$A$2:$A$500)+$A33-1,1)-1)</f>
        <v>7.983094865358753E-3</v>
      </c>
      <c r="CT33" s="9">
        <f ca="1">IF(OR(CT6="",CT$28&lt;$A33),"",CT6/OFFSET(SSTotalCLM!$A$2,MATCH(CT$29,SSTotalCLM!$A$2:$A$500)+$A33-1,1)-1)</f>
        <v>2.4954064289291589E-2</v>
      </c>
      <c r="CU33" s="9">
        <f ca="1">IF(OR(CU6="",CU$28&lt;$A33),"",CU6/OFFSET(SSTotalCLM!$A$2,MATCH(CU$29,SSTotalCLM!$A$2:$A$500)+$A33-1,1)-1)</f>
        <v>1.586051124874821E-2</v>
      </c>
      <c r="CV33" s="9">
        <f ca="1">IF(OR(CV6="",CV$28&lt;$A33),"",CV6/OFFSET(SSTotalCLM!$A$2,MATCH(CV$29,SSTotalCLM!$A$2:$A$500)+$A33-1,1)-1)</f>
        <v>1.5131401568635461E-4</v>
      </c>
      <c r="CW33" s="9">
        <f ca="1">IF(OR(CW6="",CW$28&lt;$A33),"",CW6/OFFSET(SSTotalCLM!$A$2,MATCH(CW$29,SSTotalCLM!$A$2:$A$500)+$A33-1,1)-1)</f>
        <v>3.9417484936645764E-3</v>
      </c>
      <c r="CX33" s="9">
        <f ca="1">IF(OR(CX6="",CX$28&lt;$A33),"",CX6/OFFSET(SSTotalCLM!$A$2,MATCH(CX$29,SSTotalCLM!$A$2:$A$500)+$A33-1,1)-1)</f>
        <v>3.00845597199495E-3</v>
      </c>
      <c r="CY33" s="9">
        <f ca="1">IF(OR(CY6="",CY$28&lt;$A33),"",CY6/OFFSET(SSTotalCLM!$A$2,MATCH(CY$29,SSTotalCLM!$A$2:$A$500)+$A33-1,1)-1)</f>
        <v>-1.6103283183888428E-2</v>
      </c>
      <c r="CZ33" s="9">
        <f ca="1">IF(OR(CZ6="",CZ$28&lt;$A33),"",CZ6/OFFSET(SSTotalCLM!$A$2,MATCH(CZ$29,SSTotalCLM!$A$2:$A$500)+$A33-1,1)-1)</f>
        <v>9.2505956622894736E-3</v>
      </c>
      <c r="DA33" s="9">
        <f ca="1">IF(OR(DA6="",DA$28&lt;$A33),"",DA6/OFFSET(SSTotalCLM!$A$2,MATCH(DA$29,SSTotalCLM!$A$2:$A$500)+$A33-1,1)-1)</f>
        <v>1.6187691970179108E-2</v>
      </c>
      <c r="DB33" s="9">
        <f ca="1">IF(OR(DB6="",DB$28&lt;$A33),"",DB6/OFFSET(SSTotalCLM!$A$2,MATCH(DB$29,SSTotalCLM!$A$2:$A$500)+$A33-1,1)-1)</f>
        <v>5.8517263128374797E-3</v>
      </c>
      <c r="DC33" s="9">
        <f ca="1">IF(OR(DC6="",DC$28&lt;$A33),"",DC6/OFFSET(SSTotalCLM!$A$2,MATCH(DC$29,SSTotalCLM!$A$2:$A$500)+$A33-1,1)-1)</f>
        <v>4.7801719389957587E-2</v>
      </c>
      <c r="DD33" s="9">
        <f ca="1">IF(OR(DD6="",DD$28&lt;$A33),"",DD6/OFFSET(SSTotalCLM!$A$2,MATCH(DD$29,SSTotalCLM!$A$2:$A$500)+$A33-1,1)-1)</f>
        <v>2.0438828035034939E-2</v>
      </c>
      <c r="DE33" s="9">
        <f ca="1">IF(OR(DE6="",DE$28&lt;$A33),"",DE6/OFFSET(SSTotalCLM!$A$2,MATCH(DE$29,SSTotalCLM!$A$2:$A$500)+$A33-1,1)-1)</f>
        <v>-2.0450348451688583E-2</v>
      </c>
      <c r="DF33" s="9">
        <f ca="1">IF(OR(DF6="",DF$28&lt;$A33),"",DF6/OFFSET(SSTotalCLM!$A$2,MATCH(DF$29,SSTotalCLM!$A$2:$A$500)+$A33-1,1)-1)</f>
        <v>-3.2865595234076728E-2</v>
      </c>
      <c r="DG33" s="9">
        <f ca="1">IF(OR(DG6="",DG$28&lt;$A33),"",DG6/OFFSET(SSTotalCLM!$A$2,MATCH(DG$29,SSTotalCLM!$A$2:$A$500)+$A33-1,1)-1)</f>
        <v>-2.6851294030366457E-2</v>
      </c>
      <c r="DH33" s="9">
        <f ca="1">IF(OR(DH6="",DH$28&lt;$A33),"",DH6/OFFSET(SSTotalCLM!$A$2,MATCH(DH$29,SSTotalCLM!$A$2:$A$500)+$A33-1,1)-1)</f>
        <v>-2.0819588005731693E-2</v>
      </c>
      <c r="DI33" s="9">
        <f ca="1">IF(OR(DI6="",DI$28&lt;$A33),"",DI6/OFFSET(SSTotalCLM!$A$2,MATCH(DI$29,SSTotalCLM!$A$2:$A$500)+$A33-1,1)-1)</f>
        <v>-1.960787234293293E-2</v>
      </c>
      <c r="DJ33" s="9">
        <f ca="1">IF(OR(DJ6="",DJ$28&lt;$A33),"",DJ6/OFFSET(SSTotalCLM!$A$2,MATCH(DJ$29,SSTotalCLM!$A$2:$A$500)+$A33-1,1)-1)</f>
        <v>-1.6024728194943716E-2</v>
      </c>
      <c r="DK33" s="9">
        <f ca="1">IF(OR(DK6="",DK$28&lt;$A33),"",DK6/OFFSET(SSTotalCLM!$A$2,MATCH(DK$29,SSTotalCLM!$A$2:$A$500)+$A33-1,1)-1)</f>
        <v>-1.827837235427876E-2</v>
      </c>
      <c r="DL33" s="9">
        <f ca="1">IF(OR(DL6="",DL$28&lt;$A33),"",DL6/OFFSET(SSTotalCLM!$A$2,MATCH(DL$29,SSTotalCLM!$A$2:$A$500)+$A33-1,1)-1)</f>
        <v>-3.3433469047303044E-2</v>
      </c>
      <c r="DM33" s="9">
        <f ca="1">IF(OR(DM6="",DM$28&lt;$A33),"",DM6/OFFSET(SSTotalCLM!$A$2,MATCH(DM$29,SSTotalCLM!$A$2:$A$500)+$A33-1,1)-1)</f>
        <v>-1.4961003948619545E-2</v>
      </c>
      <c r="DN33" s="9">
        <f ca="1">IF(OR(DN6="",DN$28&lt;$A33),"",DN6/OFFSET(SSTotalCLM!$A$2,MATCH(DN$29,SSTotalCLM!$A$2:$A$500)+$A33-1,1)-1)</f>
        <v>-2.8650157152179334E-2</v>
      </c>
      <c r="DO33" s="9">
        <f ca="1">IF(OR(DO6="",DO$28&lt;$A33),"",DO6/OFFSET(SSTotalCLM!$A$2,MATCH(DO$29,SSTotalCLM!$A$2:$A$500)+$A33-1,1)-1)</f>
        <v>-2.9032594420410396E-2</v>
      </c>
      <c r="DP33" s="9">
        <f ca="1">IF(OR(DP6="",DP$28&lt;$A33),"",DP6/OFFSET(SSTotalCLM!$A$2,MATCH(DP$29,SSTotalCLM!$A$2:$A$500)+$A33-1,1)-1)</f>
        <v>9.548493683982473E-3</v>
      </c>
      <c r="DQ33" s="9">
        <f ca="1">IF(OR(DQ6="",DQ$28&lt;$A33),"",DQ6/OFFSET(SSTotalCLM!$A$2,MATCH(DQ$29,SSTotalCLM!$A$2:$A$500)+$A33-1,1)-1)</f>
        <v>-2.0505848683849082E-2</v>
      </c>
      <c r="DR33" s="9">
        <f ca="1">IF(OR(DR6="",DR$28&lt;$A33),"",DR6/OFFSET(SSTotalCLM!$A$2,MATCH(DR$29,SSTotalCLM!$A$2:$A$500)+$A33-1,1)-1)</f>
        <v>-4.7832803995682127E-3</v>
      </c>
      <c r="DS33" s="9">
        <f ca="1">IF(OR(DS6="",DS$28&lt;$A33),"",DS6/OFFSET(SSTotalCLM!$A$2,MATCH(DS$29,SSTotalCLM!$A$2:$A$500)+$A33-1,1)-1)</f>
        <v>1.5448344258386371E-3</v>
      </c>
      <c r="DT33" s="9">
        <f ca="1">IF(OR(DT6="",DT$28&lt;$A33),"",DT6/OFFSET(SSTotalCLM!$A$2,MATCH(DT$29,SSTotalCLM!$A$2:$A$500)+$A33-1,1)-1)</f>
        <v>-3.5721116710369927E-3</v>
      </c>
      <c r="DU33" s="9">
        <f ca="1">IF(OR(DU6="",DU$28&lt;$A33),"",DU6/OFFSET(SSTotalCLM!$A$2,MATCH(DU$29,SSTotalCLM!$A$2:$A$500)+$A33-1,1)-1)</f>
        <v>-3.1053695408219673E-3</v>
      </c>
      <c r="DV33" s="9">
        <f ca="1">IF(OR(DV6="",DV$28&lt;$A33),"",DV6/OFFSET(SSTotalCLM!$A$2,MATCH(DV$29,SSTotalCLM!$A$2:$A$500)+$A33-1,1)-1)</f>
        <v>2.0789294952687776E-3</v>
      </c>
      <c r="DW33" s="9">
        <f ca="1">IF(OR(DW6="",DW$28&lt;$A33),"",DW6/OFFSET(SSTotalCLM!$A$2,MATCH(DW$29,SSTotalCLM!$A$2:$A$500)+$A33-1,1)-1)</f>
        <v>-1.4948045871730709E-2</v>
      </c>
      <c r="DX33" s="9">
        <f ca="1">IF(OR(DX6="",DX$28&lt;$A33),"",DX6/OFFSET(SSTotalCLM!$A$2,MATCH(DX$29,SSTotalCLM!$A$2:$A$500)+$A33-1,1)-1)</f>
        <v>1.9167096615391621E-2</v>
      </c>
      <c r="DY33" s="9">
        <f ca="1">IF(OR(DY6="",DY$28&lt;$A33),"",DY6/OFFSET(SSTotalCLM!$A$2,MATCH(DY$29,SSTotalCLM!$A$2:$A$500)+$A33-1,1)-1)</f>
        <v>-5.0896471001049548E-4</v>
      </c>
      <c r="DZ33" s="9">
        <f ca="1">IF(OR(DZ6="",DZ$28&lt;$A33),"",DZ6/OFFSET(SSTotalCLM!$A$2,MATCH(DZ$29,SSTotalCLM!$A$2:$A$500)+$A33-1,1)-1)</f>
        <v>-7.2734968912100406E-3</v>
      </c>
      <c r="EA33" s="9">
        <f ca="1">IF(OR(EA6="",EA$28&lt;$A33),"",EA6/OFFSET(SSTotalCLM!$A$2,MATCH(EA$29,SSTotalCLM!$A$2:$A$500)+$A33-1,1)-1)</f>
        <v>2.5125333309518938E-2</v>
      </c>
      <c r="EB33" s="9">
        <f ca="1">IF(OR(EB6="",EB$28&lt;$A33),"",EB6/OFFSET(SSTotalCLM!$A$2,MATCH(EB$29,SSTotalCLM!$A$2:$A$500)+$A33-1,1)-1)</f>
        <v>-1.7490411492450453E-2</v>
      </c>
      <c r="EC33" s="9">
        <f ca="1">IF(OR(EC6="",EC$28&lt;$A33),"",EC6/OFFSET(SSTotalCLM!$A$2,MATCH(EC$29,SSTotalCLM!$A$2:$A$500)+$A33-1,1)-1)</f>
        <v>-1.362867075202856E-2</v>
      </c>
      <c r="ED33" s="9">
        <f ca="1">IF(OR(ED6="",ED$28&lt;$A33),"",ED6/OFFSET(SSTotalCLM!$A$2,MATCH(ED$29,SSTotalCLM!$A$2:$A$500)+$A33-1,1)-1)</f>
        <v>-1.356089470680566E-2</v>
      </c>
      <c r="EE33" s="9">
        <f ca="1">IF(OR(EE6="",EE$28&lt;$A33),"",EE6/OFFSET(SSTotalCLM!$A$2,MATCH(EE$29,SSTotalCLM!$A$2:$A$500)+$A33-1,1)-1)</f>
        <v>-2.9236811110863958E-2</v>
      </c>
      <c r="EF33" s="9">
        <f ca="1">IF(OR(EF6="",EF$28&lt;$A33),"",EF6/OFFSET(SSTotalCLM!$A$2,MATCH(EF$29,SSTotalCLM!$A$2:$A$500)+$A33-1,1)-1)</f>
        <v>-2.2068497968493861E-2</v>
      </c>
      <c r="EG33" s="9">
        <f ca="1">IF(OR(EG6="",EG$28&lt;$A33),"",EG6/OFFSET(SSTotalCLM!$A$2,MATCH(EG$29,SSTotalCLM!$A$2:$A$500)+$A33-1,1)-1)</f>
        <v>-4.3304671045417686E-3</v>
      </c>
      <c r="EH33" s="9">
        <f ca="1">IF(OR(EH6="",EH$28&lt;$A33),"",EH6/OFFSET(SSTotalCLM!$A$2,MATCH(EH$29,SSTotalCLM!$A$2:$A$500)+$A33-1,1)-1)</f>
        <v>1.4374881993228117E-2</v>
      </c>
      <c r="EI33" s="9">
        <f ca="1">IF(OR(EI6="",EI$28&lt;$A33),"",EI6/OFFSET(SSTotalCLM!$A$2,MATCH(EI$29,SSTotalCLM!$A$2:$A$500)+$A33-1,1)-1)</f>
        <v>2.3314429152093474E-2</v>
      </c>
      <c r="EJ33" s="9">
        <f ca="1">IF(OR(EJ6="",EJ$28&lt;$A33),"",EJ6/OFFSET(SSTotalCLM!$A$2,MATCH(EJ$29,SSTotalCLM!$A$2:$A$500)+$A33-1,1)-1)</f>
        <v>3.1609604877393283E-2</v>
      </c>
      <c r="EK33" s="9">
        <f ca="1">IF(OR(EK6="",EK$28&lt;$A33),"",EK6/OFFSET(SSTotalCLM!$A$2,MATCH(EK$29,SSTotalCLM!$A$2:$A$500)+$A33-1,1)-1)</f>
        <v>8.875447461006658E-3</v>
      </c>
      <c r="EL33" s="9">
        <f ca="1">IF(OR(EL6="",EL$28&lt;$A33),"",EL6/OFFSET(SSTotalCLM!$A$2,MATCH(EL$29,SSTotalCLM!$A$2:$A$500)+$A33-1,1)-1)</f>
        <v>-2.5715271981119336E-3</v>
      </c>
      <c r="EM33" s="9">
        <f ca="1">IF(OR(EM6="",EM$28&lt;$A33),"",EM6/OFFSET(SSTotalCLM!$A$2,MATCH(EM$29,SSTotalCLM!$A$2:$A$500)+$A33-1,1)-1)</f>
        <v>-2.3432412952660853E-3</v>
      </c>
      <c r="EN33" s="9">
        <f ca="1">IF(OR(EN6="",EN$28&lt;$A33),"",EN6/OFFSET(SSTotalCLM!$A$2,MATCH(EN$29,SSTotalCLM!$A$2:$A$500)+$A33-1,1)-1)</f>
        <v>-1.1877406683811098E-2</v>
      </c>
      <c r="EO33" s="9">
        <f ca="1">IF(OR(EO6="",EO$28&lt;$A33),"",EO6/OFFSET(SSTotalCLM!$A$2,MATCH(EO$29,SSTotalCLM!$A$2:$A$500)+$A33-1,1)-1)</f>
        <v>-2.0855069542767835E-3</v>
      </c>
      <c r="EP33" s="9">
        <f ca="1">IF(OR(EP6="",EP$28&lt;$A33),"",EP6/OFFSET(SSTotalCLM!$A$2,MATCH(EP$29,SSTotalCLM!$A$2:$A$500)+$A33-1,1)-1)</f>
        <v>1.2524101466169224E-3</v>
      </c>
      <c r="EQ33" s="9">
        <f ca="1">IF(OR(EQ6="",EQ$28&lt;$A33),"",EQ6/OFFSET(SSTotalCLM!$A$2,MATCH(EQ$29,SSTotalCLM!$A$2:$A$500)+$A33-1,1)-1)</f>
        <v>-3.5335073290201358E-3</v>
      </c>
      <c r="ER33" s="9">
        <f ca="1">IF(OR(ER6="",ER$28&lt;$A33),"",ER6/OFFSET(SSTotalCLM!$A$2,MATCH(ER$29,SSTotalCLM!$A$2:$A$500)+$A33-1,1)-1)</f>
        <v>-1.6594258812514529E-2</v>
      </c>
      <c r="ES33" s="9">
        <f ca="1">IF(OR(ES6="",ES$28&lt;$A33),"",ES6/OFFSET(SSTotalCLM!$A$2,MATCH(ES$29,SSTotalCLM!$A$2:$A$500)+$A33-1,1)-1)</f>
        <v>-1.8184842345192465E-2</v>
      </c>
      <c r="ET33" s="9">
        <f ca="1">IF(OR(ET6="",ET$28&lt;$A33),"",ET6/OFFSET(SSTotalCLM!$A$2,MATCH(ET$29,SSTotalCLM!$A$2:$A$500)+$A33-1,1)-1)</f>
        <v>-1.1854304678377225E-2</v>
      </c>
      <c r="EU33" s="9">
        <f ca="1">IF(OR(EU6="",EU$28&lt;$A33),"",EU6/OFFSET(SSTotalCLM!$A$2,MATCH(EU$29,SSTotalCLM!$A$2:$A$500)+$A33-1,1)-1)</f>
        <v>1.0083290131601697E-3</v>
      </c>
      <c r="EV33" s="9">
        <f ca="1">IF(OR(EV6="",EV$28&lt;$A33),"",EV6/OFFSET(SSTotalCLM!$A$2,MATCH(EV$29,SSTotalCLM!$A$2:$A$500)+$A33-1,1)-1)</f>
        <v>5.2598629458315838E-3</v>
      </c>
      <c r="EW33" s="9">
        <f ca="1">IF(OR(EW6="",EW$28&lt;$A33),"",EW6/OFFSET(SSTotalCLM!$A$2,MATCH(EW$29,SSTotalCLM!$A$2:$A$500)+$A33-1,1)-1)</f>
        <v>1.8514910169877385E-2</v>
      </c>
      <c r="EX33" s="9">
        <f ca="1">IF(OR(EX6="",EX$28&lt;$A33),"",EX6/OFFSET(SSTotalCLM!$A$2,MATCH(EX$29,SSTotalCLM!$A$2:$A$500)+$A33-1,1)-1)</f>
        <v>1.3331981408949867E-2</v>
      </c>
      <c r="EY33" s="9">
        <f ca="1">IF(OR(EY6="",EY$28&lt;$A33),"",EY6/OFFSET(SSTotalCLM!$A$2,MATCH(EY$29,SSTotalCLM!$A$2:$A$500)+$A33-1,1)-1)</f>
        <v>-2.3856408861177014E-3</v>
      </c>
      <c r="EZ33" s="9">
        <f ca="1">IF(OR(EZ6="",EZ$28&lt;$A33),"",EZ6/OFFSET(SSTotalCLM!$A$2,MATCH(EZ$29,SSTotalCLM!$A$2:$A$500)+$A33-1,1)-1)</f>
        <v>5.9785871559410175E-3</v>
      </c>
      <c r="FA33" s="9">
        <f ca="1">IF(OR(FA6="",FA$28&lt;$A33),"",FA6/OFFSET(SSTotalCLM!$A$2,MATCH(FA$29,SSTotalCLM!$A$2:$A$500)+$A33-1,1)-1)</f>
        <v>-2.0944294783693529E-3</v>
      </c>
      <c r="FB33" s="9">
        <f ca="1">IF(OR(FB6="",FB$28&lt;$A33),"",FB6/OFFSET(SSTotalCLM!$A$2,MATCH(FB$29,SSTotalCLM!$A$2:$A$500)+$A33-1,1)-1)</f>
        <v>-4.2940407879343834E-4</v>
      </c>
      <c r="FC33" s="9">
        <f ca="1">IF(OR(FC6="",FC$28&lt;$A33),"",FC6/OFFSET(SSTotalCLM!$A$2,MATCH(FC$29,SSTotalCLM!$A$2:$A$500)+$A33-1,1)-1)</f>
        <v>4.4590546800482578E-3</v>
      </c>
      <c r="FD33" s="9">
        <f ca="1">IF(OR(FD6="",FD$28&lt;$A33),"",FD6/OFFSET(SSTotalCLM!$A$2,MATCH(FD$29,SSTotalCLM!$A$2:$A$500)+$A33-1,1)-1)</f>
        <v>-1.112547004809894E-3</v>
      </c>
      <c r="FE33" s="9">
        <f ca="1">IF(OR(FE6="",FE$28&lt;$A33),"",FE6/OFFSET(SSTotalCLM!$A$2,MATCH(FE$29,SSTotalCLM!$A$2:$A$500)+$A33-1,1)-1)</f>
        <v>-2.1102430917558923E-3</v>
      </c>
      <c r="FF33" s="9">
        <f ca="1">IF(OR(FF6="",FF$28&lt;$A33),"",FF6/OFFSET(SSTotalCLM!$A$2,MATCH(FF$29,SSTotalCLM!$A$2:$A$500)+$A33-1,1)-1)</f>
        <v>-4.6774750709680513E-3</v>
      </c>
      <c r="FG33" s="9">
        <f ca="1">IF(OR(FG6="",FG$28&lt;$A33),"",FG6/OFFSET(SSTotalCLM!$A$2,MATCH(FG$29,SSTotalCLM!$A$2:$A$500)+$A33-1,1)-1)</f>
        <v>-1.0786951047827453E-2</v>
      </c>
      <c r="FH33" s="9">
        <f ca="1">IF(OR(FH6="",FH$28&lt;$A33),"",FH6/OFFSET(SSTotalCLM!$A$2,MATCH(FH$29,SSTotalCLM!$A$2:$A$500)+$A33-1,1)-1)</f>
        <v>-4.6030319439213097E-3</v>
      </c>
      <c r="FI33" s="9">
        <f ca="1">IF(OR(FI6="",FI$28&lt;$A33),"",FI6/OFFSET(SSTotalCLM!$A$2,MATCH(FI$29,SSTotalCLM!$A$2:$A$500)+$A33-1,1)-1)</f>
        <v>-1.558575696348441E-2</v>
      </c>
      <c r="FJ33" s="9">
        <f ca="1">IF(OR(FJ6="",FJ$28&lt;$A33),"",FJ6/OFFSET(SSTotalCLM!$A$2,MATCH(FJ$29,SSTotalCLM!$A$2:$A$500)+$A33-1,1)-1)</f>
        <v>-1.5476350826796992E-2</v>
      </c>
      <c r="FK33" s="9">
        <f ca="1">IF(OR(FK6="",FK$28&lt;$A33),"",FK6/OFFSET(SSTotalCLM!$A$2,MATCH(FK$29,SSTotalCLM!$A$2:$A$500)+$A33-1,1)-1)</f>
        <v>-1.0319692127593982E-2</v>
      </c>
      <c r="FL33" s="9">
        <f ca="1">IF(OR(FL6="",FL$28&lt;$A33),"",FL6/OFFSET(SSTotalCLM!$A$2,MATCH(FL$29,SSTotalCLM!$A$2:$A$500)+$A33-1,1)-1)</f>
        <v>-5.5361760193433085E-3</v>
      </c>
      <c r="FM33" s="9">
        <f ca="1">IF(OR(FM6="",FM$28&lt;$A33),"",FM6/OFFSET(SSTotalCLM!$A$2,MATCH(FM$29,SSTotalCLM!$A$2:$A$500)+$A33-1,1)-1)</f>
        <v>1.7072047328543283E-2</v>
      </c>
      <c r="FN33" s="9">
        <f ca="1">IF(OR(FN6="",FN$28&lt;$A33),"",FN6/OFFSET(SSTotalCLM!$A$2,MATCH(FN$29,SSTotalCLM!$A$2:$A$500)+$A33-1,1)-1)</f>
        <v>2.4199712544585639E-2</v>
      </c>
      <c r="FO33" s="9">
        <f ca="1">IF(OR(FO6="",FO$28&lt;$A33),"",FO6/OFFSET(SSTotalCLM!$A$2,MATCH(FO$29,SSTotalCLM!$A$2:$A$500)+$A33-1,1)-1)</f>
        <v>1.9408130588620676E-2</v>
      </c>
      <c r="FP33" s="9">
        <f ca="1">IF(OR(FP6="",FP$28&lt;$A33),"",FP6/OFFSET(SSTotalCLM!$A$2,MATCH(FP$29,SSTotalCLM!$A$2:$A$500)+$A33-1,1)-1)</f>
        <v>1.097302325672489E-2</v>
      </c>
      <c r="FQ33" s="9">
        <f ca="1">IF(OR(FQ6="",FQ$28&lt;$A33),"",FQ6/OFFSET(SSTotalCLM!$A$2,MATCH(FQ$29,SSTotalCLM!$A$2:$A$500)+$A33-1,1)-1)</f>
        <v>-4.8513445013965706E-3</v>
      </c>
      <c r="FR33" s="9">
        <f ca="1">IF(OR(FR6="",FR$28&lt;$A33),"",FR6/OFFSET(SSTotalCLM!$A$2,MATCH(FR$29,SSTotalCLM!$A$2:$A$500)+$A33-1,1)-1)</f>
        <v>-9.468009831348545E-3</v>
      </c>
      <c r="FS33" s="9">
        <f ca="1">IF(OR(FS6="",FS$28&lt;$A33),"",FS6/OFFSET(SSTotalCLM!$A$2,MATCH(FS$29,SSTotalCLM!$A$2:$A$500)+$A33-1,1)-1)</f>
        <v>-1.0815089009007517E-3</v>
      </c>
      <c r="FT33" s="9">
        <f ca="1">IF(OR(FT6="",FT$28&lt;$A33),"",FT6/OFFSET(SSTotalCLM!$A$2,MATCH(FT$29,SSTotalCLM!$A$2:$A$500)+$A33-1,1)-1)</f>
        <v>-1.5778996991058891E-2</v>
      </c>
      <c r="FU33" s="9">
        <f ca="1">IF(OR(FU6="",FU$28&lt;$A33),"",FU6/OFFSET(SSTotalCLM!$A$2,MATCH(FU$29,SSTotalCLM!$A$2:$A$500)+$A33-1,1)-1)</f>
        <v>-1.1010686132724157E-3</v>
      </c>
      <c r="FV33" s="9">
        <f ca="1">IF(OR(FV6="",FV$28&lt;$A33),"",FV6/OFFSET(SSTotalCLM!$A$2,MATCH(FV$29,SSTotalCLM!$A$2:$A$500)+$A33-1,1)-1)</f>
        <v>-9.4897350820426496E-3</v>
      </c>
      <c r="FW33" s="9">
        <f ca="1">IF(OR(FW6="",FW$28&lt;$A33),"",FW6/OFFSET(SSTotalCLM!$A$2,MATCH(FW$29,SSTotalCLM!$A$2:$A$500)+$A33-1,1)-1)</f>
        <v>-3.0718709761518914E-2</v>
      </c>
      <c r="FX33" s="9">
        <f ca="1">IF(OR(FX6="",FX$28&lt;$A33),"",FX6/OFFSET(SSTotalCLM!$A$2,MATCH(FX$29,SSTotalCLM!$A$2:$A$500)+$A33-1,1)-1)</f>
        <v>-9.5927337684302838E-3</v>
      </c>
      <c r="FY33" s="9">
        <f ca="1">IF(OR(FY6="",FY$28&lt;$A33),"",FY6/OFFSET(SSTotalCLM!$A$2,MATCH(FY$29,SSTotalCLM!$A$2:$A$500)+$A33-1,1)-1)</f>
        <v>-8.8581847378329526E-3</v>
      </c>
      <c r="FZ33" s="9">
        <f ca="1">IF(OR(FZ6="",FZ$28&lt;$A33),"",FZ6/OFFSET(SSTotalCLM!$A$2,MATCH(FZ$29,SSTotalCLM!$A$2:$A$500)+$A33-1,1)-1)</f>
        <v>1.3002674265968572E-2</v>
      </c>
      <c r="GA33" s="9">
        <f ca="1">IF(OR(GA6="",GA$28&lt;$A33),"",GA6/OFFSET(SSTotalCLM!$A$2,MATCH(GA$29,SSTotalCLM!$A$2:$A$500)+$A33-1,1)-1)</f>
        <v>2.2824699196231535E-2</v>
      </c>
      <c r="GB33" s="9">
        <f ca="1">IF(OR(GB6="",GB$28&lt;$A33),"",GB6/OFFSET(SSTotalCLM!$A$2,MATCH(GB$29,SSTotalCLM!$A$2:$A$500)+$A33-1,1)-1)</f>
        <v>1.9115457535887392E-2</v>
      </c>
      <c r="GC33" s="9">
        <f ca="1">IF(OR(GC6="",GC$28&lt;$A33),"",GC6/OFFSET(SSTotalCLM!$A$2,MATCH(GC$29,SSTotalCLM!$A$2:$A$500)+$A33-1,1)-1)</f>
        <v>1.6195762922696533E-2</v>
      </c>
      <c r="GD33" s="9">
        <f ca="1">IF(OR(GD6="",GD$28&lt;$A33),"",GD6/OFFSET(SSTotalCLM!$A$2,MATCH(GD$29,SSTotalCLM!$A$2:$A$500)+$A33-1,1)-1)</f>
        <v>1.333897814436269E-2</v>
      </c>
      <c r="GE33" s="9">
        <f ca="1">IF(OR(GE6="",GE$28&lt;$A33),"",GE6/OFFSET(SSTotalCLM!$A$2,MATCH(GE$29,SSTotalCLM!$A$2:$A$500)+$A33-1,1)-1)</f>
        <v>8.670436262715242E-3</v>
      </c>
      <c r="GF33" s="9">
        <f ca="1">IF(OR(GF6="",GF$28&lt;$A33),"",GF6/OFFSET(SSTotalCLM!$A$2,MATCH(GF$29,SSTotalCLM!$A$2:$A$500)+$A33-1,1)-1)</f>
        <v>5.8154542267558895E-3</v>
      </c>
      <c r="GG33" s="9">
        <f ca="1">IF(OR(GG6="",GG$28&lt;$A33),"",GG6/OFFSET(SSTotalCLM!$A$2,MATCH(GG$29,SSTotalCLM!$A$2:$A$500)+$A33-1,1)-1)</f>
        <v>-1.1221531163180254E-3</v>
      </c>
      <c r="GH33" s="9">
        <f ca="1">IF(OR(GH6="",GH$28&lt;$A33),"",GH6/OFFSET(SSTotalCLM!$A$2,MATCH(GH$29,SSTotalCLM!$A$2:$A$500)+$A33-1,1)-1)</f>
        <v>-3.7281495651524388E-3</v>
      </c>
      <c r="GI33" s="9">
        <f ca="1">IF(OR(GI6="",GI$28&lt;$A33),"",GI6/OFFSET(SSTotalCLM!$A$2,MATCH(GI$29,SSTotalCLM!$A$2:$A$500)+$A33-1,1)-1)</f>
        <v>-3.6999369114666392E-3</v>
      </c>
      <c r="GJ33" s="9">
        <f ca="1">IF(OR(GJ6="",GJ$28&lt;$A33),"",GJ6/OFFSET(SSTotalCLM!$A$2,MATCH(GJ$29,SSTotalCLM!$A$2:$A$500)+$A33-1,1)-1)</f>
        <v>-1.0672553916616589E-2</v>
      </c>
      <c r="GK33" s="9">
        <f ca="1">IF(OR(GK6="",GK$28&lt;$A33),"",GK6/OFFSET(SSTotalCLM!$A$2,MATCH(GK$29,SSTotalCLM!$A$2:$A$500)+$A33-1,1)-1)</f>
        <v>1.4477106773400639E-2</v>
      </c>
      <c r="GL33" s="9">
        <f ca="1">IF(OR(GL6="",GL$28&lt;$A33),"",GL6/OFFSET(SSTotalCLM!$A$2,MATCH(GL$29,SSTotalCLM!$A$2:$A$500)+$A33-1,1)-1)</f>
        <v>4.8733941201078101E-2</v>
      </c>
      <c r="GM33" s="9">
        <f ca="1">IF(OR(GM6="",GM$28&lt;$A33),"",GM6/OFFSET(SSTotalCLM!$A$2,MATCH(GM$29,SSTotalCLM!$A$2:$A$500)+$A33-1,1)-1)</f>
        <v>3.7597219502996104E-2</v>
      </c>
      <c r="GN33" s="9">
        <f ca="1">IF(OR(GN6="",GN$28&lt;$A33),"",GN6/OFFSET(SSTotalCLM!$A$2,MATCH(GN$29,SSTotalCLM!$A$2:$A$500)+$A33-1,1)-1)</f>
        <v>3.398895604653096E-2</v>
      </c>
      <c r="GO33" s="9">
        <f ca="1">IF(OR(GO6="",GO$28&lt;$A33),"",GO6/OFFSET(SSTotalCLM!$A$2,MATCH(GO$29,SSTotalCLM!$A$2:$A$500)+$A33-1,1)-1)</f>
        <v>1.2020592398141794E-2</v>
      </c>
      <c r="GP33" s="9">
        <f ca="1">IF(OR(GP6="",GP$28&lt;$A33),"",GP6/OFFSET(SSTotalCLM!$A$2,MATCH(GP$29,SSTotalCLM!$A$2:$A$500)+$A33-1,1)-1)</f>
        <v>-2.3933574340228581E-2</v>
      </c>
      <c r="GQ33" s="9">
        <f ca="1">IF(OR(GQ6="",GQ$28&lt;$A33),"",GQ6/OFFSET(SSTotalCLM!$A$2,MATCH(GQ$29,SSTotalCLM!$A$2:$A$500)+$A33-1,1)-1)</f>
        <v>-4.5565239861945273E-2</v>
      </c>
      <c r="GR33" s="9">
        <f ca="1">IF(OR(GR6="",GR$28&lt;$A33),"",GR6/OFFSET(SSTotalCLM!$A$2,MATCH(GR$29,SSTotalCLM!$A$2:$A$500)+$A33-1,1)-1)</f>
        <v>-2.7993366128659547E-2</v>
      </c>
      <c r="GS33" s="9">
        <f ca="1">IF(OR(GS6="",GS$28&lt;$A33),"",GS6/OFFSET(SSTotalCLM!$A$2,MATCH(GS$29,SSTotalCLM!$A$2:$A$500)+$A33-1,1)-1)</f>
        <v>-2.6177092399390145E-2</v>
      </c>
      <c r="GT33" s="9">
        <f ca="1">IF(OR(GT6="",GT$28&lt;$A33),"",GT6/OFFSET(SSTotalCLM!$A$2,MATCH(GT$29,SSTotalCLM!$A$2:$A$500)+$A33-1,1)-1)</f>
        <v>-1.7393505521746344E-2</v>
      </c>
      <c r="GU33" s="9">
        <f ca="1">IF(OR(GU6="",GU$28&lt;$A33),"",GU6/OFFSET(SSTotalCLM!$A$2,MATCH(GU$29,SSTotalCLM!$A$2:$A$500)+$A33-1,1)-1)</f>
        <v>4.659180493402415E-3</v>
      </c>
      <c r="GV33" s="9" t="str">
        <f ca="1">IF(OR(GV6="",GV$28&lt;$A33),"",GV6/OFFSET(SSTotalCLM!$A$2,MATCH(GV$29,SSTotalCLM!$A$2:$A$500)+$A33-1,1)-1)</f>
        <v/>
      </c>
      <c r="GW33" s="9" t="str">
        <f ca="1">IF(OR(GW6="",GW$28&lt;$A33),"",GW6/OFFSET(SSTotalCLM!$A$2,MATCH(GW$29,SSTotalCLM!$A$2:$A$500)+$A33-1,1)-1)</f>
        <v/>
      </c>
      <c r="GX33" s="9" t="str">
        <f ca="1">IF(OR(GX6="",GX$28&lt;$A33),"",GX6/OFFSET(SSTotalCLM!$A$2,MATCH(GX$29,SSTotalCLM!$A$2:$A$500)+$A33-1,1)-1)</f>
        <v/>
      </c>
      <c r="GY33" s="9" t="str">
        <f ca="1">IF(OR(GY6="",GY$28&lt;$A33),"",GY6/OFFSET(SSTotalCLM!$A$2,MATCH(GY$29,SSTotalCLM!$A$2:$A$500)+$A33-1,1)-1)</f>
        <v/>
      </c>
      <c r="GZ33" s="9" t="str">
        <f ca="1">IF(OR(GZ6="",GZ$28&lt;$A33),"",GZ6/OFFSET(SSTotalCLM!$A$2,MATCH(GZ$29,SSTotalCLM!$A$2:$A$500)+$A33-1,1)-1)</f>
        <v/>
      </c>
      <c r="HA33" s="9" t="str">
        <f ca="1">IF(OR(HA6="",HA$28&lt;$A33),"",HA6/OFFSET(SSTotalCLM!$A$2,MATCH(HA$29,SSTotalCLM!$A$2:$A$500)+$A33-1,1)-1)</f>
        <v/>
      </c>
      <c r="HB33" s="9" t="str">
        <f ca="1">IF(OR(HB6="",HB$28&lt;$A33),"",HB6/OFFSET(SSTotalCLM!$A$2,MATCH(HB$29,SSTotalCLM!$A$2:$A$500)+$A33-1,1)-1)</f>
        <v/>
      </c>
      <c r="HC33" s="9" t="str">
        <f ca="1">IF(OR(HC6="",HC$28&lt;$A33),"",HC6/OFFSET(SSTotalCLM!$A$2,MATCH(HC$29,SSTotalCLM!$A$2:$A$500)+$A33-1,1)-1)</f>
        <v/>
      </c>
      <c r="HD33" s="9" t="str">
        <f ca="1">IF(OR(HD6="",HD$28&lt;$A33),"",HD6/OFFSET(SSTotalCLM!$A$2,MATCH(HD$29,SSTotalCLM!$A$2:$A$500)+$A33-1,1)-1)</f>
        <v/>
      </c>
      <c r="HE33" s="9" t="str">
        <f ca="1">IF(OR(HE6="",HE$28&lt;$A33),"",HE6/OFFSET(SSTotalCLM!$A$2,MATCH(HE$29,SSTotalCLM!$A$2:$A$500)+$A33-1,1)-1)</f>
        <v/>
      </c>
      <c r="HF33" s="9" t="str">
        <f ca="1">IF(OR(HF6="",HF$28&lt;$A33),"",HF6/OFFSET(SSTotalCLM!$A$2,MATCH(HF$29,SSTotalCLM!$A$2:$A$500)+$A33-1,1)-1)</f>
        <v/>
      </c>
      <c r="HG33" s="9" t="str">
        <f ca="1">IF(OR(HG6="",HG$28&lt;$A33),"",HG6/OFFSET(SSTotalCLM!$A$2,MATCH(HG$29,SSTotalCLM!$A$2:$A$500)+$A33-1,1)-1)</f>
        <v/>
      </c>
      <c r="HH33" s="9" t="str">
        <f ca="1">IF(OR(HH6="",HH$28&lt;$A33),"",HH6/OFFSET(SSTotalCLM!$A$2,MATCH(HH$29,SSTotalCLM!$A$2:$A$500)+$A33-1,1)-1)</f>
        <v/>
      </c>
      <c r="HI33" s="9" t="str">
        <f ca="1">IF(OR(HI6="",HI$28&lt;$A33),"",HI6/OFFSET(SSTotalCLM!$A$2,MATCH(HI$29,SSTotalCLM!$A$2:$A$500)+$A33-1,1)-1)</f>
        <v/>
      </c>
      <c r="HJ33" s="9" t="str">
        <f ca="1">IF(OR(HJ6="",HJ$28&lt;$A33),"",HJ6/OFFSET(SSTotalCLM!$A$2,MATCH(HJ$29,SSTotalCLM!$A$2:$A$500)+$A33-1,1)-1)</f>
        <v/>
      </c>
      <c r="HK33" s="9" t="str">
        <f ca="1">IF(OR(HK6="",HK$28&lt;$A33),"",HK6/OFFSET(SSTotalCLM!$A$2,MATCH(HK$29,SSTotalCLM!$A$2:$A$500)+$A33-1,1)-1)</f>
        <v/>
      </c>
      <c r="HL33" s="9" t="str">
        <f ca="1">IF(OR(HL6="",HL$28&lt;$A33),"",HL6/OFFSET(SSTotalCLM!$A$2,MATCH(HL$29,SSTotalCLM!$A$2:$A$500)+$A33-1,1)-1)</f>
        <v/>
      </c>
      <c r="HM33" s="9" t="str">
        <f ca="1">IF(OR(HM6="",HM$28&lt;$A33),"",HM6/OFFSET(SSTotalCLM!$A$2,MATCH(HM$29,SSTotalCLM!$A$2:$A$500)+$A33-1,1)-1)</f>
        <v/>
      </c>
      <c r="HN33" s="9" t="str">
        <f ca="1">IF(OR(HN6="",HN$28&lt;$A33),"",HN6/OFFSET(SSTotalCLM!$A$2,MATCH(HN$29,SSTotalCLM!$A$2:$A$500)+$A33-1,1)-1)</f>
        <v/>
      </c>
      <c r="HO33" s="9" t="str">
        <f ca="1">IF(OR(HO6="",HO$28&lt;$A33),"",HO6/OFFSET(SSTotalCLM!$A$2,MATCH(HO$29,SSTotalCLM!$A$2:$A$500)+$A33-1,1)-1)</f>
        <v/>
      </c>
      <c r="HP33" s="9" t="str">
        <f ca="1">IF(OR(HP6="",HP$28&lt;$A33),"",HP6/OFFSET(SSTotalCLM!$A$2,MATCH(HP$29,SSTotalCLM!$A$2:$A$500)+$A33-1,1)-1)</f>
        <v/>
      </c>
      <c r="HQ33" s="9" t="str">
        <f ca="1">IF(OR(HQ6="",HQ$28&lt;$A33),"",HQ6/OFFSET(SSTotalCLM!$A$2,MATCH(HQ$29,SSTotalCLM!$A$2:$A$500)+$A33-1,1)-1)</f>
        <v/>
      </c>
      <c r="HR33" s="9" t="str">
        <f ca="1">IF(OR(HR6="",HR$28&lt;$A33),"",HR6/OFFSET(SSTotalCLM!$A$2,MATCH(HR$29,SSTotalCLM!$A$2:$A$500)+$A33-1,1)-1)</f>
        <v/>
      </c>
      <c r="HS33" s="9" t="str">
        <f ca="1">IF(OR(HS6="",HS$28&lt;$A33),"",HS6/OFFSET(SSTotalCLM!$A$2,MATCH(HS$29,SSTotalCLM!$A$2:$A$500)+$A33-1,1)-1)</f>
        <v/>
      </c>
      <c r="HT33" s="9" t="str">
        <f ca="1">IF(OR(HT6="",HT$28&lt;$A33),"",HT6/OFFSET(SSTotalCLM!$A$2,MATCH(HT$29,SSTotalCLM!$A$2:$A$500)+$A33-1,1)-1)</f>
        <v/>
      </c>
      <c r="HU33" s="9" t="str">
        <f ca="1">IF(OR(HU6="",HU$28&lt;$A33),"",HU6/OFFSET(SSTotalCLM!$A$2,MATCH(HU$29,SSTotalCLM!$A$2:$A$500)+$A33-1,1)-1)</f>
        <v/>
      </c>
      <c r="HV33" s="9" t="str">
        <f ca="1">IF(OR(HV6="",HV$28&lt;$A33),"",HV6/OFFSET(SSTotalCLM!$A$2,MATCH(HV$29,SSTotalCLM!$A$2:$A$500)+$A33-1,1)-1)</f>
        <v/>
      </c>
      <c r="HW33" s="9" t="str">
        <f ca="1">IF(OR(HW6="",HW$28&lt;$A33),"",HW6/OFFSET(SSTotalCLM!$A$2,MATCH(HW$29,SSTotalCLM!$A$2:$A$500)+$A33-1,1)-1)</f>
        <v/>
      </c>
      <c r="HX33" s="9" t="str">
        <f ca="1">IF(OR(HX6="",HX$28&lt;$A33),"",HX6/OFFSET(SSTotalCLM!$A$2,MATCH(HX$29,SSTotalCLM!$A$2:$A$500)+$A33-1,1)-1)</f>
        <v/>
      </c>
      <c r="HY33" s="9" t="str">
        <f ca="1">IF(OR(HY6="",HY$28&lt;$A33),"",HY6/OFFSET(SSTotalCLM!$A$2,MATCH(HY$29,SSTotalCLM!$A$2:$A$500)+$A33-1,1)-1)</f>
        <v/>
      </c>
      <c r="HZ33" s="9" t="str">
        <f ca="1">IF(OR(HZ6="",HZ$28&lt;$A33),"",HZ6/OFFSET(SSTotalCLM!$A$2,MATCH(HZ$29,SSTotalCLM!$A$2:$A$500)+$A33-1,1)-1)</f>
        <v/>
      </c>
      <c r="IA33" s="9" t="str">
        <f ca="1">IF(OR(IA6="",IA$28&lt;$A33),"",IA6/OFFSET(SSTotalCLM!$A$2,MATCH(IA$29,SSTotalCLM!$A$2:$A$500)+$A33-1,1)-1)</f>
        <v/>
      </c>
      <c r="IB33" s="9" t="str">
        <f ca="1">IF(OR(IB6="",IB$28&lt;$A33),"",IB6/OFFSET(SSTotalCLM!$A$2,MATCH(IB$29,SSTotalCLM!$A$2:$A$500)+$A33-1,1)-1)</f>
        <v/>
      </c>
      <c r="IC33" s="9" t="str">
        <f ca="1">IF(OR(IC6="",IC$28&lt;$A33),"",IC6/OFFSET(SSTotalCLM!$A$2,MATCH(IC$29,SSTotalCLM!$A$2:$A$500)+$A33-1,1)-1)</f>
        <v/>
      </c>
      <c r="ID33" s="9" t="str">
        <f ca="1">IF(OR(ID6="",ID$28&lt;$A33),"",ID6/OFFSET(SSTotalCLM!$A$2,MATCH(ID$29,SSTotalCLM!$A$2:$A$500)+$A33-1,1)-1)</f>
        <v/>
      </c>
      <c r="IE33" s="9" t="str">
        <f ca="1">IF(OR(IE6="",IE$28&lt;$A33),"",IE6/OFFSET(SSTotalCLM!$A$2,MATCH(IE$29,SSTotalCLM!$A$2:$A$500)+$A33-1,1)-1)</f>
        <v/>
      </c>
      <c r="IF33" s="9" t="str">
        <f ca="1">IF(OR(IF6="",IF$28&lt;$A33),"",IF6/OFFSET(SSTotalCLM!$A$2,MATCH(IF$29,SSTotalCLM!$A$2:$A$500)+$A33-1,1)-1)</f>
        <v/>
      </c>
      <c r="IG33" s="9" t="str">
        <f ca="1">IF(OR(IG6="",IG$28&lt;$A33),"",IG6/OFFSET(SSTotalCLM!$A$2,MATCH(IG$29,SSTotalCLM!$A$2:$A$500)+$A33-1,1)-1)</f>
        <v/>
      </c>
      <c r="IH33" s="9" t="str">
        <f ca="1">IF(OR(IH6="",IH$28&lt;$A33),"",IH6/OFFSET(SSTotalCLM!$A$2,MATCH(IH$29,SSTotalCLM!$A$2:$A$500)+$A33-1,1)-1)</f>
        <v/>
      </c>
      <c r="II33" s="9" t="str">
        <f ca="1">IF(OR(II6="",II$28&lt;$A33),"",II6/OFFSET(SSTotalCLM!$A$2,MATCH(II$29,SSTotalCLM!$A$2:$A$500)+$A33-1,1)-1)</f>
        <v/>
      </c>
      <c r="IJ33" s="9" t="str">
        <f ca="1">IF(OR(IJ6="",IJ$28&lt;$A33),"",IJ6/OFFSET(SSTotalCLM!$A$2,MATCH(IJ$29,SSTotalCLM!$A$2:$A$500)+$A33-1,1)-1)</f>
        <v/>
      </c>
      <c r="IK33" s="9" t="str">
        <f ca="1">IF(OR(IK6="",IK$28&lt;$A33),"",IK6/OFFSET(SSTotalCLM!$A$2,MATCH(IK$29,SSTotalCLM!$A$2:$A$500)+$A33-1,1)-1)</f>
        <v/>
      </c>
      <c r="IL33" s="9" t="str">
        <f ca="1">IF(OR(IL6="",IL$28&lt;$A33),"",IL6/OFFSET(SSTotalCLM!$A$2,MATCH(IL$29,SSTotalCLM!$A$2:$A$500)+$A33-1,1)-1)</f>
        <v/>
      </c>
      <c r="IM33" s="9" t="str">
        <f ca="1">IF(OR(IM6="",IM$28&lt;$A33),"",IM6/OFFSET(SSTotalCLM!$A$2,MATCH(IM$29,SSTotalCLM!$A$2:$A$500)+$A33-1,1)-1)</f>
        <v/>
      </c>
      <c r="IN33" s="9" t="str">
        <f ca="1">IF(OR(IN6="",IN$28&lt;$A33),"",IN6/OFFSET(SSTotalCLM!$A$2,MATCH(IN$29,SSTotalCLM!$A$2:$A$500)+$A33-1,1)-1)</f>
        <v/>
      </c>
      <c r="IO33" s="9" t="str">
        <f ca="1">IF(OR(IO6="",IO$28&lt;$A33),"",IO6/OFFSET(SSTotalCLM!$A$2,MATCH(IO$29,SSTotalCLM!$A$2:$A$500)+$A33-1,1)-1)</f>
        <v/>
      </c>
      <c r="IP33" s="9" t="str">
        <f ca="1">IF(OR(IP6="",IP$28&lt;$A33),"",IP6/OFFSET(SSTotalCLM!$A$2,MATCH(IP$29,SSTotalCLM!$A$2:$A$500)+$A33-1,1)-1)</f>
        <v/>
      </c>
      <c r="IQ33" s="9" t="str">
        <f ca="1">IF(OR(IQ6="",IQ$28&lt;$A33),"",IQ6/OFFSET(SSTotalCLM!$A$2,MATCH(IQ$29,SSTotalCLM!$A$2:$A$500)+$A33-1,1)-1)</f>
        <v/>
      </c>
      <c r="IR33" s="9" t="str">
        <f ca="1">IF(OR(IR6="",IR$28&lt;$A33),"",IR6/OFFSET(SSTotalCLM!$A$2,MATCH(IR$29,SSTotalCLM!$A$2:$A$500)+$A33-1,1)-1)</f>
        <v/>
      </c>
      <c r="IS33" s="9" t="str">
        <f ca="1">IF(OR(IS6="",IS$28&lt;$A33),"",IS6/OFFSET(SSTotalCLM!$A$2,MATCH(IS$29,SSTotalCLM!$A$2:$A$500)+$A33-1,1)-1)</f>
        <v/>
      </c>
      <c r="IT33" s="9" t="str">
        <f ca="1">IF(OR(IT6="",IT$28&lt;$A33),"",IT6/OFFSET(SSTotalCLM!$A$2,MATCH(IT$29,SSTotalCLM!$A$2:$A$500)+$A33-1,1)-1)</f>
        <v/>
      </c>
      <c r="IU33" s="9" t="str">
        <f ca="1">IF(OR(IU6="",IU$28&lt;$A33),"",IU6/OFFSET(SSTotalCLM!$A$2,MATCH(IU$29,SSTotalCLM!$A$2:$A$500)+$A33-1,1)-1)</f>
        <v/>
      </c>
      <c r="IV33" s="9" t="str">
        <f ca="1">IF(OR(IV6="",IV$28&lt;$A33),"",IV6/OFFSET(SSTotalCLM!$A$2,MATCH(IV$29,SSTotalCLM!$A$2:$A$500)+$A33-1,1)-1)</f>
        <v/>
      </c>
      <c r="IW33" s="9" t="str">
        <f ca="1">IF(OR(IW6="",IW$28&lt;$A33),"",IW6/OFFSET(SSTotalCLM!$A$2,MATCH(IW$29,SSTotalCLM!$A$2:$A$500)+$A33-1,1)-1)</f>
        <v/>
      </c>
      <c r="IX33" s="9" t="str">
        <f ca="1">IF(OR(IX6="",IX$28&lt;$A33),"",IX6/OFFSET(SSTotalCLM!$A$2,MATCH(IX$29,SSTotalCLM!$A$2:$A$500)+$A33-1,1)-1)</f>
        <v/>
      </c>
      <c r="IY33" s="9" t="str">
        <f ca="1">IF(OR(IY6="",IY$28&lt;$A33),"",IY6/OFFSET(SSTotalCLM!$A$2,MATCH(IY$29,SSTotalCLM!$A$2:$A$500)+$A33-1,1)-1)</f>
        <v/>
      </c>
      <c r="IZ33" s="9" t="str">
        <f ca="1">IF(OR(IZ6="",IZ$28&lt;$A33),"",IZ6/OFFSET(SSTotalCLM!$A$2,MATCH(IZ$29,SSTotalCLM!$A$2:$A$500)+$A33-1,1)-1)</f>
        <v/>
      </c>
      <c r="JA33" s="9" t="str">
        <f ca="1">IF(OR(JA6="",JA$28&lt;$A33),"",JA6/OFFSET(SSTotalCLM!$A$2,MATCH(JA$29,SSTotalCLM!$A$2:$A$500)+$A33-1,1)-1)</f>
        <v/>
      </c>
      <c r="JB33" s="9" t="str">
        <f ca="1">IF(OR(JB6="",JB$28&lt;$A33),"",JB6/OFFSET(SSTotalCLM!$A$2,MATCH(JB$29,SSTotalCLM!$A$2:$A$500)+$A33-1,1)-1)</f>
        <v/>
      </c>
      <c r="JC33" s="9" t="str">
        <f ca="1">IF(OR(JC6="",JC$28&lt;$A33),"",JC6/OFFSET(SSTotalCLM!$A$2,MATCH(JC$29,SSTotalCLM!$A$2:$A$500)+$A33-1,1)-1)</f>
        <v/>
      </c>
      <c r="JD33" s="9" t="str">
        <f ca="1">IF(OR(JD6="",JD$28&lt;$A33),"",JD6/OFFSET(SSTotalCLM!$A$2,MATCH(JD$29,SSTotalCLM!$A$2:$A$500)+$A33-1,1)-1)</f>
        <v/>
      </c>
      <c r="JE33" s="9" t="str">
        <f ca="1">IF(OR(JE6="",JE$28&lt;$A33),"",JE6/OFFSET(SSTotalCLM!$A$2,MATCH(JE$29,SSTotalCLM!$A$2:$A$500)+$A33-1,1)-1)</f>
        <v/>
      </c>
      <c r="JF33" s="9" t="str">
        <f ca="1">IF(OR(JF6="",JF$28&lt;$A33),"",JF6/OFFSET(SSTotalCLM!$A$2,MATCH(JF$29,SSTotalCLM!$A$2:$A$500)+$A33-1,1)-1)</f>
        <v/>
      </c>
      <c r="JG33" s="9" t="str">
        <f ca="1">IF(OR(JG6="",JG$28&lt;$A33),"",JG6/OFFSET(SSTotalCLM!$A$2,MATCH(JG$29,SSTotalCLM!$A$2:$A$500)+$A33-1,1)-1)</f>
        <v/>
      </c>
      <c r="JH33" s="9" t="str">
        <f ca="1">IF(OR(JH6="",JH$28&lt;$A33),"",JH6/OFFSET(SSTotalCLM!$A$2,MATCH(JH$29,SSTotalCLM!$A$2:$A$500)+$A33-1,1)-1)</f>
        <v/>
      </c>
      <c r="JI33" s="13">
        <f t="shared" ca="1" si="13"/>
        <v>-2.5335644488957706E-5</v>
      </c>
      <c r="JJ33" s="13">
        <f t="shared" ca="1" si="14"/>
        <v>-1.1221531163180254E-3</v>
      </c>
      <c r="JK33" s="14">
        <f t="shared" ca="1" si="15"/>
        <v>4.2116488279095554E-4</v>
      </c>
      <c r="JL33" s="17">
        <f t="shared" ca="1" si="18"/>
        <v>2.0522302083123022E-2</v>
      </c>
      <c r="JM33" s="15" t="str">
        <f t="shared" ca="1" si="16"/>
        <v>[ -4,11% ; 4,10% ]</v>
      </c>
      <c r="JN33" s="17">
        <f t="shared" ca="1" si="17"/>
        <v>2.6268546666397469E-2</v>
      </c>
      <c r="LY33" s="1"/>
    </row>
    <row r="34" spans="1:337" x14ac:dyDescent="0.25">
      <c r="A34" s="4">
        <v>5</v>
      </c>
      <c r="B34" s="9">
        <f ca="1">IF(OR(B7="",B$28&lt;$A34),"",B7/OFFSET(SSTotalCLM!$A$2,MATCH(B$29,SSTotalCLM!$A$2:$A$500)+$A34-1,1)-1)</f>
        <v>-3.3244298997411326E-3</v>
      </c>
      <c r="C34" s="9">
        <f ca="1">IF(OR(C7="",C$28&lt;$A34),"",C7/OFFSET(SSTotalCLM!$A$2,MATCH(C$29,SSTotalCLM!$A$2:$A$500)+$A34-1,1)-1)</f>
        <v>-9.4136302232968871E-3</v>
      </c>
      <c r="D34" s="9">
        <f ca="1">IF(OR(D7="",D$28&lt;$A34),"",D7/OFFSET(SSTotalCLM!$A$2,MATCH(D$29,SSTotalCLM!$A$2:$A$500)+$A34-1,1)-1)</f>
        <v>-1.537841211158697E-2</v>
      </c>
      <c r="E34" s="9">
        <f ca="1">IF(OR(E7="",E$28&lt;$A34),"",E7/OFFSET(SSTotalCLM!$A$2,MATCH(E$29,SSTotalCLM!$A$2:$A$500)+$A34-1,1)-1)</f>
        <v>-1.816173402865362E-2</v>
      </c>
      <c r="F34" s="9">
        <f ca="1">IF(OR(F7="",F$28&lt;$A34),"",F7/OFFSET(SSTotalCLM!$A$2,MATCH(F$29,SSTotalCLM!$A$2:$A$500)+$A34-1,1)-1)</f>
        <v>-1.4796251686850503E-2</v>
      </c>
      <c r="G34" s="9">
        <f ca="1">IF(OR(G7="",G$28&lt;$A34),"",G7/OFFSET(SSTotalCLM!$A$2,MATCH(G$29,SSTotalCLM!$A$2:$A$500)+$A34-1,1)-1)</f>
        <v>-1.4528596679370231E-2</v>
      </c>
      <c r="H34" s="9">
        <f ca="1">IF(OR(H7="",H$28&lt;$A34),"",H7/OFFSET(SSTotalCLM!$A$2,MATCH(H$29,SSTotalCLM!$A$2:$A$500)+$A34-1,1)-1)</f>
        <v>-8.9811794314703652E-3</v>
      </c>
      <c r="I34" s="9">
        <f ca="1">IF(OR(I7="",I$28&lt;$A34),"",I7/OFFSET(SSTotalCLM!$A$2,MATCH(I$29,SSTotalCLM!$A$2:$A$500)+$A34-1,1)-1)</f>
        <v>-2.0603568729759991E-2</v>
      </c>
      <c r="J34" s="9">
        <f ca="1">IF(OR(J7="",J$28&lt;$A34),"",J7/OFFSET(SSTotalCLM!$A$2,MATCH(J$29,SSTotalCLM!$A$2:$A$500)+$A34-1,1)-1)</f>
        <v>5.9302177403490752E-3</v>
      </c>
      <c r="K34" s="9">
        <f ca="1">IF(OR(K7="",K$28&lt;$A34),"",K7/OFFSET(SSTotalCLM!$A$2,MATCH(K$29,SSTotalCLM!$A$2:$A$500)+$A34-1,1)-1)</f>
        <v>4.7630943844214624E-3</v>
      </c>
      <c r="L34" s="9">
        <f ca="1">IF(OR(L7="",L$28&lt;$A34),"",L7/OFFSET(SSTotalCLM!$A$2,MATCH(L$29,SSTotalCLM!$A$2:$A$500)+$A34-1,1)-1)</f>
        <v>2.3139827977560756E-3</v>
      </c>
      <c r="M34" s="9">
        <f ca="1">IF(OR(M7="",M$28&lt;$A34),"",M7/OFFSET(SSTotalCLM!$A$2,MATCH(M$29,SSTotalCLM!$A$2:$A$500)+$A34-1,1)-1)</f>
        <v>-8.2076911908633976E-3</v>
      </c>
      <c r="N34" s="9">
        <f ca="1">IF(OR(N7="",N$28&lt;$A34),"",N7/OFFSET(SSTotalCLM!$A$2,MATCH(N$29,SSTotalCLM!$A$2:$A$500)+$A34-1,1)-1)</f>
        <v>-4.3065177114021136E-3</v>
      </c>
      <c r="O34" s="9">
        <f ca="1">IF(OR(O7="",O$28&lt;$A34),"",O7/OFFSET(SSTotalCLM!$A$2,MATCH(O$29,SSTotalCLM!$A$2:$A$500)+$A34-1,1)-1)</f>
        <v>-2.005606565018514E-2</v>
      </c>
      <c r="P34" s="9">
        <f ca="1">IF(OR(P7="",P$28&lt;$A34),"",P7/OFFSET(SSTotalCLM!$A$2,MATCH(P$29,SSTotalCLM!$A$2:$A$500)+$A34-1,1)-1)</f>
        <v>-2.7195941404642099E-2</v>
      </c>
      <c r="Q34" s="9">
        <f ca="1">IF(OR(Q7="",Q$28&lt;$A34),"",Q7/OFFSET(SSTotalCLM!$A$2,MATCH(Q$29,SSTotalCLM!$A$2:$A$500)+$A34-1,1)-1)</f>
        <v>-3.1384979719304318E-2</v>
      </c>
      <c r="R34" s="9">
        <f ca="1">IF(OR(R7="",R$28&lt;$A34),"",R7/OFFSET(SSTotalCLM!$A$2,MATCH(R$29,SSTotalCLM!$A$2:$A$500)+$A34-1,1)-1)</f>
        <v>-2.4541054259090034E-2</v>
      </c>
      <c r="S34" s="9">
        <f ca="1">IF(OR(S7="",S$28&lt;$A34),"",S7/OFFSET(SSTotalCLM!$A$2,MATCH(S$29,SSTotalCLM!$A$2:$A$500)+$A34-1,1)-1)</f>
        <v>-2.0475945292941056E-2</v>
      </c>
      <c r="T34" s="9">
        <f ca="1">IF(OR(T7="",T$28&lt;$A34),"",T7/OFFSET(SSTotalCLM!$A$2,MATCH(T$29,SSTotalCLM!$A$2:$A$500)+$A34-1,1)-1)</f>
        <v>-1.2265074581992552E-2</v>
      </c>
      <c r="U34" s="9">
        <f ca="1">IF(OR(U7="",U$28&lt;$A34),"",U7/OFFSET(SSTotalCLM!$A$2,MATCH(U$29,SSTotalCLM!$A$2:$A$500)+$A34-1,1)-1)</f>
        <v>-8.8038890292295724E-3</v>
      </c>
      <c r="V34" s="9">
        <f ca="1">IF(OR(V7="",V$28&lt;$A34),"",V7/OFFSET(SSTotalCLM!$A$2,MATCH(V$29,SSTotalCLM!$A$2:$A$500)+$A34-1,1)-1)</f>
        <v>-2.9763574695740314E-4</v>
      </c>
      <c r="W34" s="9">
        <f ca="1">IF(OR(W7="",W$28&lt;$A34),"",W7/OFFSET(SSTotalCLM!$A$2,MATCH(W$29,SSTotalCLM!$A$2:$A$500)+$A34-1,1)-1)</f>
        <v>-6.7748388887216571E-3</v>
      </c>
      <c r="X34" s="9">
        <f ca="1">IF(OR(X7="",X$28&lt;$A34),"",X7/OFFSET(SSTotalCLM!$A$2,MATCH(X$29,SSTotalCLM!$A$2:$A$500)+$A34-1,1)-1)</f>
        <v>-7.4699832481970319E-3</v>
      </c>
      <c r="Y34" s="9">
        <f ca="1">IF(OR(Y7="",Y$28&lt;$A34),"",Y7/OFFSET(SSTotalCLM!$A$2,MATCH(Y$29,SSTotalCLM!$A$2:$A$500)+$A34-1,1)-1)</f>
        <v>9.5387413711156555E-4</v>
      </c>
      <c r="Z34" s="9">
        <f ca="1">IF(OR(Z7="",Z$28&lt;$A34),"",Z7/OFFSET(SSTotalCLM!$A$2,MATCH(Z$29,SSTotalCLM!$A$2:$A$500)+$A34-1,1)-1)</f>
        <v>1.0163329083365813E-2</v>
      </c>
      <c r="AA34" s="9">
        <f ca="1">IF(OR(AA7="",AA$28&lt;$A34),"",AA7/OFFSET(SSTotalCLM!$A$2,MATCH(AA$29,SSTotalCLM!$A$2:$A$500)+$A34-1,1)-1)</f>
        <v>1.5695937752452815E-2</v>
      </c>
      <c r="AB34" s="9">
        <f ca="1">IF(OR(AB7="",AB$28&lt;$A34),"",AB7/OFFSET(SSTotalCLM!$A$2,MATCH(AB$29,SSTotalCLM!$A$2:$A$500)+$A34-1,1)-1)</f>
        <v>2.0024293074209831E-2</v>
      </c>
      <c r="AC34" s="9">
        <f ca="1">IF(OR(AC7="",AC$28&lt;$A34),"",AC7/OFFSET(SSTotalCLM!$A$2,MATCH(AC$29,SSTotalCLM!$A$2:$A$500)+$A34-1,1)-1)</f>
        <v>2.9111039503894487E-2</v>
      </c>
      <c r="AD34" s="9">
        <f ca="1">IF(OR(AD7="",AD$28&lt;$A34),"",AD7/OFFSET(SSTotalCLM!$A$2,MATCH(AD$29,SSTotalCLM!$A$2:$A$500)+$A34-1,1)-1)</f>
        <v>1.8577946866400241E-2</v>
      </c>
      <c r="AE34" s="9">
        <f ca="1">IF(OR(AE7="",AE$28&lt;$A34),"",AE7/OFFSET(SSTotalCLM!$A$2,MATCH(AE$29,SSTotalCLM!$A$2:$A$500)+$A34-1,1)-1)</f>
        <v>1.920175113883249E-2</v>
      </c>
      <c r="AF34" s="9">
        <f ca="1">IF(OR(AF7="",AF$28&lt;$A34),"",AF7/OFFSET(SSTotalCLM!$A$2,MATCH(AF$29,SSTotalCLM!$A$2:$A$500)+$A34-1,1)-1)</f>
        <v>7.5875075754576748E-3</v>
      </c>
      <c r="AG34" s="9">
        <f ca="1">IF(OR(AG7="",AG$28&lt;$A34),"",AG7/OFFSET(SSTotalCLM!$A$2,MATCH(AG$29,SSTotalCLM!$A$2:$A$500)+$A34-1,1)-1)</f>
        <v>-4.3829303715513523E-3</v>
      </c>
      <c r="AH34" s="9">
        <f ca="1">IF(OR(AH7="",AH$28&lt;$A34),"",AH7/OFFSET(SSTotalCLM!$A$2,MATCH(AH$29,SSTotalCLM!$A$2:$A$500)+$A34-1,1)-1)</f>
        <v>-7.279758265841263E-3</v>
      </c>
      <c r="AI34" s="9">
        <f ca="1">IF(OR(AI7="",AI$28&lt;$A34),"",AI7/OFFSET(SSTotalCLM!$A$2,MATCH(AI$29,SSTotalCLM!$A$2:$A$500)+$A34-1,1)-1)</f>
        <v>-1.0140920505874229E-2</v>
      </c>
      <c r="AJ34" s="9">
        <f ca="1">IF(OR(AJ7="",AJ$28&lt;$A34),"",AJ7/OFFSET(SSTotalCLM!$A$2,MATCH(AJ$29,SSTotalCLM!$A$2:$A$500)+$A34-1,1)-1)</f>
        <v>-1.1974628390514663E-2</v>
      </c>
      <c r="AK34" s="9">
        <f ca="1">IF(OR(AK7="",AK$28&lt;$A34),"",AK7/OFFSET(SSTotalCLM!$A$2,MATCH(AK$29,SSTotalCLM!$A$2:$A$500)+$A34-1,1)-1)</f>
        <v>-1.0932860618426132E-2</v>
      </c>
      <c r="AL34" s="9">
        <f ca="1">IF(OR(AL7="",AL$28&lt;$A34),"",AL7/OFFSET(SSTotalCLM!$A$2,MATCH(AL$29,SSTotalCLM!$A$2:$A$500)+$A34-1,1)-1)</f>
        <v>-5.5961855966348839E-3</v>
      </c>
      <c r="AM34" s="9">
        <f ca="1">IF(OR(AM7="",AM$28&lt;$A34),"",AM7/OFFSET(SSTotalCLM!$A$2,MATCH(AM$29,SSTotalCLM!$A$2:$A$500)+$A34-1,1)-1)</f>
        <v>8.2893337057399208E-4</v>
      </c>
      <c r="AN34" s="9">
        <f ca="1">IF(OR(AN7="",AN$28&lt;$A34),"",AN7/OFFSET(SSTotalCLM!$A$2,MATCH(AN$29,SSTotalCLM!$A$2:$A$500)+$A34-1,1)-1)</f>
        <v>2.3264093281729625E-3</v>
      </c>
      <c r="AO34" s="9">
        <f ca="1">IF(OR(AO7="",AO$28&lt;$A34),"",AO7/OFFSET(SSTotalCLM!$A$2,MATCH(AO$29,SSTotalCLM!$A$2:$A$500)+$A34-1,1)-1)</f>
        <v>7.8887897421888731E-3</v>
      </c>
      <c r="AP34" s="9">
        <f ca="1">IF(OR(AP7="",AP$28&lt;$A34),"",AP7/OFFSET(SSTotalCLM!$A$2,MATCH(AP$29,SSTotalCLM!$A$2:$A$500)+$A34-1,1)-1)</f>
        <v>8.1085836364163111E-3</v>
      </c>
      <c r="AQ34" s="9">
        <f ca="1">IF(OR(AQ7="",AQ$28&lt;$A34),"",AQ7/OFFSET(SSTotalCLM!$A$2,MATCH(AQ$29,SSTotalCLM!$A$2:$A$500)+$A34-1,1)-1)</f>
        <v>3.0344287289618688E-3</v>
      </c>
      <c r="AR34" s="9">
        <f ca="1">IF(OR(AR7="",AR$28&lt;$A34),"",AR7/OFFSET(SSTotalCLM!$A$2,MATCH(AR$29,SSTotalCLM!$A$2:$A$500)+$A34-1,1)-1)</f>
        <v>3.6948412730897218E-4</v>
      </c>
      <c r="AS34" s="9">
        <f ca="1">IF(OR(AS7="",AS$28&lt;$A34),"",AS7/OFFSET(SSTotalCLM!$A$2,MATCH(AS$29,SSTotalCLM!$A$2:$A$500)+$A34-1,1)-1)</f>
        <v>-5.2864017710766431E-3</v>
      </c>
      <c r="AT34" s="9">
        <f ca="1">IF(OR(AT7="",AT$28&lt;$A34),"",AT7/OFFSET(SSTotalCLM!$A$2,MATCH(AT$29,SSTotalCLM!$A$2:$A$500)+$A34-1,1)-1)</f>
        <v>-1.6568356099735393E-3</v>
      </c>
      <c r="AU34" s="9">
        <f ca="1">IF(OR(AU7="",AU$28&lt;$A34),"",AU7/OFFSET(SSTotalCLM!$A$2,MATCH(AU$29,SSTotalCLM!$A$2:$A$500)+$A34-1,1)-1)</f>
        <v>2.6709317150295231E-3</v>
      </c>
      <c r="AV34" s="9">
        <f ca="1">IF(OR(AV7="",AV$28&lt;$A34),"",AV7/OFFSET(SSTotalCLM!$A$2,MATCH(AV$29,SSTotalCLM!$A$2:$A$500)+$A34-1,1)-1)</f>
        <v>1.5157188560766421E-2</v>
      </c>
      <c r="AW34" s="9">
        <f ca="1">IF(OR(AW7="",AW$28&lt;$A34),"",AW7/OFFSET(SSTotalCLM!$A$2,MATCH(AW$29,SSTotalCLM!$A$2:$A$500)+$A34-1,1)-1)</f>
        <v>1.7473526510071613E-2</v>
      </c>
      <c r="AX34" s="9">
        <f ca="1">IF(OR(AX7="",AX$28&lt;$A34),"",AX7/OFFSET(SSTotalCLM!$A$2,MATCH(AX$29,SSTotalCLM!$A$2:$A$500)+$A34-1,1)-1)</f>
        <v>2.9027258684794166E-2</v>
      </c>
      <c r="AY34" s="9">
        <f ca="1">IF(OR(AY7="",AY$28&lt;$A34),"",AY7/OFFSET(SSTotalCLM!$A$2,MATCH(AY$29,SSTotalCLM!$A$2:$A$500)+$A34-1,1)-1)</f>
        <v>3.3670966525033208E-2</v>
      </c>
      <c r="AZ34" s="9">
        <f ca="1">IF(OR(AZ7="",AZ$28&lt;$A34),"",AZ7/OFFSET(SSTotalCLM!$A$2,MATCH(AZ$29,SSTotalCLM!$A$2:$A$500)+$A34-1,1)-1)</f>
        <v>3.6136933763168511E-2</v>
      </c>
      <c r="BA34" s="9">
        <f ca="1">IF(OR(BA7="",BA$28&lt;$A34),"",BA7/OFFSET(SSTotalCLM!$A$2,MATCH(BA$29,SSTotalCLM!$A$2:$A$500)+$A34-1,1)-1)</f>
        <v>3.651255742363424E-2</v>
      </c>
      <c r="BB34" s="9">
        <f ca="1">IF(OR(BB7="",BB$28&lt;$A34),"",BB7/OFFSET(SSTotalCLM!$A$2,MATCH(BB$29,SSTotalCLM!$A$2:$A$500)+$A34-1,1)-1)</f>
        <v>3.5385211482330758E-2</v>
      </c>
      <c r="BC34" s="9">
        <f ca="1">IF(OR(BC7="",BC$28&lt;$A34),"",BC7/OFFSET(SSTotalCLM!$A$2,MATCH(BC$29,SSTotalCLM!$A$2:$A$500)+$A34-1,1)-1)</f>
        <v>3.0089461783819216E-2</v>
      </c>
      <c r="BD34" s="9">
        <f ca="1">IF(OR(BD7="",BD$28&lt;$A34),"",BD7/OFFSET(SSTotalCLM!$A$2,MATCH(BD$29,SSTotalCLM!$A$2:$A$500)+$A34-1,1)-1)</f>
        <v>4.5466304555896508E-2</v>
      </c>
      <c r="BE34" s="9">
        <f ca="1">IF(OR(BE7="",BE$28&lt;$A34),"",BE7/OFFSET(SSTotalCLM!$A$2,MATCH(BE$29,SSTotalCLM!$A$2:$A$500)+$A34-1,1)-1)</f>
        <v>4.2099194285313724E-2</v>
      </c>
      <c r="BF34" s="9">
        <f ca="1">IF(OR(BF7="",BF$28&lt;$A34),"",BF7/OFFSET(SSTotalCLM!$A$2,MATCH(BF$29,SSTotalCLM!$A$2:$A$500)+$A34-1,1)-1)</f>
        <v>2.7551873661183501E-2</v>
      </c>
      <c r="BG34" s="9">
        <f ca="1">IF(OR(BG7="",BG$28&lt;$A34),"",BG7/OFFSET(SSTotalCLM!$A$2,MATCH(BG$29,SSTotalCLM!$A$2:$A$500)+$A34-1,1)-1)</f>
        <v>3.9124693841051883E-2</v>
      </c>
      <c r="BH34" s="9">
        <f ca="1">IF(OR(BH7="",BH$28&lt;$A34),"",BH7/OFFSET(SSTotalCLM!$A$2,MATCH(BH$29,SSTotalCLM!$A$2:$A$500)+$A34-1,1)-1)</f>
        <v>5.6129696533006257E-2</v>
      </c>
      <c r="BI34" s="9">
        <f ca="1">IF(OR(BI7="",BI$28&lt;$A34),"",BI7/OFFSET(SSTotalCLM!$A$2,MATCH(BI$29,SSTotalCLM!$A$2:$A$500)+$A34-1,1)-1)</f>
        <v>2.6322619082640664E-2</v>
      </c>
      <c r="BJ34" s="9">
        <f ca="1">IF(OR(BJ7="",BJ$28&lt;$A34),"",BJ7/OFFSET(SSTotalCLM!$A$2,MATCH(BJ$29,SSTotalCLM!$A$2:$A$500)+$A34-1,1)-1)</f>
        <v>9.8184895860264909E-3</v>
      </c>
      <c r="BK34" s="9">
        <f ca="1">IF(OR(BK7="",BK$28&lt;$A34),"",BK7/OFFSET(SSTotalCLM!$A$2,MATCH(BK$29,SSTotalCLM!$A$2:$A$500)+$A34-1,1)-1)</f>
        <v>-2.8749197080052413E-3</v>
      </c>
      <c r="BL34" s="9">
        <f ca="1">IF(OR(BL7="",BL$28&lt;$A34),"",BL7/OFFSET(SSTotalCLM!$A$2,MATCH(BL$29,SSTotalCLM!$A$2:$A$500)+$A34-1,1)-1)</f>
        <v>-2.2081901030622797E-2</v>
      </c>
      <c r="BM34" s="9">
        <f ca="1">IF(OR(BM7="",BM$28&lt;$A34),"",BM7/OFFSET(SSTotalCLM!$A$2,MATCH(BM$29,SSTotalCLM!$A$2:$A$500)+$A34-1,1)-1)</f>
        <v>-4.1879480075590947E-2</v>
      </c>
      <c r="BN34" s="9">
        <f ca="1">IF(OR(BN7="",BN$28&lt;$A34),"",BN7/OFFSET(SSTotalCLM!$A$2,MATCH(BN$29,SSTotalCLM!$A$2:$A$500)+$A34-1,1)-1)</f>
        <v>-5.6824509251178545E-2</v>
      </c>
      <c r="BO34" s="9">
        <f ca="1">IF(OR(BO7="",BO$28&lt;$A34),"",BO7/OFFSET(SSTotalCLM!$A$2,MATCH(BO$29,SSTotalCLM!$A$2:$A$500)+$A34-1,1)-1)</f>
        <v>-3.6512692554059867E-2</v>
      </c>
      <c r="BP34" s="9">
        <f ca="1">IF(OR(BP7="",BP$28&lt;$A34),"",BP7/OFFSET(SSTotalCLM!$A$2,MATCH(BP$29,SSTotalCLM!$A$2:$A$500)+$A34-1,1)-1)</f>
        <v>-2.6495691156888657E-2</v>
      </c>
      <c r="BQ34" s="9">
        <f ca="1">IF(OR(BQ7="",BQ$28&lt;$A34),"",BQ7/OFFSET(SSTotalCLM!$A$2,MATCH(BQ$29,SSTotalCLM!$A$2:$A$500)+$A34-1,1)-1)</f>
        <v>-3.0656476980430614E-2</v>
      </c>
      <c r="BR34" s="9">
        <f ca="1">IF(OR(BR7="",BR$28&lt;$A34),"",BR7/OFFSET(SSTotalCLM!$A$2,MATCH(BR$29,SSTotalCLM!$A$2:$A$500)+$A34-1,1)-1)</f>
        <v>-1.4823109413883206E-2</v>
      </c>
      <c r="BS34" s="9">
        <f ca="1">IF(OR(BS7="",BS$28&lt;$A34),"",BS7/OFFSET(SSTotalCLM!$A$2,MATCH(BS$29,SSTotalCLM!$A$2:$A$500)+$A34-1,1)-1)</f>
        <v>2.5573293519357332E-2</v>
      </c>
      <c r="BT34" s="9">
        <f ca="1">IF(OR(BT7="",BT$28&lt;$A34),"",BT7/OFFSET(SSTotalCLM!$A$2,MATCH(BT$29,SSTotalCLM!$A$2:$A$500)+$A34-1,1)-1)</f>
        <v>1.1972257212169213E-2</v>
      </c>
      <c r="BU34" s="9">
        <f ca="1">IF(OR(BU7="",BU$28&lt;$A34),"",BU7/OFFSET(SSTotalCLM!$A$2,MATCH(BU$29,SSTotalCLM!$A$2:$A$500)+$A34-1,1)-1)</f>
        <v>5.2213942230363575E-3</v>
      </c>
      <c r="BV34" s="9">
        <f ca="1">IF(OR(BV7="",BV$28&lt;$A34),"",BV7/OFFSET(SSTotalCLM!$A$2,MATCH(BV$29,SSTotalCLM!$A$2:$A$500)+$A34-1,1)-1)</f>
        <v>1.7898504415540861E-2</v>
      </c>
      <c r="BW34" s="9">
        <f ca="1">IF(OR(BW7="",BW$28&lt;$A34),"",BW7/OFFSET(SSTotalCLM!$A$2,MATCH(BW$29,SSTotalCLM!$A$2:$A$500)+$A34-1,1)-1)</f>
        <v>1.3815129649578095E-2</v>
      </c>
      <c r="BX34" s="9">
        <f ca="1">IF(OR(BX7="",BX$28&lt;$A34),"",BX7/OFFSET(SSTotalCLM!$A$2,MATCH(BX$29,SSTotalCLM!$A$2:$A$500)+$A34-1,1)-1)</f>
        <v>9.9956059637309469E-3</v>
      </c>
      <c r="BY34" s="9">
        <f ca="1">IF(OR(BY7="",BY$28&lt;$A34),"",BY7/OFFSET(SSTotalCLM!$A$2,MATCH(BY$29,SSTotalCLM!$A$2:$A$500)+$A34-1,1)-1)</f>
        <v>6.9350496330571332E-3</v>
      </c>
      <c r="BZ34" s="9">
        <f ca="1">IF(OR(BZ7="",BZ$28&lt;$A34),"",BZ7/OFFSET(SSTotalCLM!$A$2,MATCH(BZ$29,SSTotalCLM!$A$2:$A$500)+$A34-1,1)-1)</f>
        <v>-1.1732839428463149E-2</v>
      </c>
      <c r="CA34" s="9">
        <f ca="1">IF(OR(CA7="",CA$28&lt;$A34),"",CA7/OFFSET(SSTotalCLM!$A$2,MATCH(CA$29,SSTotalCLM!$A$2:$A$500)+$A34-1,1)-1)</f>
        <v>-7.0169416883619773E-3</v>
      </c>
      <c r="CB34" s="9">
        <f ca="1">IF(OR(CB7="",CB$28&lt;$A34),"",CB7/OFFSET(SSTotalCLM!$A$2,MATCH(CB$29,SSTotalCLM!$A$2:$A$500)+$A34-1,1)-1)</f>
        <v>-3.5492858664182281E-3</v>
      </c>
      <c r="CC34" s="9">
        <f ca="1">IF(OR(CC7="",CC$28&lt;$A34),"",CC7/OFFSET(SSTotalCLM!$A$2,MATCH(CC$29,SSTotalCLM!$A$2:$A$500)+$A34-1,1)-1)</f>
        <v>-4.7263883863463141E-3</v>
      </c>
      <c r="CD34" s="9">
        <f ca="1">IF(OR(CD7="",CD$28&lt;$A34),"",CD7/OFFSET(SSTotalCLM!$A$2,MATCH(CD$29,SSTotalCLM!$A$2:$A$500)+$A34-1,1)-1)</f>
        <v>-6.1755514510943854E-3</v>
      </c>
      <c r="CE34" s="9">
        <f ca="1">IF(OR(CE7="",CE$28&lt;$A34),"",CE7/OFFSET(SSTotalCLM!$A$2,MATCH(CE$29,SSTotalCLM!$A$2:$A$500)+$A34-1,1)-1)</f>
        <v>2.0604804598869153E-2</v>
      </c>
      <c r="CF34" s="9">
        <f ca="1">IF(OR(CF7="",CF$28&lt;$A34),"",CF7/OFFSET(SSTotalCLM!$A$2,MATCH(CF$29,SSTotalCLM!$A$2:$A$500)+$A34-1,1)-1)</f>
        <v>2.5816419292143067E-2</v>
      </c>
      <c r="CG34" s="9">
        <f ca="1">IF(OR(CG7="",CG$28&lt;$A34),"",CG7/OFFSET(SSTotalCLM!$A$2,MATCH(CG$29,SSTotalCLM!$A$2:$A$500)+$A34-1,1)-1)</f>
        <v>3.9712927502404405E-3</v>
      </c>
      <c r="CH34" s="9">
        <f ca="1">IF(OR(CH7="",CH$28&lt;$A34),"",CH7/OFFSET(SSTotalCLM!$A$2,MATCH(CH$29,SSTotalCLM!$A$2:$A$500)+$A34-1,1)-1)</f>
        <v>6.5660139636418702E-3</v>
      </c>
      <c r="CI34" s="9">
        <f ca="1">IF(OR(CI7="",CI$28&lt;$A34),"",CI7/OFFSET(SSTotalCLM!$A$2,MATCH(CI$29,SSTotalCLM!$A$2:$A$500)+$A34-1,1)-1)</f>
        <v>1.0229774770240896E-2</v>
      </c>
      <c r="CJ34" s="9">
        <f ca="1">IF(OR(CJ7="",CJ$28&lt;$A34),"",CJ7/OFFSET(SSTotalCLM!$A$2,MATCH(CJ$29,SSTotalCLM!$A$2:$A$500)+$A34-1,1)-1)</f>
        <v>4.6092673581781263E-3</v>
      </c>
      <c r="CK34" s="9">
        <f ca="1">IF(OR(CK7="",CK$28&lt;$A34),"",CK7/OFFSET(SSTotalCLM!$A$2,MATCH(CK$29,SSTotalCLM!$A$2:$A$500)+$A34-1,1)-1)</f>
        <v>4.68612320031081E-3</v>
      </c>
      <c r="CL34" s="9">
        <f ca="1">IF(OR(CL7="",CL$28&lt;$A34),"",CL7/OFFSET(SSTotalCLM!$A$2,MATCH(CL$29,SSTotalCLM!$A$2:$A$500)+$A34-1,1)-1)</f>
        <v>3.4640747137255623E-3</v>
      </c>
      <c r="CM34" s="9">
        <f ca="1">IF(OR(CM7="",CM$28&lt;$A34),"",CM7/OFFSET(SSTotalCLM!$A$2,MATCH(CM$29,SSTotalCLM!$A$2:$A$500)+$A34-1,1)-1)</f>
        <v>2.5808593728268603E-2</v>
      </c>
      <c r="CN34" s="9">
        <f ca="1">IF(OR(CN7="",CN$28&lt;$A34),"",CN7/OFFSET(SSTotalCLM!$A$2,MATCH(CN$29,SSTotalCLM!$A$2:$A$500)+$A34-1,1)-1)</f>
        <v>2.2383684862032682E-2</v>
      </c>
      <c r="CO34" s="9">
        <f ca="1">IF(OR(CO7="",CO$28&lt;$A34),"",CO7/OFFSET(SSTotalCLM!$A$2,MATCH(CO$29,SSTotalCLM!$A$2:$A$500)+$A34-1,1)-1)</f>
        <v>1.0436555200835418E-2</v>
      </c>
      <c r="CP34" s="9">
        <f ca="1">IF(OR(CP7="",CP$28&lt;$A34),"",CP7/OFFSET(SSTotalCLM!$A$2,MATCH(CP$29,SSTotalCLM!$A$2:$A$500)+$A34-1,1)-1)</f>
        <v>1.3719215974603793E-2</v>
      </c>
      <c r="CQ34" s="9">
        <f ca="1">IF(OR(CQ7="",CQ$28&lt;$A34),"",CQ7/OFFSET(SSTotalCLM!$A$2,MATCH(CQ$29,SSTotalCLM!$A$2:$A$500)+$A34-1,1)-1)</f>
        <v>3.8136921532730073E-2</v>
      </c>
      <c r="CR34" s="9">
        <f ca="1">IF(OR(CR7="",CR$28&lt;$A34),"",CR7/OFFSET(SSTotalCLM!$A$2,MATCH(CR$29,SSTotalCLM!$A$2:$A$500)+$A34-1,1)-1)</f>
        <v>2.0072232648422617E-2</v>
      </c>
      <c r="CS34" s="9">
        <f ca="1">IF(OR(CS7="",CS$28&lt;$A34),"",CS7/OFFSET(SSTotalCLM!$A$2,MATCH(CS$29,SSTotalCLM!$A$2:$A$500)+$A34-1,1)-1)</f>
        <v>1.404761673522481E-2</v>
      </c>
      <c r="CT34" s="9">
        <f ca="1">IF(OR(CT7="",CT$28&lt;$A34),"",CT7/OFFSET(SSTotalCLM!$A$2,MATCH(CT$29,SSTotalCLM!$A$2:$A$500)+$A34-1,1)-1)</f>
        <v>2.7618664383317171E-2</v>
      </c>
      <c r="CU34" s="9">
        <f ca="1">IF(OR(CU7="",CU$28&lt;$A34),"",CU7/OFFSET(SSTotalCLM!$A$2,MATCH(CU$29,SSTotalCLM!$A$2:$A$500)+$A34-1,1)-1)</f>
        <v>1.0075771726962612E-2</v>
      </c>
      <c r="CV34" s="9">
        <f ca="1">IF(OR(CV7="",CV$28&lt;$A34),"",CV7/OFFSET(SSTotalCLM!$A$2,MATCH(CV$29,SSTotalCLM!$A$2:$A$500)+$A34-1,1)-1)</f>
        <v>6.2690185504536977E-3</v>
      </c>
      <c r="CW34" s="9">
        <f ca="1">IF(OR(CW7="",CW$28&lt;$A34),"",CW7/OFFSET(SSTotalCLM!$A$2,MATCH(CW$29,SSTotalCLM!$A$2:$A$500)+$A34-1,1)-1)</f>
        <v>1.1259559461946456E-2</v>
      </c>
      <c r="CX34" s="9">
        <f ca="1">IF(OR(CX7="",CX$28&lt;$A34),"",CX7/OFFSET(SSTotalCLM!$A$2,MATCH(CX$29,SSTotalCLM!$A$2:$A$500)+$A34-1,1)-1)</f>
        <v>-1.8034660214721332E-2</v>
      </c>
      <c r="CY34" s="9">
        <f ca="1">IF(OR(CY7="",CY$28&lt;$A34),"",CY7/OFFSET(SSTotalCLM!$A$2,MATCH(CY$29,SSTotalCLM!$A$2:$A$500)+$A34-1,1)-1)</f>
        <v>-1.4083615672683125E-3</v>
      </c>
      <c r="CZ34" s="9">
        <f ca="1">IF(OR(CZ7="",CZ$28&lt;$A34),"",CZ7/OFFSET(SSTotalCLM!$A$2,MATCH(CZ$29,SSTotalCLM!$A$2:$A$500)+$A34-1,1)-1)</f>
        <v>3.0626572054295753E-2</v>
      </c>
      <c r="DA34" s="9">
        <f ca="1">IF(OR(DA7="",DA$28&lt;$A34),"",DA7/OFFSET(SSTotalCLM!$A$2,MATCH(DA$29,SSTotalCLM!$A$2:$A$500)+$A34-1,1)-1)</f>
        <v>2.1814967254452311E-2</v>
      </c>
      <c r="DB34" s="9">
        <f ca="1">IF(OR(DB7="",DB$28&lt;$A34),"",DB7/OFFSET(SSTotalCLM!$A$2,MATCH(DB$29,SSTotalCLM!$A$2:$A$500)+$A34-1,1)-1)</f>
        <v>2.9264112316562674E-3</v>
      </c>
      <c r="DC34" s="9">
        <f ca="1">IF(OR(DC7="",DC$28&lt;$A34),"",DC7/OFFSET(SSTotalCLM!$A$2,MATCH(DC$29,SSTotalCLM!$A$2:$A$500)+$A34-1,1)-1)</f>
        <v>4.4287575606909213E-2</v>
      </c>
      <c r="DD34" s="9">
        <f ca="1">IF(OR(DD7="",DD$28&lt;$A34),"",DD7/OFFSET(SSTotalCLM!$A$2,MATCH(DD$29,SSTotalCLM!$A$2:$A$500)+$A34-1,1)-1)</f>
        <v>1.5505563499707664E-2</v>
      </c>
      <c r="DE34" s="9">
        <f ca="1">IF(OR(DE7="",DE$28&lt;$A34),"",DE7/OFFSET(SSTotalCLM!$A$2,MATCH(DE$29,SSTotalCLM!$A$2:$A$500)+$A34-1,1)-1)</f>
        <v>-2.6930810025949548E-2</v>
      </c>
      <c r="DF34" s="9">
        <f ca="1">IF(OR(DF7="",DF$28&lt;$A34),"",DF7/OFFSET(SSTotalCLM!$A$2,MATCH(DF$29,SSTotalCLM!$A$2:$A$500)+$A34-1,1)-1)</f>
        <v>-4.1129980673162203E-2</v>
      </c>
      <c r="DG34" s="9">
        <f ca="1">IF(OR(DG7="",DG$28&lt;$A34),"",DG7/OFFSET(SSTotalCLM!$A$2,MATCH(DG$29,SSTotalCLM!$A$2:$A$500)+$A34-1,1)-1)</f>
        <v>-3.366154424475698E-2</v>
      </c>
      <c r="DH34" s="9">
        <f ca="1">IF(OR(DH7="",DH$28&lt;$A34),"",DH7/OFFSET(SSTotalCLM!$A$2,MATCH(DH$29,SSTotalCLM!$A$2:$A$500)+$A34-1,1)-1)</f>
        <v>-2.7009441690014846E-2</v>
      </c>
      <c r="DI34" s="9">
        <f ca="1">IF(OR(DI7="",DI$28&lt;$A34),"",DI7/OFFSET(SSTotalCLM!$A$2,MATCH(DI$29,SSTotalCLM!$A$2:$A$500)+$A34-1,1)-1)</f>
        <v>-2.2942947688971982E-2</v>
      </c>
      <c r="DJ34" s="9">
        <f ca="1">IF(OR(DJ7="",DJ$28&lt;$A34),"",DJ7/OFFSET(SSTotalCLM!$A$2,MATCH(DJ$29,SSTotalCLM!$A$2:$A$500)+$A34-1,1)-1)</f>
        <v>-2.061327066730545E-2</v>
      </c>
      <c r="DK34" s="9">
        <f ca="1">IF(OR(DK7="",DK$28&lt;$A34),"",DK7/OFFSET(SSTotalCLM!$A$2,MATCH(DK$29,SSTotalCLM!$A$2:$A$500)+$A34-1,1)-1)</f>
        <v>-4.5135336759310807E-2</v>
      </c>
      <c r="DL34" s="9">
        <f ca="1">IF(OR(DL7="",DL$28&lt;$A34),"",DL7/OFFSET(SSTotalCLM!$A$2,MATCH(DL$29,SSTotalCLM!$A$2:$A$500)+$A34-1,1)-1)</f>
        <v>-1.5320743842625717E-2</v>
      </c>
      <c r="DM34" s="9">
        <f ca="1">IF(OR(DM7="",DM$28&lt;$A34),"",DM7/OFFSET(SSTotalCLM!$A$2,MATCH(DM$29,SSTotalCLM!$A$2:$A$500)+$A34-1,1)-1)</f>
        <v>-3.2299756930431855E-2</v>
      </c>
      <c r="DN34" s="9">
        <f ca="1">IF(OR(DN7="",DN$28&lt;$A34),"",DN7/OFFSET(SSTotalCLM!$A$2,MATCH(DN$29,SSTotalCLM!$A$2:$A$500)+$A34-1,1)-1)</f>
        <v>-3.4651153385549138E-2</v>
      </c>
      <c r="DO34" s="9">
        <f ca="1">IF(OR(DO7="",DO$28&lt;$A34),"",DO7/OFFSET(SSTotalCLM!$A$2,MATCH(DO$29,SSTotalCLM!$A$2:$A$500)+$A34-1,1)-1)</f>
        <v>-3.0981607823877044E-2</v>
      </c>
      <c r="DP34" s="9">
        <f ca="1">IF(OR(DP7="",DP$28&lt;$A34),"",DP7/OFFSET(SSTotalCLM!$A$2,MATCH(DP$29,SSTotalCLM!$A$2:$A$500)+$A34-1,1)-1)</f>
        <v>1.1767530452697184E-2</v>
      </c>
      <c r="DQ34" s="9">
        <f ca="1">IF(OR(DQ7="",DQ$28&lt;$A34),"",DQ7/OFFSET(SSTotalCLM!$A$2,MATCH(DQ$29,SSTotalCLM!$A$2:$A$500)+$A34-1,1)-1)</f>
        <v>-2.3774120606065985E-2</v>
      </c>
      <c r="DR34" s="9">
        <f ca="1">IF(OR(DR7="",DR$28&lt;$A34),"",DR7/OFFSET(SSTotalCLM!$A$2,MATCH(DR$29,SSTotalCLM!$A$2:$A$500)+$A34-1,1)-1)</f>
        <v>-7.538072317903044E-3</v>
      </c>
      <c r="DS34" s="9">
        <f ca="1">IF(OR(DS7="",DS$28&lt;$A34),"",DS7/OFFSET(SSTotalCLM!$A$2,MATCH(DS$29,SSTotalCLM!$A$2:$A$500)+$A34-1,1)-1)</f>
        <v>-2.5597674169586249E-3</v>
      </c>
      <c r="DT34" s="9">
        <f ca="1">IF(OR(DT7="",DT$28&lt;$A34),"",DT7/OFFSET(SSTotalCLM!$A$2,MATCH(DT$29,SSTotalCLM!$A$2:$A$500)+$A34-1,1)-1)</f>
        <v>-1.0060483720738533E-3</v>
      </c>
      <c r="DU34" s="9">
        <f ca="1">IF(OR(DU7="",DU$28&lt;$A34),"",DU7/OFFSET(SSTotalCLM!$A$2,MATCH(DU$29,SSTotalCLM!$A$2:$A$500)+$A34-1,1)-1)</f>
        <v>8.2615470831659543E-4</v>
      </c>
      <c r="DV34" s="9">
        <f ca="1">IF(OR(DV7="",DV$28&lt;$A34),"",DV7/OFFSET(SSTotalCLM!$A$2,MATCH(DV$29,SSTotalCLM!$A$2:$A$500)+$A34-1,1)-1)</f>
        <v>-1.6511163070625168E-2</v>
      </c>
      <c r="DW34" s="9">
        <f ca="1">IF(OR(DW7="",DW$28&lt;$A34),"",DW7/OFFSET(SSTotalCLM!$A$2,MATCH(DW$29,SSTotalCLM!$A$2:$A$500)+$A34-1,1)-1)</f>
        <v>1.4099389366499127E-2</v>
      </c>
      <c r="DX34" s="9">
        <f ca="1">IF(OR(DX7="",DX$28&lt;$A34),"",DX7/OFFSET(SSTotalCLM!$A$2,MATCH(DX$29,SSTotalCLM!$A$2:$A$500)+$A34-1,1)-1)</f>
        <v>7.2404071684701865E-3</v>
      </c>
      <c r="DY34" s="9">
        <f ca="1">IF(OR(DY7="",DY$28&lt;$A34),"",DY7/OFFSET(SSTotalCLM!$A$2,MATCH(DY$29,SSTotalCLM!$A$2:$A$500)+$A34-1,1)-1)</f>
        <v>-3.4222307785362061E-3</v>
      </c>
      <c r="DZ34" s="9">
        <f ca="1">IF(OR(DZ7="",DZ$28&lt;$A34),"",DZ7/OFFSET(SSTotalCLM!$A$2,MATCH(DZ$29,SSTotalCLM!$A$2:$A$500)+$A34-1,1)-1)</f>
        <v>-3.7167678370676471E-3</v>
      </c>
      <c r="EA34" s="9">
        <f ca="1">IF(OR(EA7="",EA$28&lt;$A34),"",EA7/OFFSET(SSTotalCLM!$A$2,MATCH(EA$29,SSTotalCLM!$A$2:$A$500)+$A34-1,1)-1)</f>
        <v>2.0341252430949863E-2</v>
      </c>
      <c r="EB34" s="9">
        <f ca="1">IF(OR(EB7="",EB$28&lt;$A34),"",EB7/OFFSET(SSTotalCLM!$A$2,MATCH(EB$29,SSTotalCLM!$A$2:$A$500)+$A34-1,1)-1)</f>
        <v>-2.5840492084364897E-2</v>
      </c>
      <c r="EC34" s="9">
        <f ca="1">IF(OR(EC7="",EC$28&lt;$A34),"",EC7/OFFSET(SSTotalCLM!$A$2,MATCH(EC$29,SSTotalCLM!$A$2:$A$500)+$A34-1,1)-1)</f>
        <v>-2.0990048554771712E-2</v>
      </c>
      <c r="ED34" s="9">
        <f ca="1">IF(OR(ED7="",ED$28&lt;$A34),"",ED7/OFFSET(SSTotalCLM!$A$2,MATCH(ED$29,SSTotalCLM!$A$2:$A$500)+$A34-1,1)-1)</f>
        <v>-2.0829308741258545E-2</v>
      </c>
      <c r="EE34" s="9">
        <f ca="1">IF(OR(EE7="",EE$28&lt;$A34),"",EE7/OFFSET(SSTotalCLM!$A$2,MATCH(EE$29,SSTotalCLM!$A$2:$A$500)+$A34-1,1)-1)</f>
        <v>-3.228013932541296E-2</v>
      </c>
      <c r="EF34" s="9">
        <f ca="1">IF(OR(EF7="",EF$28&lt;$A34),"",EF7/OFFSET(SSTotalCLM!$A$2,MATCH(EF$29,SSTotalCLM!$A$2:$A$500)+$A34-1,1)-1)</f>
        <v>-1.440010314095197E-2</v>
      </c>
      <c r="EG34" s="9">
        <f ca="1">IF(OR(EG7="",EG$28&lt;$A34),"",EG7/OFFSET(SSTotalCLM!$A$2,MATCH(EG$29,SSTotalCLM!$A$2:$A$500)+$A34-1,1)-1)</f>
        <v>4.4106629775650941E-3</v>
      </c>
      <c r="EH34" s="9">
        <f ca="1">IF(OR(EH7="",EH$28&lt;$A34),"",EH7/OFFSET(SSTotalCLM!$A$2,MATCH(EH$29,SSTotalCLM!$A$2:$A$500)+$A34-1,1)-1)</f>
        <v>1.2978748884093783E-2</v>
      </c>
      <c r="EI34" s="9">
        <f ca="1">IF(OR(EI7="",EI$28&lt;$A34),"",EI7/OFFSET(SSTotalCLM!$A$2,MATCH(EI$29,SSTotalCLM!$A$2:$A$500)+$A34-1,1)-1)</f>
        <v>3.6811557003618489E-2</v>
      </c>
      <c r="EJ34" s="9">
        <f ca="1">IF(OR(EJ7="",EJ$28&lt;$A34),"",EJ7/OFFSET(SSTotalCLM!$A$2,MATCH(EJ$29,SSTotalCLM!$A$2:$A$500)+$A34-1,1)-1)</f>
        <v>2.9085414812422661E-2</v>
      </c>
      <c r="EK34" s="9">
        <f ca="1">IF(OR(EK7="",EK$28&lt;$A34),"",EK7/OFFSET(SSTotalCLM!$A$2,MATCH(EK$29,SSTotalCLM!$A$2:$A$500)+$A34-1,1)-1)</f>
        <v>7.0603696271422933E-3</v>
      </c>
      <c r="EL34" s="9">
        <f ca="1">IF(OR(EL7="",EL$28&lt;$A34),"",EL7/OFFSET(SSTotalCLM!$A$2,MATCH(EL$29,SSTotalCLM!$A$2:$A$500)+$A34-1,1)-1)</f>
        <v>-2.9235818213592113E-3</v>
      </c>
      <c r="EM34" s="9">
        <f ca="1">IF(OR(EM7="",EM$28&lt;$A34),"",EM7/OFFSET(SSTotalCLM!$A$2,MATCH(EM$29,SSTotalCLM!$A$2:$A$500)+$A34-1,1)-1)</f>
        <v>3.8677403797549026E-4</v>
      </c>
      <c r="EN34" s="9">
        <f ca="1">IF(OR(EN7="",EN$28&lt;$A34),"",EN7/OFFSET(SSTotalCLM!$A$2,MATCH(EN$29,SSTotalCLM!$A$2:$A$500)+$A34-1,1)-1)</f>
        <v>-1.3254171291819272E-2</v>
      </c>
      <c r="EO34" s="9">
        <f ca="1">IF(OR(EO7="",EO$28&lt;$A34),"",EO7/OFFSET(SSTotalCLM!$A$2,MATCH(EO$29,SSTotalCLM!$A$2:$A$500)+$A34-1,1)-1)</f>
        <v>-5.7251344176912911E-3</v>
      </c>
      <c r="EP34" s="9">
        <f ca="1">IF(OR(EP7="",EP$28&lt;$A34),"",EP7/OFFSET(SSTotalCLM!$A$2,MATCH(EP$29,SSTotalCLM!$A$2:$A$500)+$A34-1,1)-1)</f>
        <v>-3.669297084192169E-3</v>
      </c>
      <c r="EQ34" s="9">
        <f ca="1">IF(OR(EQ7="",EQ$28&lt;$A34),"",EQ7/OFFSET(SSTotalCLM!$A$2,MATCH(EQ$29,SSTotalCLM!$A$2:$A$500)+$A34-1,1)-1)</f>
        <v>-1.2759014601599894E-2</v>
      </c>
      <c r="ER34" s="9">
        <f ca="1">IF(OR(ER7="",ER$28&lt;$A34),"",ER7/OFFSET(SSTotalCLM!$A$2,MATCH(ER$29,SSTotalCLM!$A$2:$A$500)+$A34-1,1)-1)</f>
        <v>-1.6629075587105357E-2</v>
      </c>
      <c r="ES34" s="9">
        <f ca="1">IF(OR(ES7="",ES$28&lt;$A34),"",ES7/OFFSET(SSTotalCLM!$A$2,MATCH(ES$29,SSTotalCLM!$A$2:$A$500)+$A34-1,1)-1)</f>
        <v>-1.481373130016983E-2</v>
      </c>
      <c r="ET34" s="9">
        <f ca="1">IF(OR(ET7="",ET$28&lt;$A34),"",ET7/OFFSET(SSTotalCLM!$A$2,MATCH(ET$29,SSTotalCLM!$A$2:$A$500)+$A34-1,1)-1)</f>
        <v>-7.038492731417656E-3</v>
      </c>
      <c r="EU34" s="9">
        <f ca="1">IF(OR(EU7="",EU$28&lt;$A34),"",EU7/OFFSET(SSTotalCLM!$A$2,MATCH(EU$29,SSTotalCLM!$A$2:$A$500)+$A34-1,1)-1)</f>
        <v>-7.8720796295195239E-3</v>
      </c>
      <c r="EV34" s="9">
        <f ca="1">IF(OR(EV7="",EV$28&lt;$A34),"",EV7/OFFSET(SSTotalCLM!$A$2,MATCH(EV$29,SSTotalCLM!$A$2:$A$500)+$A34-1,1)-1)</f>
        <v>1.7368072563109571E-2</v>
      </c>
      <c r="EW34" s="9">
        <f ca="1">IF(OR(EW7="",EW$28&lt;$A34),"",EW7/OFFSET(SSTotalCLM!$A$2,MATCH(EW$29,SSTotalCLM!$A$2:$A$500)+$A34-1,1)-1)</f>
        <v>2.0720140626068861E-2</v>
      </c>
      <c r="EX34" s="9">
        <f ca="1">IF(OR(EX7="",EX$28&lt;$A34),"",EX7/OFFSET(SSTotalCLM!$A$2,MATCH(EX$29,SSTotalCLM!$A$2:$A$500)+$A34-1,1)-1)</f>
        <v>9.4580842256404285E-3</v>
      </c>
      <c r="EY34" s="9">
        <f ca="1">IF(OR(EY7="",EY$28&lt;$A34),"",EY7/OFFSET(SSTotalCLM!$A$2,MATCH(EY$29,SSTotalCLM!$A$2:$A$500)+$A34-1,1)-1)</f>
        <v>-3.722323835831931E-4</v>
      </c>
      <c r="EZ34" s="9">
        <f ca="1">IF(OR(EZ7="",EZ$28&lt;$A34),"",EZ7/OFFSET(SSTotalCLM!$A$2,MATCH(EZ$29,SSTotalCLM!$A$2:$A$500)+$A34-1,1)-1)</f>
        <v>7.906345229729439E-3</v>
      </c>
      <c r="FA34" s="9">
        <f ca="1">IF(OR(FA7="",FA$28&lt;$A34),"",FA7/OFFSET(SSTotalCLM!$A$2,MATCH(FA$29,SSTotalCLM!$A$2:$A$500)+$A34-1,1)-1)</f>
        <v>-1.3023884305074507E-4</v>
      </c>
      <c r="FB34" s="9">
        <f ca="1">IF(OR(FB7="",FB$28&lt;$A34),"",FB7/OFFSET(SSTotalCLM!$A$2,MATCH(FB$29,SSTotalCLM!$A$2:$A$500)+$A34-1,1)-1)</f>
        <v>-3.9509562678796684E-4</v>
      </c>
      <c r="FC34" s="9">
        <f ca="1">IF(OR(FC7="",FC$28&lt;$A34),"",FC7/OFFSET(SSTotalCLM!$A$2,MATCH(FC$29,SSTotalCLM!$A$2:$A$500)+$A34-1,1)-1)</f>
        <v>-1.3972353463019838E-3</v>
      </c>
      <c r="FD34" s="9">
        <f ca="1">IF(OR(FD7="",FD$28&lt;$A34),"",FD7/OFFSET(SSTotalCLM!$A$2,MATCH(FD$29,SSTotalCLM!$A$2:$A$500)+$A34-1,1)-1)</f>
        <v>-4.273558079886941E-4</v>
      </c>
      <c r="FE34" s="9">
        <f ca="1">IF(OR(FE7="",FE$28&lt;$A34),"",FE7/OFFSET(SSTotalCLM!$A$2,MATCH(FE$29,SSTotalCLM!$A$2:$A$500)+$A34-1,1)-1)</f>
        <v>1.6670095944568697E-3</v>
      </c>
      <c r="FF34" s="9">
        <f ca="1">IF(OR(FF7="",FF$28&lt;$A34),"",FF7/OFFSET(SSTotalCLM!$A$2,MATCH(FF$29,SSTotalCLM!$A$2:$A$500)+$A34-1,1)-1)</f>
        <v>-7.939894090070565E-3</v>
      </c>
      <c r="FG34" s="9">
        <f ca="1">IF(OR(FG7="",FG$28&lt;$A34),"",FG7/OFFSET(SSTotalCLM!$A$2,MATCH(FG$29,SSTotalCLM!$A$2:$A$500)+$A34-1,1)-1)</f>
        <v>-1.2216462949948048E-2</v>
      </c>
      <c r="FH34" s="9">
        <f ca="1">IF(OR(FH7="",FH$28&lt;$A34),"",FH7/OFFSET(SSTotalCLM!$A$2,MATCH(FH$29,SSTotalCLM!$A$2:$A$500)+$A34-1,1)-1)</f>
        <v>-1.9281075814702398E-2</v>
      </c>
      <c r="FI34" s="9">
        <f ca="1">IF(OR(FI7="",FI$28&lt;$A34),"",FI7/OFFSET(SSTotalCLM!$A$2,MATCH(FI$29,SSTotalCLM!$A$2:$A$500)+$A34-1,1)-1)</f>
        <v>-1.8098367833572993E-2</v>
      </c>
      <c r="FJ34" s="9">
        <f ca="1">IF(OR(FJ7="",FJ$28&lt;$A34),"",FJ7/OFFSET(SSTotalCLM!$A$2,MATCH(FJ$29,SSTotalCLM!$A$2:$A$500)+$A34-1,1)-1)</f>
        <v>-1.2145635215527695E-2</v>
      </c>
      <c r="FK34" s="9">
        <f ca="1">IF(OR(FK7="",FK$28&lt;$A34),"",FK7/OFFSET(SSTotalCLM!$A$2,MATCH(FK$29,SSTotalCLM!$A$2:$A$500)+$A34-1,1)-1)</f>
        <v>-6.4203095690019696E-3</v>
      </c>
      <c r="FL34" s="9">
        <f ca="1">IF(OR(FL7="",FL$28&lt;$A34),"",FL7/OFFSET(SSTotalCLM!$A$2,MATCH(FL$29,SSTotalCLM!$A$2:$A$500)+$A34-1,1)-1)</f>
        <v>-1.3650400715381483E-3</v>
      </c>
      <c r="FM34" s="9">
        <f ca="1">IF(OR(FM7="",FM$28&lt;$A34),"",FM7/OFFSET(SSTotalCLM!$A$2,MATCH(FM$29,SSTotalCLM!$A$2:$A$500)+$A34-1,1)-1)</f>
        <v>2.4535175422700117E-2</v>
      </c>
      <c r="FN34" s="9">
        <f ca="1">IF(OR(FN7="",FN$28&lt;$A34),"",FN7/OFFSET(SSTotalCLM!$A$2,MATCH(FN$29,SSTotalCLM!$A$2:$A$500)+$A34-1,1)-1)</f>
        <v>2.6332058714143347E-2</v>
      </c>
      <c r="FO34" s="9">
        <f ca="1">IF(OR(FO7="",FO$28&lt;$A34),"",FO7/OFFSET(SSTotalCLM!$A$2,MATCH(FO$29,SSTotalCLM!$A$2:$A$500)+$A34-1,1)-1)</f>
        <v>1.9738204856682318E-2</v>
      </c>
      <c r="FP34" s="9">
        <f ca="1">IF(OR(FP7="",FP$28&lt;$A34),"",FP7/OFFSET(SSTotalCLM!$A$2,MATCH(FP$29,SSTotalCLM!$A$2:$A$500)+$A34-1,1)-1)</f>
        <v>2.2224441550868779E-3</v>
      </c>
      <c r="FQ34" s="9">
        <f ca="1">IF(OR(FQ7="",FQ$28&lt;$A34),"",FQ7/OFFSET(SSTotalCLM!$A$2,MATCH(FQ$29,SSTotalCLM!$A$2:$A$500)+$A34-1,1)-1)</f>
        <v>-1.9264091313000442E-3</v>
      </c>
      <c r="FR34" s="9">
        <f ca="1">IF(OR(FR7="",FR$28&lt;$A34),"",FR7/OFFSET(SSTotalCLM!$A$2,MATCH(FR$29,SSTotalCLM!$A$2:$A$500)+$A34-1,1)-1)</f>
        <v>-7.5637947196349753E-4</v>
      </c>
      <c r="FS34" s="9">
        <f ca="1">IF(OR(FS7="",FS$28&lt;$A34),"",FS7/OFFSET(SSTotalCLM!$A$2,MATCH(FS$29,SSTotalCLM!$A$2:$A$500)+$A34-1,1)-1)</f>
        <v>-2.0278954539535876E-2</v>
      </c>
      <c r="FT34" s="9">
        <f ca="1">IF(OR(FT7="",FT$28&lt;$A34),"",FT7/OFFSET(SSTotalCLM!$A$2,MATCH(FT$29,SSTotalCLM!$A$2:$A$500)+$A34-1,1)-1)</f>
        <v>-1.4254358745921292E-2</v>
      </c>
      <c r="FU34" s="9">
        <f ca="1">IF(OR(FU7="",FU$28&lt;$A34),"",FU7/OFFSET(SSTotalCLM!$A$2,MATCH(FU$29,SSTotalCLM!$A$2:$A$500)+$A34-1,1)-1)</f>
        <v>-9.9687808379774756E-3</v>
      </c>
      <c r="FV34" s="9">
        <f ca="1">IF(OR(FV7="",FV$28&lt;$A34),"",FV7/OFFSET(SSTotalCLM!$A$2,MATCH(FV$29,SSTotalCLM!$A$2:$A$500)+$A34-1,1)-1)</f>
        <v>-1.3685644902770688E-2</v>
      </c>
      <c r="FW34" s="9">
        <f ca="1">IF(OR(FW7="",FW$28&lt;$A34),"",FW7/OFFSET(SSTotalCLM!$A$2,MATCH(FW$29,SSTotalCLM!$A$2:$A$500)+$A34-1,1)-1)</f>
        <v>-2.9608842236300337E-2</v>
      </c>
      <c r="FX34" s="9">
        <f ca="1">IF(OR(FX7="",FX$28&lt;$A34),"",FX7/OFFSET(SSTotalCLM!$A$2,MATCH(FX$29,SSTotalCLM!$A$2:$A$500)+$A34-1,1)-1)</f>
        <v>-6.4430498496366173E-3</v>
      </c>
      <c r="FY34" s="9">
        <f ca="1">IF(OR(FY7="",FY$28&lt;$A34),"",FY7/OFFSET(SSTotalCLM!$A$2,MATCH(FY$29,SSTotalCLM!$A$2:$A$500)+$A34-1,1)-1)</f>
        <v>-2.2290474133722649E-3</v>
      </c>
      <c r="FZ34" s="9">
        <f ca="1">IF(OR(FZ7="",FZ$28&lt;$A34),"",FZ7/OFFSET(SSTotalCLM!$A$2,MATCH(FZ$29,SSTotalCLM!$A$2:$A$500)+$A34-1,1)-1)</f>
        <v>1.9084132051558678E-2</v>
      </c>
      <c r="GA34" s="9">
        <f ca="1">IF(OR(GA7="",GA$28&lt;$A34),"",GA7/OFFSET(SSTotalCLM!$A$2,MATCH(GA$29,SSTotalCLM!$A$2:$A$500)+$A34-1,1)-1)</f>
        <v>2.6181722962445253E-2</v>
      </c>
      <c r="GB34" s="9">
        <f ca="1">IF(OR(GB7="",GB$28&lt;$A34),"",GB7/OFFSET(SSTotalCLM!$A$2,MATCH(GB$29,SSTotalCLM!$A$2:$A$500)+$A34-1,1)-1)</f>
        <v>2.1437527133356227E-2</v>
      </c>
      <c r="GC34" s="9">
        <f ca="1">IF(OR(GC7="",GC$28&lt;$A34),"",GC7/OFFSET(SSTotalCLM!$A$2,MATCH(GC$29,SSTotalCLM!$A$2:$A$500)+$A34-1,1)-1)</f>
        <v>2.1167051649256141E-2</v>
      </c>
      <c r="GD34" s="9">
        <f ca="1">IF(OR(GD7="",GD$28&lt;$A34),"",GD7/OFFSET(SSTotalCLM!$A$2,MATCH(GD$29,SSTotalCLM!$A$2:$A$500)+$A34-1,1)-1)</f>
        <v>1.8332900221179615E-2</v>
      </c>
      <c r="GE34" s="9">
        <f ca="1">IF(OR(GE7="",GE$28&lt;$A34),"",GE7/OFFSET(SSTotalCLM!$A$2,MATCH(GE$29,SSTotalCLM!$A$2:$A$500)+$A34-1,1)-1)</f>
        <v>8.6583859829072463E-3</v>
      </c>
      <c r="GF34" s="9">
        <f ca="1">IF(OR(GF7="",GF$28&lt;$A34),"",GF7/OFFSET(SSTotalCLM!$A$2,MATCH(GF$29,SSTotalCLM!$A$2:$A$500)+$A34-1,1)-1)</f>
        <v>-2.5681445758563015E-4</v>
      </c>
      <c r="GG34" s="9">
        <f ca="1">IF(OR(GG7="",GG$28&lt;$A34),"",GG7/OFFSET(SSTotalCLM!$A$2,MATCH(GG$29,SSTotalCLM!$A$2:$A$500)+$A34-1,1)-1)</f>
        <v>-5.519782766847392E-4</v>
      </c>
      <c r="GH34" s="9">
        <f ca="1">IF(OR(GH7="",GH$28&lt;$A34),"",GH7/OFFSET(SSTotalCLM!$A$2,MATCH(GH$29,SSTotalCLM!$A$2:$A$500)+$A34-1,1)-1)</f>
        <v>-2.834428055057403E-4</v>
      </c>
      <c r="GI34" s="9">
        <f ca="1">IF(OR(GI7="",GI$28&lt;$A34),"",GI7/OFFSET(SSTotalCLM!$A$2,MATCH(GI$29,SSTotalCLM!$A$2:$A$500)+$A34-1,1)-1)</f>
        <v>-9.3892654398902708E-3</v>
      </c>
      <c r="GJ34" s="9">
        <f ca="1">IF(OR(GJ7="",GJ$28&lt;$A34),"",GJ7/OFFSET(SSTotalCLM!$A$2,MATCH(GJ$29,SSTotalCLM!$A$2:$A$500)+$A34-1,1)-1)</f>
        <v>4.1358828190707353E-3</v>
      </c>
      <c r="GK34" s="9">
        <f ca="1">IF(OR(GK7="",GK$28&lt;$A34),"",GK7/OFFSET(SSTotalCLM!$A$2,MATCH(GK$29,SSTotalCLM!$A$2:$A$500)+$A34-1,1)-1)</f>
        <v>4.6121171760305613E-2</v>
      </c>
      <c r="GL34" s="9">
        <f ca="1">IF(OR(GL7="",GL$28&lt;$A34),"",GL7/OFFSET(SSTotalCLM!$A$2,MATCH(GL$29,SSTotalCLM!$A$2:$A$500)+$A34-1,1)-1)</f>
        <v>4.4052244851008115E-2</v>
      </c>
      <c r="GM34" s="9">
        <f ca="1">IF(OR(GM7="",GM$28&lt;$A34),"",GM7/OFFSET(SSTotalCLM!$A$2,MATCH(GM$29,SSTotalCLM!$A$2:$A$500)+$A34-1,1)-1)</f>
        <v>2.6841352806039831E-2</v>
      </c>
      <c r="GN34" s="9">
        <f ca="1">IF(OR(GN7="",GN$28&lt;$A34),"",GN7/OFFSET(SSTotalCLM!$A$2,MATCH(GN$29,SSTotalCLM!$A$2:$A$500)+$A34-1,1)-1)</f>
        <v>3.2416217541149095E-2</v>
      </c>
      <c r="GO34" s="9">
        <f ca="1">IF(OR(GO7="",GO$28&lt;$A34),"",GO7/OFFSET(SSTotalCLM!$A$2,MATCH(GO$29,SSTotalCLM!$A$2:$A$500)+$A34-1,1)-1)</f>
        <v>2.9941511717264113E-3</v>
      </c>
      <c r="GP34" s="9">
        <f ca="1">IF(OR(GP7="",GP$28&lt;$A34),"",GP7/OFFSET(SSTotalCLM!$A$2,MATCH(GP$29,SSTotalCLM!$A$2:$A$500)+$A34-1,1)-1)</f>
        <v>-4.1999014610548668E-2</v>
      </c>
      <c r="GQ34" s="9">
        <f ca="1">IF(OR(GQ7="",GQ$28&lt;$A34),"",GQ7/OFFSET(SSTotalCLM!$A$2,MATCH(GQ$29,SSTotalCLM!$A$2:$A$500)+$A34-1,1)-1)</f>
        <v>-4.4051047597180593E-2</v>
      </c>
      <c r="GR34" s="9">
        <f ca="1">IF(OR(GR7="",GR$28&lt;$A34),"",GR7/OFFSET(SSTotalCLM!$A$2,MATCH(GR$29,SSTotalCLM!$A$2:$A$500)+$A34-1,1)-1)</f>
        <v>-3.6684165209093123E-2</v>
      </c>
      <c r="GS34" s="9">
        <f ca="1">IF(OR(GS7="",GS$28&lt;$A34),"",GS7/OFFSET(SSTotalCLM!$A$2,MATCH(GS$29,SSTotalCLM!$A$2:$A$500)+$A34-1,1)-1)</f>
        <v>-3.2137061670641898E-2</v>
      </c>
      <c r="GT34" s="9">
        <f ca="1">IF(OR(GT7="",GT$28&lt;$A34),"",GT7/OFFSET(SSTotalCLM!$A$2,MATCH(GT$29,SSTotalCLM!$A$2:$A$500)+$A34-1,1)-1)</f>
        <v>-1.1892886931781366E-2</v>
      </c>
      <c r="GU34" s="9" t="str">
        <f ca="1">IF(OR(GU7="",GU$28&lt;$A34),"",GU7/OFFSET(SSTotalCLM!$A$2,MATCH(GU$29,SSTotalCLM!$A$2:$A$500)+$A34-1,1)-1)</f>
        <v/>
      </c>
      <c r="GV34" s="9" t="str">
        <f ca="1">IF(OR(GV7="",GV$28&lt;$A34),"",GV7/OFFSET(SSTotalCLM!$A$2,MATCH(GV$29,SSTotalCLM!$A$2:$A$500)+$A34-1,1)-1)</f>
        <v/>
      </c>
      <c r="GW34" s="9" t="str">
        <f ca="1">IF(OR(GW7="",GW$28&lt;$A34),"",GW7/OFFSET(SSTotalCLM!$A$2,MATCH(GW$29,SSTotalCLM!$A$2:$A$500)+$A34-1,1)-1)</f>
        <v/>
      </c>
      <c r="GX34" s="9" t="str">
        <f ca="1">IF(OR(GX7="",GX$28&lt;$A34),"",GX7/OFFSET(SSTotalCLM!$A$2,MATCH(GX$29,SSTotalCLM!$A$2:$A$500)+$A34-1,1)-1)</f>
        <v/>
      </c>
      <c r="GY34" s="9" t="str">
        <f ca="1">IF(OR(GY7="",GY$28&lt;$A34),"",GY7/OFFSET(SSTotalCLM!$A$2,MATCH(GY$29,SSTotalCLM!$A$2:$A$500)+$A34-1,1)-1)</f>
        <v/>
      </c>
      <c r="GZ34" s="9" t="str">
        <f ca="1">IF(OR(GZ7="",GZ$28&lt;$A34),"",GZ7/OFFSET(SSTotalCLM!$A$2,MATCH(GZ$29,SSTotalCLM!$A$2:$A$500)+$A34-1,1)-1)</f>
        <v/>
      </c>
      <c r="HA34" s="9" t="str">
        <f ca="1">IF(OR(HA7="",HA$28&lt;$A34),"",HA7/OFFSET(SSTotalCLM!$A$2,MATCH(HA$29,SSTotalCLM!$A$2:$A$500)+$A34-1,1)-1)</f>
        <v/>
      </c>
      <c r="HB34" s="9" t="str">
        <f ca="1">IF(OR(HB7="",HB$28&lt;$A34),"",HB7/OFFSET(SSTotalCLM!$A$2,MATCH(HB$29,SSTotalCLM!$A$2:$A$500)+$A34-1,1)-1)</f>
        <v/>
      </c>
      <c r="HC34" s="9" t="str">
        <f ca="1">IF(OR(HC7="",HC$28&lt;$A34),"",HC7/OFFSET(SSTotalCLM!$A$2,MATCH(HC$29,SSTotalCLM!$A$2:$A$500)+$A34-1,1)-1)</f>
        <v/>
      </c>
      <c r="HD34" s="9" t="str">
        <f ca="1">IF(OR(HD7="",HD$28&lt;$A34),"",HD7/OFFSET(SSTotalCLM!$A$2,MATCH(HD$29,SSTotalCLM!$A$2:$A$500)+$A34-1,1)-1)</f>
        <v/>
      </c>
      <c r="HE34" s="9" t="str">
        <f ca="1">IF(OR(HE7="",HE$28&lt;$A34),"",HE7/OFFSET(SSTotalCLM!$A$2,MATCH(HE$29,SSTotalCLM!$A$2:$A$500)+$A34-1,1)-1)</f>
        <v/>
      </c>
      <c r="HF34" s="9" t="str">
        <f ca="1">IF(OR(HF7="",HF$28&lt;$A34),"",HF7/OFFSET(SSTotalCLM!$A$2,MATCH(HF$29,SSTotalCLM!$A$2:$A$500)+$A34-1,1)-1)</f>
        <v/>
      </c>
      <c r="HG34" s="9" t="str">
        <f ca="1">IF(OR(HG7="",HG$28&lt;$A34),"",HG7/OFFSET(SSTotalCLM!$A$2,MATCH(HG$29,SSTotalCLM!$A$2:$A$500)+$A34-1,1)-1)</f>
        <v/>
      </c>
      <c r="HH34" s="9" t="str">
        <f ca="1">IF(OR(HH7="",HH$28&lt;$A34),"",HH7/OFFSET(SSTotalCLM!$A$2,MATCH(HH$29,SSTotalCLM!$A$2:$A$500)+$A34-1,1)-1)</f>
        <v/>
      </c>
      <c r="HI34" s="9" t="str">
        <f ca="1">IF(OR(HI7="",HI$28&lt;$A34),"",HI7/OFFSET(SSTotalCLM!$A$2,MATCH(HI$29,SSTotalCLM!$A$2:$A$500)+$A34-1,1)-1)</f>
        <v/>
      </c>
      <c r="HJ34" s="9" t="str">
        <f ca="1">IF(OR(HJ7="",HJ$28&lt;$A34),"",HJ7/OFFSET(SSTotalCLM!$A$2,MATCH(HJ$29,SSTotalCLM!$A$2:$A$500)+$A34-1,1)-1)</f>
        <v/>
      </c>
      <c r="HK34" s="9" t="str">
        <f ca="1">IF(OR(HK7="",HK$28&lt;$A34),"",HK7/OFFSET(SSTotalCLM!$A$2,MATCH(HK$29,SSTotalCLM!$A$2:$A$500)+$A34-1,1)-1)</f>
        <v/>
      </c>
      <c r="HL34" s="9" t="str">
        <f ca="1">IF(OR(HL7="",HL$28&lt;$A34),"",HL7/OFFSET(SSTotalCLM!$A$2,MATCH(HL$29,SSTotalCLM!$A$2:$A$500)+$A34-1,1)-1)</f>
        <v/>
      </c>
      <c r="HM34" s="9" t="str">
        <f ca="1">IF(OR(HM7="",HM$28&lt;$A34),"",HM7/OFFSET(SSTotalCLM!$A$2,MATCH(HM$29,SSTotalCLM!$A$2:$A$500)+$A34-1,1)-1)</f>
        <v/>
      </c>
      <c r="HN34" s="9" t="str">
        <f ca="1">IF(OR(HN7="",HN$28&lt;$A34),"",HN7/OFFSET(SSTotalCLM!$A$2,MATCH(HN$29,SSTotalCLM!$A$2:$A$500)+$A34-1,1)-1)</f>
        <v/>
      </c>
      <c r="HO34" s="9" t="str">
        <f ca="1">IF(OR(HO7="",HO$28&lt;$A34),"",HO7/OFFSET(SSTotalCLM!$A$2,MATCH(HO$29,SSTotalCLM!$A$2:$A$500)+$A34-1,1)-1)</f>
        <v/>
      </c>
      <c r="HP34" s="9" t="str">
        <f ca="1">IF(OR(HP7="",HP$28&lt;$A34),"",HP7/OFFSET(SSTotalCLM!$A$2,MATCH(HP$29,SSTotalCLM!$A$2:$A$500)+$A34-1,1)-1)</f>
        <v/>
      </c>
      <c r="HQ34" s="9" t="str">
        <f ca="1">IF(OR(HQ7="",HQ$28&lt;$A34),"",HQ7/OFFSET(SSTotalCLM!$A$2,MATCH(HQ$29,SSTotalCLM!$A$2:$A$500)+$A34-1,1)-1)</f>
        <v/>
      </c>
      <c r="HR34" s="9" t="str">
        <f ca="1">IF(OR(HR7="",HR$28&lt;$A34),"",HR7/OFFSET(SSTotalCLM!$A$2,MATCH(HR$29,SSTotalCLM!$A$2:$A$500)+$A34-1,1)-1)</f>
        <v/>
      </c>
      <c r="HS34" s="9" t="str">
        <f ca="1">IF(OR(HS7="",HS$28&lt;$A34),"",HS7/OFFSET(SSTotalCLM!$A$2,MATCH(HS$29,SSTotalCLM!$A$2:$A$500)+$A34-1,1)-1)</f>
        <v/>
      </c>
      <c r="HT34" s="9" t="str">
        <f ca="1">IF(OR(HT7="",HT$28&lt;$A34),"",HT7/OFFSET(SSTotalCLM!$A$2,MATCH(HT$29,SSTotalCLM!$A$2:$A$500)+$A34-1,1)-1)</f>
        <v/>
      </c>
      <c r="HU34" s="9" t="str">
        <f ca="1">IF(OR(HU7="",HU$28&lt;$A34),"",HU7/OFFSET(SSTotalCLM!$A$2,MATCH(HU$29,SSTotalCLM!$A$2:$A$500)+$A34-1,1)-1)</f>
        <v/>
      </c>
      <c r="HV34" s="9" t="str">
        <f ca="1">IF(OR(HV7="",HV$28&lt;$A34),"",HV7/OFFSET(SSTotalCLM!$A$2,MATCH(HV$29,SSTotalCLM!$A$2:$A$500)+$A34-1,1)-1)</f>
        <v/>
      </c>
      <c r="HW34" s="9" t="str">
        <f ca="1">IF(OR(HW7="",HW$28&lt;$A34),"",HW7/OFFSET(SSTotalCLM!$A$2,MATCH(HW$29,SSTotalCLM!$A$2:$A$500)+$A34-1,1)-1)</f>
        <v/>
      </c>
      <c r="HX34" s="9" t="str">
        <f ca="1">IF(OR(HX7="",HX$28&lt;$A34),"",HX7/OFFSET(SSTotalCLM!$A$2,MATCH(HX$29,SSTotalCLM!$A$2:$A$500)+$A34-1,1)-1)</f>
        <v/>
      </c>
      <c r="HY34" s="9" t="str">
        <f ca="1">IF(OR(HY7="",HY$28&lt;$A34),"",HY7/OFFSET(SSTotalCLM!$A$2,MATCH(HY$29,SSTotalCLM!$A$2:$A$500)+$A34-1,1)-1)</f>
        <v/>
      </c>
      <c r="HZ34" s="9" t="str">
        <f ca="1">IF(OR(HZ7="",HZ$28&lt;$A34),"",HZ7/OFFSET(SSTotalCLM!$A$2,MATCH(HZ$29,SSTotalCLM!$A$2:$A$500)+$A34-1,1)-1)</f>
        <v/>
      </c>
      <c r="IA34" s="9" t="str">
        <f ca="1">IF(OR(IA7="",IA$28&lt;$A34),"",IA7/OFFSET(SSTotalCLM!$A$2,MATCH(IA$29,SSTotalCLM!$A$2:$A$500)+$A34-1,1)-1)</f>
        <v/>
      </c>
      <c r="IB34" s="9" t="str">
        <f ca="1">IF(OR(IB7="",IB$28&lt;$A34),"",IB7/OFFSET(SSTotalCLM!$A$2,MATCH(IB$29,SSTotalCLM!$A$2:$A$500)+$A34-1,1)-1)</f>
        <v/>
      </c>
      <c r="IC34" s="9" t="str">
        <f ca="1">IF(OR(IC7="",IC$28&lt;$A34),"",IC7/OFFSET(SSTotalCLM!$A$2,MATCH(IC$29,SSTotalCLM!$A$2:$A$500)+$A34-1,1)-1)</f>
        <v/>
      </c>
      <c r="ID34" s="9" t="str">
        <f ca="1">IF(OR(ID7="",ID$28&lt;$A34),"",ID7/OFFSET(SSTotalCLM!$A$2,MATCH(ID$29,SSTotalCLM!$A$2:$A$500)+$A34-1,1)-1)</f>
        <v/>
      </c>
      <c r="IE34" s="9" t="str">
        <f ca="1">IF(OR(IE7="",IE$28&lt;$A34),"",IE7/OFFSET(SSTotalCLM!$A$2,MATCH(IE$29,SSTotalCLM!$A$2:$A$500)+$A34-1,1)-1)</f>
        <v/>
      </c>
      <c r="IF34" s="9" t="str">
        <f ca="1">IF(OR(IF7="",IF$28&lt;$A34),"",IF7/OFFSET(SSTotalCLM!$A$2,MATCH(IF$29,SSTotalCLM!$A$2:$A$500)+$A34-1,1)-1)</f>
        <v/>
      </c>
      <c r="IG34" s="9" t="str">
        <f ca="1">IF(OR(IG7="",IG$28&lt;$A34),"",IG7/OFFSET(SSTotalCLM!$A$2,MATCH(IG$29,SSTotalCLM!$A$2:$A$500)+$A34-1,1)-1)</f>
        <v/>
      </c>
      <c r="IH34" s="9" t="str">
        <f ca="1">IF(OR(IH7="",IH$28&lt;$A34),"",IH7/OFFSET(SSTotalCLM!$A$2,MATCH(IH$29,SSTotalCLM!$A$2:$A$500)+$A34-1,1)-1)</f>
        <v/>
      </c>
      <c r="II34" s="9" t="str">
        <f ca="1">IF(OR(II7="",II$28&lt;$A34),"",II7/OFFSET(SSTotalCLM!$A$2,MATCH(II$29,SSTotalCLM!$A$2:$A$500)+$A34-1,1)-1)</f>
        <v/>
      </c>
      <c r="IJ34" s="9" t="str">
        <f ca="1">IF(OR(IJ7="",IJ$28&lt;$A34),"",IJ7/OFFSET(SSTotalCLM!$A$2,MATCH(IJ$29,SSTotalCLM!$A$2:$A$500)+$A34-1,1)-1)</f>
        <v/>
      </c>
      <c r="IK34" s="9" t="str">
        <f ca="1">IF(OR(IK7="",IK$28&lt;$A34),"",IK7/OFFSET(SSTotalCLM!$A$2,MATCH(IK$29,SSTotalCLM!$A$2:$A$500)+$A34-1,1)-1)</f>
        <v/>
      </c>
      <c r="IL34" s="9" t="str">
        <f ca="1">IF(OR(IL7="",IL$28&lt;$A34),"",IL7/OFFSET(SSTotalCLM!$A$2,MATCH(IL$29,SSTotalCLM!$A$2:$A$500)+$A34-1,1)-1)</f>
        <v/>
      </c>
      <c r="IM34" s="9" t="str">
        <f ca="1">IF(OR(IM7="",IM$28&lt;$A34),"",IM7/OFFSET(SSTotalCLM!$A$2,MATCH(IM$29,SSTotalCLM!$A$2:$A$500)+$A34-1,1)-1)</f>
        <v/>
      </c>
      <c r="IN34" s="9" t="str">
        <f ca="1">IF(OR(IN7="",IN$28&lt;$A34),"",IN7/OFFSET(SSTotalCLM!$A$2,MATCH(IN$29,SSTotalCLM!$A$2:$A$500)+$A34-1,1)-1)</f>
        <v/>
      </c>
      <c r="IO34" s="9" t="str">
        <f ca="1">IF(OR(IO7="",IO$28&lt;$A34),"",IO7/OFFSET(SSTotalCLM!$A$2,MATCH(IO$29,SSTotalCLM!$A$2:$A$500)+$A34-1,1)-1)</f>
        <v/>
      </c>
      <c r="IP34" s="9" t="str">
        <f ca="1">IF(OR(IP7="",IP$28&lt;$A34),"",IP7/OFFSET(SSTotalCLM!$A$2,MATCH(IP$29,SSTotalCLM!$A$2:$A$500)+$A34-1,1)-1)</f>
        <v/>
      </c>
      <c r="IQ34" s="9" t="str">
        <f ca="1">IF(OR(IQ7="",IQ$28&lt;$A34),"",IQ7/OFFSET(SSTotalCLM!$A$2,MATCH(IQ$29,SSTotalCLM!$A$2:$A$500)+$A34-1,1)-1)</f>
        <v/>
      </c>
      <c r="IR34" s="9" t="str">
        <f ca="1">IF(OR(IR7="",IR$28&lt;$A34),"",IR7/OFFSET(SSTotalCLM!$A$2,MATCH(IR$29,SSTotalCLM!$A$2:$A$500)+$A34-1,1)-1)</f>
        <v/>
      </c>
      <c r="IS34" s="9" t="str">
        <f ca="1">IF(OR(IS7="",IS$28&lt;$A34),"",IS7/OFFSET(SSTotalCLM!$A$2,MATCH(IS$29,SSTotalCLM!$A$2:$A$500)+$A34-1,1)-1)</f>
        <v/>
      </c>
      <c r="IT34" s="9" t="str">
        <f ca="1">IF(OR(IT7="",IT$28&lt;$A34),"",IT7/OFFSET(SSTotalCLM!$A$2,MATCH(IT$29,SSTotalCLM!$A$2:$A$500)+$A34-1,1)-1)</f>
        <v/>
      </c>
      <c r="IU34" s="9" t="str">
        <f ca="1">IF(OR(IU7="",IU$28&lt;$A34),"",IU7/OFFSET(SSTotalCLM!$A$2,MATCH(IU$29,SSTotalCLM!$A$2:$A$500)+$A34-1,1)-1)</f>
        <v/>
      </c>
      <c r="IV34" s="9" t="str">
        <f ca="1">IF(OR(IV7="",IV$28&lt;$A34),"",IV7/OFFSET(SSTotalCLM!$A$2,MATCH(IV$29,SSTotalCLM!$A$2:$A$500)+$A34-1,1)-1)</f>
        <v/>
      </c>
      <c r="IW34" s="9" t="str">
        <f ca="1">IF(OR(IW7="",IW$28&lt;$A34),"",IW7/OFFSET(SSTotalCLM!$A$2,MATCH(IW$29,SSTotalCLM!$A$2:$A$500)+$A34-1,1)-1)</f>
        <v/>
      </c>
      <c r="IX34" s="9" t="str">
        <f ca="1">IF(OR(IX7="",IX$28&lt;$A34),"",IX7/OFFSET(SSTotalCLM!$A$2,MATCH(IX$29,SSTotalCLM!$A$2:$A$500)+$A34-1,1)-1)</f>
        <v/>
      </c>
      <c r="IY34" s="9" t="str">
        <f ca="1">IF(OR(IY7="",IY$28&lt;$A34),"",IY7/OFFSET(SSTotalCLM!$A$2,MATCH(IY$29,SSTotalCLM!$A$2:$A$500)+$A34-1,1)-1)</f>
        <v/>
      </c>
      <c r="IZ34" s="9" t="str">
        <f ca="1">IF(OR(IZ7="",IZ$28&lt;$A34),"",IZ7/OFFSET(SSTotalCLM!$A$2,MATCH(IZ$29,SSTotalCLM!$A$2:$A$500)+$A34-1,1)-1)</f>
        <v/>
      </c>
      <c r="JA34" s="9" t="str">
        <f ca="1">IF(OR(JA7="",JA$28&lt;$A34),"",JA7/OFFSET(SSTotalCLM!$A$2,MATCH(JA$29,SSTotalCLM!$A$2:$A$500)+$A34-1,1)-1)</f>
        <v/>
      </c>
      <c r="JB34" s="9" t="str">
        <f ca="1">IF(OR(JB7="",JB$28&lt;$A34),"",JB7/OFFSET(SSTotalCLM!$A$2,MATCH(JB$29,SSTotalCLM!$A$2:$A$500)+$A34-1,1)-1)</f>
        <v/>
      </c>
      <c r="JC34" s="9" t="str">
        <f ca="1">IF(OR(JC7="",JC$28&lt;$A34),"",JC7/OFFSET(SSTotalCLM!$A$2,MATCH(JC$29,SSTotalCLM!$A$2:$A$500)+$A34-1,1)-1)</f>
        <v/>
      </c>
      <c r="JD34" s="9" t="str">
        <f ca="1">IF(OR(JD7="",JD$28&lt;$A34),"",JD7/OFFSET(SSTotalCLM!$A$2,MATCH(JD$29,SSTotalCLM!$A$2:$A$500)+$A34-1,1)-1)</f>
        <v/>
      </c>
      <c r="JE34" s="9" t="str">
        <f ca="1">IF(OR(JE7="",JE$28&lt;$A34),"",JE7/OFFSET(SSTotalCLM!$A$2,MATCH(JE$29,SSTotalCLM!$A$2:$A$500)+$A34-1,1)-1)</f>
        <v/>
      </c>
      <c r="JF34" s="9" t="str">
        <f ca="1">IF(OR(JF7="",JF$28&lt;$A34),"",JF7/OFFSET(SSTotalCLM!$A$2,MATCH(JF$29,SSTotalCLM!$A$2:$A$500)+$A34-1,1)-1)</f>
        <v/>
      </c>
      <c r="JG34" s="9" t="str">
        <f ca="1">IF(OR(JG7="",JG$28&lt;$A34),"",JG7/OFFSET(SSTotalCLM!$A$2,MATCH(JG$29,SSTotalCLM!$A$2:$A$500)+$A34-1,1)-1)</f>
        <v/>
      </c>
      <c r="JH34" s="9" t="str">
        <f ca="1">IF(OR(JH7="",JH$28&lt;$A34),"",JH7/OFFSET(SSTotalCLM!$A$2,MATCH(JH$29,SSTotalCLM!$A$2:$A$500)+$A34-1,1)-1)</f>
        <v/>
      </c>
      <c r="JI34" s="13">
        <f t="shared" ca="1" si="13"/>
        <v>-1.6581343925623862E-4</v>
      </c>
      <c r="JJ34" s="13">
        <f t="shared" ca="1" si="14"/>
        <v>-6.5417887432411836E-4</v>
      </c>
      <c r="JK34" s="14">
        <f t="shared" ca="1" si="15"/>
        <v>5.4580547489398916E-4</v>
      </c>
      <c r="JL34" s="17">
        <f t="shared" ca="1" si="18"/>
        <v>2.3362480067278583E-2</v>
      </c>
      <c r="JM34" s="15" t="str">
        <f t="shared" ca="1" si="16"/>
        <v>[ -4,69% ; 4,66% ]</v>
      </c>
      <c r="JN34" s="17">
        <f t="shared" ca="1" si="17"/>
        <v>2.9903974486116588E-2</v>
      </c>
      <c r="LY34" s="1"/>
    </row>
    <row r="35" spans="1:337" x14ac:dyDescent="0.25">
      <c r="A35" s="4">
        <v>6</v>
      </c>
      <c r="B35" s="9">
        <f ca="1">IF(OR(B8="",B$28&lt;$A35),"",B8/OFFSET(SSTotalCLM!$A$2,MATCH(B$29,SSTotalCLM!$A$2:$A$500)+$A35-1,1)-1)</f>
        <v>-9.1641906748217705E-3</v>
      </c>
      <c r="C35" s="9">
        <f ca="1">IF(OR(C8="",C$28&lt;$A35),"",C8/OFFSET(SSTotalCLM!$A$2,MATCH(C$29,SSTotalCLM!$A$2:$A$500)+$A35-1,1)-1)</f>
        <v>-1.6287187704525086E-2</v>
      </c>
      <c r="D35" s="9">
        <f ca="1">IF(OR(D8="",D$28&lt;$A35),"",D8/OFFSET(SSTotalCLM!$A$2,MATCH(D$29,SSTotalCLM!$A$2:$A$500)+$A35-1,1)-1)</f>
        <v>-1.8446011692198061E-2</v>
      </c>
      <c r="E35" s="9">
        <f ca="1">IF(OR(E8="",E$28&lt;$A35),"",E8/OFFSET(SSTotalCLM!$A$2,MATCH(E$29,SSTotalCLM!$A$2:$A$500)+$A35-1,1)-1)</f>
        <v>-1.4631658975180817E-2</v>
      </c>
      <c r="F35" s="9">
        <f ca="1">IF(OR(F8="",F$28&lt;$A35),"",F8/OFFSET(SSTotalCLM!$A$2,MATCH(F$29,SSTotalCLM!$A$2:$A$500)+$A35-1,1)-1)</f>
        <v>-1.4781789799452771E-2</v>
      </c>
      <c r="G35" s="9">
        <f ca="1">IF(OR(G8="",G$28&lt;$A35),"",G8/OFFSET(SSTotalCLM!$A$2,MATCH(G$29,SSTotalCLM!$A$2:$A$500)+$A35-1,1)-1)</f>
        <v>-1.0353849916402202E-2</v>
      </c>
      <c r="H35" s="9">
        <f ca="1">IF(OR(H8="",H$28&lt;$A35),"",H8/OFFSET(SSTotalCLM!$A$2,MATCH(H$29,SSTotalCLM!$A$2:$A$500)+$A35-1,1)-1)</f>
        <v>-2.7418534581689302E-2</v>
      </c>
      <c r="I35" s="9">
        <f ca="1">IF(OR(I8="",I$28&lt;$A35),"",I8/OFFSET(SSTotalCLM!$A$2,MATCH(I$29,SSTotalCLM!$A$2:$A$500)+$A35-1,1)-1)</f>
        <v>-4.0411005220389873E-3</v>
      </c>
      <c r="J35" s="9">
        <f ca="1">IF(OR(J8="",J$28&lt;$A35),"",J8/OFFSET(SSTotalCLM!$A$2,MATCH(J$29,SSTotalCLM!$A$2:$A$500)+$A35-1,1)-1)</f>
        <v>5.8576855152170371E-3</v>
      </c>
      <c r="K35" s="9">
        <f ca="1">IF(OR(K8="",K$28&lt;$A35),"",K8/OFFSET(SSTotalCLM!$A$2,MATCH(K$29,SSTotalCLM!$A$2:$A$500)+$A35-1,1)-1)</f>
        <v>2.6965191663570476E-3</v>
      </c>
      <c r="L35" s="9">
        <f ca="1">IF(OR(L8="",L$28&lt;$A35),"",L8/OFFSET(SSTotalCLM!$A$2,MATCH(L$29,SSTotalCLM!$A$2:$A$500)+$A35-1,1)-1)</f>
        <v>-4.3248755599482047E-3</v>
      </c>
      <c r="M35" s="9">
        <f ca="1">IF(OR(M8="",M$28&lt;$A35),"",M8/OFFSET(SSTotalCLM!$A$2,MATCH(M$29,SSTotalCLM!$A$2:$A$500)+$A35-1,1)-1)</f>
        <v>-1.2861746116882511E-2</v>
      </c>
      <c r="N35" s="9">
        <f ca="1">IF(OR(N8="",N$28&lt;$A35),"",N8/OFFSET(SSTotalCLM!$A$2,MATCH(N$29,SSTotalCLM!$A$2:$A$500)+$A35-1,1)-1)</f>
        <v>-1.4239808753152672E-2</v>
      </c>
      <c r="O35" s="9">
        <f ca="1">IF(OR(O8="",O$28&lt;$A35),"",O8/OFFSET(SSTotalCLM!$A$2,MATCH(O$29,SSTotalCLM!$A$2:$A$500)+$A35-1,1)-1)</f>
        <v>-2.600342541765277E-2</v>
      </c>
      <c r="P35" s="9">
        <f ca="1">IF(OR(P8="",P$28&lt;$A35),"",P8/OFFSET(SSTotalCLM!$A$2,MATCH(P$29,SSTotalCLM!$A$2:$A$500)+$A35-1,1)-1)</f>
        <v>-2.9750406699514675E-2</v>
      </c>
      <c r="Q35" s="9">
        <f ca="1">IF(OR(Q8="",Q$28&lt;$A35),"",Q8/OFFSET(SSTotalCLM!$A$2,MATCH(Q$29,SSTotalCLM!$A$2:$A$500)+$A35-1,1)-1)</f>
        <v>-2.7901024290381882E-2</v>
      </c>
      <c r="R35" s="9">
        <f ca="1">IF(OR(R8="",R$28&lt;$A35),"",R8/OFFSET(SSTotalCLM!$A$2,MATCH(R$29,SSTotalCLM!$A$2:$A$500)+$A35-1,1)-1)</f>
        <v>-2.6033506102040693E-2</v>
      </c>
      <c r="S35" s="9">
        <f ca="1">IF(OR(S8="",S$28&lt;$A35),"",S8/OFFSET(SSTotalCLM!$A$2,MATCH(S$29,SSTotalCLM!$A$2:$A$500)+$A35-1,1)-1)</f>
        <v>-2.1396160473474923E-2</v>
      </c>
      <c r="T35" s="9">
        <f ca="1">IF(OR(T8="",T$28&lt;$A35),"",T8/OFFSET(SSTotalCLM!$A$2,MATCH(T$29,SSTotalCLM!$A$2:$A$500)+$A35-1,1)-1)</f>
        <v>-2.0956986389090382E-2</v>
      </c>
      <c r="U35" s="9">
        <f ca="1">IF(OR(U8="",U$28&lt;$A35),"",U8/OFFSET(SSTotalCLM!$A$2,MATCH(U$29,SSTotalCLM!$A$2:$A$500)+$A35-1,1)-1)</f>
        <v>7.613324971893487E-4</v>
      </c>
      <c r="V35" s="9">
        <f ca="1">IF(OR(V8="",V$28&lt;$A35),"",V8/OFFSET(SSTotalCLM!$A$2,MATCH(V$29,SSTotalCLM!$A$2:$A$500)+$A35-1,1)-1)</f>
        <v>9.5265740437611157E-5</v>
      </c>
      <c r="W35" s="9">
        <f ca="1">IF(OR(W8="",W$28&lt;$A35),"",W8/OFFSET(SSTotalCLM!$A$2,MATCH(W$29,SSTotalCLM!$A$2:$A$500)+$A35-1,1)-1)</f>
        <v>-8.146297621294929E-3</v>
      </c>
      <c r="X35" s="9">
        <f ca="1">IF(OR(X8="",X$28&lt;$A35),"",X8/OFFSET(SSTotalCLM!$A$2,MATCH(X$29,SSTotalCLM!$A$2:$A$500)+$A35-1,1)-1)</f>
        <v>-2.5242035207929669E-3</v>
      </c>
      <c r="Y35" s="9">
        <f ca="1">IF(OR(Y8="",Y$28&lt;$A35),"",Y8/OFFSET(SSTotalCLM!$A$2,MATCH(Y$29,SSTotalCLM!$A$2:$A$500)+$A35-1,1)-1)</f>
        <v>4.9490316394125156E-3</v>
      </c>
      <c r="Z35" s="9">
        <f ca="1">IF(OR(Z8="",Z$28&lt;$A35),"",Z8/OFFSET(SSTotalCLM!$A$2,MATCH(Z$29,SSTotalCLM!$A$2:$A$500)+$A35-1,1)-1)</f>
        <v>1.8903936759964601E-2</v>
      </c>
      <c r="AA35" s="9">
        <f ca="1">IF(OR(AA8="",AA$28&lt;$A35),"",AA8/OFFSET(SSTotalCLM!$A$2,MATCH(AA$29,SSTotalCLM!$A$2:$A$500)+$A35-1,1)-1)</f>
        <v>2.1650564187084553E-2</v>
      </c>
      <c r="AB35" s="9">
        <f ca="1">IF(OR(AB8="",AB$28&lt;$A35),"",AB8/OFFSET(SSTotalCLM!$A$2,MATCH(AB$29,SSTotalCLM!$A$2:$A$500)+$A35-1,1)-1)</f>
        <v>2.4784479074513754E-2</v>
      </c>
      <c r="AC35" s="9">
        <f ca="1">IF(OR(AC8="",AC$28&lt;$A35),"",AC8/OFFSET(SSTotalCLM!$A$2,MATCH(AC$29,SSTotalCLM!$A$2:$A$500)+$A35-1,1)-1)</f>
        <v>2.7415478060164533E-2</v>
      </c>
      <c r="AD35" s="9">
        <f ca="1">IF(OR(AD8="",AD$28&lt;$A35),"",AD8/OFFSET(SSTotalCLM!$A$2,MATCH(AD$29,SSTotalCLM!$A$2:$A$500)+$A35-1,1)-1)</f>
        <v>1.8498579192735232E-2</v>
      </c>
      <c r="AE35" s="9">
        <f ca="1">IF(OR(AE8="",AE$28&lt;$A35),"",AE8/OFFSET(SSTotalCLM!$A$2,MATCH(AE$29,SSTotalCLM!$A$2:$A$500)+$A35-1,1)-1)</f>
        <v>1.9477584344632204E-2</v>
      </c>
      <c r="AF35" s="9">
        <f ca="1">IF(OR(AF8="",AF$28&lt;$A35),"",AF8/OFFSET(SSTotalCLM!$A$2,MATCH(AF$29,SSTotalCLM!$A$2:$A$500)+$A35-1,1)-1)</f>
        <v>1.3568038977758157E-3</v>
      </c>
      <c r="AG35" s="9">
        <f ca="1">IF(OR(AG8="",AG$28&lt;$A35),"",AG8/OFFSET(SSTotalCLM!$A$2,MATCH(AG$29,SSTotalCLM!$A$2:$A$500)+$A35-1,1)-1)</f>
        <v>-3.9295116649703532E-3</v>
      </c>
      <c r="AH35" s="9">
        <f ca="1">IF(OR(AH8="",AH$28&lt;$A35),"",AH8/OFFSET(SSTotalCLM!$A$2,MATCH(AH$29,SSTotalCLM!$A$2:$A$500)+$A35-1,1)-1)</f>
        <v>-9.0038545668554848E-3</v>
      </c>
      <c r="AI35" s="9">
        <f ca="1">IF(OR(AI8="",AI$28&lt;$A35),"",AI8/OFFSET(SSTotalCLM!$A$2,MATCH(AI$29,SSTotalCLM!$A$2:$A$500)+$A35-1,1)-1)</f>
        <v>-1.2578584773273893E-2</v>
      </c>
      <c r="AJ35" s="9">
        <f ca="1">IF(OR(AJ8="",AJ$28&lt;$A35),"",AJ8/OFFSET(SSTotalCLM!$A$2,MATCH(AJ$29,SSTotalCLM!$A$2:$A$500)+$A35-1,1)-1)</f>
        <v>-1.15718592832742E-2</v>
      </c>
      <c r="AK35" s="9">
        <f ca="1">IF(OR(AK8="",AK$28&lt;$A35),"",AK8/OFFSET(SSTotalCLM!$A$2,MATCH(AK$29,SSTotalCLM!$A$2:$A$500)+$A35-1,1)-1)</f>
        <v>-1.0748343654250259E-2</v>
      </c>
      <c r="AL35" s="9">
        <f ca="1">IF(OR(AL8="",AL$28&lt;$A35),"",AL8/OFFSET(SSTotalCLM!$A$2,MATCH(AL$29,SSTotalCLM!$A$2:$A$500)+$A35-1,1)-1)</f>
        <v>2.5217723065118491E-4</v>
      </c>
      <c r="AM35" s="9">
        <f ca="1">IF(OR(AM8="",AM$28&lt;$A35),"",AM8/OFFSET(SSTotalCLM!$A$2,MATCH(AM$29,SSTotalCLM!$A$2:$A$500)+$A35-1,1)-1)</f>
        <v>1.2875547046977687E-3</v>
      </c>
      <c r="AN35" s="9">
        <f ca="1">IF(OR(AN8="",AN$28&lt;$A35),"",AN8/OFFSET(SSTotalCLM!$A$2,MATCH(AN$29,SSTotalCLM!$A$2:$A$500)+$A35-1,1)-1)</f>
        <v>5.9015915939562014E-3</v>
      </c>
      <c r="AO35" s="9">
        <f ca="1">IF(OR(AO8="",AO$28&lt;$A35),"",AO8/OFFSET(SSTotalCLM!$A$2,MATCH(AO$29,SSTotalCLM!$A$2:$A$500)+$A35-1,1)-1)</f>
        <v>7.7676487965641083E-3</v>
      </c>
      <c r="AP35" s="9">
        <f ca="1">IF(OR(AP8="",AP$28&lt;$A35),"",AP8/OFFSET(SSTotalCLM!$A$2,MATCH(AP$29,SSTotalCLM!$A$2:$A$500)+$A35-1,1)-1)</f>
        <v>3.1820070270740519E-3</v>
      </c>
      <c r="AQ35" s="9">
        <f ca="1">IF(OR(AQ8="",AQ$28&lt;$A35),"",AQ8/OFFSET(SSTotalCLM!$A$2,MATCH(AQ$29,SSTotalCLM!$A$2:$A$500)+$A35-1,1)-1)</f>
        <v>5.6727557240612292E-3</v>
      </c>
      <c r="AR35" s="9">
        <f ca="1">IF(OR(AR8="",AR$28&lt;$A35),"",AR8/OFFSET(SSTotalCLM!$A$2,MATCH(AR$29,SSTotalCLM!$A$2:$A$500)+$A35-1,1)-1)</f>
        <v>-4.1364988942695913E-3</v>
      </c>
      <c r="AS35" s="9">
        <f ca="1">IF(OR(AS8="",AS$28&lt;$A35),"",AS8/OFFSET(SSTotalCLM!$A$2,MATCH(AS$29,SSTotalCLM!$A$2:$A$500)+$A35-1,1)-1)</f>
        <v>1.3919373581710026E-3</v>
      </c>
      <c r="AT35" s="9">
        <f ca="1">IF(OR(AT8="",AT$28&lt;$A35),"",AT8/OFFSET(SSTotalCLM!$A$2,MATCH(AT$29,SSTotalCLM!$A$2:$A$500)+$A35-1,1)-1)</f>
        <v>3.0523156238984051E-3</v>
      </c>
      <c r="AU35" s="9">
        <f ca="1">IF(OR(AU8="",AU$28&lt;$A35),"",AU8/OFFSET(SSTotalCLM!$A$2,MATCH(AU$29,SSTotalCLM!$A$2:$A$500)+$A35-1,1)-1)</f>
        <v>1.0091651747949681E-2</v>
      </c>
      <c r="AV35" s="9">
        <f ca="1">IF(OR(AV8="",AV$28&lt;$A35),"",AV8/OFFSET(SSTotalCLM!$A$2,MATCH(AV$29,SSTotalCLM!$A$2:$A$500)+$A35-1,1)-1)</f>
        <v>1.8103547312260826E-2</v>
      </c>
      <c r="AW35" s="9">
        <f ca="1">IF(OR(AW8="",AW$28&lt;$A35),"",AW8/OFFSET(SSTotalCLM!$A$2,MATCH(AW$29,SSTotalCLM!$A$2:$A$500)+$A35-1,1)-1)</f>
        <v>2.5301620492333088E-2</v>
      </c>
      <c r="AX35" s="9">
        <f ca="1">IF(OR(AX8="",AX$28&lt;$A35),"",AX8/OFFSET(SSTotalCLM!$A$2,MATCH(AX$29,SSTotalCLM!$A$2:$A$500)+$A35-1,1)-1)</f>
        <v>4.0704752627137353E-2</v>
      </c>
      <c r="AY35" s="9">
        <f ca="1">IF(OR(AY8="",AY$28&lt;$A35),"",AY8/OFFSET(SSTotalCLM!$A$2,MATCH(AY$29,SSTotalCLM!$A$2:$A$500)+$A35-1,1)-1)</f>
        <v>4.1370701176668856E-2</v>
      </c>
      <c r="AZ35" s="9">
        <f ca="1">IF(OR(AZ8="",AZ$28&lt;$A35),"",AZ8/OFFSET(SSTotalCLM!$A$2,MATCH(AZ$29,SSTotalCLM!$A$2:$A$500)+$A35-1,1)-1)</f>
        <v>4.3804142704769733E-2</v>
      </c>
      <c r="BA35" s="9">
        <f ca="1">IF(OR(BA8="",BA$28&lt;$A35),"",BA8/OFFSET(SSTotalCLM!$A$2,MATCH(BA$29,SSTotalCLM!$A$2:$A$500)+$A35-1,1)-1)</f>
        <v>3.9797334117473104E-2</v>
      </c>
      <c r="BB35" s="9">
        <f ca="1">IF(OR(BB8="",BB$28&lt;$A35),"",BB8/OFFSET(SSTotalCLM!$A$2,MATCH(BB$29,SSTotalCLM!$A$2:$A$500)+$A35-1,1)-1)</f>
        <v>3.6523503155743153E-2</v>
      </c>
      <c r="BC35" s="9">
        <f ca="1">IF(OR(BC8="",BC$28&lt;$A35),"",BC8/OFFSET(SSTotalCLM!$A$2,MATCH(BC$29,SSTotalCLM!$A$2:$A$500)+$A35-1,1)-1)</f>
        <v>5.7609907811357219E-2</v>
      </c>
      <c r="BD35" s="9">
        <f ca="1">IF(OR(BD8="",BD$28&lt;$A35),"",BD8/OFFSET(SSTotalCLM!$A$2,MATCH(BD$29,SSTotalCLM!$A$2:$A$500)+$A35-1,1)-1)</f>
        <v>5.4705514903023111E-2</v>
      </c>
      <c r="BE35" s="9">
        <f ca="1">IF(OR(BE8="",BE$28&lt;$A35),"",BE8/OFFSET(SSTotalCLM!$A$2,MATCH(BE$29,SSTotalCLM!$A$2:$A$500)+$A35-1,1)-1)</f>
        <v>5.2954523385225549E-2</v>
      </c>
      <c r="BF35" s="9">
        <f ca="1">IF(OR(BF8="",BF$28&lt;$A35),"",BF8/OFFSET(SSTotalCLM!$A$2,MATCH(BF$29,SSTotalCLM!$A$2:$A$500)+$A35-1,1)-1)</f>
        <v>3.5470453309593308E-2</v>
      </c>
      <c r="BG35" s="9">
        <f ca="1">IF(OR(BG8="",BG$28&lt;$A35),"",BG8/OFFSET(SSTotalCLM!$A$2,MATCH(BG$29,SSTotalCLM!$A$2:$A$500)+$A35-1,1)-1)</f>
        <v>4.8884632243084924E-2</v>
      </c>
      <c r="BH35" s="9">
        <f ca="1">IF(OR(BH8="",BH$28&lt;$A35),"",BH8/OFFSET(SSTotalCLM!$A$2,MATCH(BH$29,SSTotalCLM!$A$2:$A$500)+$A35-1,1)-1)</f>
        <v>6.0550876575693469E-2</v>
      </c>
      <c r="BI35" s="9">
        <f ca="1">IF(OR(BI8="",BI$28&lt;$A35),"",BI8/OFFSET(SSTotalCLM!$A$2,MATCH(BI$29,SSTotalCLM!$A$2:$A$500)+$A35-1,1)-1)</f>
        <v>1.9131092443678277E-2</v>
      </c>
      <c r="BJ35" s="9">
        <f ca="1">IF(OR(BJ8="",BJ$28&lt;$A35),"",BJ8/OFFSET(SSTotalCLM!$A$2,MATCH(BJ$29,SSTotalCLM!$A$2:$A$500)+$A35-1,1)-1)</f>
        <v>8.6442915934457076E-3</v>
      </c>
      <c r="BK35" s="9">
        <f ca="1">IF(OR(BK8="",BK$28&lt;$A35),"",BK8/OFFSET(SSTotalCLM!$A$2,MATCH(BK$29,SSTotalCLM!$A$2:$A$500)+$A35-1,1)-1)</f>
        <v>-9.5603862956360475E-3</v>
      </c>
      <c r="BL35" s="9">
        <f ca="1">IF(OR(BL8="",BL$28&lt;$A35),"",BL8/OFFSET(SSTotalCLM!$A$2,MATCH(BL$29,SSTotalCLM!$A$2:$A$500)+$A35-1,1)-1)</f>
        <v>-3.2818361656222761E-2</v>
      </c>
      <c r="BM35" s="9">
        <f ca="1">IF(OR(BM8="",BM$28&lt;$A35),"",BM8/OFFSET(SSTotalCLM!$A$2,MATCH(BM$29,SSTotalCLM!$A$2:$A$500)+$A35-1,1)-1)</f>
        <v>-6.8511782076911776E-2</v>
      </c>
      <c r="BN35" s="9">
        <f ca="1">IF(OR(BN8="",BN$28&lt;$A35),"",BN8/OFFSET(SSTotalCLM!$A$2,MATCH(BN$29,SSTotalCLM!$A$2:$A$500)+$A35-1,1)-1)</f>
        <v>-5.5968462848621336E-2</v>
      </c>
      <c r="BO35" s="9">
        <f ca="1">IF(OR(BO8="",BO$28&lt;$A35),"",BO8/OFFSET(SSTotalCLM!$A$2,MATCH(BO$29,SSTotalCLM!$A$2:$A$500)+$A35-1,1)-1)</f>
        <v>-3.7337213946603276E-2</v>
      </c>
      <c r="BP35" s="9">
        <f ca="1">IF(OR(BP8="",BP$28&lt;$A35),"",BP8/OFFSET(SSTotalCLM!$A$2,MATCH(BP$29,SSTotalCLM!$A$2:$A$500)+$A35-1,1)-1)</f>
        <v>-3.739986516724636E-2</v>
      </c>
      <c r="BQ35" s="9">
        <f ca="1">IF(OR(BQ8="",BQ$28&lt;$A35),"",BQ8/OFFSET(SSTotalCLM!$A$2,MATCH(BQ$29,SSTotalCLM!$A$2:$A$500)+$A35-1,1)-1)</f>
        <v>-2.4888454197044996E-2</v>
      </c>
      <c r="BR35" s="9">
        <f ca="1">IF(OR(BR8="",BR$28&lt;$A35),"",BR8/OFFSET(SSTotalCLM!$A$2,MATCH(BR$29,SSTotalCLM!$A$2:$A$500)+$A35-1,1)-1)</f>
        <v>-1.3702084269421877E-2</v>
      </c>
      <c r="BS35" s="9">
        <f ca="1">IF(OR(BS8="",BS$28&lt;$A35),"",BS8/OFFSET(SSTotalCLM!$A$2,MATCH(BS$29,SSTotalCLM!$A$2:$A$500)+$A35-1,1)-1)</f>
        <v>3.0576773376606692E-2</v>
      </c>
      <c r="BT35" s="9">
        <f ca="1">IF(OR(BT8="",BT$28&lt;$A35),"",BT8/OFFSET(SSTotalCLM!$A$2,MATCH(BT$29,SSTotalCLM!$A$2:$A$500)+$A35-1,1)-1)</f>
        <v>1.8072857098325512E-2</v>
      </c>
      <c r="BU35" s="9">
        <f ca="1">IF(OR(BU8="",BU$28&lt;$A35),"",BU8/OFFSET(SSTotalCLM!$A$2,MATCH(BU$29,SSTotalCLM!$A$2:$A$500)+$A35-1,1)-1)</f>
        <v>4.2049099868863848E-3</v>
      </c>
      <c r="BV35" s="9">
        <f ca="1">IF(OR(BV8="",BV$28&lt;$A35),"",BV8/OFFSET(SSTotalCLM!$A$2,MATCH(BV$29,SSTotalCLM!$A$2:$A$500)+$A35-1,1)-1)</f>
        <v>2.2740537470508526E-2</v>
      </c>
      <c r="BW35" s="9">
        <f ca="1">IF(OR(BW8="",BW$28&lt;$A35),"",BW8/OFFSET(SSTotalCLM!$A$2,MATCH(BW$29,SSTotalCLM!$A$2:$A$500)+$A35-1,1)-1)</f>
        <v>1.3594598625383147E-2</v>
      </c>
      <c r="BX35" s="9">
        <f ca="1">IF(OR(BX8="",BX$28&lt;$A35),"",BX8/OFFSET(SSTotalCLM!$A$2,MATCH(BX$29,SSTotalCLM!$A$2:$A$500)+$A35-1,1)-1)</f>
        <v>1.0250788920968645E-2</v>
      </c>
      <c r="BY35" s="9">
        <f ca="1">IF(OR(BY8="",BY$28&lt;$A35),"",BY8/OFFSET(SSTotalCLM!$A$2,MATCH(BY$29,SSTotalCLM!$A$2:$A$500)+$A35-1,1)-1)</f>
        <v>-6.0798138361771725E-3</v>
      </c>
      <c r="BZ35" s="9">
        <f ca="1">IF(OR(BZ8="",BZ$28&lt;$A35),"",BZ8/OFFSET(SSTotalCLM!$A$2,MATCH(BZ$29,SSTotalCLM!$A$2:$A$500)+$A35-1,1)-1)</f>
        <v>-1.1656452688960761E-2</v>
      </c>
      <c r="CA35" s="9">
        <f ca="1">IF(OR(CA8="",CA$28&lt;$A35),"",CA8/OFFSET(SSTotalCLM!$A$2,MATCH(CA$29,SSTotalCLM!$A$2:$A$500)+$A35-1,1)-1)</f>
        <v>1.6088520028059161E-3</v>
      </c>
      <c r="CB35" s="9">
        <f ca="1">IF(OR(CB8="",CB$28&lt;$A35),"",CB8/OFFSET(SSTotalCLM!$A$2,MATCH(CB$29,SSTotalCLM!$A$2:$A$500)+$A35-1,1)-1)</f>
        <v>-7.515572385974334E-3</v>
      </c>
      <c r="CC35" s="9">
        <f ca="1">IF(OR(CC8="",CC$28&lt;$A35),"",CC8/OFFSET(SSTotalCLM!$A$2,MATCH(CC$29,SSTotalCLM!$A$2:$A$500)+$A35-1,1)-1)</f>
        <v>-2.7987367562556376E-3</v>
      </c>
      <c r="CD35" s="9">
        <f ca="1">IF(OR(CD8="",CD$28&lt;$A35),"",CD8/OFFSET(SSTotalCLM!$A$2,MATCH(CD$29,SSTotalCLM!$A$2:$A$500)+$A35-1,1)-1)</f>
        <v>1.6328078383234246E-3</v>
      </c>
      <c r="CE35" s="9">
        <f ca="1">IF(OR(CE8="",CE$28&lt;$A35),"",CE8/OFFSET(SSTotalCLM!$A$2,MATCH(CE$29,SSTotalCLM!$A$2:$A$500)+$A35-1,1)-1)</f>
        <v>2.2736842407945268E-2</v>
      </c>
      <c r="CF35" s="9">
        <f ca="1">IF(OR(CF8="",CF$28&lt;$A35),"",CF8/OFFSET(SSTotalCLM!$A$2,MATCH(CF$29,SSTotalCLM!$A$2:$A$500)+$A35-1,1)-1)</f>
        <v>2.6519397854137594E-2</v>
      </c>
      <c r="CG35" s="9">
        <f ca="1">IF(OR(CG8="",CG$28&lt;$A35),"",CG8/OFFSET(SSTotalCLM!$A$2,MATCH(CG$29,SSTotalCLM!$A$2:$A$500)+$A35-1,1)-1)</f>
        <v>4.4758182464750274E-3</v>
      </c>
      <c r="CH35" s="9">
        <f ca="1">IF(OR(CH8="",CH$28&lt;$A35),"",CH8/OFFSET(SSTotalCLM!$A$2,MATCH(CH$29,SSTotalCLM!$A$2:$A$500)+$A35-1,1)-1)</f>
        <v>1.0184462972925079E-2</v>
      </c>
      <c r="CI35" s="9">
        <f ca="1">IF(OR(CI8="",CI$28&lt;$A35),"",CI8/OFFSET(SSTotalCLM!$A$2,MATCH(CI$29,SSTotalCLM!$A$2:$A$500)+$A35-1,1)-1)</f>
        <v>1.4454823856711263E-2</v>
      </c>
      <c r="CJ35" s="9">
        <f ca="1">IF(OR(CJ8="",CJ$28&lt;$A35),"",CJ8/OFFSET(SSTotalCLM!$A$2,MATCH(CJ$29,SSTotalCLM!$A$2:$A$500)+$A35-1,1)-1)</f>
        <v>4.4484135088964649E-3</v>
      </c>
      <c r="CK35" s="9">
        <f ca="1">IF(OR(CK8="",CK$28&lt;$A35),"",CK8/OFFSET(SSTotalCLM!$A$2,MATCH(CK$29,SSTotalCLM!$A$2:$A$500)+$A35-1,1)-1)</f>
        <v>-1.6344564329698885E-3</v>
      </c>
      <c r="CL35" s="9">
        <f ca="1">IF(OR(CL8="",CL$28&lt;$A35),"",CL8/OFFSET(SSTotalCLM!$A$2,MATCH(CL$29,SSTotalCLM!$A$2:$A$500)+$A35-1,1)-1)</f>
        <v>2.5119295477508352E-2</v>
      </c>
      <c r="CM35" s="9">
        <f ca="1">IF(OR(CM8="",CM$28&lt;$A35),"",CM8/OFFSET(SSTotalCLM!$A$2,MATCH(CM$29,SSTotalCLM!$A$2:$A$500)+$A35-1,1)-1)</f>
        <v>2.6745090616121736E-2</v>
      </c>
      <c r="CN35" s="9">
        <f ca="1">IF(OR(CN8="",CN$28&lt;$A35),"",CN8/OFFSET(SSTotalCLM!$A$2,MATCH(CN$29,SSTotalCLM!$A$2:$A$500)+$A35-1,1)-1)</f>
        <v>1.7444187309137327E-2</v>
      </c>
      <c r="CO35" s="9">
        <f ca="1">IF(OR(CO8="",CO$28&lt;$A35),"",CO8/OFFSET(SSTotalCLM!$A$2,MATCH(CO$29,SSTotalCLM!$A$2:$A$500)+$A35-1,1)-1)</f>
        <v>1.7104669121676075E-2</v>
      </c>
      <c r="CP35" s="9">
        <f ca="1">IF(OR(CP8="",CP$28&lt;$A35),"",CP8/OFFSET(SSTotalCLM!$A$2,MATCH(CP$29,SSTotalCLM!$A$2:$A$500)+$A35-1,1)-1)</f>
        <v>2.285684108973518E-2</v>
      </c>
      <c r="CQ35" s="9">
        <f ca="1">IF(OR(CQ8="",CQ$28&lt;$A35),"",CQ8/OFFSET(SSTotalCLM!$A$2,MATCH(CQ$29,SSTotalCLM!$A$2:$A$500)+$A35-1,1)-1)</f>
        <v>4.2557696062497596E-2</v>
      </c>
      <c r="CR35" s="9">
        <f ca="1">IF(OR(CR8="",CR$28&lt;$A35),"",CR8/OFFSET(SSTotalCLM!$A$2,MATCH(CR$29,SSTotalCLM!$A$2:$A$500)+$A35-1,1)-1)</f>
        <v>2.6365169634936958E-2</v>
      </c>
      <c r="CS35" s="9">
        <f ca="1">IF(OR(CS8="",CS$28&lt;$A35),"",CS8/OFFSET(SSTotalCLM!$A$2,MATCH(CS$29,SSTotalCLM!$A$2:$A$500)+$A35-1,1)-1)</f>
        <v>1.6095534466657346E-2</v>
      </c>
      <c r="CT35" s="9">
        <f ca="1">IF(OR(CT8="",CT$28&lt;$A35),"",CT8/OFFSET(SSTotalCLM!$A$2,MATCH(CT$29,SSTotalCLM!$A$2:$A$500)+$A35-1,1)-1)</f>
        <v>2.3261470873631618E-2</v>
      </c>
      <c r="CU35" s="9">
        <f ca="1">IF(OR(CU8="",CU$28&lt;$A35),"",CU8/OFFSET(SSTotalCLM!$A$2,MATCH(CU$29,SSTotalCLM!$A$2:$A$500)+$A35-1,1)-1)</f>
        <v>1.801269678860673E-2</v>
      </c>
      <c r="CV35" s="9">
        <f ca="1">IF(OR(CV8="",CV$28&lt;$A35),"",CV8/OFFSET(SSTotalCLM!$A$2,MATCH(CV$29,SSTotalCLM!$A$2:$A$500)+$A35-1,1)-1)</f>
        <v>1.7129787570002497E-2</v>
      </c>
      <c r="CW35" s="9">
        <f ca="1">IF(OR(CW8="",CW$28&lt;$A35),"",CW8/OFFSET(SSTotalCLM!$A$2,MATCH(CW$29,SSTotalCLM!$A$2:$A$500)+$A35-1,1)-1)</f>
        <v>-7.4050474010278755E-3</v>
      </c>
      <c r="CX35" s="9">
        <f ca="1">IF(OR(CX8="",CX$28&lt;$A35),"",CX8/OFFSET(SSTotalCLM!$A$2,MATCH(CX$29,SSTotalCLM!$A$2:$A$500)+$A35-1,1)-1)</f>
        <v>4.6437595249004815E-4</v>
      </c>
      <c r="CY35" s="9">
        <f ca="1">IF(OR(CY8="",CY$28&lt;$A35),"",CY8/OFFSET(SSTotalCLM!$A$2,MATCH(CY$29,SSTotalCLM!$A$2:$A$500)+$A35-1,1)-1)</f>
        <v>1.5253453909693793E-2</v>
      </c>
      <c r="CZ35" s="9">
        <f ca="1">IF(OR(CZ8="",CZ$28&lt;$A35),"",CZ8/OFFSET(SSTotalCLM!$A$2,MATCH(CZ$29,SSTotalCLM!$A$2:$A$500)+$A35-1,1)-1)</f>
        <v>3.4144105476448638E-2</v>
      </c>
      <c r="DA35" s="9">
        <f ca="1">IF(OR(DA8="",DA$28&lt;$A35),"",DA8/OFFSET(SSTotalCLM!$A$2,MATCH(DA$29,SSTotalCLM!$A$2:$A$500)+$A35-1,1)-1)</f>
        <v>1.6857048358097648E-2</v>
      </c>
      <c r="DB35" s="9">
        <f ca="1">IF(OR(DB8="",DB$28&lt;$A35),"",DB8/OFFSET(SSTotalCLM!$A$2,MATCH(DB$29,SSTotalCLM!$A$2:$A$500)+$A35-1,1)-1)</f>
        <v>-1.2516923612080344E-3</v>
      </c>
      <c r="DC35" s="9">
        <f ca="1">IF(OR(DC8="",DC$28&lt;$A35),"",DC8/OFFSET(SSTotalCLM!$A$2,MATCH(DC$29,SSTotalCLM!$A$2:$A$500)+$A35-1,1)-1)</f>
        <v>3.937869271455674E-2</v>
      </c>
      <c r="DD35" s="9">
        <f ca="1">IF(OR(DD8="",DD$28&lt;$A35),"",DD8/OFFSET(SSTotalCLM!$A$2,MATCH(DD$29,SSTotalCLM!$A$2:$A$500)+$A35-1,1)-1)</f>
        <v>1.157190819802878E-2</v>
      </c>
      <c r="DE35" s="9">
        <f ca="1">IF(OR(DE8="",DE$28&lt;$A35),"",DE8/OFFSET(SSTotalCLM!$A$2,MATCH(DE$29,SSTotalCLM!$A$2:$A$500)+$A35-1,1)-1)</f>
        <v>-3.360534692153605E-2</v>
      </c>
      <c r="DF35" s="9">
        <f ca="1">IF(OR(DF8="",DF$28&lt;$A35),"",DF8/OFFSET(SSTotalCLM!$A$2,MATCH(DF$29,SSTotalCLM!$A$2:$A$500)+$A35-1,1)-1)</f>
        <v>-5.0125304751547417E-2</v>
      </c>
      <c r="DG35" s="9">
        <f ca="1">IF(OR(DG8="",DG$28&lt;$A35),"",DG8/OFFSET(SSTotalCLM!$A$2,MATCH(DG$29,SSTotalCLM!$A$2:$A$500)+$A35-1,1)-1)</f>
        <v>-3.8657681257747822E-2</v>
      </c>
      <c r="DH35" s="9">
        <f ca="1">IF(OR(DH8="",DH$28&lt;$A35),"",DH8/OFFSET(SSTotalCLM!$A$2,MATCH(DH$29,SSTotalCLM!$A$2:$A$500)+$A35-1,1)-1)</f>
        <v>-3.1410870395783386E-2</v>
      </c>
      <c r="DI35" s="9">
        <f ca="1">IF(OR(DI8="",DI$28&lt;$A35),"",DI8/OFFSET(SSTotalCLM!$A$2,MATCH(DI$29,SSTotalCLM!$A$2:$A$500)+$A35-1,1)-1)</f>
        <v>-2.644292508771251E-2</v>
      </c>
      <c r="DJ35" s="9">
        <f ca="1">IF(OR(DJ8="",DJ$28&lt;$A35),"",DJ8/OFFSET(SSTotalCLM!$A$2,MATCH(DJ$29,SSTotalCLM!$A$2:$A$500)+$A35-1,1)-1)</f>
        <v>-4.8897457100222974E-2</v>
      </c>
      <c r="DK35" s="9">
        <f ca="1">IF(OR(DK8="",DK$28&lt;$A35),"",DK8/OFFSET(SSTotalCLM!$A$2,MATCH(DK$29,SSTotalCLM!$A$2:$A$500)+$A35-1,1)-1)</f>
        <v>-2.2143779529581353E-2</v>
      </c>
      <c r="DL35" s="9">
        <f ca="1">IF(OR(DL8="",DL$28&lt;$A35),"",DL8/OFFSET(SSTotalCLM!$A$2,MATCH(DL$29,SSTotalCLM!$A$2:$A$500)+$A35-1,1)-1)</f>
        <v>-2.8182895111161899E-2</v>
      </c>
      <c r="DM35" s="9">
        <f ca="1">IF(OR(DM8="",DM$28&lt;$A35),"",DM8/OFFSET(SSTotalCLM!$A$2,MATCH(DM$29,SSTotalCLM!$A$2:$A$500)+$A35-1,1)-1)</f>
        <v>-4.3361356975509135E-2</v>
      </c>
      <c r="DN35" s="9">
        <f ca="1">IF(OR(DN8="",DN$28&lt;$A35),"",DN8/OFFSET(SSTotalCLM!$A$2,MATCH(DN$29,SSTotalCLM!$A$2:$A$500)+$A35-1,1)-1)</f>
        <v>-3.689671302814157E-2</v>
      </c>
      <c r="DO35" s="9">
        <f ca="1">IF(OR(DO8="",DO$28&lt;$A35),"",DO8/OFFSET(SSTotalCLM!$A$2,MATCH(DO$29,SSTotalCLM!$A$2:$A$500)+$A35-1,1)-1)</f>
        <v>-3.1725832066292536E-2</v>
      </c>
      <c r="DP35" s="9">
        <f ca="1">IF(OR(DP8="",DP$28&lt;$A35),"",DP8/OFFSET(SSTotalCLM!$A$2,MATCH(DP$29,SSTotalCLM!$A$2:$A$500)+$A35-1,1)-1)</f>
        <v>1.1058400601475338E-2</v>
      </c>
      <c r="DQ35" s="9">
        <f ca="1">IF(OR(DQ8="",DQ$28&lt;$A35),"",DQ8/OFFSET(SSTotalCLM!$A$2,MATCH(DQ$29,SSTotalCLM!$A$2:$A$500)+$A35-1,1)-1)</f>
        <v>-2.7343748801108569E-2</v>
      </c>
      <c r="DR35" s="9">
        <f ca="1">IF(OR(DR8="",DR$28&lt;$A35),"",DR8/OFFSET(SSTotalCLM!$A$2,MATCH(DR$29,SSTotalCLM!$A$2:$A$500)+$A35-1,1)-1)</f>
        <v>-1.1963003106168268E-2</v>
      </c>
      <c r="DS35" s="9">
        <f ca="1">IF(OR(DS8="",DS$28&lt;$A35),"",DS8/OFFSET(SSTotalCLM!$A$2,MATCH(DS$29,SSTotalCLM!$A$2:$A$500)+$A35-1,1)-1)</f>
        <v>4.0579051402378497E-4</v>
      </c>
      <c r="DT35" s="9">
        <f ca="1">IF(OR(DT8="",DT$28&lt;$A35),"",DT8/OFFSET(SSTotalCLM!$A$2,MATCH(DT$29,SSTotalCLM!$A$2:$A$500)+$A35-1,1)-1)</f>
        <v>6.2606399065809892E-3</v>
      </c>
      <c r="DU35" s="9">
        <f ca="1">IF(OR(DU8="",DU$28&lt;$A35),"",DU8/OFFSET(SSTotalCLM!$A$2,MATCH(DU$29,SSTotalCLM!$A$2:$A$500)+$A35-1,1)-1)</f>
        <v>-1.8913929848954125E-2</v>
      </c>
      <c r="DV35" s="9">
        <f ca="1">IF(OR(DV8="",DV$28&lt;$A35),"",DV8/OFFSET(SSTotalCLM!$A$2,MATCH(DV$29,SSTotalCLM!$A$2:$A$500)+$A35-1,1)-1)</f>
        <v>1.2765299953193088E-2</v>
      </c>
      <c r="DW35" s="9">
        <f ca="1">IF(OR(DW8="",DW$28&lt;$A35),"",DW8/OFFSET(SSTotalCLM!$A$2,MATCH(DW$29,SSTotalCLM!$A$2:$A$500)+$A35-1,1)-1)</f>
        <v>2.5761869282694416E-3</v>
      </c>
      <c r="DX35" s="9">
        <f ca="1">IF(OR(DX8="",DX$28&lt;$A35),"",DX8/OFFSET(SSTotalCLM!$A$2,MATCH(DX$29,SSTotalCLM!$A$2:$A$500)+$A35-1,1)-1)</f>
        <v>1.7684686161874019E-3</v>
      </c>
      <c r="DY35" s="9">
        <f ca="1">IF(OR(DY8="",DY$28&lt;$A35),"",DY8/OFFSET(SSTotalCLM!$A$2,MATCH(DY$29,SSTotalCLM!$A$2:$A$500)+$A35-1,1)-1)</f>
        <v>1.8999774466956776E-3</v>
      </c>
      <c r="DZ35" s="9">
        <f ca="1">IF(OR(DZ8="",DZ$28&lt;$A35),"",DZ8/OFFSET(SSTotalCLM!$A$2,MATCH(DZ$29,SSTotalCLM!$A$2:$A$500)+$A35-1,1)-1)</f>
        <v>-1.004083063450778E-2</v>
      </c>
      <c r="EA35" s="9">
        <f ca="1">IF(OR(EA8="",EA$28&lt;$A35),"",EA8/OFFSET(SSTotalCLM!$A$2,MATCH(EA$29,SSTotalCLM!$A$2:$A$500)+$A35-1,1)-1)</f>
        <v>1.5089033102639648E-2</v>
      </c>
      <c r="EB35" s="9">
        <f ca="1">IF(OR(EB8="",EB$28&lt;$A35),"",EB8/OFFSET(SSTotalCLM!$A$2,MATCH(EB$29,SSTotalCLM!$A$2:$A$500)+$A35-1,1)-1)</f>
        <v>-3.4772503658815679E-2</v>
      </c>
      <c r="EC35" s="9">
        <f ca="1">IF(OR(EC8="",EC$28&lt;$A35),"",EC8/OFFSET(SSTotalCLM!$A$2,MATCH(EC$29,SSTotalCLM!$A$2:$A$500)+$A35-1,1)-1)</f>
        <v>-2.8824372998029979E-2</v>
      </c>
      <c r="ED35" s="9">
        <f ca="1">IF(OR(ED8="",ED$28&lt;$A35),"",ED8/OFFSET(SSTotalCLM!$A$2,MATCH(ED$29,SSTotalCLM!$A$2:$A$500)+$A35-1,1)-1)</f>
        <v>-2.164356352728336E-2</v>
      </c>
      <c r="EE35" s="9">
        <f ca="1">IF(OR(EE8="",EE$28&lt;$A35),"",EE8/OFFSET(SSTotalCLM!$A$2,MATCH(EE$29,SSTotalCLM!$A$2:$A$500)+$A35-1,1)-1)</f>
        <v>-2.3243995998417866E-2</v>
      </c>
      <c r="EF35" s="9">
        <f ca="1">IF(OR(EF8="",EF$28&lt;$A35),"",EF8/OFFSET(SSTotalCLM!$A$2,MATCH(EF$29,SSTotalCLM!$A$2:$A$500)+$A35-1,1)-1)</f>
        <v>-9.3248587407578354E-3</v>
      </c>
      <c r="EG35" s="9">
        <f ca="1">IF(OR(EG8="",EG$28&lt;$A35),"",EG8/OFFSET(SSTotalCLM!$A$2,MATCH(EG$29,SSTotalCLM!$A$2:$A$500)+$A35-1,1)-1)</f>
        <v>2.3593291061736466E-3</v>
      </c>
      <c r="EH35" s="9">
        <f ca="1">IF(OR(EH8="",EH$28&lt;$A35),"",EH8/OFFSET(SSTotalCLM!$A$2,MATCH(EH$29,SSTotalCLM!$A$2:$A$500)+$A35-1,1)-1)</f>
        <v>2.6142714913327092E-2</v>
      </c>
      <c r="EI35" s="9">
        <f ca="1">IF(OR(EI8="",EI$28&lt;$A35),"",EI8/OFFSET(SSTotalCLM!$A$2,MATCH(EI$29,SSTotalCLM!$A$2:$A$500)+$A35-1,1)-1)</f>
        <v>2.8565068668204407E-2</v>
      </c>
      <c r="EJ35" s="9">
        <f ca="1">IF(OR(EJ8="",EJ$28&lt;$A35),"",EJ8/OFFSET(SSTotalCLM!$A$2,MATCH(EJ$29,SSTotalCLM!$A$2:$A$500)+$A35-1,1)-1)</f>
        <v>2.6596901796411609E-2</v>
      </c>
      <c r="EK35" s="9">
        <f ca="1">IF(OR(EK8="",EK$28&lt;$A35),"",EK8/OFFSET(SSTotalCLM!$A$2,MATCH(EK$29,SSTotalCLM!$A$2:$A$500)+$A35-1,1)-1)</f>
        <v>9.5447615036927669E-3</v>
      </c>
      <c r="EL35" s="9">
        <f ca="1">IF(OR(EL8="",EL$28&lt;$A35),"",EL8/OFFSET(SSTotalCLM!$A$2,MATCH(EL$29,SSTotalCLM!$A$2:$A$500)+$A35-1,1)-1)</f>
        <v>-1.8353682667826554E-3</v>
      </c>
      <c r="EM35" s="9">
        <f ca="1">IF(OR(EM8="",EM$28&lt;$A35),"",EM8/OFFSET(SSTotalCLM!$A$2,MATCH(EM$29,SSTotalCLM!$A$2:$A$500)+$A35-1,1)-1)</f>
        <v>2.3723736681651175E-3</v>
      </c>
      <c r="EN35" s="9">
        <f ca="1">IF(OR(EN8="",EN$28&lt;$A35),"",EN8/OFFSET(SSTotalCLM!$A$2,MATCH(EN$29,SSTotalCLM!$A$2:$A$500)+$A35-1,1)-1)</f>
        <v>-1.7882311811610152E-2</v>
      </c>
      <c r="EO35" s="9">
        <f ca="1">IF(OR(EO8="",EO$28&lt;$A35),"",EO8/OFFSET(SSTotalCLM!$A$2,MATCH(EO$29,SSTotalCLM!$A$2:$A$500)+$A35-1,1)-1)</f>
        <v>-1.1186485580854999E-2</v>
      </c>
      <c r="EP35" s="9">
        <f ca="1">IF(OR(EP8="",EP$28&lt;$A35),"",EP8/OFFSET(SSTotalCLM!$A$2,MATCH(EP$29,SSTotalCLM!$A$2:$A$500)+$A35-1,1)-1)</f>
        <v>-1.2887632847044195E-2</v>
      </c>
      <c r="EQ35" s="9">
        <f ca="1">IF(OR(EQ8="",EQ$28&lt;$A35),"",EQ8/OFFSET(SSTotalCLM!$A$2,MATCH(EQ$29,SSTotalCLM!$A$2:$A$500)+$A35-1,1)-1)</f>
        <v>-1.3946214079070374E-2</v>
      </c>
      <c r="ER35" s="9">
        <f ca="1">IF(OR(ER8="",ER$28&lt;$A35),"",ER8/OFFSET(SSTotalCLM!$A$2,MATCH(ER$29,SSTotalCLM!$A$2:$A$500)+$A35-1,1)-1)</f>
        <v>-1.1594960571308488E-2</v>
      </c>
      <c r="ES35" s="9">
        <f ca="1">IF(OR(ES8="",ES$28&lt;$A35),"",ES8/OFFSET(SSTotalCLM!$A$2,MATCH(ES$29,SSTotalCLM!$A$2:$A$500)+$A35-1,1)-1)</f>
        <v>-1.118932495183067E-2</v>
      </c>
      <c r="ET35" s="9">
        <f ca="1">IF(OR(ET8="",ET$28&lt;$A35),"",ET8/OFFSET(SSTotalCLM!$A$2,MATCH(ET$29,SSTotalCLM!$A$2:$A$500)+$A35-1,1)-1)</f>
        <v>-1.6543193818572943E-2</v>
      </c>
      <c r="EU35" s="9">
        <f ca="1">IF(OR(EU8="",EU$28&lt;$A35),"",EU8/OFFSET(SSTotalCLM!$A$2,MATCH(EU$29,SSTotalCLM!$A$2:$A$500)+$A35-1,1)-1)</f>
        <v>3.152778264220224E-3</v>
      </c>
      <c r="EV35" s="9">
        <f ca="1">IF(OR(EV8="",EV$28&lt;$A35),"",EV8/OFFSET(SSTotalCLM!$A$2,MATCH(EV$29,SSTotalCLM!$A$2:$A$500)+$A35-1,1)-1)</f>
        <v>1.821204211641958E-2</v>
      </c>
      <c r="EW35" s="9">
        <f ca="1">IF(OR(EW8="",EW$28&lt;$A35),"",EW8/OFFSET(SSTotalCLM!$A$2,MATCH(EW$29,SSTotalCLM!$A$2:$A$500)+$A35-1,1)-1)</f>
        <v>1.7653421406862657E-2</v>
      </c>
      <c r="EX35" s="9">
        <f ca="1">IF(OR(EX8="",EX$28&lt;$A35),"",EX8/OFFSET(SSTotalCLM!$A$2,MATCH(EX$29,SSTotalCLM!$A$2:$A$500)+$A35-1,1)-1)</f>
        <v>1.2414263415170268E-2</v>
      </c>
      <c r="EY35" s="9">
        <f ca="1">IF(OR(EY8="",EY$28&lt;$A35),"",EY8/OFFSET(SSTotalCLM!$A$2,MATCH(EY$29,SSTotalCLM!$A$2:$A$500)+$A35-1,1)-1)</f>
        <v>1.4004343452920232E-3</v>
      </c>
      <c r="EZ35" s="9">
        <f ca="1">IF(OR(EZ8="",EZ$28&lt;$A35),"",EZ8/OFFSET(SSTotalCLM!$A$2,MATCH(EZ$29,SSTotalCLM!$A$2:$A$500)+$A35-1,1)-1)</f>
        <v>1.1379251562429138E-2</v>
      </c>
      <c r="FA35" s="9">
        <f ca="1">IF(OR(FA8="",FA$28&lt;$A35),"",FA8/OFFSET(SSTotalCLM!$A$2,MATCH(FA$29,SSTotalCLM!$A$2:$A$500)+$A35-1,1)-1)</f>
        <v>-1.0779084430068142E-4</v>
      </c>
      <c r="FB35" s="9">
        <f ca="1">IF(OR(FB8="",FB$28&lt;$A35),"",FB8/OFFSET(SSTotalCLM!$A$2,MATCH(FB$29,SSTotalCLM!$A$2:$A$500)+$A35-1,1)-1)</f>
        <v>-7.230525071416305E-3</v>
      </c>
      <c r="FC35" s="9">
        <f ca="1">IF(OR(FC8="",FC$28&lt;$A35),"",FC8/OFFSET(SSTotalCLM!$A$2,MATCH(FC$29,SSTotalCLM!$A$2:$A$500)+$A35-1,1)-1)</f>
        <v>-1.0468167715920185E-3</v>
      </c>
      <c r="FD35" s="9">
        <f ca="1">IF(OR(FD8="",FD$28&lt;$A35),"",FD8/OFFSET(SSTotalCLM!$A$2,MATCH(FD$29,SSTotalCLM!$A$2:$A$500)+$A35-1,1)-1)</f>
        <v>4.1882459201436628E-3</v>
      </c>
      <c r="FE35" s="9">
        <f ca="1">IF(OR(FE8="",FE$28&lt;$A35),"",FE8/OFFSET(SSTotalCLM!$A$2,MATCH(FE$29,SSTotalCLM!$A$2:$A$500)+$A35-1,1)-1)</f>
        <v>-4.9827055255746711E-3</v>
      </c>
      <c r="FF35" s="9">
        <f ca="1">IF(OR(FF8="",FF$28&lt;$A35),"",FF8/OFFSET(SSTotalCLM!$A$2,MATCH(FF$29,SSTotalCLM!$A$2:$A$500)+$A35-1,1)-1)</f>
        <v>-1.0977813461035213E-2</v>
      </c>
      <c r="FG35" s="9">
        <f ca="1">IF(OR(FG8="",FG$28&lt;$A35),"",FG8/OFFSET(SSTotalCLM!$A$2,MATCH(FG$29,SSTotalCLM!$A$2:$A$500)+$A35-1,1)-1)</f>
        <v>-2.7924804638384537E-2</v>
      </c>
      <c r="FH35" s="9">
        <f ca="1">IF(OR(FH8="",FH$28&lt;$A35),"",FH8/OFFSET(SSTotalCLM!$A$2,MATCH(FH$29,SSTotalCLM!$A$2:$A$500)+$A35-1,1)-1)</f>
        <v>-1.9042033184882068E-2</v>
      </c>
      <c r="FI35" s="9">
        <f ca="1">IF(OR(FI8="",FI$28&lt;$A35),"",FI8/OFFSET(SSTotalCLM!$A$2,MATCH(FI$29,SSTotalCLM!$A$2:$A$500)+$A35-1,1)-1)</f>
        <v>-1.4193932159130895E-2</v>
      </c>
      <c r="FJ35" s="9">
        <f ca="1">IF(OR(FJ8="",FJ$28&lt;$A35),"",FJ8/OFFSET(SSTotalCLM!$A$2,MATCH(FJ$29,SSTotalCLM!$A$2:$A$500)+$A35-1,1)-1)</f>
        <v>-8.434060419792222E-3</v>
      </c>
      <c r="FK35" s="9">
        <f ca="1">IF(OR(FK8="",FK$28&lt;$A35),"",FK8/OFFSET(SSTotalCLM!$A$2,MATCH(FK$29,SSTotalCLM!$A$2:$A$500)+$A35-1,1)-1)</f>
        <v>-2.7662698114524487E-3</v>
      </c>
      <c r="FL35" s="9">
        <f ca="1">IF(OR(FL8="",FL$28&lt;$A35),"",FL8/OFFSET(SSTotalCLM!$A$2,MATCH(FL$29,SSTotalCLM!$A$2:$A$500)+$A35-1,1)-1)</f>
        <v>5.0608181049625056E-3</v>
      </c>
      <c r="FM35" s="9">
        <f ca="1">IF(OR(FM8="",FM$28&lt;$A35),"",FM8/OFFSET(SSTotalCLM!$A$2,MATCH(FM$29,SSTotalCLM!$A$2:$A$500)+$A35-1,1)-1)</f>
        <v>2.7842916325176326E-2</v>
      </c>
      <c r="FN35" s="9">
        <f ca="1">IF(OR(FN8="",FN$28&lt;$A35),"",FN8/OFFSET(SSTotalCLM!$A$2,MATCH(FN$29,SSTotalCLM!$A$2:$A$500)+$A35-1,1)-1)</f>
        <v>2.6870062813774798E-2</v>
      </c>
      <c r="FO35" s="9">
        <f ca="1">IF(OR(FO8="",FO$28&lt;$A35),"",FO8/OFFSET(SSTotalCLM!$A$2,MATCH(FO$29,SSTotalCLM!$A$2:$A$500)+$A35-1,1)-1)</f>
        <v>1.0970962929643724E-2</v>
      </c>
      <c r="FP35" s="9">
        <f ca="1">IF(OR(FP8="",FP$28&lt;$A35),"",FP8/OFFSET(SSTotalCLM!$A$2,MATCH(FP$29,SSTotalCLM!$A$2:$A$500)+$A35-1,1)-1)</f>
        <v>4.1745500100418553E-3</v>
      </c>
      <c r="FQ35" s="9">
        <f ca="1">IF(OR(FQ8="",FQ$28&lt;$A35),"",FQ8/OFFSET(SSTotalCLM!$A$2,MATCH(FQ$29,SSTotalCLM!$A$2:$A$500)+$A35-1,1)-1)</f>
        <v>8.3921316345683117E-3</v>
      </c>
      <c r="FR35" s="9">
        <f ca="1">IF(OR(FR8="",FR$28&lt;$A35),"",FR8/OFFSET(SSTotalCLM!$A$2,MATCH(FR$29,SSTotalCLM!$A$2:$A$500)+$A35-1,1)-1)</f>
        <v>-1.9486611775356821E-2</v>
      </c>
      <c r="FS35" s="9">
        <f ca="1">IF(OR(FS8="",FS$28&lt;$A35),"",FS8/OFFSET(SSTotalCLM!$A$2,MATCH(FS$29,SSTotalCLM!$A$2:$A$500)+$A35-1,1)-1)</f>
        <v>-1.8400783817194011E-2</v>
      </c>
      <c r="FT35" s="9">
        <f ca="1">IF(OR(FT8="",FT$28&lt;$A35),"",FT8/OFFSET(SSTotalCLM!$A$2,MATCH(FT$29,SSTotalCLM!$A$2:$A$500)+$A35-1,1)-1)</f>
        <v>-2.5106194141912064E-2</v>
      </c>
      <c r="FU35" s="9">
        <f ca="1">IF(OR(FU8="",FU$28&lt;$A35),"",FU8/OFFSET(SSTotalCLM!$A$2,MATCH(FU$29,SSTotalCLM!$A$2:$A$500)+$A35-1,1)-1)</f>
        <v>-1.3231173470470203E-2</v>
      </c>
      <c r="FV35" s="9">
        <f ca="1">IF(OR(FV8="",FV$28&lt;$A35),"",FV8/OFFSET(SSTotalCLM!$A$2,MATCH(FV$29,SSTotalCLM!$A$2:$A$500)+$A35-1,1)-1)</f>
        <v>-1.1444746220647062E-2</v>
      </c>
      <c r="FW35" s="9">
        <f ca="1">IF(OR(FW8="",FW$28&lt;$A35),"",FW8/OFFSET(SSTotalCLM!$A$2,MATCH(FW$29,SSTotalCLM!$A$2:$A$500)+$A35-1,1)-1)</f>
        <v>-2.8380760996186027E-2</v>
      </c>
      <c r="FX35" s="9">
        <f ca="1">IF(OR(FX8="",FX$28&lt;$A35),"",FX8/OFFSET(SSTotalCLM!$A$2,MATCH(FX$29,SSTotalCLM!$A$2:$A$500)+$A35-1,1)-1)</f>
        <v>-1.6075575975250667E-3</v>
      </c>
      <c r="FY35" s="9">
        <f ca="1">IF(OR(FY8="",FY$28&lt;$A35),"",FY8/OFFSET(SSTotalCLM!$A$2,MATCH(FY$29,SSTotalCLM!$A$2:$A$500)+$A35-1,1)-1)</f>
        <v>2.613974701885402E-3</v>
      </c>
      <c r="FZ35" s="9">
        <f ca="1">IF(OR(FZ8="",FZ$28&lt;$A35),"",FZ8/OFFSET(SSTotalCLM!$A$2,MATCH(FZ$29,SSTotalCLM!$A$2:$A$500)+$A35-1,1)-1)</f>
        <v>2.1030473261703708E-2</v>
      </c>
      <c r="GA35" s="9">
        <f ca="1">IF(OR(GA8="",GA$28&lt;$A35),"",GA8/OFFSET(SSTotalCLM!$A$2,MATCH(GA$29,SSTotalCLM!$A$2:$A$500)+$A35-1,1)-1)</f>
        <v>2.9819992981382715E-2</v>
      </c>
      <c r="GB35" s="9">
        <f ca="1">IF(OR(GB8="",GB$28&lt;$A35),"",GB8/OFFSET(SSTotalCLM!$A$2,MATCH(GB$29,SSTotalCLM!$A$2:$A$500)+$A35-1,1)-1)</f>
        <v>2.7333746840894513E-2</v>
      </c>
      <c r="GC35" s="9">
        <f ca="1">IF(OR(GC8="",GC$28&lt;$A35),"",GC8/OFFSET(SSTotalCLM!$A$2,MATCH(GC$29,SSTotalCLM!$A$2:$A$500)+$A35-1,1)-1)</f>
        <v>2.9678176718534344E-2</v>
      </c>
      <c r="GD35" s="9">
        <f ca="1">IF(OR(GD8="",GD$28&lt;$A35),"",GD8/OFFSET(SSTotalCLM!$A$2,MATCH(GD$29,SSTotalCLM!$A$2:$A$500)+$A35-1,1)-1)</f>
        <v>1.9658964833050518E-2</v>
      </c>
      <c r="GE35" s="9">
        <f ca="1">IF(OR(GE8="",GE$28&lt;$A35),"",GE8/OFFSET(SSTotalCLM!$A$2,MATCH(GE$29,SSTotalCLM!$A$2:$A$500)+$A35-1,1)-1)</f>
        <v>3.6429437452083491E-3</v>
      </c>
      <c r="GF35" s="9">
        <f ca="1">IF(OR(GF8="",GF$28&lt;$A35),"",GF8/OFFSET(SSTotalCLM!$A$2,MATCH(GF$29,SSTotalCLM!$A$2:$A$500)+$A35-1,1)-1)</f>
        <v>-2.6317007462062225E-4</v>
      </c>
      <c r="GG35" s="9">
        <f ca="1">IF(OR(GG8="",GG$28&lt;$A35),"",GG8/OFFSET(SSTotalCLM!$A$2,MATCH(GG$29,SSTotalCLM!$A$2:$A$500)+$A35-1,1)-1)</f>
        <v>5.7707630582908287E-3</v>
      </c>
      <c r="GH35" s="9">
        <f ca="1">IF(OR(GH8="",GH$28&lt;$A35),"",GH8/OFFSET(SSTotalCLM!$A$2,MATCH(GH$29,SSTotalCLM!$A$2:$A$500)+$A35-1,1)-1)</f>
        <v>-5.4755810311676312E-3</v>
      </c>
      <c r="GI35" s="9">
        <f ca="1">IF(OR(GI8="",GI$28&lt;$A35),"",GI8/OFFSET(SSTotalCLM!$A$2,MATCH(GI$29,SSTotalCLM!$A$2:$A$500)+$A35-1,1)-1)</f>
        <v>5.5238421102010715E-3</v>
      </c>
      <c r="GJ35" s="9">
        <f ca="1">IF(OR(GJ8="",GJ$28&lt;$A35),"",GJ8/OFFSET(SSTotalCLM!$A$2,MATCH(GJ$29,SSTotalCLM!$A$2:$A$500)+$A35-1,1)-1)</f>
        <v>3.6001058274433007E-2</v>
      </c>
      <c r="GK35" s="9">
        <f ca="1">IF(OR(GK8="",GK$28&lt;$A35),"",GK8/OFFSET(SSTotalCLM!$A$2,MATCH(GK$29,SSTotalCLM!$A$2:$A$500)+$A35-1,1)-1)</f>
        <v>4.1309043191421813E-2</v>
      </c>
      <c r="GL35" s="9">
        <f ca="1">IF(OR(GL8="",GL$28&lt;$A35),"",GL8/OFFSET(SSTotalCLM!$A$2,MATCH(GL$29,SSTotalCLM!$A$2:$A$500)+$A35-1,1)-1)</f>
        <v>3.5845610216040491E-2</v>
      </c>
      <c r="GM35" s="9">
        <f ca="1">IF(OR(GM8="",GM$28&lt;$A35),"",GM8/OFFSET(SSTotalCLM!$A$2,MATCH(GM$29,SSTotalCLM!$A$2:$A$500)+$A35-1,1)-1)</f>
        <v>2.4144356355098262E-2</v>
      </c>
      <c r="GN35" s="9">
        <f ca="1">IF(OR(GN8="",GN$28&lt;$A35),"",GN8/OFFSET(SSTotalCLM!$A$2,MATCH(GN$29,SSTotalCLM!$A$2:$A$500)+$A35-1,1)-1)</f>
        <v>2.5458143568908742E-2</v>
      </c>
      <c r="GO35" s="9">
        <f ca="1">IF(OR(GO8="",GO$28&lt;$A35),"",GO8/OFFSET(SSTotalCLM!$A$2,MATCH(GO$29,SSTotalCLM!$A$2:$A$500)+$A35-1,1)-1)</f>
        <v>-8.9657133861440474E-3</v>
      </c>
      <c r="GP35" s="9">
        <f ca="1">IF(OR(GP8="",GP$28&lt;$A35),"",GP8/OFFSET(SSTotalCLM!$A$2,MATCH(GP$29,SSTotalCLM!$A$2:$A$500)+$A35-1,1)-1)</f>
        <v>-3.8713644941898329E-2</v>
      </c>
      <c r="GQ35" s="9">
        <f ca="1">IF(OR(GQ8="",GQ$28&lt;$A35),"",GQ8/OFFSET(SSTotalCLM!$A$2,MATCH(GQ$29,SSTotalCLM!$A$2:$A$500)+$A35-1,1)-1)</f>
        <v>-5.5732617075442192E-2</v>
      </c>
      <c r="GR35" s="9">
        <f ca="1">IF(OR(GR8="",GR$28&lt;$A35),"",GR8/OFFSET(SSTotalCLM!$A$2,MATCH(GR$29,SSTotalCLM!$A$2:$A$500)+$A35-1,1)-1)</f>
        <v>-4.3245220112864136E-2</v>
      </c>
      <c r="GS35" s="9">
        <f ca="1">IF(OR(GS8="",GS$28&lt;$A35),"",GS8/OFFSET(SSTotalCLM!$A$2,MATCH(GS$29,SSTotalCLM!$A$2:$A$500)+$A35-1,1)-1)</f>
        <v>-2.5428389740414947E-2</v>
      </c>
      <c r="GT35" s="9" t="str">
        <f ca="1">IF(OR(GT8="",GT$28&lt;$A35),"",GT8/OFFSET(SSTotalCLM!$A$2,MATCH(GT$29,SSTotalCLM!$A$2:$A$500)+$A35-1,1)-1)</f>
        <v/>
      </c>
      <c r="GU35" s="9" t="str">
        <f ca="1">IF(OR(GU8="",GU$28&lt;$A35),"",GU8/OFFSET(SSTotalCLM!$A$2,MATCH(GU$29,SSTotalCLM!$A$2:$A$500)+$A35-1,1)-1)</f>
        <v/>
      </c>
      <c r="GV35" s="9" t="str">
        <f ca="1">IF(OR(GV8="",GV$28&lt;$A35),"",GV8/OFFSET(SSTotalCLM!$A$2,MATCH(GV$29,SSTotalCLM!$A$2:$A$500)+$A35-1,1)-1)</f>
        <v/>
      </c>
      <c r="GW35" s="9" t="str">
        <f ca="1">IF(OR(GW8="",GW$28&lt;$A35),"",GW8/OFFSET(SSTotalCLM!$A$2,MATCH(GW$29,SSTotalCLM!$A$2:$A$500)+$A35-1,1)-1)</f>
        <v/>
      </c>
      <c r="GX35" s="9" t="str">
        <f ca="1">IF(OR(GX8="",GX$28&lt;$A35),"",GX8/OFFSET(SSTotalCLM!$A$2,MATCH(GX$29,SSTotalCLM!$A$2:$A$500)+$A35-1,1)-1)</f>
        <v/>
      </c>
      <c r="GY35" s="9" t="str">
        <f ca="1">IF(OR(GY8="",GY$28&lt;$A35),"",GY8/OFFSET(SSTotalCLM!$A$2,MATCH(GY$29,SSTotalCLM!$A$2:$A$500)+$A35-1,1)-1)</f>
        <v/>
      </c>
      <c r="GZ35" s="9" t="str">
        <f ca="1">IF(OR(GZ8="",GZ$28&lt;$A35),"",GZ8/OFFSET(SSTotalCLM!$A$2,MATCH(GZ$29,SSTotalCLM!$A$2:$A$500)+$A35-1,1)-1)</f>
        <v/>
      </c>
      <c r="HA35" s="9" t="str">
        <f ca="1">IF(OR(HA8="",HA$28&lt;$A35),"",HA8/OFFSET(SSTotalCLM!$A$2,MATCH(HA$29,SSTotalCLM!$A$2:$A$500)+$A35-1,1)-1)</f>
        <v/>
      </c>
      <c r="HB35" s="9" t="str">
        <f ca="1">IF(OR(HB8="",HB$28&lt;$A35),"",HB8/OFFSET(SSTotalCLM!$A$2,MATCH(HB$29,SSTotalCLM!$A$2:$A$500)+$A35-1,1)-1)</f>
        <v/>
      </c>
      <c r="HC35" s="9" t="str">
        <f ca="1">IF(OR(HC8="",HC$28&lt;$A35),"",HC8/OFFSET(SSTotalCLM!$A$2,MATCH(HC$29,SSTotalCLM!$A$2:$A$500)+$A35-1,1)-1)</f>
        <v/>
      </c>
      <c r="HD35" s="9" t="str">
        <f ca="1">IF(OR(HD8="",HD$28&lt;$A35),"",HD8/OFFSET(SSTotalCLM!$A$2,MATCH(HD$29,SSTotalCLM!$A$2:$A$500)+$A35-1,1)-1)</f>
        <v/>
      </c>
      <c r="HE35" s="9" t="str">
        <f ca="1">IF(OR(HE8="",HE$28&lt;$A35),"",HE8/OFFSET(SSTotalCLM!$A$2,MATCH(HE$29,SSTotalCLM!$A$2:$A$500)+$A35-1,1)-1)</f>
        <v/>
      </c>
      <c r="HF35" s="9" t="str">
        <f ca="1">IF(OR(HF8="",HF$28&lt;$A35),"",HF8/OFFSET(SSTotalCLM!$A$2,MATCH(HF$29,SSTotalCLM!$A$2:$A$500)+$A35-1,1)-1)</f>
        <v/>
      </c>
      <c r="HG35" s="9" t="str">
        <f ca="1">IF(OR(HG8="",HG$28&lt;$A35),"",HG8/OFFSET(SSTotalCLM!$A$2,MATCH(HG$29,SSTotalCLM!$A$2:$A$500)+$A35-1,1)-1)</f>
        <v/>
      </c>
      <c r="HH35" s="9" t="str">
        <f ca="1">IF(OR(HH8="",HH$28&lt;$A35),"",HH8/OFFSET(SSTotalCLM!$A$2,MATCH(HH$29,SSTotalCLM!$A$2:$A$500)+$A35-1,1)-1)</f>
        <v/>
      </c>
      <c r="HI35" s="9" t="str">
        <f ca="1">IF(OR(HI8="",HI$28&lt;$A35),"",HI8/OFFSET(SSTotalCLM!$A$2,MATCH(HI$29,SSTotalCLM!$A$2:$A$500)+$A35-1,1)-1)</f>
        <v/>
      </c>
      <c r="HJ35" s="9" t="str">
        <f ca="1">IF(OR(HJ8="",HJ$28&lt;$A35),"",HJ8/OFFSET(SSTotalCLM!$A$2,MATCH(HJ$29,SSTotalCLM!$A$2:$A$500)+$A35-1,1)-1)</f>
        <v/>
      </c>
      <c r="HK35" s="9" t="str">
        <f ca="1">IF(OR(HK8="",HK$28&lt;$A35),"",HK8/OFFSET(SSTotalCLM!$A$2,MATCH(HK$29,SSTotalCLM!$A$2:$A$500)+$A35-1,1)-1)</f>
        <v/>
      </c>
      <c r="HL35" s="9" t="str">
        <f ca="1">IF(OR(HL8="",HL$28&lt;$A35),"",HL8/OFFSET(SSTotalCLM!$A$2,MATCH(HL$29,SSTotalCLM!$A$2:$A$500)+$A35-1,1)-1)</f>
        <v/>
      </c>
      <c r="HM35" s="9" t="str">
        <f ca="1">IF(OR(HM8="",HM$28&lt;$A35),"",HM8/OFFSET(SSTotalCLM!$A$2,MATCH(HM$29,SSTotalCLM!$A$2:$A$500)+$A35-1,1)-1)</f>
        <v/>
      </c>
      <c r="HN35" s="9" t="str">
        <f ca="1">IF(OR(HN8="",HN$28&lt;$A35),"",HN8/OFFSET(SSTotalCLM!$A$2,MATCH(HN$29,SSTotalCLM!$A$2:$A$500)+$A35-1,1)-1)</f>
        <v/>
      </c>
      <c r="HO35" s="9" t="str">
        <f ca="1">IF(OR(HO8="",HO$28&lt;$A35),"",HO8/OFFSET(SSTotalCLM!$A$2,MATCH(HO$29,SSTotalCLM!$A$2:$A$500)+$A35-1,1)-1)</f>
        <v/>
      </c>
      <c r="HP35" s="9" t="str">
        <f ca="1">IF(OR(HP8="",HP$28&lt;$A35),"",HP8/OFFSET(SSTotalCLM!$A$2,MATCH(HP$29,SSTotalCLM!$A$2:$A$500)+$A35-1,1)-1)</f>
        <v/>
      </c>
      <c r="HQ35" s="9" t="str">
        <f ca="1">IF(OR(HQ8="",HQ$28&lt;$A35),"",HQ8/OFFSET(SSTotalCLM!$A$2,MATCH(HQ$29,SSTotalCLM!$A$2:$A$500)+$A35-1,1)-1)</f>
        <v/>
      </c>
      <c r="HR35" s="9" t="str">
        <f ca="1">IF(OR(HR8="",HR$28&lt;$A35),"",HR8/OFFSET(SSTotalCLM!$A$2,MATCH(HR$29,SSTotalCLM!$A$2:$A$500)+$A35-1,1)-1)</f>
        <v/>
      </c>
      <c r="HS35" s="9" t="str">
        <f ca="1">IF(OR(HS8="",HS$28&lt;$A35),"",HS8/OFFSET(SSTotalCLM!$A$2,MATCH(HS$29,SSTotalCLM!$A$2:$A$500)+$A35-1,1)-1)</f>
        <v/>
      </c>
      <c r="HT35" s="9" t="str">
        <f ca="1">IF(OR(HT8="",HT$28&lt;$A35),"",HT8/OFFSET(SSTotalCLM!$A$2,MATCH(HT$29,SSTotalCLM!$A$2:$A$500)+$A35-1,1)-1)</f>
        <v/>
      </c>
      <c r="HU35" s="9" t="str">
        <f ca="1">IF(OR(HU8="",HU$28&lt;$A35),"",HU8/OFFSET(SSTotalCLM!$A$2,MATCH(HU$29,SSTotalCLM!$A$2:$A$500)+$A35-1,1)-1)</f>
        <v/>
      </c>
      <c r="HV35" s="9" t="str">
        <f ca="1">IF(OR(HV8="",HV$28&lt;$A35),"",HV8/OFFSET(SSTotalCLM!$A$2,MATCH(HV$29,SSTotalCLM!$A$2:$A$500)+$A35-1,1)-1)</f>
        <v/>
      </c>
      <c r="HW35" s="9" t="str">
        <f ca="1">IF(OR(HW8="",HW$28&lt;$A35),"",HW8/OFFSET(SSTotalCLM!$A$2,MATCH(HW$29,SSTotalCLM!$A$2:$A$500)+$A35-1,1)-1)</f>
        <v/>
      </c>
      <c r="HX35" s="9" t="str">
        <f ca="1">IF(OR(HX8="",HX$28&lt;$A35),"",HX8/OFFSET(SSTotalCLM!$A$2,MATCH(HX$29,SSTotalCLM!$A$2:$A$500)+$A35-1,1)-1)</f>
        <v/>
      </c>
      <c r="HY35" s="9" t="str">
        <f ca="1">IF(OR(HY8="",HY$28&lt;$A35),"",HY8/OFFSET(SSTotalCLM!$A$2,MATCH(HY$29,SSTotalCLM!$A$2:$A$500)+$A35-1,1)-1)</f>
        <v/>
      </c>
      <c r="HZ35" s="9" t="str">
        <f ca="1">IF(OR(HZ8="",HZ$28&lt;$A35),"",HZ8/OFFSET(SSTotalCLM!$A$2,MATCH(HZ$29,SSTotalCLM!$A$2:$A$500)+$A35-1,1)-1)</f>
        <v/>
      </c>
      <c r="IA35" s="9" t="str">
        <f ca="1">IF(OR(IA8="",IA$28&lt;$A35),"",IA8/OFFSET(SSTotalCLM!$A$2,MATCH(IA$29,SSTotalCLM!$A$2:$A$500)+$A35-1,1)-1)</f>
        <v/>
      </c>
      <c r="IB35" s="9" t="str">
        <f ca="1">IF(OR(IB8="",IB$28&lt;$A35),"",IB8/OFFSET(SSTotalCLM!$A$2,MATCH(IB$29,SSTotalCLM!$A$2:$A$500)+$A35-1,1)-1)</f>
        <v/>
      </c>
      <c r="IC35" s="9" t="str">
        <f ca="1">IF(OR(IC8="",IC$28&lt;$A35),"",IC8/OFFSET(SSTotalCLM!$A$2,MATCH(IC$29,SSTotalCLM!$A$2:$A$500)+$A35-1,1)-1)</f>
        <v/>
      </c>
      <c r="ID35" s="9" t="str">
        <f ca="1">IF(OR(ID8="",ID$28&lt;$A35),"",ID8/OFFSET(SSTotalCLM!$A$2,MATCH(ID$29,SSTotalCLM!$A$2:$A$500)+$A35-1,1)-1)</f>
        <v/>
      </c>
      <c r="IE35" s="9" t="str">
        <f ca="1">IF(OR(IE8="",IE$28&lt;$A35),"",IE8/OFFSET(SSTotalCLM!$A$2,MATCH(IE$29,SSTotalCLM!$A$2:$A$500)+$A35-1,1)-1)</f>
        <v/>
      </c>
      <c r="IF35" s="9" t="str">
        <f ca="1">IF(OR(IF8="",IF$28&lt;$A35),"",IF8/OFFSET(SSTotalCLM!$A$2,MATCH(IF$29,SSTotalCLM!$A$2:$A$500)+$A35-1,1)-1)</f>
        <v/>
      </c>
      <c r="IG35" s="9" t="str">
        <f ca="1">IF(OR(IG8="",IG$28&lt;$A35),"",IG8/OFFSET(SSTotalCLM!$A$2,MATCH(IG$29,SSTotalCLM!$A$2:$A$500)+$A35-1,1)-1)</f>
        <v/>
      </c>
      <c r="IH35" s="9" t="str">
        <f ca="1">IF(OR(IH8="",IH$28&lt;$A35),"",IH8/OFFSET(SSTotalCLM!$A$2,MATCH(IH$29,SSTotalCLM!$A$2:$A$500)+$A35-1,1)-1)</f>
        <v/>
      </c>
      <c r="II35" s="9" t="str">
        <f ca="1">IF(OR(II8="",II$28&lt;$A35),"",II8/OFFSET(SSTotalCLM!$A$2,MATCH(II$29,SSTotalCLM!$A$2:$A$500)+$A35-1,1)-1)</f>
        <v/>
      </c>
      <c r="IJ35" s="9" t="str">
        <f ca="1">IF(OR(IJ8="",IJ$28&lt;$A35),"",IJ8/OFFSET(SSTotalCLM!$A$2,MATCH(IJ$29,SSTotalCLM!$A$2:$A$500)+$A35-1,1)-1)</f>
        <v/>
      </c>
      <c r="IK35" s="9" t="str">
        <f ca="1">IF(OR(IK8="",IK$28&lt;$A35),"",IK8/OFFSET(SSTotalCLM!$A$2,MATCH(IK$29,SSTotalCLM!$A$2:$A$500)+$A35-1,1)-1)</f>
        <v/>
      </c>
      <c r="IL35" s="9" t="str">
        <f ca="1">IF(OR(IL8="",IL$28&lt;$A35),"",IL8/OFFSET(SSTotalCLM!$A$2,MATCH(IL$29,SSTotalCLM!$A$2:$A$500)+$A35-1,1)-1)</f>
        <v/>
      </c>
      <c r="IM35" s="9" t="str">
        <f ca="1">IF(OR(IM8="",IM$28&lt;$A35),"",IM8/OFFSET(SSTotalCLM!$A$2,MATCH(IM$29,SSTotalCLM!$A$2:$A$500)+$A35-1,1)-1)</f>
        <v/>
      </c>
      <c r="IN35" s="9" t="str">
        <f ca="1">IF(OR(IN8="",IN$28&lt;$A35),"",IN8/OFFSET(SSTotalCLM!$A$2,MATCH(IN$29,SSTotalCLM!$A$2:$A$500)+$A35-1,1)-1)</f>
        <v/>
      </c>
      <c r="IO35" s="9" t="str">
        <f ca="1">IF(OR(IO8="",IO$28&lt;$A35),"",IO8/OFFSET(SSTotalCLM!$A$2,MATCH(IO$29,SSTotalCLM!$A$2:$A$500)+$A35-1,1)-1)</f>
        <v/>
      </c>
      <c r="IP35" s="9" t="str">
        <f ca="1">IF(OR(IP8="",IP$28&lt;$A35),"",IP8/OFFSET(SSTotalCLM!$A$2,MATCH(IP$29,SSTotalCLM!$A$2:$A$500)+$A35-1,1)-1)</f>
        <v/>
      </c>
      <c r="IQ35" s="9" t="str">
        <f ca="1">IF(OR(IQ8="",IQ$28&lt;$A35),"",IQ8/OFFSET(SSTotalCLM!$A$2,MATCH(IQ$29,SSTotalCLM!$A$2:$A$500)+$A35-1,1)-1)</f>
        <v/>
      </c>
      <c r="IR35" s="9" t="str">
        <f ca="1">IF(OR(IR8="",IR$28&lt;$A35),"",IR8/OFFSET(SSTotalCLM!$A$2,MATCH(IR$29,SSTotalCLM!$A$2:$A$500)+$A35-1,1)-1)</f>
        <v/>
      </c>
      <c r="IS35" s="9" t="str">
        <f ca="1">IF(OR(IS8="",IS$28&lt;$A35),"",IS8/OFFSET(SSTotalCLM!$A$2,MATCH(IS$29,SSTotalCLM!$A$2:$A$500)+$A35-1,1)-1)</f>
        <v/>
      </c>
      <c r="IT35" s="9" t="str">
        <f ca="1">IF(OR(IT8="",IT$28&lt;$A35),"",IT8/OFFSET(SSTotalCLM!$A$2,MATCH(IT$29,SSTotalCLM!$A$2:$A$500)+$A35-1,1)-1)</f>
        <v/>
      </c>
      <c r="IU35" s="9" t="str">
        <f ca="1">IF(OR(IU8="",IU$28&lt;$A35),"",IU8/OFFSET(SSTotalCLM!$A$2,MATCH(IU$29,SSTotalCLM!$A$2:$A$500)+$A35-1,1)-1)</f>
        <v/>
      </c>
      <c r="IV35" s="9" t="str">
        <f ca="1">IF(OR(IV8="",IV$28&lt;$A35),"",IV8/OFFSET(SSTotalCLM!$A$2,MATCH(IV$29,SSTotalCLM!$A$2:$A$500)+$A35-1,1)-1)</f>
        <v/>
      </c>
      <c r="IW35" s="9" t="str">
        <f ca="1">IF(OR(IW8="",IW$28&lt;$A35),"",IW8/OFFSET(SSTotalCLM!$A$2,MATCH(IW$29,SSTotalCLM!$A$2:$A$500)+$A35-1,1)-1)</f>
        <v/>
      </c>
      <c r="IX35" s="9" t="str">
        <f ca="1">IF(OR(IX8="",IX$28&lt;$A35),"",IX8/OFFSET(SSTotalCLM!$A$2,MATCH(IX$29,SSTotalCLM!$A$2:$A$500)+$A35-1,1)-1)</f>
        <v/>
      </c>
      <c r="IY35" s="9" t="str">
        <f ca="1">IF(OR(IY8="",IY$28&lt;$A35),"",IY8/OFFSET(SSTotalCLM!$A$2,MATCH(IY$29,SSTotalCLM!$A$2:$A$500)+$A35-1,1)-1)</f>
        <v/>
      </c>
      <c r="IZ35" s="9" t="str">
        <f ca="1">IF(OR(IZ8="",IZ$28&lt;$A35),"",IZ8/OFFSET(SSTotalCLM!$A$2,MATCH(IZ$29,SSTotalCLM!$A$2:$A$500)+$A35-1,1)-1)</f>
        <v/>
      </c>
      <c r="JA35" s="9" t="str">
        <f ca="1">IF(OR(JA8="",JA$28&lt;$A35),"",JA8/OFFSET(SSTotalCLM!$A$2,MATCH(JA$29,SSTotalCLM!$A$2:$A$500)+$A35-1,1)-1)</f>
        <v/>
      </c>
      <c r="JB35" s="9" t="str">
        <f ca="1">IF(OR(JB8="",JB$28&lt;$A35),"",JB8/OFFSET(SSTotalCLM!$A$2,MATCH(JB$29,SSTotalCLM!$A$2:$A$500)+$A35-1,1)-1)</f>
        <v/>
      </c>
      <c r="JC35" s="9" t="str">
        <f ca="1">IF(OR(JC8="",JC$28&lt;$A35),"",JC8/OFFSET(SSTotalCLM!$A$2,MATCH(JC$29,SSTotalCLM!$A$2:$A$500)+$A35-1,1)-1)</f>
        <v/>
      </c>
      <c r="JD35" s="9" t="str">
        <f ca="1">IF(OR(JD8="",JD$28&lt;$A35),"",JD8/OFFSET(SSTotalCLM!$A$2,MATCH(JD$29,SSTotalCLM!$A$2:$A$500)+$A35-1,1)-1)</f>
        <v/>
      </c>
      <c r="JE35" s="9" t="str">
        <f ca="1">IF(OR(JE8="",JE$28&lt;$A35),"",JE8/OFFSET(SSTotalCLM!$A$2,MATCH(JE$29,SSTotalCLM!$A$2:$A$500)+$A35-1,1)-1)</f>
        <v/>
      </c>
      <c r="JF35" s="9" t="str">
        <f ca="1">IF(OR(JF8="",JF$28&lt;$A35),"",JF8/OFFSET(SSTotalCLM!$A$2,MATCH(JF$29,SSTotalCLM!$A$2:$A$500)+$A35-1,1)-1)</f>
        <v/>
      </c>
      <c r="JG35" s="9" t="str">
        <f ca="1">IF(OR(JG8="",JG$28&lt;$A35),"",JG8/OFFSET(SSTotalCLM!$A$2,MATCH(JG$29,SSTotalCLM!$A$2:$A$500)+$A35-1,1)-1)</f>
        <v/>
      </c>
      <c r="JH35" s="9" t="str">
        <f ca="1">IF(OR(JH8="",JH$28&lt;$A35),"",JH8/OFFSET(SSTotalCLM!$A$2,MATCH(JH$29,SSTotalCLM!$A$2:$A$500)+$A35-1,1)-1)</f>
        <v/>
      </c>
      <c r="JI35" s="13">
        <f t="shared" ca="1" si="13"/>
        <v>7.1520886585444538E-4</v>
      </c>
      <c r="JJ35" s="13">
        <f t="shared" ca="1" si="14"/>
        <v>2.613974701885402E-3</v>
      </c>
      <c r="JK35" s="14">
        <f t="shared" ca="1" si="15"/>
        <v>6.4478309825379389E-4</v>
      </c>
      <c r="JL35" s="17">
        <f t="shared" ca="1" si="18"/>
        <v>2.5392579590380215E-2</v>
      </c>
      <c r="JM35" s="15" t="str">
        <f t="shared" ca="1" si="16"/>
        <v>[ -5,01% ; 5,15% ]</v>
      </c>
      <c r="JN35" s="17">
        <f t="shared" ca="1" si="17"/>
        <v>3.2502501875686679E-2</v>
      </c>
      <c r="LY35" s="1"/>
    </row>
    <row r="36" spans="1:337" x14ac:dyDescent="0.25">
      <c r="A36" s="4">
        <v>7</v>
      </c>
      <c r="B36" s="9">
        <f ca="1">IF(OR(B9="",B$28&lt;$A36),"",B9/OFFSET(SSTotalCLM!$A$2,MATCH(B$29,SSTotalCLM!$A$2:$A$500)+$A36-1,1)-1)</f>
        <v>-1.4810224409923411E-2</v>
      </c>
      <c r="C36" s="9">
        <f ca="1">IF(OR(C9="",C$28&lt;$A36),"",C9/OFFSET(SSTotalCLM!$A$2,MATCH(C$29,SSTotalCLM!$A$2:$A$500)+$A36-1,1)-1)</f>
        <v>-1.9641909638747235E-2</v>
      </c>
      <c r="D36" s="9">
        <f ca="1">IF(OR(D9="",D$28&lt;$A36),"",D9/OFFSET(SSTotalCLM!$A$2,MATCH(D$29,SSTotalCLM!$A$2:$A$500)+$A36-1,1)-1)</f>
        <v>-1.5510593575133513E-2</v>
      </c>
      <c r="E36" s="9">
        <f ca="1">IF(OR(E9="",E$28&lt;$A36),"",E9/OFFSET(SSTotalCLM!$A$2,MATCH(E$29,SSTotalCLM!$A$2:$A$500)+$A36-1,1)-1)</f>
        <v>-1.4508792276010873E-2</v>
      </c>
      <c r="F36" s="9">
        <f ca="1">IF(OR(F9="",F$28&lt;$A36),"",F9/OFFSET(SSTotalCLM!$A$2,MATCH(F$29,SSTotalCLM!$A$2:$A$500)+$A36-1,1)-1)</f>
        <v>-1.0722185552452745E-2</v>
      </c>
      <c r="G36" s="9">
        <f ca="1">IF(OR(G9="",G$28&lt;$A36),"",G9/OFFSET(SSTotalCLM!$A$2,MATCH(G$29,SSTotalCLM!$A$2:$A$500)+$A36-1,1)-1)</f>
        <v>-3.1273943524867454E-2</v>
      </c>
      <c r="H36" s="9">
        <f ca="1">IF(OR(H9="",H$28&lt;$A36),"",H9/OFFSET(SSTotalCLM!$A$2,MATCH(H$29,SSTotalCLM!$A$2:$A$500)+$A36-1,1)-1)</f>
        <v>-9.5946822662394959E-3</v>
      </c>
      <c r="I36" s="9">
        <f ca="1">IF(OR(I9="",I$28&lt;$A36),"",I9/OFFSET(SSTotalCLM!$A$2,MATCH(I$29,SSTotalCLM!$A$2:$A$500)+$A36-1,1)-1)</f>
        <v>-3.2539046959122464E-3</v>
      </c>
      <c r="J36" s="9">
        <f ca="1">IF(OR(J9="",J$28&lt;$A36),"",J9/OFFSET(SSTotalCLM!$A$2,MATCH(J$29,SSTotalCLM!$A$2:$A$500)+$A36-1,1)-1)</f>
        <v>4.0989670818696311E-3</v>
      </c>
      <c r="K36" s="9">
        <f ca="1">IF(OR(K9="",K$28&lt;$A36),"",K9/OFFSET(SSTotalCLM!$A$2,MATCH(K$29,SSTotalCLM!$A$2:$A$500)+$A36-1,1)-1)</f>
        <v>-3.6067328002292731E-3</v>
      </c>
      <c r="L36" s="9">
        <f ca="1">IF(OR(L9="",L$28&lt;$A36),"",L9/OFFSET(SSTotalCLM!$A$2,MATCH(L$29,SSTotalCLM!$A$2:$A$500)+$A36-1,1)-1)</f>
        <v>-1.0217829248243548E-2</v>
      </c>
      <c r="M36" s="9">
        <f ca="1">IF(OR(M9="",M$28&lt;$A36),"",M9/OFFSET(SSTotalCLM!$A$2,MATCH(M$29,SSTotalCLM!$A$2:$A$500)+$A36-1,1)-1)</f>
        <v>-2.1558398788637967E-2</v>
      </c>
      <c r="N36" s="9">
        <f ca="1">IF(OR(N9="",N$28&lt;$A36),"",N9/OFFSET(SSTotalCLM!$A$2,MATCH(N$29,SSTotalCLM!$A$2:$A$500)+$A36-1,1)-1)</f>
        <v>-1.9699889844310037E-2</v>
      </c>
      <c r="O36" s="9">
        <f ca="1">IF(OR(O9="",O$28&lt;$A36),"",O9/OFFSET(SSTotalCLM!$A$2,MATCH(O$29,SSTotalCLM!$A$2:$A$500)+$A36-1,1)-1)</f>
        <v>-2.9138564655197041E-2</v>
      </c>
      <c r="P36" s="9">
        <f ca="1">IF(OR(P9="",P$28&lt;$A36),"",P9/OFFSET(SSTotalCLM!$A$2,MATCH(P$29,SSTotalCLM!$A$2:$A$500)+$A36-1,1)-1)</f>
        <v>-2.6453044012294424E-2</v>
      </c>
      <c r="Q36" s="9">
        <f ca="1">IF(OR(Q9="",Q$28&lt;$A36),"",Q9/OFFSET(SSTotalCLM!$A$2,MATCH(Q$29,SSTotalCLM!$A$2:$A$500)+$A36-1,1)-1)</f>
        <v>-2.896730178347684E-2</v>
      </c>
      <c r="R36" s="9">
        <f ca="1">IF(OR(R9="",R$28&lt;$A36),"",R9/OFFSET(SSTotalCLM!$A$2,MATCH(R$29,SSTotalCLM!$A$2:$A$500)+$A36-1,1)-1)</f>
        <v>-2.6665917595089961E-2</v>
      </c>
      <c r="S36" s="9">
        <f ca="1">IF(OR(S9="",S$28&lt;$A36),"",S9/OFFSET(SSTotalCLM!$A$2,MATCH(S$29,SSTotalCLM!$A$2:$A$500)+$A36-1,1)-1)</f>
        <v>-3.1326620440897623E-2</v>
      </c>
      <c r="T36" s="9">
        <f ca="1">IF(OR(T9="",T$28&lt;$A36),"",T9/OFFSET(SSTotalCLM!$A$2,MATCH(T$29,SSTotalCLM!$A$2:$A$500)+$A36-1,1)-1)</f>
        <v>-1.1210811701424128E-2</v>
      </c>
      <c r="U36" s="9">
        <f ca="1">IF(OR(U9="",U$28&lt;$A36),"",U9/OFFSET(SSTotalCLM!$A$2,MATCH(U$29,SSTotalCLM!$A$2:$A$500)+$A36-1,1)-1)</f>
        <v>1.3942749044917324E-3</v>
      </c>
      <c r="V36" s="9">
        <f ca="1">IF(OR(V9="",V$28&lt;$A36),"",V9/OFFSET(SSTotalCLM!$A$2,MATCH(V$29,SSTotalCLM!$A$2:$A$500)+$A36-1,1)-1)</f>
        <v>-1.0445008396073874E-3</v>
      </c>
      <c r="W36" s="9">
        <f ca="1">IF(OR(W9="",W$28&lt;$A36),"",W9/OFFSET(SSTotalCLM!$A$2,MATCH(W$29,SSTotalCLM!$A$2:$A$500)+$A36-1,1)-1)</f>
        <v>-3.0882450814910811E-3</v>
      </c>
      <c r="X36" s="9">
        <f ca="1">IF(OR(X9="",X$28&lt;$A36),"",X9/OFFSET(SSTotalCLM!$A$2,MATCH(X$29,SSTotalCLM!$A$2:$A$500)+$A36-1,1)-1)</f>
        <v>1.7388531815731856E-3</v>
      </c>
      <c r="Y36" s="9">
        <f ca="1">IF(OR(Y9="",Y$28&lt;$A36),"",Y9/OFFSET(SSTotalCLM!$A$2,MATCH(Y$29,SSTotalCLM!$A$2:$A$500)+$A36-1,1)-1)</f>
        <v>1.3508282156124984E-2</v>
      </c>
      <c r="Z36" s="9">
        <f ca="1">IF(OR(Z9="",Z$28&lt;$A36),"",Z9/OFFSET(SSTotalCLM!$A$2,MATCH(Z$29,SSTotalCLM!$A$2:$A$500)+$A36-1,1)-1)</f>
        <v>2.5074289829528862E-2</v>
      </c>
      <c r="AA36" s="9">
        <f ca="1">IF(OR(AA9="",AA$28&lt;$A36),"",AA9/OFFSET(SSTotalCLM!$A$2,MATCH(AA$29,SSTotalCLM!$A$2:$A$500)+$A36-1,1)-1)</f>
        <v>2.6612331077719098E-2</v>
      </c>
      <c r="AB36" s="9">
        <f ca="1">IF(OR(AB9="",AB$28&lt;$A36),"",AB9/OFFSET(SSTotalCLM!$A$2,MATCH(AB$29,SSTotalCLM!$A$2:$A$500)+$A36-1,1)-1)</f>
        <v>2.2979950332239651E-2</v>
      </c>
      <c r="AC36" s="9">
        <f ca="1">IF(OR(AC9="",AC$28&lt;$A36),"",AC9/OFFSET(SSTotalCLM!$A$2,MATCH(AC$29,SSTotalCLM!$A$2:$A$500)+$A36-1,1)-1)</f>
        <v>2.78095047647684E-2</v>
      </c>
      <c r="AD36" s="9">
        <f ca="1">IF(OR(AD9="",AD$28&lt;$A36),"",AD9/OFFSET(SSTotalCLM!$A$2,MATCH(AD$29,SSTotalCLM!$A$2:$A$500)+$A36-1,1)-1)</f>
        <v>1.8620521569621129E-2</v>
      </c>
      <c r="AE36" s="9">
        <f ca="1">IF(OR(AE9="",AE$28&lt;$A36),"",AE9/OFFSET(SSTotalCLM!$A$2,MATCH(AE$29,SSTotalCLM!$A$2:$A$500)+$A36-1,1)-1)</f>
        <v>1.5573804405051961E-2</v>
      </c>
      <c r="AF36" s="9">
        <f ca="1">IF(OR(AF9="",AF$28&lt;$A36),"",AF9/OFFSET(SSTotalCLM!$A$2,MATCH(AF$29,SSTotalCLM!$A$2:$A$500)+$A36-1,1)-1)</f>
        <v>3.2755528871464268E-3</v>
      </c>
      <c r="AG36" s="9">
        <f ca="1">IF(OR(AG9="",AG$28&lt;$A36),"",AG9/OFFSET(SSTotalCLM!$A$2,MATCH(AG$29,SSTotalCLM!$A$2:$A$500)+$A36-1,1)-1)</f>
        <v>-5.7057163841476299E-3</v>
      </c>
      <c r="AH36" s="9">
        <f ca="1">IF(OR(AH9="",AH$28&lt;$A36),"",AH9/OFFSET(SSTotalCLM!$A$2,MATCH(AH$29,SSTotalCLM!$A$2:$A$500)+$A36-1,1)-1)</f>
        <v>-1.1321166050375253E-2</v>
      </c>
      <c r="AI36" s="9">
        <f ca="1">IF(OR(AI9="",AI$28&lt;$A36),"",AI9/OFFSET(SSTotalCLM!$A$2,MATCH(AI$29,SSTotalCLM!$A$2:$A$500)+$A36-1,1)-1)</f>
        <v>-1.2504532650798428E-2</v>
      </c>
      <c r="AJ36" s="9">
        <f ca="1">IF(OR(AJ9="",AJ$28&lt;$A36),"",AJ9/OFFSET(SSTotalCLM!$A$2,MATCH(AJ$29,SSTotalCLM!$A$2:$A$500)+$A36-1,1)-1)</f>
        <v>-1.2226830067538441E-2</v>
      </c>
      <c r="AK36" s="9">
        <f ca="1">IF(OR(AK9="",AK$28&lt;$A36),"",AK9/OFFSET(SSTotalCLM!$A$2,MATCH(AK$29,SSTotalCLM!$A$2:$A$500)+$A36-1,1)-1)</f>
        <v>-5.5715756245556802E-3</v>
      </c>
      <c r="AL36" s="9">
        <f ca="1">IF(OR(AL9="",AL$28&lt;$A36),"",AL9/OFFSET(SSTotalCLM!$A$2,MATCH(AL$29,SSTotalCLM!$A$2:$A$500)+$A36-1,1)-1)</f>
        <v>3.7585766943570853E-4</v>
      </c>
      <c r="AM36" s="9">
        <f ca="1">IF(OR(AM9="",AM$28&lt;$A36),"",AM9/OFFSET(SSTotalCLM!$A$2,MATCH(AM$29,SSTotalCLM!$A$2:$A$500)+$A36-1,1)-1)</f>
        <v>4.0984645338273396E-3</v>
      </c>
      <c r="AN36" s="9">
        <f ca="1">IF(OR(AN9="",AN$28&lt;$A36),"",AN9/OFFSET(SSTotalCLM!$A$2,MATCH(AN$29,SSTotalCLM!$A$2:$A$500)+$A36-1,1)-1)</f>
        <v>5.9903524983893064E-3</v>
      </c>
      <c r="AO36" s="9">
        <f ca="1">IF(OR(AO9="",AO$28&lt;$A36),"",AO9/OFFSET(SSTotalCLM!$A$2,MATCH(AO$29,SSTotalCLM!$A$2:$A$500)+$A36-1,1)-1)</f>
        <v>3.009635878846284E-3</v>
      </c>
      <c r="AP36" s="9">
        <f ca="1">IF(OR(AP9="",AP$28&lt;$A36),"",AP9/OFFSET(SSTotalCLM!$A$2,MATCH(AP$29,SSTotalCLM!$A$2:$A$500)+$A36-1,1)-1)</f>
        <v>5.479611684171326E-3</v>
      </c>
      <c r="AQ36" s="9">
        <f ca="1">IF(OR(AQ9="",AQ$28&lt;$A36),"",AQ9/OFFSET(SSTotalCLM!$A$2,MATCH(AQ$29,SSTotalCLM!$A$2:$A$500)+$A36-1,1)-1)</f>
        <v>1.3321702017887738E-3</v>
      </c>
      <c r="AR36" s="9">
        <f ca="1">IF(OR(AR9="",AR$28&lt;$A36),"",AR9/OFFSET(SSTotalCLM!$A$2,MATCH(AR$29,SSTotalCLM!$A$2:$A$500)+$A36-1,1)-1)</f>
        <v>3.6035709929531645E-3</v>
      </c>
      <c r="AS36" s="9">
        <f ca="1">IF(OR(AS9="",AS$28&lt;$A36),"",AS9/OFFSET(SSTotalCLM!$A$2,MATCH(AS$29,SSTotalCLM!$A$2:$A$500)+$A36-1,1)-1)</f>
        <v>5.8972428608026206E-3</v>
      </c>
      <c r="AT36" s="9">
        <f ca="1">IF(OR(AT9="",AT$28&lt;$A36),"",AT9/OFFSET(SSTotalCLM!$A$2,MATCH(AT$29,SSTotalCLM!$A$2:$A$500)+$A36-1,1)-1)</f>
        <v>1.0337025821388623E-2</v>
      </c>
      <c r="AU36" s="9">
        <f ca="1">IF(OR(AU9="",AU$28&lt;$A36),"",AU9/OFFSET(SSTotalCLM!$A$2,MATCH(AU$29,SSTotalCLM!$A$2:$A$500)+$A36-1,1)-1)</f>
        <v>1.2764975646670118E-2</v>
      </c>
      <c r="AV36" s="9">
        <f ca="1">IF(OR(AV9="",AV$28&lt;$A36),"",AV9/OFFSET(SSTotalCLM!$A$2,MATCH(AV$29,SSTotalCLM!$A$2:$A$500)+$A36-1,1)-1)</f>
        <v>2.5656644879236579E-2</v>
      </c>
      <c r="AW36" s="9">
        <f ca="1">IF(OR(AW9="",AW$28&lt;$A36),"",AW9/OFFSET(SSTotalCLM!$A$2,MATCH(AW$29,SSTotalCLM!$A$2:$A$500)+$A36-1,1)-1)</f>
        <v>3.6806937320316369E-2</v>
      </c>
      <c r="AX36" s="9">
        <f ca="1">IF(OR(AX9="",AX$28&lt;$A36),"",AX9/OFFSET(SSTotalCLM!$A$2,MATCH(AX$29,SSTotalCLM!$A$2:$A$500)+$A36-1,1)-1)</f>
        <v>4.8302635531087823E-2</v>
      </c>
      <c r="AY36" s="9">
        <f ca="1">IF(OR(AY9="",AY$28&lt;$A36),"",AY9/OFFSET(SSTotalCLM!$A$2,MATCH(AY$29,SSTotalCLM!$A$2:$A$500)+$A36-1,1)-1)</f>
        <v>4.9952531090745378E-2</v>
      </c>
      <c r="AZ36" s="9">
        <f ca="1">IF(OR(AZ9="",AZ$28&lt;$A36),"",AZ9/OFFSET(SSTotalCLM!$A$2,MATCH(AZ$29,SSTotalCLM!$A$2:$A$500)+$A36-1,1)-1)</f>
        <v>4.7825478577005809E-2</v>
      </c>
      <c r="BA36" s="9">
        <f ca="1">IF(OR(BA9="",BA$28&lt;$A36),"",BA9/OFFSET(SSTotalCLM!$A$2,MATCH(BA$29,SSTotalCLM!$A$2:$A$500)+$A36-1,1)-1)</f>
        <v>4.0720965450932622E-2</v>
      </c>
      <c r="BB36" s="9">
        <f ca="1">IF(OR(BB9="",BB$28&lt;$A36),"",BB9/OFFSET(SSTotalCLM!$A$2,MATCH(BB$29,SSTotalCLM!$A$2:$A$500)+$A36-1,1)-1)</f>
        <v>6.5069167555721341E-2</v>
      </c>
      <c r="BC36" s="9">
        <f ca="1">IF(OR(BC9="",BC$28&lt;$A36),"",BC9/OFFSET(SSTotalCLM!$A$2,MATCH(BC$29,SSTotalCLM!$A$2:$A$500)+$A36-1,1)-1)</f>
        <v>6.7025361410621986E-2</v>
      </c>
      <c r="BD36" s="9">
        <f ca="1">IF(OR(BD9="",BD$28&lt;$A36),"",BD9/OFFSET(SSTotalCLM!$A$2,MATCH(BD$29,SSTotalCLM!$A$2:$A$500)+$A36-1,1)-1)</f>
        <v>6.7916256214540782E-2</v>
      </c>
      <c r="BE36" s="9">
        <f ca="1">IF(OR(BE9="",BE$28&lt;$A36),"",BE9/OFFSET(SSTotalCLM!$A$2,MATCH(BE$29,SSTotalCLM!$A$2:$A$500)+$A36-1,1)-1)</f>
        <v>6.2850280388549562E-2</v>
      </c>
      <c r="BF36" s="9">
        <f ca="1">IF(OR(BF9="",BF$28&lt;$A36),"",BF9/OFFSET(SSTotalCLM!$A$2,MATCH(BF$29,SSTotalCLM!$A$2:$A$500)+$A36-1,1)-1)</f>
        <v>4.6696904709274456E-2</v>
      </c>
      <c r="BG36" s="9">
        <f ca="1">IF(OR(BG9="",BG$28&lt;$A36),"",BG9/OFFSET(SSTotalCLM!$A$2,MATCH(BG$29,SSTotalCLM!$A$2:$A$500)+$A36-1,1)-1)</f>
        <v>5.2809633474150353E-2</v>
      </c>
      <c r="BH36" s="9">
        <f ca="1">IF(OR(BH9="",BH$28&lt;$A36),"",BH9/OFFSET(SSTotalCLM!$A$2,MATCH(BH$29,SSTotalCLM!$A$2:$A$500)+$A36-1,1)-1)</f>
        <v>5.6941663886190153E-2</v>
      </c>
      <c r="BI36" s="9">
        <f ca="1">IF(OR(BI9="",BI$28&lt;$A36),"",BI9/OFFSET(SSTotalCLM!$A$2,MATCH(BI$29,SSTotalCLM!$A$2:$A$500)+$A36-1,1)-1)</f>
        <v>1.8654981526048386E-2</v>
      </c>
      <c r="BJ36" s="9">
        <f ca="1">IF(OR(BJ9="",BJ$28&lt;$A36),"",BJ9/OFFSET(SSTotalCLM!$A$2,MATCH(BJ$29,SSTotalCLM!$A$2:$A$500)+$A36-1,1)-1)</f>
        <v>1.9462339579132681E-3</v>
      </c>
      <c r="BK36" s="9">
        <f ca="1">IF(OR(BK9="",BK$28&lt;$A36),"",BK9/OFFSET(SSTotalCLM!$A$2,MATCH(BK$29,SSTotalCLM!$A$2:$A$500)+$A36-1,1)-1)</f>
        <v>-1.6922376157420427E-2</v>
      </c>
      <c r="BL36" s="9">
        <f ca="1">IF(OR(BL9="",BL$28&lt;$A36),"",BL9/OFFSET(SSTotalCLM!$A$2,MATCH(BL$29,SSTotalCLM!$A$2:$A$500)+$A36-1,1)-1)</f>
        <v>-5.7989775099744456E-2</v>
      </c>
      <c r="BM36" s="9">
        <f ca="1">IF(OR(BM9="",BM$28&lt;$A36),"",BM9/OFFSET(SSTotalCLM!$A$2,MATCH(BM$29,SSTotalCLM!$A$2:$A$500)+$A36-1,1)-1)</f>
        <v>-7.0866197150796784E-2</v>
      </c>
      <c r="BN36" s="9">
        <f ca="1">IF(OR(BN9="",BN$28&lt;$A36),"",BN9/OFFSET(SSTotalCLM!$A$2,MATCH(BN$29,SSTotalCLM!$A$2:$A$500)+$A36-1,1)-1)</f>
        <v>-5.9877304698786826E-2</v>
      </c>
      <c r="BO36" s="9">
        <f ca="1">IF(OR(BO9="",BO$28&lt;$A36),"",BO9/OFFSET(SSTotalCLM!$A$2,MATCH(BO$29,SSTotalCLM!$A$2:$A$500)+$A36-1,1)-1)</f>
        <v>-5.0418785177350323E-2</v>
      </c>
      <c r="BP36" s="9">
        <f ca="1">IF(OR(BP9="",BP$28&lt;$A36),"",BP9/OFFSET(SSTotalCLM!$A$2,MATCH(BP$29,SSTotalCLM!$A$2:$A$500)+$A36-1,1)-1)</f>
        <v>-3.108624282403627E-2</v>
      </c>
      <c r="BQ36" s="9">
        <f ca="1">IF(OR(BQ9="",BQ$28&lt;$A36),"",BQ9/OFFSET(SSTotalCLM!$A$2,MATCH(BQ$29,SSTotalCLM!$A$2:$A$500)+$A36-1,1)-1)</f>
        <v>-2.4458707499256604E-2</v>
      </c>
      <c r="BR36" s="9">
        <f ca="1">IF(OR(BR9="",BR$28&lt;$A36),"",BR9/OFFSET(SSTotalCLM!$A$2,MATCH(BR$29,SSTotalCLM!$A$2:$A$500)+$A36-1,1)-1)</f>
        <v>-1.2170585659653788E-2</v>
      </c>
      <c r="BS36" s="9">
        <f ca="1">IF(OR(BS9="",BS$28&lt;$A36),"",BS9/OFFSET(SSTotalCLM!$A$2,MATCH(BS$29,SSTotalCLM!$A$2:$A$500)+$A36-1,1)-1)</f>
        <v>3.5475613616445134E-2</v>
      </c>
      <c r="BT36" s="9">
        <f ca="1">IF(OR(BT9="",BT$28&lt;$A36),"",BT9/OFFSET(SSTotalCLM!$A$2,MATCH(BT$29,SSTotalCLM!$A$2:$A$500)+$A36-1,1)-1)</f>
        <v>2.1453881955318721E-2</v>
      </c>
      <c r="BU36" s="9">
        <f ca="1">IF(OR(BU9="",BU$28&lt;$A36),"",BU9/OFFSET(SSTotalCLM!$A$2,MATCH(BU$29,SSTotalCLM!$A$2:$A$500)+$A36-1,1)-1)</f>
        <v>8.2641651235648705E-3</v>
      </c>
      <c r="BV36" s="9">
        <f ca="1">IF(OR(BV9="",BV$28&lt;$A36),"",BV9/OFFSET(SSTotalCLM!$A$2,MATCH(BV$29,SSTotalCLM!$A$2:$A$500)+$A36-1,1)-1)</f>
        <v>2.523181352068149E-2</v>
      </c>
      <c r="BW36" s="9">
        <f ca="1">IF(OR(BW9="",BW$28&lt;$A36),"",BW9/OFFSET(SSTotalCLM!$A$2,MATCH(BW$29,SSTotalCLM!$A$2:$A$500)+$A36-1,1)-1)</f>
        <v>1.5443086212608481E-2</v>
      </c>
      <c r="BX36" s="9">
        <f ca="1">IF(OR(BX9="",BX$28&lt;$A36),"",BX9/OFFSET(SSTotalCLM!$A$2,MATCH(BX$29,SSTotalCLM!$A$2:$A$500)+$A36-1,1)-1)</f>
        <v>-2.5437822357866624E-3</v>
      </c>
      <c r="BY36" s="9">
        <f ca="1">IF(OR(BY9="",BY$28&lt;$A36),"",BY9/OFFSET(SSTotalCLM!$A$2,MATCH(BY$29,SSTotalCLM!$A$2:$A$500)+$A36-1,1)-1)</f>
        <v>-4.9472854466573457E-3</v>
      </c>
      <c r="BZ36" s="9">
        <f ca="1">IF(OR(BZ9="",BZ$28&lt;$A36),"",BZ9/OFFSET(SSTotalCLM!$A$2,MATCH(BZ$29,SSTotalCLM!$A$2:$A$500)+$A36-1,1)-1)</f>
        <v>-2.8259456245844916E-3</v>
      </c>
      <c r="CA36" s="9">
        <f ca="1">IF(OR(CA9="",CA$28&lt;$A36),"",CA9/OFFSET(SSTotalCLM!$A$2,MATCH(CA$29,SSTotalCLM!$A$2:$A$500)+$A36-1,1)-1)</f>
        <v>-2.6822997895179501E-3</v>
      </c>
      <c r="CB36" s="9">
        <f ca="1">IF(OR(CB9="",CB$28&lt;$A36),"",CB9/OFFSET(SSTotalCLM!$A$2,MATCH(CB$29,SSTotalCLM!$A$2:$A$500)+$A36-1,1)-1)</f>
        <v>-7.1891711579251671E-3</v>
      </c>
      <c r="CC36" s="9">
        <f ca="1">IF(OR(CC9="",CC$28&lt;$A36),"",CC9/OFFSET(SSTotalCLM!$A$2,MATCH(CC$29,SSTotalCLM!$A$2:$A$500)+$A36-1,1)-1)</f>
        <v>3.585698094754397E-3</v>
      </c>
      <c r="CD36" s="9">
        <f ca="1">IF(OR(CD9="",CD$28&lt;$A36),"",CD9/OFFSET(SSTotalCLM!$A$2,MATCH(CD$29,SSTotalCLM!$A$2:$A$500)+$A36-1,1)-1)</f>
        <v>1.7006083463231292E-3</v>
      </c>
      <c r="CE36" s="9">
        <f ca="1">IF(OR(CE9="",CE$28&lt;$A36),"",CE9/OFFSET(SSTotalCLM!$A$2,MATCH(CE$29,SSTotalCLM!$A$2:$A$500)+$A36-1,1)-1)</f>
        <v>2.3344599633375651E-2</v>
      </c>
      <c r="CF36" s="9">
        <f ca="1">IF(OR(CF9="",CF$28&lt;$A36),"",CF9/OFFSET(SSTotalCLM!$A$2,MATCH(CF$29,SSTotalCLM!$A$2:$A$500)+$A36-1,1)-1)</f>
        <v>2.800591628557747E-2</v>
      </c>
      <c r="CG36" s="9">
        <f ca="1">IF(OR(CG9="",CG$28&lt;$A36),"",CG9/OFFSET(SSTotalCLM!$A$2,MATCH(CG$29,SSTotalCLM!$A$2:$A$500)+$A36-1,1)-1)</f>
        <v>7.2314482516422363E-3</v>
      </c>
      <c r="CH36" s="9">
        <f ca="1">IF(OR(CH9="",CH$28&lt;$A36),"",CH9/OFFSET(SSTotalCLM!$A$2,MATCH(CH$29,SSTotalCLM!$A$2:$A$500)+$A36-1,1)-1)</f>
        <v>1.457752285329339E-2</v>
      </c>
      <c r="CI36" s="9">
        <f ca="1">IF(OR(CI9="",CI$28&lt;$A36),"",CI9/OFFSET(SSTotalCLM!$A$2,MATCH(CI$29,SSTotalCLM!$A$2:$A$500)+$A36-1,1)-1)</f>
        <v>1.9009063154588945E-2</v>
      </c>
      <c r="CJ36" s="9">
        <f ca="1">IF(OR(CJ9="",CJ$28&lt;$A36),"",CJ9/OFFSET(SSTotalCLM!$A$2,MATCH(CJ$29,SSTotalCLM!$A$2:$A$500)+$A36-1,1)-1)</f>
        <v>-6.3923428310596053E-3</v>
      </c>
      <c r="CK36" s="9">
        <f ca="1">IF(OR(CK9="",CK$28&lt;$A36),"",CK9/OFFSET(SSTotalCLM!$A$2,MATCH(CK$29,SSTotalCLM!$A$2:$A$500)+$A36-1,1)-1)</f>
        <v>2.2145816726242273E-2</v>
      </c>
      <c r="CL36" s="9">
        <f ca="1">IF(OR(CL9="",CL$28&lt;$A36),"",CL9/OFFSET(SSTotalCLM!$A$2,MATCH(CL$29,SSTotalCLM!$A$2:$A$500)+$A36-1,1)-1)</f>
        <v>2.8516630497683382E-2</v>
      </c>
      <c r="CM36" s="9">
        <f ca="1">IF(OR(CM9="",CM$28&lt;$A36),"",CM9/OFFSET(SSTotalCLM!$A$2,MATCH(CM$29,SSTotalCLM!$A$2:$A$500)+$A36-1,1)-1)</f>
        <v>2.3006888269617498E-2</v>
      </c>
      <c r="CN36" s="9">
        <f ca="1">IF(OR(CN9="",CN$28&lt;$A36),"",CN9/OFFSET(SSTotalCLM!$A$2,MATCH(CN$29,SSTotalCLM!$A$2:$A$500)+$A36-1,1)-1)</f>
        <v>2.5138603659306424E-2</v>
      </c>
      <c r="CO36" s="9">
        <f ca="1">IF(OR(CO9="",CO$28&lt;$A36),"",CO9/OFFSET(SSTotalCLM!$A$2,MATCH(CO$29,SSTotalCLM!$A$2:$A$500)+$A36-1,1)-1)</f>
        <v>2.2587773678686807E-2</v>
      </c>
      <c r="CP36" s="9">
        <f ca="1">IF(OR(CP9="",CP$28&lt;$A36),"",CP9/OFFSET(SSTotalCLM!$A$2,MATCH(CP$29,SSTotalCLM!$A$2:$A$500)+$A36-1,1)-1)</f>
        <v>2.6422558961553877E-2</v>
      </c>
      <c r="CQ36" s="9">
        <f ca="1">IF(OR(CQ9="",CQ$28&lt;$A36),"",CQ9/OFFSET(SSTotalCLM!$A$2,MATCH(CQ$29,SSTotalCLM!$A$2:$A$500)+$A36-1,1)-1)</f>
        <v>4.9638930611189513E-2</v>
      </c>
      <c r="CR36" s="9">
        <f ca="1">IF(OR(CR9="",CR$28&lt;$A36),"",CR9/OFFSET(SSTotalCLM!$A$2,MATCH(CR$29,SSTotalCLM!$A$2:$A$500)+$A36-1,1)-1)</f>
        <v>2.8185577801206341E-2</v>
      </c>
      <c r="CS36" s="9">
        <f ca="1">IF(OR(CS9="",CS$28&lt;$A36),"",CS9/OFFSET(SSTotalCLM!$A$2,MATCH(CS$29,SSTotalCLM!$A$2:$A$500)+$A36-1,1)-1)</f>
        <v>1.2403627344693469E-2</v>
      </c>
      <c r="CT36" s="9">
        <f ca="1">IF(OR(CT9="",CT$28&lt;$A36),"",CT9/OFFSET(SSTotalCLM!$A$2,MATCH(CT$29,SSTotalCLM!$A$2:$A$500)+$A36-1,1)-1)</f>
        <v>2.9990538842627812E-2</v>
      </c>
      <c r="CU36" s="9">
        <f ca="1">IF(OR(CU9="",CU$28&lt;$A36),"",CU9/OFFSET(SSTotalCLM!$A$2,MATCH(CU$29,SSTotalCLM!$A$2:$A$500)+$A36-1,1)-1)</f>
        <v>2.628434790614631E-2</v>
      </c>
      <c r="CV36" s="9">
        <f ca="1">IF(OR(CV9="",CV$28&lt;$A36),"",CV9/OFFSET(SSTotalCLM!$A$2,MATCH(CV$29,SSTotalCLM!$A$2:$A$500)+$A36-1,1)-1)</f>
        <v>-4.4954147543467826E-3</v>
      </c>
      <c r="CW36" s="9">
        <f ca="1">IF(OR(CW9="",CW$28&lt;$A36),"",CW9/OFFSET(SSTotalCLM!$A$2,MATCH(CW$29,SSTotalCLM!$A$2:$A$500)+$A36-1,1)-1)</f>
        <v>9.104155068118791E-3</v>
      </c>
      <c r="CX36" s="9">
        <f ca="1">IF(OR(CX9="",CX$28&lt;$A36),"",CX9/OFFSET(SSTotalCLM!$A$2,MATCH(CX$29,SSTotalCLM!$A$2:$A$500)+$A36-1,1)-1)</f>
        <v>1.7286622404829366E-2</v>
      </c>
      <c r="CY36" s="9">
        <f ca="1">IF(OR(CY9="",CY$28&lt;$A36),"",CY9/OFFSET(SSTotalCLM!$A$2,MATCH(CY$29,SSTotalCLM!$A$2:$A$500)+$A36-1,1)-1)</f>
        <v>2.0528219032547534E-2</v>
      </c>
      <c r="CZ36" s="9">
        <f ca="1">IF(OR(CZ9="",CZ$28&lt;$A36),"",CZ9/OFFSET(SSTotalCLM!$A$2,MATCH(CZ$29,SSTotalCLM!$A$2:$A$500)+$A36-1,1)-1)</f>
        <v>3.5249852053012676E-2</v>
      </c>
      <c r="DA36" s="9">
        <f ca="1">IF(OR(DA9="",DA$28&lt;$A36),"",DA9/OFFSET(SSTotalCLM!$A$2,MATCH(DA$29,SSTotalCLM!$A$2:$A$500)+$A36-1,1)-1)</f>
        <v>1.304549703480995E-2</v>
      </c>
      <c r="DB36" s="9">
        <f ca="1">IF(OR(DB9="",DB$28&lt;$A36),"",DB9/OFFSET(SSTotalCLM!$A$2,MATCH(DB$29,SSTotalCLM!$A$2:$A$500)+$A36-1,1)-1)</f>
        <v>-8.3246236562812825E-3</v>
      </c>
      <c r="DC36" s="9">
        <f ca="1">IF(OR(DC9="",DC$28&lt;$A36),"",DC9/OFFSET(SSTotalCLM!$A$2,MATCH(DC$29,SSTotalCLM!$A$2:$A$500)+$A36-1,1)-1)</f>
        <v>3.660740884094027E-2</v>
      </c>
      <c r="DD36" s="9">
        <f ca="1">IF(OR(DD9="",DD$28&lt;$A36),"",DD9/OFFSET(SSTotalCLM!$A$2,MATCH(DD$29,SSTotalCLM!$A$2:$A$500)+$A36-1,1)-1)</f>
        <v>7.1185625712495426E-3</v>
      </c>
      <c r="DE36" s="9">
        <f ca="1">IF(OR(DE9="",DE$28&lt;$A36),"",DE9/OFFSET(SSTotalCLM!$A$2,MATCH(DE$29,SSTotalCLM!$A$2:$A$500)+$A36-1,1)-1)</f>
        <v>-4.1062926668590904E-2</v>
      </c>
      <c r="DF36" s="9">
        <f ca="1">IF(OR(DF9="",DF$28&lt;$A36),"",DF9/OFFSET(SSTotalCLM!$A$2,MATCH(DF$29,SSTotalCLM!$A$2:$A$500)+$A36-1,1)-1)</f>
        <v>-5.4697435545153383E-2</v>
      </c>
      <c r="DG36" s="9">
        <f ca="1">IF(OR(DG9="",DG$28&lt;$A36),"",DG9/OFFSET(SSTotalCLM!$A$2,MATCH(DG$29,SSTotalCLM!$A$2:$A$500)+$A36-1,1)-1)</f>
        <v>-4.4837719100713658E-2</v>
      </c>
      <c r="DH36" s="9">
        <f ca="1">IF(OR(DH9="",DH$28&lt;$A36),"",DH9/OFFSET(SSTotalCLM!$A$2,MATCH(DH$29,SSTotalCLM!$A$2:$A$500)+$A36-1,1)-1)</f>
        <v>-3.4535245512959389E-2</v>
      </c>
      <c r="DI36" s="9">
        <f ca="1">IF(OR(DI9="",DI$28&lt;$A36),"",DI9/OFFSET(SSTotalCLM!$A$2,MATCH(DI$29,SSTotalCLM!$A$2:$A$500)+$A36-1,1)-1)</f>
        <v>-5.5131915862237646E-2</v>
      </c>
      <c r="DJ36" s="9">
        <f ca="1">IF(OR(DJ9="",DJ$28&lt;$A36),"",DJ9/OFFSET(SSTotalCLM!$A$2,MATCH(DJ$29,SSTotalCLM!$A$2:$A$500)+$A36-1,1)-1)</f>
        <v>-2.779303209046724E-2</v>
      </c>
      <c r="DK36" s="9">
        <f ca="1">IF(OR(DK9="",DK$28&lt;$A36),"",DK9/OFFSET(SSTotalCLM!$A$2,MATCH(DK$29,SSTotalCLM!$A$2:$A$500)+$A36-1,1)-1)</f>
        <v>-3.6371475590965652E-2</v>
      </c>
      <c r="DL36" s="9">
        <f ca="1">IF(OR(DL9="",DL$28&lt;$A36),"",DL9/OFFSET(SSTotalCLM!$A$2,MATCH(DL$29,SSTotalCLM!$A$2:$A$500)+$A36-1,1)-1)</f>
        <v>-3.8114728279168952E-2</v>
      </c>
      <c r="DM36" s="9">
        <f ca="1">IF(OR(DM9="",DM$28&lt;$A36),"",DM9/OFFSET(SSTotalCLM!$A$2,MATCH(DM$29,SSTotalCLM!$A$2:$A$500)+$A36-1,1)-1)</f>
        <v>-4.3580442724230228E-2</v>
      </c>
      <c r="DN36" s="9">
        <f ca="1">IF(OR(DN9="",DN$28&lt;$A36),"",DN9/OFFSET(SSTotalCLM!$A$2,MATCH(DN$29,SSTotalCLM!$A$2:$A$500)+$A36-1,1)-1)</f>
        <v>-3.6079493534498353E-2</v>
      </c>
      <c r="DO36" s="9">
        <f ca="1">IF(OR(DO9="",DO$28&lt;$A36),"",DO9/OFFSET(SSTotalCLM!$A$2,MATCH(DO$29,SSTotalCLM!$A$2:$A$500)+$A36-1,1)-1)</f>
        <v>-3.6565002663330626E-2</v>
      </c>
      <c r="DP36" s="9">
        <f ca="1">IF(OR(DP9="",DP$28&lt;$A36),"",DP9/OFFSET(SSTotalCLM!$A$2,MATCH(DP$29,SSTotalCLM!$A$2:$A$500)+$A36-1,1)-1)</f>
        <v>8.6243783250390393E-3</v>
      </c>
      <c r="DQ36" s="9">
        <f ca="1">IF(OR(DQ9="",DQ$28&lt;$A36),"",DQ9/OFFSET(SSTotalCLM!$A$2,MATCH(DQ$29,SSTotalCLM!$A$2:$A$500)+$A36-1,1)-1)</f>
        <v>-3.3707391504650852E-2</v>
      </c>
      <c r="DR36" s="9">
        <f ca="1">IF(OR(DR9="",DR$28&lt;$A36),"",DR9/OFFSET(SSTotalCLM!$A$2,MATCH(DR$29,SSTotalCLM!$A$2:$A$500)+$A36-1,1)-1)</f>
        <v>-9.8912573809821769E-3</v>
      </c>
      <c r="DS36" s="9">
        <f ca="1">IF(OR(DS9="",DS$28&lt;$A36),"",DS9/OFFSET(SSTotalCLM!$A$2,MATCH(DS$29,SSTotalCLM!$A$2:$A$500)+$A36-1,1)-1)</f>
        <v>4.5106883806573794E-3</v>
      </c>
      <c r="DT36" s="9">
        <f ca="1">IF(OR(DT9="",DT$28&lt;$A36),"",DT9/OFFSET(SSTotalCLM!$A$2,MATCH(DT$29,SSTotalCLM!$A$2:$A$500)+$A36-1,1)-1)</f>
        <v>-1.5120250607422614E-2</v>
      </c>
      <c r="DU36" s="9">
        <f ca="1">IF(OR(DU9="",DU$28&lt;$A36),"",DU9/OFFSET(SSTotalCLM!$A$2,MATCH(DU$29,SSTotalCLM!$A$2:$A$500)+$A36-1,1)-1)</f>
        <v>1.0733300350318054E-2</v>
      </c>
      <c r="DV36" s="9">
        <f ca="1">IF(OR(DV9="",DV$28&lt;$A36),"",DV9/OFFSET(SSTotalCLM!$A$2,MATCH(DV$29,SSTotalCLM!$A$2:$A$500)+$A36-1,1)-1)</f>
        <v>-2.6022947256698625E-4</v>
      </c>
      <c r="DW36" s="9">
        <f ca="1">IF(OR(DW9="",DW$28&lt;$A36),"",DW9/OFFSET(SSTotalCLM!$A$2,MATCH(DW$29,SSTotalCLM!$A$2:$A$500)+$A36-1,1)-1)</f>
        <v>-5.7818685853286977E-3</v>
      </c>
      <c r="DX36" s="9">
        <f ca="1">IF(OR(DX9="",DX$28&lt;$A36),"",DX9/OFFSET(SSTotalCLM!$A$2,MATCH(DX$29,SSTotalCLM!$A$2:$A$500)+$A36-1,1)-1)</f>
        <v>7.5995727979480954E-3</v>
      </c>
      <c r="DY36" s="9">
        <f ca="1">IF(OR(DY9="",DY$28&lt;$A36),"",DY9/OFFSET(SSTotalCLM!$A$2,MATCH(DY$29,SSTotalCLM!$A$2:$A$500)+$A36-1,1)-1)</f>
        <v>-5.0699832316646321E-3</v>
      </c>
      <c r="DZ36" s="9">
        <f ca="1">IF(OR(DZ9="",DZ$28&lt;$A36),"",DZ9/OFFSET(SSTotalCLM!$A$2,MATCH(DZ$29,SSTotalCLM!$A$2:$A$500)+$A36-1,1)-1)</f>
        <v>-1.7650513960564052E-2</v>
      </c>
      <c r="EA36" s="9">
        <f ca="1">IF(OR(EA9="",EA$28&lt;$A36),"",EA9/OFFSET(SSTotalCLM!$A$2,MATCH(EA$29,SSTotalCLM!$A$2:$A$500)+$A36-1,1)-1)</f>
        <v>9.9157153044766577E-3</v>
      </c>
      <c r="EB36" s="9">
        <f ca="1">IF(OR(EB9="",EB$28&lt;$A36),"",EB9/OFFSET(SSTotalCLM!$A$2,MATCH(EB$29,SSTotalCLM!$A$2:$A$500)+$A36-1,1)-1)</f>
        <v>-4.357087455081543E-2</v>
      </c>
      <c r="EC36" s="9">
        <f ca="1">IF(OR(EC9="",EC$28&lt;$A36),"",EC9/OFFSET(SSTotalCLM!$A$2,MATCH(EC$29,SSTotalCLM!$A$2:$A$500)+$A36-1,1)-1)</f>
        <v>-3.0136265353150726E-2</v>
      </c>
      <c r="ED36" s="9">
        <f ca="1">IF(OR(ED9="",ED$28&lt;$A36),"",ED9/OFFSET(SSTotalCLM!$A$2,MATCH(ED$29,SSTotalCLM!$A$2:$A$500)+$A36-1,1)-1)</f>
        <v>-1.4849879900015961E-2</v>
      </c>
      <c r="EE36" s="9">
        <f ca="1">IF(OR(EE9="",EE$28&lt;$A36),"",EE9/OFFSET(SSTotalCLM!$A$2,MATCH(EE$29,SSTotalCLM!$A$2:$A$500)+$A36-1,1)-1)</f>
        <v>-1.9276288241737993E-2</v>
      </c>
      <c r="EF36" s="9">
        <f ca="1">IF(OR(EF9="",EF$28&lt;$A36),"",EF9/OFFSET(SSTotalCLM!$A$2,MATCH(EF$29,SSTotalCLM!$A$2:$A$500)+$A36-1,1)-1)</f>
        <v>-8.6765659492173963E-3</v>
      </c>
      <c r="EG36" s="9">
        <f ca="1">IF(OR(EG9="",EG$28&lt;$A36),"",EG9/OFFSET(SSTotalCLM!$A$2,MATCH(EG$29,SSTotalCLM!$A$2:$A$500)+$A36-1,1)-1)</f>
        <v>1.2906616926773751E-2</v>
      </c>
      <c r="EH36" s="9">
        <f ca="1">IF(OR(EH9="",EH$28&lt;$A36),"",EH9/OFFSET(SSTotalCLM!$A$2,MATCH(EH$29,SSTotalCLM!$A$2:$A$500)+$A36-1,1)-1)</f>
        <v>1.5867336356948147E-2</v>
      </c>
      <c r="EI36" s="9">
        <f ca="1">IF(OR(EI9="",EI$28&lt;$A36),"",EI9/OFFSET(SSTotalCLM!$A$2,MATCH(EI$29,SSTotalCLM!$A$2:$A$500)+$A36-1,1)-1)</f>
        <v>2.6951933241904369E-2</v>
      </c>
      <c r="EJ36" s="9">
        <f ca="1">IF(OR(EJ9="",EJ$28&lt;$A36),"",EJ9/OFFSET(SSTotalCLM!$A$2,MATCH(EJ$29,SSTotalCLM!$A$2:$A$500)+$A36-1,1)-1)</f>
        <v>3.2038595460944785E-2</v>
      </c>
      <c r="EK36" s="9">
        <f ca="1">IF(OR(EK9="",EK$28&lt;$A36),"",EK9/OFFSET(SSTotalCLM!$A$2,MATCH(EK$29,SSTotalCLM!$A$2:$A$500)+$A36-1,1)-1)</f>
        <v>1.153434609459536E-2</v>
      </c>
      <c r="EL36" s="9">
        <f ca="1">IF(OR(EL9="",EL$28&lt;$A36),"",EL9/OFFSET(SSTotalCLM!$A$2,MATCH(EL$29,SSTotalCLM!$A$2:$A$500)+$A36-1,1)-1)</f>
        <v>-2.1784594073817054E-3</v>
      </c>
      <c r="EM36" s="9">
        <f ca="1">IF(OR(EM9="",EM$28&lt;$A36),"",EM9/OFFSET(SSTotalCLM!$A$2,MATCH(EM$29,SSTotalCLM!$A$2:$A$500)+$A36-1,1)-1)</f>
        <v>-1.1584535324477008E-3</v>
      </c>
      <c r="EN36" s="9">
        <f ca="1">IF(OR(EN9="",EN$28&lt;$A36),"",EN9/OFFSET(SSTotalCLM!$A$2,MATCH(EN$29,SSTotalCLM!$A$2:$A$500)+$A36-1,1)-1)</f>
        <v>-2.6890522559602781E-2</v>
      </c>
      <c r="EO36" s="9">
        <f ca="1">IF(OR(EO9="",EO$28&lt;$A36),"",EO9/OFFSET(SSTotalCLM!$A$2,MATCH(EO$29,SSTotalCLM!$A$2:$A$500)+$A36-1,1)-1)</f>
        <v>-2.0831894671435758E-2</v>
      </c>
      <c r="EP36" s="9">
        <f ca="1">IF(OR(EP9="",EP$28&lt;$A36),"",EP9/OFFSET(SSTotalCLM!$A$2,MATCH(EP$29,SSTotalCLM!$A$2:$A$500)+$A36-1,1)-1)</f>
        <v>-1.43029078502378E-2</v>
      </c>
      <c r="EQ36" s="9">
        <f ca="1">IF(OR(EQ9="",EQ$28&lt;$A36),"",EQ9/OFFSET(SSTotalCLM!$A$2,MATCH(EQ$29,SSTotalCLM!$A$2:$A$500)+$A36-1,1)-1)</f>
        <v>-7.3447835844555609E-3</v>
      </c>
      <c r="ER36" s="9">
        <f ca="1">IF(OR(ER9="",ER$28&lt;$A36),"",ER9/OFFSET(SSTotalCLM!$A$2,MATCH(ER$29,SSTotalCLM!$A$2:$A$500)+$A36-1,1)-1)</f>
        <v>-8.742757941841317E-3</v>
      </c>
      <c r="ES36" s="9">
        <f ca="1">IF(OR(ES9="",ES$28&lt;$A36),"",ES9/OFFSET(SSTotalCLM!$A$2,MATCH(ES$29,SSTotalCLM!$A$2:$A$500)+$A36-1,1)-1)</f>
        <v>-2.0383379174820138E-2</v>
      </c>
      <c r="ET36" s="9">
        <f ca="1">IF(OR(ET9="",ET$28&lt;$A36),"",ET9/OFFSET(SSTotalCLM!$A$2,MATCH(ET$29,SSTotalCLM!$A$2:$A$500)+$A36-1,1)-1)</f>
        <v>-6.0546924520054057E-3</v>
      </c>
      <c r="EU36" s="9">
        <f ca="1">IF(OR(EU9="",EU$28&lt;$A36),"",EU9/OFFSET(SSTotalCLM!$A$2,MATCH(EU$29,SSTotalCLM!$A$2:$A$500)+$A36-1,1)-1)</f>
        <v>1.9899392025093388E-3</v>
      </c>
      <c r="EV36" s="9">
        <f ca="1">IF(OR(EV9="",EV$28&lt;$A36),"",EV9/OFFSET(SSTotalCLM!$A$2,MATCH(EV$29,SSTotalCLM!$A$2:$A$500)+$A36-1,1)-1)</f>
        <v>1.5177532644378156E-2</v>
      </c>
      <c r="EW36" s="9">
        <f ca="1">IF(OR(EW9="",EW$28&lt;$A36),"",EW9/OFFSET(SSTotalCLM!$A$2,MATCH(EW$29,SSTotalCLM!$A$2:$A$500)+$A36-1,1)-1)</f>
        <v>2.2144209498528244E-2</v>
      </c>
      <c r="EX36" s="9">
        <f ca="1">IF(OR(EX9="",EX$28&lt;$A36),"",EX9/OFFSET(SSTotalCLM!$A$2,MATCH(EX$29,SSTotalCLM!$A$2:$A$500)+$A36-1,1)-1)</f>
        <v>1.5094091403457854E-2</v>
      </c>
      <c r="EY36" s="9">
        <f ca="1">IF(OR(EY9="",EY$28&lt;$A36),"",EY9/OFFSET(SSTotalCLM!$A$2,MATCH(EY$29,SSTotalCLM!$A$2:$A$500)+$A36-1,1)-1)</f>
        <v>2.7378564458853116E-3</v>
      </c>
      <c r="EZ36" s="9">
        <f ca="1">IF(OR(EZ9="",EZ$28&lt;$A36),"",EZ9/OFFSET(SSTotalCLM!$A$2,MATCH(EZ$29,SSTotalCLM!$A$2:$A$500)+$A36-1,1)-1)</f>
        <v>1.0582738261017743E-2</v>
      </c>
      <c r="FA36" s="9">
        <f ca="1">IF(OR(FA9="",FA$28&lt;$A36),"",FA9/OFFSET(SSTotalCLM!$A$2,MATCH(FA$29,SSTotalCLM!$A$2:$A$500)+$A36-1,1)-1)</f>
        <v>-6.3277810057659201E-3</v>
      </c>
      <c r="FB36" s="9">
        <f ca="1">IF(OR(FB9="",FB$28&lt;$A36),"",FB9/OFFSET(SSTotalCLM!$A$2,MATCH(FB$29,SSTotalCLM!$A$2:$A$500)+$A36-1,1)-1)</f>
        <v>-5.0930941367514082E-3</v>
      </c>
      <c r="FC36" s="9">
        <f ca="1">IF(OR(FC9="",FC$28&lt;$A36),"",FC9/OFFSET(SSTotalCLM!$A$2,MATCH(FC$29,SSTotalCLM!$A$2:$A$500)+$A36-1,1)-1)</f>
        <v>3.8669488917202344E-3</v>
      </c>
      <c r="FD36" s="9">
        <f ca="1">IF(OR(FD9="",FD$28&lt;$A36),"",FD9/OFFSET(SSTotalCLM!$A$2,MATCH(FD$29,SSTotalCLM!$A$2:$A$500)+$A36-1,1)-1)</f>
        <v>-2.8840248868743368E-3</v>
      </c>
      <c r="FE36" s="9">
        <f ca="1">IF(OR(FE9="",FE$28&lt;$A36),"",FE9/OFFSET(SSTotalCLM!$A$2,MATCH(FE$29,SSTotalCLM!$A$2:$A$500)+$A36-1,1)-1)</f>
        <v>-6.3824499133802171E-3</v>
      </c>
      <c r="FF36" s="9">
        <f ca="1">IF(OR(FF9="",FF$28&lt;$A36),"",FF9/OFFSET(SSTotalCLM!$A$2,MATCH(FF$29,SSTotalCLM!$A$2:$A$500)+$A36-1,1)-1)</f>
        <v>-2.471777347292814E-2</v>
      </c>
      <c r="FG36" s="9">
        <f ca="1">IF(OR(FG9="",FG$28&lt;$A36),"",FG9/OFFSET(SSTotalCLM!$A$2,MATCH(FG$29,SSTotalCLM!$A$2:$A$500)+$A36-1,1)-1)</f>
        <v>-2.8061993499109095E-2</v>
      </c>
      <c r="FH36" s="9">
        <f ca="1">IF(OR(FH9="",FH$28&lt;$A36),"",FH9/OFFSET(SSTotalCLM!$A$2,MATCH(FH$29,SSTotalCLM!$A$2:$A$500)+$A36-1,1)-1)</f>
        <v>-1.4572204808663169E-2</v>
      </c>
      <c r="FI36" s="9">
        <f ca="1">IF(OR(FI9="",FI$28&lt;$A36),"",FI9/OFFSET(SSTotalCLM!$A$2,MATCH(FI$29,SSTotalCLM!$A$2:$A$500)+$A36-1,1)-1)</f>
        <v>-1.1300182079338583E-2</v>
      </c>
      <c r="FJ36" s="9">
        <f ca="1">IF(OR(FJ9="",FJ$28&lt;$A36),"",FJ9/OFFSET(SSTotalCLM!$A$2,MATCH(FJ$29,SSTotalCLM!$A$2:$A$500)+$A36-1,1)-1)</f>
        <v>-5.0208682882880717E-3</v>
      </c>
      <c r="FK36" s="9">
        <f ca="1">IF(OR(FK9="",FK$28&lt;$A36),"",FK9/OFFSET(SSTotalCLM!$A$2,MATCH(FK$29,SSTotalCLM!$A$2:$A$500)+$A36-1,1)-1)</f>
        <v>2.5757840671092325E-3</v>
      </c>
      <c r="FL36" s="9">
        <f ca="1">IF(OR(FL9="",FL$28&lt;$A36),"",FL9/OFFSET(SSTotalCLM!$A$2,MATCH(FL$29,SSTotalCLM!$A$2:$A$500)+$A36-1,1)-1)</f>
        <v>6.1783414934895031E-3</v>
      </c>
      <c r="FM36" s="9">
        <f ca="1">IF(OR(FM9="",FM$28&lt;$A36),"",FM9/OFFSET(SSTotalCLM!$A$2,MATCH(FM$29,SSTotalCLM!$A$2:$A$500)+$A36-1,1)-1)</f>
        <v>2.7703957955965253E-2</v>
      </c>
      <c r="FN36" s="9">
        <f ca="1">IF(OR(FN9="",FN$28&lt;$A36),"",FN9/OFFSET(SSTotalCLM!$A$2,MATCH(FN$29,SSTotalCLM!$A$2:$A$500)+$A36-1,1)-1)</f>
        <v>1.976213106411806E-2</v>
      </c>
      <c r="FO36" s="9">
        <f ca="1">IF(OR(FO9="",FO$28&lt;$A36),"",FO9/OFFSET(SSTotalCLM!$A$2,MATCH(FO$29,SSTotalCLM!$A$2:$A$500)+$A36-1,1)-1)</f>
        <v>1.5446539599907716E-2</v>
      </c>
      <c r="FP36" s="9">
        <f ca="1">IF(OR(FP9="",FP$28&lt;$A36),"",FP9/OFFSET(SSTotalCLM!$A$2,MATCH(FP$29,SSTotalCLM!$A$2:$A$500)+$A36-1,1)-1)</f>
        <v>1.6634020833298679E-2</v>
      </c>
      <c r="FQ36" s="9">
        <f ca="1">IF(OR(FQ9="",FQ$28&lt;$A36),"",FQ9/OFFSET(SSTotalCLM!$A$2,MATCH(FQ$29,SSTotalCLM!$A$2:$A$500)+$A36-1,1)-1)</f>
        <v>-1.0291943869181419E-2</v>
      </c>
      <c r="FR36" s="9">
        <f ca="1">IF(OR(FR9="",FR$28&lt;$A36),"",FR9/OFFSET(SSTotalCLM!$A$2,MATCH(FR$29,SSTotalCLM!$A$2:$A$500)+$A36-1,1)-1)</f>
        <v>-1.7833357054133026E-2</v>
      </c>
      <c r="FS36" s="9">
        <f ca="1">IF(OR(FS9="",FS$28&lt;$A36),"",FS9/OFFSET(SSTotalCLM!$A$2,MATCH(FS$29,SSTotalCLM!$A$2:$A$500)+$A36-1,1)-1)</f>
        <v>-3.0085948345370928E-2</v>
      </c>
      <c r="FT36" s="9">
        <f ca="1">IF(OR(FT9="",FT$28&lt;$A36),"",FT9/OFFSET(SSTotalCLM!$A$2,MATCH(FT$29,SSTotalCLM!$A$2:$A$500)+$A36-1,1)-1)</f>
        <v>-2.8616409297453793E-2</v>
      </c>
      <c r="FU36" s="9">
        <f ca="1">IF(OR(FU9="",FU$28&lt;$A36),"",FU9/OFFSET(SSTotalCLM!$A$2,MATCH(FU$29,SSTotalCLM!$A$2:$A$500)+$A36-1,1)-1)</f>
        <v>-1.0184553616177094E-2</v>
      </c>
      <c r="FV36" s="9">
        <f ca="1">IF(OR(FV9="",FV$28&lt;$A36),"",FV9/OFFSET(SSTotalCLM!$A$2,MATCH(FV$29,SSTotalCLM!$A$2:$A$500)+$A36-1,1)-1)</f>
        <v>-9.5931834440627917E-3</v>
      </c>
      <c r="FW36" s="9">
        <f ca="1">IF(OR(FW9="",FW$28&lt;$A36),"",FW9/OFFSET(SSTotalCLM!$A$2,MATCH(FW$29,SSTotalCLM!$A$2:$A$500)+$A36-1,1)-1)</f>
        <v>-2.6200617994679765E-2</v>
      </c>
      <c r="FX36" s="9">
        <f ca="1">IF(OR(FX9="",FX$28&lt;$A36),"",FX9/OFFSET(SSTotalCLM!$A$2,MATCH(FX$29,SSTotalCLM!$A$2:$A$500)+$A36-1,1)-1)</f>
        <v>5.6132775362336407E-3</v>
      </c>
      <c r="FY36" s="9">
        <f ca="1">IF(OR(FY9="",FY$28&lt;$A36),"",FY9/OFFSET(SSTotalCLM!$A$2,MATCH(FY$29,SSTotalCLM!$A$2:$A$500)+$A36-1,1)-1)</f>
        <v>4.5110171130542387E-3</v>
      </c>
      <c r="FZ36" s="9">
        <f ca="1">IF(OR(FZ9="",FZ$28&lt;$A36),"",FZ9/OFFSET(SSTotalCLM!$A$2,MATCH(FZ$29,SSTotalCLM!$A$2:$A$500)+$A36-1,1)-1)</f>
        <v>2.4031134557689127E-2</v>
      </c>
      <c r="GA36" s="9">
        <f ca="1">IF(OR(GA9="",GA$28&lt;$A36),"",GA9/OFFSET(SSTotalCLM!$A$2,MATCH(GA$29,SSTotalCLM!$A$2:$A$500)+$A36-1,1)-1)</f>
        <v>3.5870466130590861E-2</v>
      </c>
      <c r="GB36" s="9">
        <f ca="1">IF(OR(GB9="",GB$28&lt;$A36),"",GB9/OFFSET(SSTotalCLM!$A$2,MATCH(GB$29,SSTotalCLM!$A$2:$A$500)+$A36-1,1)-1)</f>
        <v>3.7574298474362111E-2</v>
      </c>
      <c r="GC36" s="9">
        <f ca="1">IF(OR(GC9="",GC$28&lt;$A36),"",GC9/OFFSET(SSTotalCLM!$A$2,MATCH(GC$29,SSTotalCLM!$A$2:$A$500)+$A36-1,1)-1)</f>
        <v>2.8090783247923135E-2</v>
      </c>
      <c r="GD36" s="9">
        <f ca="1">IF(OR(GD9="",GD$28&lt;$A36),"",GD9/OFFSET(SSTotalCLM!$A$2,MATCH(GD$29,SSTotalCLM!$A$2:$A$500)+$A36-1,1)-1)</f>
        <v>1.2656284777996962E-2</v>
      </c>
      <c r="GE36" s="9">
        <f ca="1">IF(OR(GE9="",GE$28&lt;$A36),"",GE9/OFFSET(SSTotalCLM!$A$2,MATCH(GE$29,SSTotalCLM!$A$2:$A$500)+$A36-1,1)-1)</f>
        <v>-4.978303361732328E-4</v>
      </c>
      <c r="GF36" s="9">
        <f ca="1">IF(OR(GF9="",GF$28&lt;$A36),"",GF9/OFFSET(SSTotalCLM!$A$2,MATCH(GF$29,SSTotalCLM!$A$2:$A$500)+$A36-1,1)-1)</f>
        <v>6.833283122535283E-3</v>
      </c>
      <c r="GG36" s="9">
        <f ca="1">IF(OR(GG9="",GG$28&lt;$A36),"",GG9/OFFSET(SSTotalCLM!$A$2,MATCH(GG$29,SSTotalCLM!$A$2:$A$500)+$A36-1,1)-1)</f>
        <v>-7.8422271143629985E-5</v>
      </c>
      <c r="GH36" s="9">
        <f ca="1">IF(OR(GH9="",GH$28&lt;$A36),"",GH9/OFFSET(SSTotalCLM!$A$2,MATCH(GH$29,SSTotalCLM!$A$2:$A$500)+$A36-1,1)-1)</f>
        <v>9.1314868882363953E-3</v>
      </c>
      <c r="GI36" s="9">
        <f ca="1">IF(OR(GI9="",GI$28&lt;$A36),"",GI9/OFFSET(SSTotalCLM!$A$2,MATCH(GI$29,SSTotalCLM!$A$2:$A$500)+$A36-1,1)-1)</f>
        <v>3.7497715755470784E-2</v>
      </c>
      <c r="GJ36" s="9">
        <f ca="1">IF(OR(GJ9="",GJ$28&lt;$A36),"",GJ9/OFFSET(SSTotalCLM!$A$2,MATCH(GJ$29,SSTotalCLM!$A$2:$A$500)+$A36-1,1)-1)</f>
        <v>2.9823215680152115E-2</v>
      </c>
      <c r="GK36" s="9">
        <f ca="1">IF(OR(GK9="",GK$28&lt;$A36),"",GK9/OFFSET(SSTotalCLM!$A$2,MATCH(GK$29,SSTotalCLM!$A$2:$A$500)+$A36-1,1)-1)</f>
        <v>3.5488469415307478E-2</v>
      </c>
      <c r="GL36" s="9">
        <f ca="1">IF(OR(GL9="",GL$28&lt;$A36),"",GL9/OFFSET(SSTotalCLM!$A$2,MATCH(GL$29,SSTotalCLM!$A$2:$A$500)+$A36-1,1)-1)</f>
        <v>3.3054282513007571E-2</v>
      </c>
      <c r="GM36" s="9">
        <f ca="1">IF(OR(GM9="",GM$28&lt;$A36),"",GM9/OFFSET(SSTotalCLM!$A$2,MATCH(GM$29,SSTotalCLM!$A$2:$A$500)+$A36-1,1)-1)</f>
        <v>1.9774357888145522E-2</v>
      </c>
      <c r="GN36" s="9">
        <f ca="1">IF(OR(GN9="",GN$28&lt;$A36),"",GN9/OFFSET(SSTotalCLM!$A$2,MATCH(GN$29,SSTotalCLM!$A$2:$A$500)+$A36-1,1)-1)</f>
        <v>1.1250840304446896E-2</v>
      </c>
      <c r="GO36" s="9">
        <f ca="1">IF(OR(GO9="",GO$28&lt;$A36),"",GO9/OFFSET(SSTotalCLM!$A$2,MATCH(GO$29,SSTotalCLM!$A$2:$A$500)+$A36-1,1)-1)</f>
        <v>-6.0585974051369229E-3</v>
      </c>
      <c r="GP36" s="9">
        <f ca="1">IF(OR(GP9="",GP$28&lt;$A36),"",GP9/OFFSET(SSTotalCLM!$A$2,MATCH(GP$29,SSTotalCLM!$A$2:$A$500)+$A36-1,1)-1)</f>
        <v>-4.9925679333960082E-2</v>
      </c>
      <c r="GQ36" s="9">
        <f ca="1">IF(OR(GQ9="",GQ$28&lt;$A36),"",GQ9/OFFSET(SSTotalCLM!$A$2,MATCH(GQ$29,SSTotalCLM!$A$2:$A$500)+$A36-1,1)-1)</f>
        <v>-6.2933722881544529E-2</v>
      </c>
      <c r="GR36" s="9">
        <f ca="1">IF(OR(GR9="",GR$28&lt;$A36),"",GR9/OFFSET(SSTotalCLM!$A$2,MATCH(GR$29,SSTotalCLM!$A$2:$A$500)+$A36-1,1)-1)</f>
        <v>-3.7326535258907723E-2</v>
      </c>
      <c r="GS36" s="9" t="str">
        <f ca="1">IF(OR(GS9="",GS$28&lt;$A36),"",GS9/OFFSET(SSTotalCLM!$A$2,MATCH(GS$29,SSTotalCLM!$A$2:$A$500)+$A36-1,1)-1)</f>
        <v/>
      </c>
      <c r="GT36" s="9" t="str">
        <f ca="1">IF(OR(GT9="",GT$28&lt;$A36),"",GT9/OFFSET(SSTotalCLM!$A$2,MATCH(GT$29,SSTotalCLM!$A$2:$A$500)+$A36-1,1)-1)</f>
        <v/>
      </c>
      <c r="GU36" s="9" t="str">
        <f ca="1">IF(OR(GU9="",GU$28&lt;$A36),"",GU9/OFFSET(SSTotalCLM!$A$2,MATCH(GU$29,SSTotalCLM!$A$2:$A$500)+$A36-1,1)-1)</f>
        <v/>
      </c>
      <c r="GV36" s="9" t="str">
        <f ca="1">IF(OR(GV9="",GV$28&lt;$A36),"",GV9/OFFSET(SSTotalCLM!$A$2,MATCH(GV$29,SSTotalCLM!$A$2:$A$500)+$A36-1,1)-1)</f>
        <v/>
      </c>
      <c r="GW36" s="9" t="str">
        <f ca="1">IF(OR(GW9="",GW$28&lt;$A36),"",GW9/OFFSET(SSTotalCLM!$A$2,MATCH(GW$29,SSTotalCLM!$A$2:$A$500)+$A36-1,1)-1)</f>
        <v/>
      </c>
      <c r="GX36" s="9" t="str">
        <f ca="1">IF(OR(GX9="",GX$28&lt;$A36),"",GX9/OFFSET(SSTotalCLM!$A$2,MATCH(GX$29,SSTotalCLM!$A$2:$A$500)+$A36-1,1)-1)</f>
        <v/>
      </c>
      <c r="GY36" s="9" t="str">
        <f ca="1">IF(OR(GY9="",GY$28&lt;$A36),"",GY9/OFFSET(SSTotalCLM!$A$2,MATCH(GY$29,SSTotalCLM!$A$2:$A$500)+$A36-1,1)-1)</f>
        <v/>
      </c>
      <c r="GZ36" s="9" t="str">
        <f ca="1">IF(OR(GZ9="",GZ$28&lt;$A36),"",GZ9/OFFSET(SSTotalCLM!$A$2,MATCH(GZ$29,SSTotalCLM!$A$2:$A$500)+$A36-1,1)-1)</f>
        <v/>
      </c>
      <c r="HA36" s="9" t="str">
        <f ca="1">IF(OR(HA9="",HA$28&lt;$A36),"",HA9/OFFSET(SSTotalCLM!$A$2,MATCH(HA$29,SSTotalCLM!$A$2:$A$500)+$A36-1,1)-1)</f>
        <v/>
      </c>
      <c r="HB36" s="9" t="str">
        <f ca="1">IF(OR(HB9="",HB$28&lt;$A36),"",HB9/OFFSET(SSTotalCLM!$A$2,MATCH(HB$29,SSTotalCLM!$A$2:$A$500)+$A36-1,1)-1)</f>
        <v/>
      </c>
      <c r="HC36" s="9" t="str">
        <f ca="1">IF(OR(HC9="",HC$28&lt;$A36),"",HC9/OFFSET(SSTotalCLM!$A$2,MATCH(HC$29,SSTotalCLM!$A$2:$A$500)+$A36-1,1)-1)</f>
        <v/>
      </c>
      <c r="HD36" s="9" t="str">
        <f ca="1">IF(OR(HD9="",HD$28&lt;$A36),"",HD9/OFFSET(SSTotalCLM!$A$2,MATCH(HD$29,SSTotalCLM!$A$2:$A$500)+$A36-1,1)-1)</f>
        <v/>
      </c>
      <c r="HE36" s="9" t="str">
        <f ca="1">IF(OR(HE9="",HE$28&lt;$A36),"",HE9/OFFSET(SSTotalCLM!$A$2,MATCH(HE$29,SSTotalCLM!$A$2:$A$500)+$A36-1,1)-1)</f>
        <v/>
      </c>
      <c r="HF36" s="9" t="str">
        <f ca="1">IF(OR(HF9="",HF$28&lt;$A36),"",HF9/OFFSET(SSTotalCLM!$A$2,MATCH(HF$29,SSTotalCLM!$A$2:$A$500)+$A36-1,1)-1)</f>
        <v/>
      </c>
      <c r="HG36" s="9" t="str">
        <f ca="1">IF(OR(HG9="",HG$28&lt;$A36),"",HG9/OFFSET(SSTotalCLM!$A$2,MATCH(HG$29,SSTotalCLM!$A$2:$A$500)+$A36-1,1)-1)</f>
        <v/>
      </c>
      <c r="HH36" s="9" t="str">
        <f ca="1">IF(OR(HH9="",HH$28&lt;$A36),"",HH9/OFFSET(SSTotalCLM!$A$2,MATCH(HH$29,SSTotalCLM!$A$2:$A$500)+$A36-1,1)-1)</f>
        <v/>
      </c>
      <c r="HI36" s="9" t="str">
        <f ca="1">IF(OR(HI9="",HI$28&lt;$A36),"",HI9/OFFSET(SSTotalCLM!$A$2,MATCH(HI$29,SSTotalCLM!$A$2:$A$500)+$A36-1,1)-1)</f>
        <v/>
      </c>
      <c r="HJ36" s="9" t="str">
        <f ca="1">IF(OR(HJ9="",HJ$28&lt;$A36),"",HJ9/OFFSET(SSTotalCLM!$A$2,MATCH(HJ$29,SSTotalCLM!$A$2:$A$500)+$A36-1,1)-1)</f>
        <v/>
      </c>
      <c r="HK36" s="9" t="str">
        <f ca="1">IF(OR(HK9="",HK$28&lt;$A36),"",HK9/OFFSET(SSTotalCLM!$A$2,MATCH(HK$29,SSTotalCLM!$A$2:$A$500)+$A36-1,1)-1)</f>
        <v/>
      </c>
      <c r="HL36" s="9" t="str">
        <f ca="1">IF(OR(HL9="",HL$28&lt;$A36),"",HL9/OFFSET(SSTotalCLM!$A$2,MATCH(HL$29,SSTotalCLM!$A$2:$A$500)+$A36-1,1)-1)</f>
        <v/>
      </c>
      <c r="HM36" s="9" t="str">
        <f ca="1">IF(OR(HM9="",HM$28&lt;$A36),"",HM9/OFFSET(SSTotalCLM!$A$2,MATCH(HM$29,SSTotalCLM!$A$2:$A$500)+$A36-1,1)-1)</f>
        <v/>
      </c>
      <c r="HN36" s="9" t="str">
        <f ca="1">IF(OR(HN9="",HN$28&lt;$A36),"",HN9/OFFSET(SSTotalCLM!$A$2,MATCH(HN$29,SSTotalCLM!$A$2:$A$500)+$A36-1,1)-1)</f>
        <v/>
      </c>
      <c r="HO36" s="9" t="str">
        <f ca="1">IF(OR(HO9="",HO$28&lt;$A36),"",HO9/OFFSET(SSTotalCLM!$A$2,MATCH(HO$29,SSTotalCLM!$A$2:$A$500)+$A36-1,1)-1)</f>
        <v/>
      </c>
      <c r="HP36" s="9" t="str">
        <f ca="1">IF(OR(HP9="",HP$28&lt;$A36),"",HP9/OFFSET(SSTotalCLM!$A$2,MATCH(HP$29,SSTotalCLM!$A$2:$A$500)+$A36-1,1)-1)</f>
        <v/>
      </c>
      <c r="HQ36" s="9" t="str">
        <f ca="1">IF(OR(HQ9="",HQ$28&lt;$A36),"",HQ9/OFFSET(SSTotalCLM!$A$2,MATCH(HQ$29,SSTotalCLM!$A$2:$A$500)+$A36-1,1)-1)</f>
        <v/>
      </c>
      <c r="HR36" s="9" t="str">
        <f ca="1">IF(OR(HR9="",HR$28&lt;$A36),"",HR9/OFFSET(SSTotalCLM!$A$2,MATCH(HR$29,SSTotalCLM!$A$2:$A$500)+$A36-1,1)-1)</f>
        <v/>
      </c>
      <c r="HS36" s="9" t="str">
        <f ca="1">IF(OR(HS9="",HS$28&lt;$A36),"",HS9/OFFSET(SSTotalCLM!$A$2,MATCH(HS$29,SSTotalCLM!$A$2:$A$500)+$A36-1,1)-1)</f>
        <v/>
      </c>
      <c r="HT36" s="9" t="str">
        <f ca="1">IF(OR(HT9="",HT$28&lt;$A36),"",HT9/OFFSET(SSTotalCLM!$A$2,MATCH(HT$29,SSTotalCLM!$A$2:$A$500)+$A36-1,1)-1)</f>
        <v/>
      </c>
      <c r="HU36" s="9" t="str">
        <f ca="1">IF(OR(HU9="",HU$28&lt;$A36),"",HU9/OFFSET(SSTotalCLM!$A$2,MATCH(HU$29,SSTotalCLM!$A$2:$A$500)+$A36-1,1)-1)</f>
        <v/>
      </c>
      <c r="HV36" s="9" t="str">
        <f ca="1">IF(OR(HV9="",HV$28&lt;$A36),"",HV9/OFFSET(SSTotalCLM!$A$2,MATCH(HV$29,SSTotalCLM!$A$2:$A$500)+$A36-1,1)-1)</f>
        <v/>
      </c>
      <c r="HW36" s="9" t="str">
        <f ca="1">IF(OR(HW9="",HW$28&lt;$A36),"",HW9/OFFSET(SSTotalCLM!$A$2,MATCH(HW$29,SSTotalCLM!$A$2:$A$500)+$A36-1,1)-1)</f>
        <v/>
      </c>
      <c r="HX36" s="9" t="str">
        <f ca="1">IF(OR(HX9="",HX$28&lt;$A36),"",HX9/OFFSET(SSTotalCLM!$A$2,MATCH(HX$29,SSTotalCLM!$A$2:$A$500)+$A36-1,1)-1)</f>
        <v/>
      </c>
      <c r="HY36" s="9" t="str">
        <f ca="1">IF(OR(HY9="",HY$28&lt;$A36),"",HY9/OFFSET(SSTotalCLM!$A$2,MATCH(HY$29,SSTotalCLM!$A$2:$A$500)+$A36-1,1)-1)</f>
        <v/>
      </c>
      <c r="HZ36" s="9" t="str">
        <f ca="1">IF(OR(HZ9="",HZ$28&lt;$A36),"",HZ9/OFFSET(SSTotalCLM!$A$2,MATCH(HZ$29,SSTotalCLM!$A$2:$A$500)+$A36-1,1)-1)</f>
        <v/>
      </c>
      <c r="IA36" s="9" t="str">
        <f ca="1">IF(OR(IA9="",IA$28&lt;$A36),"",IA9/OFFSET(SSTotalCLM!$A$2,MATCH(IA$29,SSTotalCLM!$A$2:$A$500)+$A36-1,1)-1)</f>
        <v/>
      </c>
      <c r="IB36" s="9" t="str">
        <f ca="1">IF(OR(IB9="",IB$28&lt;$A36),"",IB9/OFFSET(SSTotalCLM!$A$2,MATCH(IB$29,SSTotalCLM!$A$2:$A$500)+$A36-1,1)-1)</f>
        <v/>
      </c>
      <c r="IC36" s="9" t="str">
        <f ca="1">IF(OR(IC9="",IC$28&lt;$A36),"",IC9/OFFSET(SSTotalCLM!$A$2,MATCH(IC$29,SSTotalCLM!$A$2:$A$500)+$A36-1,1)-1)</f>
        <v/>
      </c>
      <c r="ID36" s="9" t="str">
        <f ca="1">IF(OR(ID9="",ID$28&lt;$A36),"",ID9/OFFSET(SSTotalCLM!$A$2,MATCH(ID$29,SSTotalCLM!$A$2:$A$500)+$A36-1,1)-1)</f>
        <v/>
      </c>
      <c r="IE36" s="9" t="str">
        <f ca="1">IF(OR(IE9="",IE$28&lt;$A36),"",IE9/OFFSET(SSTotalCLM!$A$2,MATCH(IE$29,SSTotalCLM!$A$2:$A$500)+$A36-1,1)-1)</f>
        <v/>
      </c>
      <c r="IF36" s="9" t="str">
        <f ca="1">IF(OR(IF9="",IF$28&lt;$A36),"",IF9/OFFSET(SSTotalCLM!$A$2,MATCH(IF$29,SSTotalCLM!$A$2:$A$500)+$A36-1,1)-1)</f>
        <v/>
      </c>
      <c r="IG36" s="9" t="str">
        <f ca="1">IF(OR(IG9="",IG$28&lt;$A36),"",IG9/OFFSET(SSTotalCLM!$A$2,MATCH(IG$29,SSTotalCLM!$A$2:$A$500)+$A36-1,1)-1)</f>
        <v/>
      </c>
      <c r="IH36" s="9" t="str">
        <f ca="1">IF(OR(IH9="",IH$28&lt;$A36),"",IH9/OFFSET(SSTotalCLM!$A$2,MATCH(IH$29,SSTotalCLM!$A$2:$A$500)+$A36-1,1)-1)</f>
        <v/>
      </c>
      <c r="II36" s="9" t="str">
        <f ca="1">IF(OR(II9="",II$28&lt;$A36),"",II9/OFFSET(SSTotalCLM!$A$2,MATCH(II$29,SSTotalCLM!$A$2:$A$500)+$A36-1,1)-1)</f>
        <v/>
      </c>
      <c r="IJ36" s="9" t="str">
        <f ca="1">IF(OR(IJ9="",IJ$28&lt;$A36),"",IJ9/OFFSET(SSTotalCLM!$A$2,MATCH(IJ$29,SSTotalCLM!$A$2:$A$500)+$A36-1,1)-1)</f>
        <v/>
      </c>
      <c r="IK36" s="9" t="str">
        <f ca="1">IF(OR(IK9="",IK$28&lt;$A36),"",IK9/OFFSET(SSTotalCLM!$A$2,MATCH(IK$29,SSTotalCLM!$A$2:$A$500)+$A36-1,1)-1)</f>
        <v/>
      </c>
      <c r="IL36" s="9" t="str">
        <f ca="1">IF(OR(IL9="",IL$28&lt;$A36),"",IL9/OFFSET(SSTotalCLM!$A$2,MATCH(IL$29,SSTotalCLM!$A$2:$A$500)+$A36-1,1)-1)</f>
        <v/>
      </c>
      <c r="IM36" s="9" t="str">
        <f ca="1">IF(OR(IM9="",IM$28&lt;$A36),"",IM9/OFFSET(SSTotalCLM!$A$2,MATCH(IM$29,SSTotalCLM!$A$2:$A$500)+$A36-1,1)-1)</f>
        <v/>
      </c>
      <c r="IN36" s="9" t="str">
        <f ca="1">IF(OR(IN9="",IN$28&lt;$A36),"",IN9/OFFSET(SSTotalCLM!$A$2,MATCH(IN$29,SSTotalCLM!$A$2:$A$500)+$A36-1,1)-1)</f>
        <v/>
      </c>
      <c r="IO36" s="9" t="str">
        <f ca="1">IF(OR(IO9="",IO$28&lt;$A36),"",IO9/OFFSET(SSTotalCLM!$A$2,MATCH(IO$29,SSTotalCLM!$A$2:$A$500)+$A36-1,1)-1)</f>
        <v/>
      </c>
      <c r="IP36" s="9" t="str">
        <f ca="1">IF(OR(IP9="",IP$28&lt;$A36),"",IP9/OFFSET(SSTotalCLM!$A$2,MATCH(IP$29,SSTotalCLM!$A$2:$A$500)+$A36-1,1)-1)</f>
        <v/>
      </c>
      <c r="IQ36" s="9" t="str">
        <f ca="1">IF(OR(IQ9="",IQ$28&lt;$A36),"",IQ9/OFFSET(SSTotalCLM!$A$2,MATCH(IQ$29,SSTotalCLM!$A$2:$A$500)+$A36-1,1)-1)</f>
        <v/>
      </c>
      <c r="IR36" s="9" t="str">
        <f ca="1">IF(OR(IR9="",IR$28&lt;$A36),"",IR9/OFFSET(SSTotalCLM!$A$2,MATCH(IR$29,SSTotalCLM!$A$2:$A$500)+$A36-1,1)-1)</f>
        <v/>
      </c>
      <c r="IS36" s="9" t="str">
        <f ca="1">IF(OR(IS9="",IS$28&lt;$A36),"",IS9/OFFSET(SSTotalCLM!$A$2,MATCH(IS$29,SSTotalCLM!$A$2:$A$500)+$A36-1,1)-1)</f>
        <v/>
      </c>
      <c r="IT36" s="9" t="str">
        <f ca="1">IF(OR(IT9="",IT$28&lt;$A36),"",IT9/OFFSET(SSTotalCLM!$A$2,MATCH(IT$29,SSTotalCLM!$A$2:$A$500)+$A36-1,1)-1)</f>
        <v/>
      </c>
      <c r="IU36" s="9" t="str">
        <f ca="1">IF(OR(IU9="",IU$28&lt;$A36),"",IU9/OFFSET(SSTotalCLM!$A$2,MATCH(IU$29,SSTotalCLM!$A$2:$A$500)+$A36-1,1)-1)</f>
        <v/>
      </c>
      <c r="IV36" s="9" t="str">
        <f ca="1">IF(OR(IV9="",IV$28&lt;$A36),"",IV9/OFFSET(SSTotalCLM!$A$2,MATCH(IV$29,SSTotalCLM!$A$2:$A$500)+$A36-1,1)-1)</f>
        <v/>
      </c>
      <c r="IW36" s="9" t="str">
        <f ca="1">IF(OR(IW9="",IW$28&lt;$A36),"",IW9/OFFSET(SSTotalCLM!$A$2,MATCH(IW$29,SSTotalCLM!$A$2:$A$500)+$A36-1,1)-1)</f>
        <v/>
      </c>
      <c r="IX36" s="9" t="str">
        <f ca="1">IF(OR(IX9="",IX$28&lt;$A36),"",IX9/OFFSET(SSTotalCLM!$A$2,MATCH(IX$29,SSTotalCLM!$A$2:$A$500)+$A36-1,1)-1)</f>
        <v/>
      </c>
      <c r="IY36" s="9" t="str">
        <f ca="1">IF(OR(IY9="",IY$28&lt;$A36),"",IY9/OFFSET(SSTotalCLM!$A$2,MATCH(IY$29,SSTotalCLM!$A$2:$A$500)+$A36-1,1)-1)</f>
        <v/>
      </c>
      <c r="IZ36" s="9" t="str">
        <f ca="1">IF(OR(IZ9="",IZ$28&lt;$A36),"",IZ9/OFFSET(SSTotalCLM!$A$2,MATCH(IZ$29,SSTotalCLM!$A$2:$A$500)+$A36-1,1)-1)</f>
        <v/>
      </c>
      <c r="JA36" s="9" t="str">
        <f ca="1">IF(OR(JA9="",JA$28&lt;$A36),"",JA9/OFFSET(SSTotalCLM!$A$2,MATCH(JA$29,SSTotalCLM!$A$2:$A$500)+$A36-1,1)-1)</f>
        <v/>
      </c>
      <c r="JB36" s="9" t="str">
        <f ca="1">IF(OR(JB9="",JB$28&lt;$A36),"",JB9/OFFSET(SSTotalCLM!$A$2,MATCH(JB$29,SSTotalCLM!$A$2:$A$500)+$A36-1,1)-1)</f>
        <v/>
      </c>
      <c r="JC36" s="9" t="str">
        <f ca="1">IF(OR(JC9="",JC$28&lt;$A36),"",JC9/OFFSET(SSTotalCLM!$A$2,MATCH(JC$29,SSTotalCLM!$A$2:$A$500)+$A36-1,1)-1)</f>
        <v/>
      </c>
      <c r="JD36" s="9" t="str">
        <f ca="1">IF(OR(JD9="",JD$28&lt;$A36),"",JD9/OFFSET(SSTotalCLM!$A$2,MATCH(JD$29,SSTotalCLM!$A$2:$A$500)+$A36-1,1)-1)</f>
        <v/>
      </c>
      <c r="JE36" s="9" t="str">
        <f ca="1">IF(OR(JE9="",JE$28&lt;$A36),"",JE9/OFFSET(SSTotalCLM!$A$2,MATCH(JE$29,SSTotalCLM!$A$2:$A$500)+$A36-1,1)-1)</f>
        <v/>
      </c>
      <c r="JF36" s="9" t="str">
        <f ca="1">IF(OR(JF9="",JF$28&lt;$A36),"",JF9/OFFSET(SSTotalCLM!$A$2,MATCH(JF$29,SSTotalCLM!$A$2:$A$500)+$A36-1,1)-1)</f>
        <v/>
      </c>
      <c r="JG36" s="9" t="str">
        <f ca="1">IF(OR(JG9="",JG$28&lt;$A36),"",JG9/OFFSET(SSTotalCLM!$A$2,MATCH(JG$29,SSTotalCLM!$A$2:$A$500)+$A36-1,1)-1)</f>
        <v/>
      </c>
      <c r="JH36" s="9" t="str">
        <f ca="1">IF(OR(JH9="",JH$28&lt;$A36),"",JH9/OFFSET(SSTotalCLM!$A$2,MATCH(JH$29,SSTotalCLM!$A$2:$A$500)+$A36-1,1)-1)</f>
        <v/>
      </c>
      <c r="JI36" s="13">
        <f t="shared" ca="1" si="13"/>
        <v>1.4847897249009709E-3</v>
      </c>
      <c r="JJ36" s="13">
        <f t="shared" ca="1" si="14"/>
        <v>5.0621473246439397E-3</v>
      </c>
      <c r="JK36" s="14">
        <f t="shared" ca="1" si="15"/>
        <v>7.294400496668398E-4</v>
      </c>
      <c r="JL36" s="17">
        <f t="shared" ca="1" si="18"/>
        <v>2.7008147838510507E-2</v>
      </c>
      <c r="JM36" s="15" t="str">
        <f t="shared" ca="1" si="16"/>
        <v>[ -5,25% ; 5,55% ]</v>
      </c>
      <c r="JN36" s="17">
        <f t="shared" ca="1" si="17"/>
        <v>3.4570429233293447E-2</v>
      </c>
      <c r="LY36" s="1"/>
    </row>
    <row r="37" spans="1:337" x14ac:dyDescent="0.25">
      <c r="A37" s="4">
        <v>8</v>
      </c>
      <c r="B37" s="9">
        <f ca="1">IF(OR(B10="",B$28&lt;$A37),"",B10/OFFSET(SSTotalCLM!$A$2,MATCH(B$29,SSTotalCLM!$A$2:$A$500)+$A37-1,1)-1)</f>
        <v>-1.9121287018614153E-2</v>
      </c>
      <c r="C37" s="9">
        <f ca="1">IF(OR(C10="",C$28&lt;$A37),"",C10/OFFSET(SSTotalCLM!$A$2,MATCH(C$29,SSTotalCLM!$A$2:$A$500)+$A37-1,1)-1)</f>
        <v>-1.6260374924305987E-2</v>
      </c>
      <c r="D37" s="9">
        <f ca="1">IF(OR(D10="",D$28&lt;$A37),"",D10/OFFSET(SSTotalCLM!$A$2,MATCH(D$29,SSTotalCLM!$A$2:$A$500)+$A37-1,1)-1)</f>
        <v>-1.5398583401623145E-2</v>
      </c>
      <c r="E37" s="9">
        <f ca="1">IF(OR(E10="",E$28&lt;$A37),"",E10/OFFSET(SSTotalCLM!$A$2,MATCH(E$29,SSTotalCLM!$A$2:$A$500)+$A37-1,1)-1)</f>
        <v>-1.0520686471742757E-2</v>
      </c>
      <c r="F37" s="9">
        <f ca="1">IF(OR(F10="",F$28&lt;$A37),"",F10/OFFSET(SSTotalCLM!$A$2,MATCH(F$29,SSTotalCLM!$A$2:$A$500)+$A37-1,1)-1)</f>
        <v>-3.1328541470526994E-2</v>
      </c>
      <c r="G37" s="9">
        <f ca="1">IF(OR(G10="",G$28&lt;$A37),"",G10/OFFSET(SSTotalCLM!$A$2,MATCH(G$29,SSTotalCLM!$A$2:$A$500)+$A37-1,1)-1)</f>
        <v>-1.1545892465184338E-2</v>
      </c>
      <c r="H37" s="9">
        <f ca="1">IF(OR(H10="",H$28&lt;$A37),"",H10/OFFSET(SSTotalCLM!$A$2,MATCH(H$29,SSTotalCLM!$A$2:$A$500)+$A37-1,1)-1)</f>
        <v>-8.5340830499539555E-3</v>
      </c>
      <c r="I37" s="9">
        <f ca="1">IF(OR(I10="",I$28&lt;$A37),"",I10/OFFSET(SSTotalCLM!$A$2,MATCH(I$29,SSTotalCLM!$A$2:$A$500)+$A37-1,1)-1)</f>
        <v>-5.4478027051249045E-3</v>
      </c>
      <c r="J37" s="9">
        <f ca="1">IF(OR(J10="",J$28&lt;$A37),"",J10/OFFSET(SSTotalCLM!$A$2,MATCH(J$29,SSTotalCLM!$A$2:$A$500)+$A37-1,1)-1)</f>
        <v>-2.4233000122758641E-3</v>
      </c>
      <c r="K37" s="9">
        <f ca="1">IF(OR(K10="",K$28&lt;$A37),"",K10/OFFSET(SSTotalCLM!$A$2,MATCH(K$29,SSTotalCLM!$A$2:$A$500)+$A37-1,1)-1)</f>
        <v>-8.562096504901473E-3</v>
      </c>
      <c r="L37" s="9">
        <f ca="1">IF(OR(L10="",L$28&lt;$A37),"",L10/OFFSET(SSTotalCLM!$A$2,MATCH(L$29,SSTotalCLM!$A$2:$A$500)+$A37-1,1)-1)</f>
        <v>-1.8516330800823488E-2</v>
      </c>
      <c r="M37" s="9">
        <f ca="1">IF(OR(M10="",M$28&lt;$A37),"",M10/OFFSET(SSTotalCLM!$A$2,MATCH(M$29,SSTotalCLM!$A$2:$A$500)+$A37-1,1)-1)</f>
        <v>-2.4335398439988665E-2</v>
      </c>
      <c r="N37" s="9">
        <f ca="1">IF(OR(N10="",N$28&lt;$A37),"",N10/OFFSET(SSTotalCLM!$A$2,MATCH(N$29,SSTotalCLM!$A$2:$A$500)+$A37-1,1)-1)</f>
        <v>-2.2711205675669421E-2</v>
      </c>
      <c r="O37" s="9">
        <f ca="1">IF(OR(O10="",O$28&lt;$A37),"",O10/OFFSET(SSTotalCLM!$A$2,MATCH(O$29,SSTotalCLM!$A$2:$A$500)+$A37-1,1)-1)</f>
        <v>-2.5333187683512226E-2</v>
      </c>
      <c r="P37" s="9">
        <f ca="1">IF(OR(P10="",P$28&lt;$A37),"",P10/OFFSET(SSTotalCLM!$A$2,MATCH(P$29,SSTotalCLM!$A$2:$A$500)+$A37-1,1)-1)</f>
        <v>-2.8282369964966803E-2</v>
      </c>
      <c r="Q37" s="9">
        <f ca="1">IF(OR(Q10="",Q$28&lt;$A37),"",Q10/OFFSET(SSTotalCLM!$A$2,MATCH(Q$29,SSTotalCLM!$A$2:$A$500)+$A37-1,1)-1)</f>
        <v>-3.0336079300813834E-2</v>
      </c>
      <c r="R37" s="9">
        <f ca="1">IF(OR(R10="",R$28&lt;$A37),"",R10/OFFSET(SSTotalCLM!$A$2,MATCH(R$29,SSTotalCLM!$A$2:$A$500)+$A37-1,1)-1)</f>
        <v>-3.6758554259549769E-2</v>
      </c>
      <c r="S37" s="9">
        <f ca="1">IF(OR(S10="",S$28&lt;$A37),"",S10/OFFSET(SSTotalCLM!$A$2,MATCH(S$29,SSTotalCLM!$A$2:$A$500)+$A37-1,1)-1)</f>
        <v>-1.9832641136378837E-2</v>
      </c>
      <c r="T37" s="9">
        <f ca="1">IF(OR(T10="",T$28&lt;$A37),"",T10/OFFSET(SSTotalCLM!$A$2,MATCH(T$29,SSTotalCLM!$A$2:$A$500)+$A37-1,1)-1)</f>
        <v>-1.1339031337806227E-2</v>
      </c>
      <c r="U37" s="9">
        <f ca="1">IF(OR(U10="",U$28&lt;$A37),"",U10/OFFSET(SSTotalCLM!$A$2,MATCH(U$29,SSTotalCLM!$A$2:$A$500)+$A37-1,1)-1)</f>
        <v>-1.4155975009499944E-4</v>
      </c>
      <c r="V37" s="9">
        <f ca="1">IF(OR(V10="",V$28&lt;$A37),"",V10/OFFSET(SSTotalCLM!$A$2,MATCH(V$29,SSTotalCLM!$A$2:$A$500)+$A37-1,1)-1)</f>
        <v>3.2529885013390381E-3</v>
      </c>
      <c r="W37" s="9">
        <f ca="1">IF(OR(W10="",W$28&lt;$A37),"",W10/OFFSET(SSTotalCLM!$A$2,MATCH(W$29,SSTotalCLM!$A$2:$A$500)+$A37-1,1)-1)</f>
        <v>1.8380960359778431E-3</v>
      </c>
      <c r="X37" s="9">
        <f ca="1">IF(OR(X10="",X$28&lt;$A37),"",X10/OFFSET(SSTotalCLM!$A$2,MATCH(X$29,SSTotalCLM!$A$2:$A$500)+$A37-1,1)-1)</f>
        <v>9.7314144275033598E-3</v>
      </c>
      <c r="Y37" s="9">
        <f ca="1">IF(OR(Y10="",Y$28&lt;$A37),"",Y10/OFFSET(SSTotalCLM!$A$2,MATCH(Y$29,SSTotalCLM!$A$2:$A$500)+$A37-1,1)-1)</f>
        <v>1.9921186771469257E-2</v>
      </c>
      <c r="Z37" s="9">
        <f ca="1">IF(OR(Z10="",Z$28&lt;$A37),"",Z10/OFFSET(SSTotalCLM!$A$2,MATCH(Z$29,SSTotalCLM!$A$2:$A$500)+$A37-1,1)-1)</f>
        <v>2.9099475655211204E-2</v>
      </c>
      <c r="AA37" s="9">
        <f ca="1">IF(OR(AA10="",AA$28&lt;$A37),"",AA10/OFFSET(SSTotalCLM!$A$2,MATCH(AA$29,SSTotalCLM!$A$2:$A$500)+$A37-1,1)-1)</f>
        <v>2.481565098241334E-2</v>
      </c>
      <c r="AB37" s="9">
        <f ca="1">IF(OR(AB10="",AB$28&lt;$A37),"",AB10/OFFSET(SSTotalCLM!$A$2,MATCH(AB$29,SSTotalCLM!$A$2:$A$500)+$A37-1,1)-1)</f>
        <v>2.2542212513516846E-2</v>
      </c>
      <c r="AC37" s="9">
        <f ca="1">IF(OR(AC10="",AC$28&lt;$A37),"",AC10/OFFSET(SSTotalCLM!$A$2,MATCH(AC$29,SSTotalCLM!$A$2:$A$500)+$A37-1,1)-1)</f>
        <v>2.7507641969414021E-2</v>
      </c>
      <c r="AD37" s="9">
        <f ca="1">IF(OR(AD10="",AD$28&lt;$A37),"",AD10/OFFSET(SSTotalCLM!$A$2,MATCH(AD$29,SSTotalCLM!$A$2:$A$500)+$A37-1,1)-1)</f>
        <v>1.4717638914718334E-2</v>
      </c>
      <c r="AE37" s="9">
        <f ca="1">IF(OR(AE10="",AE$28&lt;$A37),"",AE10/OFFSET(SSTotalCLM!$A$2,MATCH(AE$29,SSTotalCLM!$A$2:$A$500)+$A37-1,1)-1)</f>
        <v>1.2707054789205197E-2</v>
      </c>
      <c r="AF37" s="9">
        <f ca="1">IF(OR(AF10="",AF$28&lt;$A37),"",AF10/OFFSET(SSTotalCLM!$A$2,MATCH(AF$29,SSTotalCLM!$A$2:$A$500)+$A37-1,1)-1)</f>
        <v>2.200716840102368E-3</v>
      </c>
      <c r="AG37" s="9">
        <f ca="1">IF(OR(AG10="",AG$28&lt;$A37),"",AG10/OFFSET(SSTotalCLM!$A$2,MATCH(AG$29,SSTotalCLM!$A$2:$A$500)+$A37-1,1)-1)</f>
        <v>-8.1294422126317878E-3</v>
      </c>
      <c r="AH37" s="9">
        <f ca="1">IF(OR(AH10="",AH$28&lt;$A37),"",AH10/OFFSET(SSTotalCLM!$A$2,MATCH(AH$29,SSTotalCLM!$A$2:$A$500)+$A37-1,1)-1)</f>
        <v>-1.0784064798977977E-2</v>
      </c>
      <c r="AI37" s="9">
        <f ca="1">IF(OR(AI10="",AI$28&lt;$A37),"",AI10/OFFSET(SSTotalCLM!$A$2,MATCH(AI$29,SSTotalCLM!$A$2:$A$500)+$A37-1,1)-1)</f>
        <v>-1.2956881739560444E-2</v>
      </c>
      <c r="AJ37" s="9">
        <f ca="1">IF(OR(AJ10="",AJ$28&lt;$A37),"",AJ10/OFFSET(SSTotalCLM!$A$2,MATCH(AJ$29,SSTotalCLM!$A$2:$A$500)+$A37-1,1)-1)</f>
        <v>-8.1283787189340151E-3</v>
      </c>
      <c r="AK37" s="9">
        <f ca="1">IF(OR(AK10="",AK$28&lt;$A37),"",AK10/OFFSET(SSTotalCLM!$A$2,MATCH(AK$29,SSTotalCLM!$A$2:$A$500)+$A37-1,1)-1)</f>
        <v>-5.5054008171312452E-3</v>
      </c>
      <c r="AL37" s="9">
        <f ca="1">IF(OR(AL10="",AL$28&lt;$A37),"",AL10/OFFSET(SSTotalCLM!$A$2,MATCH(AL$29,SSTotalCLM!$A$2:$A$500)+$A37-1,1)-1)</f>
        <v>4.0555144366312135E-3</v>
      </c>
      <c r="AM37" s="9">
        <f ca="1">IF(OR(AM10="",AM$28&lt;$A37),"",AM10/OFFSET(SSTotalCLM!$A$2,MATCH(AM$29,SSTotalCLM!$A$2:$A$500)+$A37-1,1)-1)</f>
        <v>3.6777995968415578E-3</v>
      </c>
      <c r="AN37" s="9">
        <f ca="1">IF(OR(AN10="",AN$28&lt;$A37),"",AN10/OFFSET(SSTotalCLM!$A$2,MATCH(AN$29,SSTotalCLM!$A$2:$A$500)+$A37-1,1)-1)</f>
        <v>8.544454636467691E-4</v>
      </c>
      <c r="AO37" s="9">
        <f ca="1">IF(OR(AO10="",AO$28&lt;$A37),"",AO10/OFFSET(SSTotalCLM!$A$2,MATCH(AO$29,SSTotalCLM!$A$2:$A$500)+$A37-1,1)-1)</f>
        <v>5.4798617398017502E-3</v>
      </c>
      <c r="AP37" s="9">
        <f ca="1">IF(OR(AP10="",AP$28&lt;$A37),"",AP10/OFFSET(SSTotalCLM!$A$2,MATCH(AP$29,SSTotalCLM!$A$2:$A$500)+$A37-1,1)-1)</f>
        <v>2.2401174123243273E-4</v>
      </c>
      <c r="AQ37" s="9">
        <f ca="1">IF(OR(AQ10="",AQ$28&lt;$A37),"",AQ10/OFFSET(SSTotalCLM!$A$2,MATCH(AQ$29,SSTotalCLM!$A$2:$A$500)+$A37-1,1)-1)</f>
        <v>8.6282189318245273E-3</v>
      </c>
      <c r="AR37" s="9">
        <f ca="1">IF(OR(AR10="",AR$28&lt;$A37),"",AR10/OFFSET(SSTotalCLM!$A$2,MATCH(AR$29,SSTotalCLM!$A$2:$A$500)+$A37-1,1)-1)</f>
        <v>7.0868743994136896E-3</v>
      </c>
      <c r="AS37" s="9">
        <f ca="1">IF(OR(AS10="",AS$28&lt;$A37),"",AS10/OFFSET(SSTotalCLM!$A$2,MATCH(AS$29,SSTotalCLM!$A$2:$A$500)+$A37-1,1)-1)</f>
        <v>1.2805426817845023E-2</v>
      </c>
      <c r="AT37" s="9">
        <f ca="1">IF(OR(AT10="",AT$28&lt;$A37),"",AT10/OFFSET(SSTotalCLM!$A$2,MATCH(AT$29,SSTotalCLM!$A$2:$A$500)+$A37-1,1)-1)</f>
        <v>1.2908338046973888E-2</v>
      </c>
      <c r="AU37" s="9">
        <f ca="1">IF(OR(AU10="",AU$28&lt;$A37),"",AU10/OFFSET(SSTotalCLM!$A$2,MATCH(AU$29,SSTotalCLM!$A$2:$A$500)+$A37-1,1)-1)</f>
        <v>2.0793346169060811E-2</v>
      </c>
      <c r="AV37" s="9">
        <f ca="1">IF(OR(AV10="",AV$28&lt;$A37),"",AV10/OFFSET(SSTotalCLM!$A$2,MATCH(AV$29,SSTotalCLM!$A$2:$A$500)+$A37-1,1)-1)</f>
        <v>3.6652378667992869E-2</v>
      </c>
      <c r="AW37" s="9">
        <f ca="1">IF(OR(AW10="",AW$28&lt;$A37),"",AW10/OFFSET(SSTotalCLM!$A$2,MATCH(AW$29,SSTotalCLM!$A$2:$A$500)+$A37-1,1)-1)</f>
        <v>4.3445619573518668E-2</v>
      </c>
      <c r="AX37" s="9">
        <f ca="1">IF(OR(AX10="",AX$28&lt;$A37),"",AX10/OFFSET(SSTotalCLM!$A$2,MATCH(AX$29,SSTotalCLM!$A$2:$A$500)+$A37-1,1)-1)</f>
        <v>5.7457372819488928E-2</v>
      </c>
      <c r="AY37" s="9">
        <f ca="1">IF(OR(AY10="",AY$28&lt;$A37),"",AY10/OFFSET(SSTotalCLM!$A$2,MATCH(AY$29,SSTotalCLM!$A$2:$A$500)+$A37-1,1)-1)</f>
        <v>5.3520733451130509E-2</v>
      </c>
      <c r="AZ37" s="9">
        <f ca="1">IF(OR(AZ10="",AZ$28&lt;$A37),"",AZ10/OFFSET(SSTotalCLM!$A$2,MATCH(AZ$29,SSTotalCLM!$A$2:$A$500)+$A37-1,1)-1)</f>
        <v>5.0704646490555838E-2</v>
      </c>
      <c r="BA37" s="9">
        <f ca="1">IF(OR(BA10="",BA$28&lt;$A37),"",BA10/OFFSET(SSTotalCLM!$A$2,MATCH(BA$29,SSTotalCLM!$A$2:$A$500)+$A37-1,1)-1)</f>
        <v>6.9975147938747595E-2</v>
      </c>
      <c r="BB37" s="9">
        <f ca="1">IF(OR(BB10="",BB$28&lt;$A37),"",BB10/OFFSET(SSTotalCLM!$A$2,MATCH(BB$29,SSTotalCLM!$A$2:$A$500)+$A37-1,1)-1)</f>
        <v>7.3373993884062516E-2</v>
      </c>
      <c r="BC37" s="9">
        <f ca="1">IF(OR(BC10="",BC$28&lt;$A37),"",BC10/OFFSET(SSTotalCLM!$A$2,MATCH(BC$29,SSTotalCLM!$A$2:$A$500)+$A37-1,1)-1)</f>
        <v>8.0430349356138242E-2</v>
      </c>
      <c r="BD37" s="9">
        <f ca="1">IF(OR(BD10="",BD$28&lt;$A37),"",BD10/OFFSET(SSTotalCLM!$A$2,MATCH(BD$29,SSTotalCLM!$A$2:$A$500)+$A37-1,1)-1)</f>
        <v>7.9258118915891407E-2</v>
      </c>
      <c r="BE37" s="9">
        <f ca="1">IF(OR(BE10="",BE$28&lt;$A37),"",BE10/OFFSET(SSTotalCLM!$A$2,MATCH(BE$29,SSTotalCLM!$A$2:$A$500)+$A37-1,1)-1)</f>
        <v>7.6350312231710626E-2</v>
      </c>
      <c r="BF37" s="9">
        <f ca="1">IF(OR(BF10="",BF$28&lt;$A37),"",BF10/OFFSET(SSTotalCLM!$A$2,MATCH(BF$29,SSTotalCLM!$A$2:$A$500)+$A37-1,1)-1)</f>
        <v>4.9074278449143804E-2</v>
      </c>
      <c r="BG37" s="9">
        <f ca="1">IF(OR(BG10="",BG$28&lt;$A37),"",BG10/OFFSET(SSTotalCLM!$A$2,MATCH(BG$29,SSTotalCLM!$A$2:$A$500)+$A37-1,1)-1)</f>
        <v>4.9689322562165072E-2</v>
      </c>
      <c r="BH37" s="9">
        <f ca="1">IF(OR(BH10="",BH$28&lt;$A37),"",BH10/OFFSET(SSTotalCLM!$A$2,MATCH(BH$29,SSTotalCLM!$A$2:$A$500)+$A37-1,1)-1)</f>
        <v>5.9774779268779943E-2</v>
      </c>
      <c r="BI37" s="9">
        <f ca="1">IF(OR(BI10="",BI$28&lt;$A37),"",BI10/OFFSET(SSTotalCLM!$A$2,MATCH(BI$29,SSTotalCLM!$A$2:$A$500)+$A37-1,1)-1)</f>
        <v>1.2653088952420122E-2</v>
      </c>
      <c r="BJ37" s="9">
        <f ca="1">IF(OR(BJ10="",BJ$28&lt;$A37),"",BJ10/OFFSET(SSTotalCLM!$A$2,MATCH(BJ$29,SSTotalCLM!$A$2:$A$500)+$A37-1,1)-1)</f>
        <v>-3.8138332685255794E-3</v>
      </c>
      <c r="BK37" s="9">
        <f ca="1">IF(OR(BK10="",BK$28&lt;$A37),"",BK10/OFFSET(SSTotalCLM!$A$2,MATCH(BK$29,SSTotalCLM!$A$2:$A$500)+$A37-1,1)-1)</f>
        <v>-4.0846529310751167E-2</v>
      </c>
      <c r="BL37" s="9">
        <f ca="1">IF(OR(BL10="",BL$28&lt;$A37),"",BL10/OFFSET(SSTotalCLM!$A$2,MATCH(BL$29,SSTotalCLM!$A$2:$A$500)+$A37-1,1)-1)</f>
        <v>-5.5754781915865359E-2</v>
      </c>
      <c r="BM37" s="9">
        <f ca="1">IF(OR(BM10="",BM$28&lt;$A37),"",BM10/OFFSET(SSTotalCLM!$A$2,MATCH(BM$29,SSTotalCLM!$A$2:$A$500)+$A37-1,1)-1)</f>
        <v>-7.4853437847554494E-2</v>
      </c>
      <c r="BN37" s="9">
        <f ca="1">IF(OR(BN10="",BN$28&lt;$A37),"",BN10/OFFSET(SSTotalCLM!$A$2,MATCH(BN$29,SSTotalCLM!$A$2:$A$500)+$A37-1,1)-1)</f>
        <v>-7.412315242612022E-2</v>
      </c>
      <c r="BO37" s="9">
        <f ca="1">IF(OR(BO10="",BO$28&lt;$A37),"",BO10/OFFSET(SSTotalCLM!$A$2,MATCH(BO$29,SSTotalCLM!$A$2:$A$500)+$A37-1,1)-1)</f>
        <v>-5.305990518240844E-2</v>
      </c>
      <c r="BP37" s="9">
        <f ca="1">IF(OR(BP10="",BP$28&lt;$A37),"",BP10/OFFSET(SSTotalCLM!$A$2,MATCH(BP$29,SSTotalCLM!$A$2:$A$500)+$A37-1,1)-1)</f>
        <v>-3.0730902330141419E-2</v>
      </c>
      <c r="BQ37" s="9">
        <f ca="1">IF(OR(BQ10="",BQ$28&lt;$A37),"",BQ10/OFFSET(SSTotalCLM!$A$2,MATCH(BQ$29,SSTotalCLM!$A$2:$A$500)+$A37-1,1)-1)</f>
        <v>-2.6331903090260234E-2</v>
      </c>
      <c r="BR37" s="9">
        <f ca="1">IF(OR(BR10="",BR$28&lt;$A37),"",BR10/OFFSET(SSTotalCLM!$A$2,MATCH(BR$29,SSTotalCLM!$A$2:$A$500)+$A37-1,1)-1)</f>
        <v>-1.0177999810663252E-2</v>
      </c>
      <c r="BS37" s="9">
        <f ca="1">IF(OR(BS10="",BS$28&lt;$A37),"",BS10/OFFSET(SSTotalCLM!$A$2,MATCH(BS$29,SSTotalCLM!$A$2:$A$500)+$A37-1,1)-1)</f>
        <v>3.9101817204915346E-2</v>
      </c>
      <c r="BT37" s="9">
        <f ca="1">IF(OR(BT10="",BT$28&lt;$A37),"",BT10/OFFSET(SSTotalCLM!$A$2,MATCH(BT$29,SSTotalCLM!$A$2:$A$500)+$A37-1,1)-1)</f>
        <v>2.6779270323420423E-2</v>
      </c>
      <c r="BU37" s="9">
        <f ca="1">IF(OR(BU10="",BU$28&lt;$A37),"",BU10/OFFSET(SSTotalCLM!$A$2,MATCH(BU$29,SSTotalCLM!$A$2:$A$500)+$A37-1,1)-1)</f>
        <v>8.7089357904561737E-3</v>
      </c>
      <c r="BV37" s="9">
        <f ca="1">IF(OR(BV10="",BV$28&lt;$A37),"",BV10/OFFSET(SSTotalCLM!$A$2,MATCH(BV$29,SSTotalCLM!$A$2:$A$500)+$A37-1,1)-1)</f>
        <v>2.5278609738742297E-2</v>
      </c>
      <c r="BW37" s="9">
        <f ca="1">IF(OR(BW10="",BW$28&lt;$A37),"",BW10/OFFSET(SSTotalCLM!$A$2,MATCH(BW$29,SSTotalCLM!$A$2:$A$500)+$A37-1,1)-1)</f>
        <v>2.5786888317465007E-3</v>
      </c>
      <c r="BX37" s="9">
        <f ca="1">IF(OR(BX10="",BX$28&lt;$A37),"",BX10/OFFSET(SSTotalCLM!$A$2,MATCH(BX$29,SSTotalCLM!$A$2:$A$500)+$A37-1,1)-1)</f>
        <v>8.401539799676172E-4</v>
      </c>
      <c r="BY37" s="9">
        <f ca="1">IF(OR(BY10="",BY$28&lt;$A37),"",BY10/OFFSET(SSTotalCLM!$A$2,MATCH(BY$29,SSTotalCLM!$A$2:$A$500)+$A37-1,1)-1)</f>
        <v>5.7330430634383589E-3</v>
      </c>
      <c r="BZ37" s="9">
        <f ca="1">IF(OR(BZ10="",BZ$28&lt;$A37),"",BZ10/OFFSET(SSTotalCLM!$A$2,MATCH(BZ$29,SSTotalCLM!$A$2:$A$500)+$A37-1,1)-1)</f>
        <v>-7.8678702470431627E-3</v>
      </c>
      <c r="CA37" s="9">
        <f ca="1">IF(OR(CA10="",CA$28&lt;$A37),"",CA10/OFFSET(SSTotalCLM!$A$2,MATCH(CA$29,SSTotalCLM!$A$2:$A$500)+$A37-1,1)-1)</f>
        <v>-2.9186956212257087E-4</v>
      </c>
      <c r="CB37" s="9">
        <f ca="1">IF(OR(CB10="",CB$28&lt;$A37),"",CB10/OFFSET(SSTotalCLM!$A$2,MATCH(CB$29,SSTotalCLM!$A$2:$A$500)+$A37-1,1)-1)</f>
        <v>-1.4335362824213771E-3</v>
      </c>
      <c r="CC37" s="9">
        <f ca="1">IF(OR(CC10="",CC$28&lt;$A37),"",CC10/OFFSET(SSTotalCLM!$A$2,MATCH(CC$29,SSTotalCLM!$A$2:$A$500)+$A37-1,1)-1)</f>
        <v>4.3919525818783001E-3</v>
      </c>
      <c r="CD37" s="9">
        <f ca="1">IF(OR(CD10="",CD$28&lt;$A37),"",CD10/OFFSET(SSTotalCLM!$A$2,MATCH(CD$29,SSTotalCLM!$A$2:$A$500)+$A37-1,1)-1)</f>
        <v>1.6094741138994451E-4</v>
      </c>
      <c r="CE37" s="9">
        <f ca="1">IF(OR(CE10="",CE$28&lt;$A37),"",CE10/OFFSET(SSTotalCLM!$A$2,MATCH(CE$29,SSTotalCLM!$A$2:$A$500)+$A37-1,1)-1)</f>
        <v>2.5597322572250558E-2</v>
      </c>
      <c r="CF37" s="9">
        <f ca="1">IF(OR(CF10="",CF$28&lt;$A37),"",CF10/OFFSET(SSTotalCLM!$A$2,MATCH(CF$29,SSTotalCLM!$A$2:$A$500)+$A37-1,1)-1)</f>
        <v>3.4378391390389007E-2</v>
      </c>
      <c r="CG37" s="9">
        <f ca="1">IF(OR(CG10="",CG$28&lt;$A37),"",CG10/OFFSET(SSTotalCLM!$A$2,MATCH(CG$29,SSTotalCLM!$A$2:$A$500)+$A37-1,1)-1)</f>
        <v>1.1367091758723191E-2</v>
      </c>
      <c r="CH37" s="9">
        <f ca="1">IF(OR(CH10="",CH$28&lt;$A37),"",CH10/OFFSET(SSTotalCLM!$A$2,MATCH(CH$29,SSTotalCLM!$A$2:$A$500)+$A37-1,1)-1)</f>
        <v>1.5522285766789157E-2</v>
      </c>
      <c r="CI37" s="9">
        <f ca="1">IF(OR(CI10="",CI$28&lt;$A37),"",CI10/OFFSET(SSTotalCLM!$A$2,MATCH(CI$29,SSTotalCLM!$A$2:$A$500)+$A37-1,1)-1)</f>
        <v>1.0577965522129196E-2</v>
      </c>
      <c r="CJ37" s="9">
        <f ca="1">IF(OR(CJ10="",CJ$28&lt;$A37),"",CJ10/OFFSET(SSTotalCLM!$A$2,MATCH(CJ$29,SSTotalCLM!$A$2:$A$500)+$A37-1,1)-1)</f>
        <v>1.6678393333624308E-2</v>
      </c>
      <c r="CK37" s="9">
        <f ca="1">IF(OR(CK10="",CK$28&lt;$A37),"",CK10/OFFSET(SSTotalCLM!$A$2,MATCH(CK$29,SSTotalCLM!$A$2:$A$500)+$A37-1,1)-1)</f>
        <v>2.2308810527643219E-2</v>
      </c>
      <c r="CL37" s="9">
        <f ca="1">IF(OR(CL10="",CL$28&lt;$A37),"",CL10/OFFSET(SSTotalCLM!$A$2,MATCH(CL$29,SSTotalCLM!$A$2:$A$500)+$A37-1,1)-1)</f>
        <v>2.403363609719289E-2</v>
      </c>
      <c r="CM37" s="9">
        <f ca="1">IF(OR(CM10="",CM$28&lt;$A37),"",CM10/OFFSET(SSTotalCLM!$A$2,MATCH(CM$29,SSTotalCLM!$A$2:$A$500)+$A37-1,1)-1)</f>
        <v>3.0508998455883063E-2</v>
      </c>
      <c r="CN37" s="9">
        <f ca="1">IF(OR(CN10="",CN$28&lt;$A37),"",CN10/OFFSET(SSTotalCLM!$A$2,MATCH(CN$29,SSTotalCLM!$A$2:$A$500)+$A37-1,1)-1)</f>
        <v>3.1538315396621996E-2</v>
      </c>
      <c r="CO37" s="9">
        <f ca="1">IF(OR(CO10="",CO$28&lt;$A37),"",CO10/OFFSET(SSTotalCLM!$A$2,MATCH(CO$29,SSTotalCLM!$A$2:$A$500)+$A37-1,1)-1)</f>
        <v>2.5598493605852868E-2</v>
      </c>
      <c r="CP37" s="9">
        <f ca="1">IF(OR(CP10="",CP$28&lt;$A37),"",CP10/OFFSET(SSTotalCLM!$A$2,MATCH(CP$29,SSTotalCLM!$A$2:$A$500)+$A37-1,1)-1)</f>
        <v>3.2132176541600943E-2</v>
      </c>
      <c r="CQ37" s="9">
        <f ca="1">IF(OR(CQ10="",CQ$28&lt;$A37),"",CQ10/OFFSET(SSTotalCLM!$A$2,MATCH(CQ$29,SSTotalCLM!$A$2:$A$500)+$A37-1,1)-1)</f>
        <v>5.2528155634898877E-2</v>
      </c>
      <c r="CR37" s="9">
        <f ca="1">IF(OR(CR10="",CR$28&lt;$A37),"",CR10/OFFSET(SSTotalCLM!$A$2,MATCH(CR$29,SSTotalCLM!$A$2:$A$500)+$A37-1,1)-1)</f>
        <v>2.5791843447532381E-2</v>
      </c>
      <c r="CS37" s="9">
        <f ca="1">IF(OR(CS10="",CS$28&lt;$A37),"",CS10/OFFSET(SSTotalCLM!$A$2,MATCH(CS$29,SSTotalCLM!$A$2:$A$500)+$A37-1,1)-1)</f>
        <v>2.0705826221227408E-2</v>
      </c>
      <c r="CT37" s="9">
        <f ca="1">IF(OR(CT10="",CT$28&lt;$A37),"",CT10/OFFSET(SSTotalCLM!$A$2,MATCH(CT$29,SSTotalCLM!$A$2:$A$500)+$A37-1,1)-1)</f>
        <v>4.1704317047898787E-2</v>
      </c>
      <c r="CU37" s="9">
        <f ca="1">IF(OR(CU10="",CU$28&lt;$A37),"",CU10/OFFSET(SSTotalCLM!$A$2,MATCH(CU$29,SSTotalCLM!$A$2:$A$500)+$A37-1,1)-1)</f>
        <v>3.5670379377006345E-3</v>
      </c>
      <c r="CV37" s="9">
        <f ca="1">IF(OR(CV10="",CV$28&lt;$A37),"",CV10/OFFSET(SSTotalCLM!$A$2,MATCH(CV$29,SSTotalCLM!$A$2:$A$500)+$A37-1,1)-1)</f>
        <v>1.0158503601288338E-2</v>
      </c>
      <c r="CW37" s="9">
        <f ca="1">IF(OR(CW10="",CW$28&lt;$A37),"",CW10/OFFSET(SSTotalCLM!$A$2,MATCH(CW$29,SSTotalCLM!$A$2:$A$500)+$A37-1,1)-1)</f>
        <v>2.970226656562569E-2</v>
      </c>
      <c r="CX37" s="9">
        <f ca="1">IF(OR(CX10="",CX$28&lt;$A37),"",CX10/OFFSET(SSTotalCLM!$A$2,MATCH(CX$29,SSTotalCLM!$A$2:$A$500)+$A37-1,1)-1)</f>
        <v>2.1574653780978004E-2</v>
      </c>
      <c r="CY37" s="9">
        <f ca="1">IF(OR(CY10="",CY$28&lt;$A37),"",CY10/OFFSET(SSTotalCLM!$A$2,MATCH(CY$29,SSTotalCLM!$A$2:$A$500)+$A37-1,1)-1)</f>
        <v>1.4246123412294143E-2</v>
      </c>
      <c r="CZ37" s="9">
        <f ca="1">IF(OR(CZ10="",CZ$28&lt;$A37),"",CZ10/OFFSET(SSTotalCLM!$A$2,MATCH(CZ$29,SSTotalCLM!$A$2:$A$500)+$A37-1,1)-1)</f>
        <v>3.0479973911785807E-2</v>
      </c>
      <c r="DA37" s="9">
        <f ca="1">IF(OR(DA10="",DA$28&lt;$A37),"",DA10/OFFSET(SSTotalCLM!$A$2,MATCH(DA$29,SSTotalCLM!$A$2:$A$500)+$A37-1,1)-1)</f>
        <v>9.1371065279468588E-3</v>
      </c>
      <c r="DB37" s="9">
        <f ca="1">IF(OR(DB10="",DB$28&lt;$A37),"",DB10/OFFSET(SSTotalCLM!$A$2,MATCH(DB$29,SSTotalCLM!$A$2:$A$500)+$A37-1,1)-1)</f>
        <v>-1.2474020091476468E-2</v>
      </c>
      <c r="DC37" s="9">
        <f ca="1">IF(OR(DC10="",DC$28&lt;$A37),"",DC10/OFFSET(SSTotalCLM!$A$2,MATCH(DC$29,SSTotalCLM!$A$2:$A$500)+$A37-1,1)-1)</f>
        <v>3.0832930022359317E-2</v>
      </c>
      <c r="DD37" s="9">
        <f ca="1">IF(OR(DD10="",DD$28&lt;$A37),"",DD10/OFFSET(SSTotalCLM!$A$2,MATCH(DD$29,SSTotalCLM!$A$2:$A$500)+$A37-1,1)-1)</f>
        <v>2.7847481786344996E-3</v>
      </c>
      <c r="DE37" s="9">
        <f ca="1">IF(OR(DE10="",DE$28&lt;$A37),"",DE10/OFFSET(SSTotalCLM!$A$2,MATCH(DE$29,SSTotalCLM!$A$2:$A$500)+$A37-1,1)-1)</f>
        <v>-4.651590088595059E-2</v>
      </c>
      <c r="DF37" s="9">
        <f ca="1">IF(OR(DF10="",DF$28&lt;$A37),"",DF10/OFFSET(SSTotalCLM!$A$2,MATCH(DF$29,SSTotalCLM!$A$2:$A$500)+$A37-1,1)-1)</f>
        <v>-6.2653286369522054E-2</v>
      </c>
      <c r="DG37" s="9">
        <f ca="1">IF(OR(DG10="",DG$28&lt;$A37),"",DG10/OFFSET(SSTotalCLM!$A$2,MATCH(DG$29,SSTotalCLM!$A$2:$A$500)+$A37-1,1)-1)</f>
        <v>-5.7315972076005806E-2</v>
      </c>
      <c r="DH37" s="9">
        <f ca="1">IF(OR(DH10="",DH$28&lt;$A37),"",DH10/OFFSET(SSTotalCLM!$A$2,MATCH(DH$29,SSTotalCLM!$A$2:$A$500)+$A37-1,1)-1)</f>
        <v>-6.38229024682192E-2</v>
      </c>
      <c r="DI37" s="9">
        <f ca="1">IF(OR(DI10="",DI$28&lt;$A37),"",DI10/OFFSET(SSTotalCLM!$A$2,MATCH(DI$29,SSTotalCLM!$A$2:$A$500)+$A37-1,1)-1)</f>
        <v>-3.6322213391387193E-2</v>
      </c>
      <c r="DJ37" s="9">
        <f ca="1">IF(OR(DJ10="",DJ$28&lt;$A37),"",DJ10/OFFSET(SSTotalCLM!$A$2,MATCH(DJ$29,SSTotalCLM!$A$2:$A$500)+$A37-1,1)-1)</f>
        <v>-4.3940930219354635E-2</v>
      </c>
      <c r="DK37" s="9">
        <f ca="1">IF(OR(DK10="",DK$28&lt;$A37),"",DK10/OFFSET(SSTotalCLM!$A$2,MATCH(DK$29,SSTotalCLM!$A$2:$A$500)+$A37-1,1)-1)</f>
        <v>-4.8897181492913888E-2</v>
      </c>
      <c r="DL37" s="9">
        <f ca="1">IF(OR(DL10="",DL$28&lt;$A37),"",DL10/OFFSET(SSTotalCLM!$A$2,MATCH(DL$29,SSTotalCLM!$A$2:$A$500)+$A37-1,1)-1)</f>
        <v>-4.0578912536681E-2</v>
      </c>
      <c r="DM37" s="9">
        <f ca="1">IF(OR(DM10="",DM$28&lt;$A37),"",DM10/OFFSET(SSTotalCLM!$A$2,MATCH(DM$29,SSTotalCLM!$A$2:$A$500)+$A37-1,1)-1)</f>
        <v>-4.3775082372811802E-2</v>
      </c>
      <c r="DN37" s="9">
        <f ca="1">IF(OR(DN10="",DN$28&lt;$A37),"",DN10/OFFSET(SSTotalCLM!$A$2,MATCH(DN$29,SSTotalCLM!$A$2:$A$500)+$A37-1,1)-1)</f>
        <v>-3.9807311845524551E-2</v>
      </c>
      <c r="DO37" s="9">
        <f ca="1">IF(OR(DO10="",DO$28&lt;$A37),"",DO10/OFFSET(SSTotalCLM!$A$2,MATCH(DO$29,SSTotalCLM!$A$2:$A$500)+$A37-1,1)-1)</f>
        <v>-3.9978715296782208E-2</v>
      </c>
      <c r="DP37" s="9">
        <f ca="1">IF(OR(DP10="",DP$28&lt;$A37),"",DP10/OFFSET(SSTotalCLM!$A$2,MATCH(DP$29,SSTotalCLM!$A$2:$A$500)+$A37-1,1)-1)</f>
        <v>4.4405174752997212E-3</v>
      </c>
      <c r="DQ37" s="9">
        <f ca="1">IF(OR(DQ10="",DQ$28&lt;$A37),"",DQ10/OFFSET(SSTotalCLM!$A$2,MATCH(DQ$29,SSTotalCLM!$A$2:$A$500)+$A37-1,1)-1)</f>
        <v>-3.1612573601726535E-2</v>
      </c>
      <c r="DR37" s="9">
        <f ca="1">IF(OR(DR10="",DR$28&lt;$A37),"",DR10/OFFSET(SSTotalCLM!$A$2,MATCH(DR$29,SSTotalCLM!$A$2:$A$500)+$A37-1,1)-1)</f>
        <v>-2.7047414643136536E-3</v>
      </c>
      <c r="DS37" s="9">
        <f ca="1">IF(OR(DS10="",DS$28&lt;$A37),"",DS10/OFFSET(SSTotalCLM!$A$2,MATCH(DS$29,SSTotalCLM!$A$2:$A$500)+$A37-1,1)-1)</f>
        <v>-1.4943260812876336E-2</v>
      </c>
      <c r="DT37" s="9">
        <f ca="1">IF(OR(DT10="",DT$28&lt;$A37),"",DT10/OFFSET(SSTotalCLM!$A$2,MATCH(DT$29,SSTotalCLM!$A$2:$A$500)+$A37-1,1)-1)</f>
        <v>1.45099658075869E-2</v>
      </c>
      <c r="DU37" s="9">
        <f ca="1">IF(OR(DU10="",DU$28&lt;$A37),"",DU10/OFFSET(SSTotalCLM!$A$2,MATCH(DU$29,SSTotalCLM!$A$2:$A$500)+$A37-1,1)-1)</f>
        <v>-9.1229975461959434E-4</v>
      </c>
      <c r="DV37" s="9">
        <f ca="1">IF(OR(DV10="",DV$28&lt;$A37),"",DV10/OFFSET(SSTotalCLM!$A$2,MATCH(DV$29,SSTotalCLM!$A$2:$A$500)+$A37-1,1)-1)</f>
        <v>-9.6102246653591017E-3</v>
      </c>
      <c r="DW37" s="9">
        <f ca="1">IF(OR(DW10="",DW$28&lt;$A37),"",DW10/OFFSET(SSTotalCLM!$A$2,MATCH(DW$29,SSTotalCLM!$A$2:$A$500)+$A37-1,1)-1)</f>
        <v>-5.6972898073037737E-4</v>
      </c>
      <c r="DX37" s="9">
        <f ca="1">IF(OR(DX10="",DX$28&lt;$A37),"",DX10/OFFSET(SSTotalCLM!$A$2,MATCH(DX$29,SSTotalCLM!$A$2:$A$500)+$A37-1,1)-1)</f>
        <v>1.0021645751525643E-3</v>
      </c>
      <c r="DY37" s="9">
        <f ca="1">IF(OR(DY10="",DY$28&lt;$A37),"",DY10/OFFSET(SSTotalCLM!$A$2,MATCH(DY$29,SSTotalCLM!$A$2:$A$500)+$A37-1,1)-1)</f>
        <v>-1.2154459636021353E-2</v>
      </c>
      <c r="DZ37" s="9">
        <f ca="1">IF(OR(DZ10="",DZ$28&lt;$A37),"",DZ10/OFFSET(SSTotalCLM!$A$2,MATCH(DZ$29,SSTotalCLM!$A$2:$A$500)+$A37-1,1)-1)</f>
        <v>-2.5507703397866677E-2</v>
      </c>
      <c r="EA37" s="9">
        <f ca="1">IF(OR(EA10="",EA$28&lt;$A37),"",EA10/OFFSET(SSTotalCLM!$A$2,MATCH(EA$29,SSTotalCLM!$A$2:$A$500)+$A37-1,1)-1)</f>
        <v>1.8192139089168169E-3</v>
      </c>
      <c r="EB37" s="9">
        <f ca="1">IF(OR(EB10="",EB$28&lt;$A37),"",EB10/OFFSET(SSTotalCLM!$A$2,MATCH(EB$29,SSTotalCLM!$A$2:$A$500)+$A37-1,1)-1)</f>
        <v>-4.5322581359034109E-2</v>
      </c>
      <c r="EC37" s="9">
        <f ca="1">IF(OR(EC10="",EC$28&lt;$A37),"",EC10/OFFSET(SSTotalCLM!$A$2,MATCH(EC$29,SSTotalCLM!$A$2:$A$500)+$A37-1,1)-1)</f>
        <v>-2.3874435925179016E-2</v>
      </c>
      <c r="ED37" s="9">
        <f ca="1">IF(OR(ED10="",ED$28&lt;$A37),"",ED10/OFFSET(SSTotalCLM!$A$2,MATCH(ED$29,SSTotalCLM!$A$2:$A$500)+$A37-1,1)-1)</f>
        <v>-8.0211570518979869E-3</v>
      </c>
      <c r="EE37" s="9">
        <f ca="1">IF(OR(EE10="",EE$28&lt;$A37),"",EE10/OFFSET(SSTotalCLM!$A$2,MATCH(EE$29,SSTotalCLM!$A$2:$A$500)+$A37-1,1)-1)</f>
        <v>-2.1285173276923586E-2</v>
      </c>
      <c r="EF37" s="9">
        <f ca="1">IF(OR(EF10="",EF$28&lt;$A37),"",EF10/OFFSET(SSTotalCLM!$A$2,MATCH(EF$29,SSTotalCLM!$A$2:$A$500)+$A37-1,1)-1)</f>
        <v>-1.7533200638208957E-3</v>
      </c>
      <c r="EG37" s="9">
        <f ca="1">IF(OR(EG10="",EG$28&lt;$A37),"",EG10/OFFSET(SSTotalCLM!$A$2,MATCH(EG$29,SSTotalCLM!$A$2:$A$500)+$A37-1,1)-1)</f>
        <v>4.0872939122074126E-3</v>
      </c>
      <c r="EH37" s="9">
        <f ca="1">IF(OR(EH10="",EH$28&lt;$A37),"",EH10/OFFSET(SSTotalCLM!$A$2,MATCH(EH$29,SSTotalCLM!$A$2:$A$500)+$A37-1,1)-1)</f>
        <v>1.359848947698894E-2</v>
      </c>
      <c r="EI37" s="9">
        <f ca="1">IF(OR(EI10="",EI$28&lt;$A37),"",EI10/OFFSET(SSTotalCLM!$A$2,MATCH(EI$29,SSTotalCLM!$A$2:$A$500)+$A37-1,1)-1)</f>
        <v>2.9356884343216816E-2</v>
      </c>
      <c r="EJ37" s="9">
        <f ca="1">IF(OR(EJ10="",EJ$28&lt;$A37),"",EJ10/OFFSET(SSTotalCLM!$A$2,MATCH(EJ$29,SSTotalCLM!$A$2:$A$500)+$A37-1,1)-1)</f>
        <v>3.3156923238704339E-2</v>
      </c>
      <c r="EK37" s="9">
        <f ca="1">IF(OR(EK10="",EK$28&lt;$A37),"",EK10/OFFSET(SSTotalCLM!$A$2,MATCH(EK$29,SSTotalCLM!$A$2:$A$500)+$A37-1,1)-1)</f>
        <v>1.0991666372258457E-2</v>
      </c>
      <c r="EL37" s="9">
        <f ca="1">IF(OR(EL10="",EL$28&lt;$A37),"",EL10/OFFSET(SSTotalCLM!$A$2,MATCH(EL$29,SSTotalCLM!$A$2:$A$500)+$A37-1,1)-1)</f>
        <v>-7.8221985397507465E-3</v>
      </c>
      <c r="EM37" s="9">
        <f ca="1">IF(OR(EM10="",EM$28&lt;$A37),"",EM10/OFFSET(SSTotalCLM!$A$2,MATCH(EM$29,SSTotalCLM!$A$2:$A$500)+$A37-1,1)-1)</f>
        <v>-7.3494996877901952E-3</v>
      </c>
      <c r="EN37" s="9">
        <f ca="1">IF(OR(EN10="",EN$28&lt;$A37),"",EN10/OFFSET(SSTotalCLM!$A$2,MATCH(EN$29,SSTotalCLM!$A$2:$A$500)+$A37-1,1)-1)</f>
        <v>-3.8633466782979853E-2</v>
      </c>
      <c r="EO37" s="9">
        <f ca="1">IF(OR(EO10="",EO$28&lt;$A37),"",EO10/OFFSET(SSTotalCLM!$A$2,MATCH(EO$29,SSTotalCLM!$A$2:$A$500)+$A37-1,1)-1)</f>
        <v>-2.3460969563383616E-2</v>
      </c>
      <c r="EP37" s="9">
        <f ca="1">IF(OR(EP10="",EP$28&lt;$A37),"",EP10/OFFSET(SSTotalCLM!$A$2,MATCH(EP$29,SSTotalCLM!$A$2:$A$500)+$A37-1,1)-1)</f>
        <v>-6.2894913742289615E-3</v>
      </c>
      <c r="EQ37" s="9">
        <f ca="1">IF(OR(EQ10="",EQ$28&lt;$A37),"",EQ10/OFFSET(SSTotalCLM!$A$2,MATCH(EQ$29,SSTotalCLM!$A$2:$A$500)+$A37-1,1)-1)</f>
        <v>-4.0779664866176235E-3</v>
      </c>
      <c r="ER37" s="9">
        <f ca="1">IF(OR(ER10="",ER$28&lt;$A37),"",ER10/OFFSET(SSTotalCLM!$A$2,MATCH(ER$29,SSTotalCLM!$A$2:$A$500)+$A37-1,1)-1)</f>
        <v>-1.7393508419555892E-2</v>
      </c>
      <c r="ES37" s="9">
        <f ca="1">IF(OR(ES10="",ES$28&lt;$A37),"",ES10/OFFSET(SSTotalCLM!$A$2,MATCH(ES$29,SSTotalCLM!$A$2:$A$500)+$A37-1,1)-1)</f>
        <v>-9.4586396555300656E-3</v>
      </c>
      <c r="ET37" s="9">
        <f ca="1">IF(OR(ET10="",ET$28&lt;$A37),"",ET10/OFFSET(SSTotalCLM!$A$2,MATCH(ET$29,SSTotalCLM!$A$2:$A$500)+$A37-1,1)-1)</f>
        <v>-6.6963577297267651E-3</v>
      </c>
      <c r="EU37" s="9">
        <f ca="1">IF(OR(EU10="",EU$28&lt;$A37),"",EU10/OFFSET(SSTotalCLM!$A$2,MATCH(EU$29,SSTotalCLM!$A$2:$A$500)+$A37-1,1)-1)</f>
        <v>-2.1292371085080974E-3</v>
      </c>
      <c r="EV37" s="9">
        <f ca="1">IF(OR(EV10="",EV$28&lt;$A37),"",EV10/OFFSET(SSTotalCLM!$A$2,MATCH(EV$29,SSTotalCLM!$A$2:$A$500)+$A37-1,1)-1)</f>
        <v>1.8855180193360077E-2</v>
      </c>
      <c r="EW37" s="9">
        <f ca="1">IF(OR(EW10="",EW$28&lt;$A37),"",EW10/OFFSET(SSTotalCLM!$A$2,MATCH(EW$29,SSTotalCLM!$A$2:$A$500)+$A37-1,1)-1)</f>
        <v>2.5029317703995968E-2</v>
      </c>
      <c r="EX37" s="9">
        <f ca="1">IF(OR(EX10="",EX$28&lt;$A37),"",EX10/OFFSET(SSTotalCLM!$A$2,MATCH(EX$29,SSTotalCLM!$A$2:$A$500)+$A37-1,1)-1)</f>
        <v>1.9697621695634604E-2</v>
      </c>
      <c r="EY37" s="9">
        <f ca="1">IF(OR(EY10="",EY$28&lt;$A37),"",EY10/OFFSET(SSTotalCLM!$A$2,MATCH(EY$29,SSTotalCLM!$A$2:$A$500)+$A37-1,1)-1)</f>
        <v>3.2787460163812288E-3</v>
      </c>
      <c r="EZ37" s="9">
        <f ca="1">IF(OR(EZ10="",EZ$28&lt;$A37),"",EZ10/OFFSET(SSTotalCLM!$A$2,MATCH(EZ$29,SSTotalCLM!$A$2:$A$500)+$A37-1,1)-1)</f>
        <v>4.9553754624878099E-3</v>
      </c>
      <c r="FA37" s="9">
        <f ca="1">IF(OR(FA10="",FA$28&lt;$A37),"",FA10/OFFSET(SSTotalCLM!$A$2,MATCH(FA$29,SSTotalCLM!$A$2:$A$500)+$A37-1,1)-1)</f>
        <v>-6.8263795515345338E-3</v>
      </c>
      <c r="FB37" s="9">
        <f ca="1">IF(OR(FB10="",FB$28&lt;$A37),"",FB10/OFFSET(SSTotalCLM!$A$2,MATCH(FB$29,SSTotalCLM!$A$2:$A$500)+$A37-1,1)-1)</f>
        <v>-4.3792387380306996E-3</v>
      </c>
      <c r="FC37" s="9">
        <f ca="1">IF(OR(FC10="",FC$28&lt;$A37),"",FC10/OFFSET(SSTotalCLM!$A$2,MATCH(FC$29,SSTotalCLM!$A$2:$A$500)+$A37-1,1)-1)</f>
        <v>-3.2099193489179001E-3</v>
      </c>
      <c r="FD37" s="9">
        <f ca="1">IF(OR(FD10="",FD$28&lt;$A37),"",FD10/OFFSET(SSTotalCLM!$A$2,MATCH(FD$29,SSTotalCLM!$A$2:$A$500)+$A37-1,1)-1)</f>
        <v>-5.6161911002066134E-3</v>
      </c>
      <c r="FE37" s="9">
        <f ca="1">IF(OR(FE10="",FE$28&lt;$A37),"",FE10/OFFSET(SSTotalCLM!$A$2,MATCH(FE$29,SSTotalCLM!$A$2:$A$500)+$A37-1,1)-1)</f>
        <v>-2.0011842678877123E-2</v>
      </c>
      <c r="FF37" s="9">
        <f ca="1">IF(OR(FF10="",FF$28&lt;$A37),"",FF10/OFFSET(SSTotalCLM!$A$2,MATCH(FF$29,SSTotalCLM!$A$2:$A$500)+$A37-1,1)-1)</f>
        <v>-2.36155588096012E-2</v>
      </c>
      <c r="FG37" s="9">
        <f ca="1">IF(OR(FG10="",FG$28&lt;$A37),"",FG10/OFFSET(SSTotalCLM!$A$2,MATCH(FG$29,SSTotalCLM!$A$2:$A$500)+$A37-1,1)-1)</f>
        <v>-2.6091573518352118E-2</v>
      </c>
      <c r="FH37" s="9">
        <f ca="1">IF(OR(FH10="",FH$28&lt;$A37),"",FH10/OFFSET(SSTotalCLM!$A$2,MATCH(FH$29,SSTotalCLM!$A$2:$A$500)+$A37-1,1)-1)</f>
        <v>-1.1196897927150951E-2</v>
      </c>
      <c r="FI37" s="9">
        <f ca="1">IF(OR(FI10="",FI$28&lt;$A37),"",FI10/OFFSET(SSTotalCLM!$A$2,MATCH(FI$29,SSTotalCLM!$A$2:$A$500)+$A37-1,1)-1)</f>
        <v>-7.3363379386878202E-3</v>
      </c>
      <c r="FJ37" s="9">
        <f ca="1">IF(OR(FJ10="",FJ$28&lt;$A37),"",FJ10/OFFSET(SSTotalCLM!$A$2,MATCH(FJ$29,SSTotalCLM!$A$2:$A$500)+$A37-1,1)-1)</f>
        <v>-7.8958745219359638E-4</v>
      </c>
      <c r="FK37" s="9">
        <f ca="1">IF(OR(FK10="",FK$28&lt;$A37),"",FK10/OFFSET(SSTotalCLM!$A$2,MATCH(FK$29,SSTotalCLM!$A$2:$A$500)+$A37-1,1)-1)</f>
        <v>4.8756987797875517E-3</v>
      </c>
      <c r="FL37" s="9">
        <f ca="1">IF(OR(FL10="",FL$28&lt;$A37),"",FL10/OFFSET(SSTotalCLM!$A$2,MATCH(FL$29,SSTotalCLM!$A$2:$A$500)+$A37-1,1)-1)</f>
        <v>4.882005098089337E-3</v>
      </c>
      <c r="FM37" s="9">
        <f ca="1">IF(OR(FM10="",FM$28&lt;$A37),"",FM10/OFFSET(SSTotalCLM!$A$2,MATCH(FM$29,SSTotalCLM!$A$2:$A$500)+$A37-1,1)-1)</f>
        <v>1.804726258820688E-2</v>
      </c>
      <c r="FN37" s="9">
        <f ca="1">IF(OR(FN10="",FN$28&lt;$A37),"",FN10/OFFSET(SSTotalCLM!$A$2,MATCH(FN$29,SSTotalCLM!$A$2:$A$500)+$A37-1,1)-1)</f>
        <v>2.719707239822533E-2</v>
      </c>
      <c r="FO37" s="9">
        <f ca="1">IF(OR(FO10="",FO$28&lt;$A37),"",FO10/OFFSET(SSTotalCLM!$A$2,MATCH(FO$29,SSTotalCLM!$A$2:$A$500)+$A37-1,1)-1)</f>
        <v>2.691318692117628E-2</v>
      </c>
      <c r="FP37" s="9">
        <f ca="1">IF(OR(FP10="",FP$28&lt;$A37),"",FP10/OFFSET(SSTotalCLM!$A$2,MATCH(FP$29,SSTotalCLM!$A$2:$A$500)+$A37-1,1)-1)</f>
        <v>-2.3355589774743946E-3</v>
      </c>
      <c r="FQ37" s="9">
        <f ca="1">IF(OR(FQ10="",FQ$28&lt;$A37),"",FQ10/OFFSET(SSTotalCLM!$A$2,MATCH(FQ$29,SSTotalCLM!$A$2:$A$500)+$A37-1,1)-1)</f>
        <v>-7.5666076900173795E-3</v>
      </c>
      <c r="FR37" s="9">
        <f ca="1">IF(OR(FR10="",FR$28&lt;$A37),"",FR10/OFFSET(SSTotalCLM!$A$2,MATCH(FR$29,SSTotalCLM!$A$2:$A$500)+$A37-1,1)-1)</f>
        <v>-2.9839164898945447E-2</v>
      </c>
      <c r="FS37" s="9">
        <f ca="1">IF(OR(FS10="",FS$28&lt;$A37),"",FS10/OFFSET(SSTotalCLM!$A$2,MATCH(FS$29,SSTotalCLM!$A$2:$A$500)+$A37-1,1)-1)</f>
        <v>-3.5228556382859821E-2</v>
      </c>
      <c r="FT37" s="9">
        <f ca="1">IF(OR(FT10="",FT$28&lt;$A37),"",FT10/OFFSET(SSTotalCLM!$A$2,MATCH(FT$29,SSTotalCLM!$A$2:$A$500)+$A37-1,1)-1)</f>
        <v>-2.6753273861166438E-2</v>
      </c>
      <c r="FU37" s="9">
        <f ca="1">IF(OR(FU10="",FU$28&lt;$A37),"",FU10/OFFSET(SSTotalCLM!$A$2,MATCH(FU$29,SSTotalCLM!$A$2:$A$500)+$A37-1,1)-1)</f>
        <v>-7.5406348643594079E-3</v>
      </c>
      <c r="FV37" s="9">
        <f ca="1">IF(OR(FV10="",FV$28&lt;$A37),"",FV10/OFFSET(SSTotalCLM!$A$2,MATCH(FV$29,SSTotalCLM!$A$2:$A$500)+$A37-1,1)-1)</f>
        <v>-6.4457999115044018E-3</v>
      </c>
      <c r="FW37" s="9">
        <f ca="1">IF(OR(FW10="",FW$28&lt;$A37),"",FW10/OFFSET(SSTotalCLM!$A$2,MATCH(FW$29,SSTotalCLM!$A$2:$A$500)+$A37-1,1)-1)</f>
        <v>-2.0744296451424726E-2</v>
      </c>
      <c r="FX37" s="9">
        <f ca="1">IF(OR(FX10="",FX$28&lt;$A37),"",FX10/OFFSET(SSTotalCLM!$A$2,MATCH(FX$29,SSTotalCLM!$A$2:$A$500)+$A37-1,1)-1)</f>
        <v>8.475894941179396E-3</v>
      </c>
      <c r="FY37" s="9">
        <f ca="1">IF(OR(FY10="",FY$28&lt;$A37),"",FY10/OFFSET(SSTotalCLM!$A$2,MATCH(FY$29,SSTotalCLM!$A$2:$A$500)+$A37-1,1)-1)</f>
        <v>5.7381555255440198E-3</v>
      </c>
      <c r="FZ37" s="9">
        <f ca="1">IF(OR(FZ10="",FZ$28&lt;$A37),"",FZ10/OFFSET(SSTotalCLM!$A$2,MATCH(FZ$29,SSTotalCLM!$A$2:$A$500)+$A37-1,1)-1)</f>
        <v>2.8643922876081529E-2</v>
      </c>
      <c r="GA37" s="9">
        <f ca="1">IF(OR(GA10="",GA$28&lt;$A37),"",GA10/OFFSET(SSTotalCLM!$A$2,MATCH(GA$29,SSTotalCLM!$A$2:$A$500)+$A37-1,1)-1)</f>
        <v>4.6459684910881593E-2</v>
      </c>
      <c r="GB37" s="9">
        <f ca="1">IF(OR(GB10="",GB$28&lt;$A37),"",GB10/OFFSET(SSTotalCLM!$A$2,MATCH(GB$29,SSTotalCLM!$A$2:$A$500)+$A37-1,1)-1)</f>
        <v>3.4593289935053395E-2</v>
      </c>
      <c r="GC37" s="9">
        <f ca="1">IF(OR(GC10="",GC$28&lt;$A37),"",GC10/OFFSET(SSTotalCLM!$A$2,MATCH(GC$29,SSTotalCLM!$A$2:$A$500)+$A37-1,1)-1)</f>
        <v>2.3959306039287753E-2</v>
      </c>
      <c r="GD37" s="9">
        <f ca="1">IF(OR(GD10="",GD$28&lt;$A37),"",GD10/OFFSET(SSTotalCLM!$A$2,MATCH(GD$29,SSTotalCLM!$A$2:$A$500)+$A37-1,1)-1)</f>
        <v>1.3204997687666475E-2</v>
      </c>
      <c r="GE37" s="9">
        <f ca="1">IF(OR(GE10="",GE$28&lt;$A37),"",GE10/OFFSET(SSTotalCLM!$A$2,MATCH(GE$29,SSTotalCLM!$A$2:$A$500)+$A37-1,1)-1)</f>
        <v>6.8276523455712557E-3</v>
      </c>
      <c r="GF37" s="9">
        <f ca="1">IF(OR(GF10="",GF$28&lt;$A37),"",GF10/OFFSET(SSTotalCLM!$A$2,MATCH(GF$29,SSTotalCLM!$A$2:$A$500)+$A37-1,1)-1)</f>
        <v>1.0660724629063534E-3</v>
      </c>
      <c r="GG37" s="9">
        <f ca="1">IF(OR(GG10="",GG$28&lt;$A37),"",GG10/OFFSET(SSTotalCLM!$A$2,MATCH(GG$29,SSTotalCLM!$A$2:$A$500)+$A37-1,1)-1)</f>
        <v>1.4252792891173094E-2</v>
      </c>
      <c r="GH37" s="9">
        <f ca="1">IF(OR(GH10="",GH$28&lt;$A37),"",GH10/OFFSET(SSTotalCLM!$A$2,MATCH(GH$29,SSTotalCLM!$A$2:$A$500)+$A37-1,1)-1)</f>
        <v>3.9826136597330697E-2</v>
      </c>
      <c r="GI37" s="9">
        <f ca="1">IF(OR(GI10="",GI$28&lt;$A37),"",GI10/OFFSET(SSTotalCLM!$A$2,MATCH(GI$29,SSTotalCLM!$A$2:$A$500)+$A37-1,1)-1)</f>
        <v>3.0618513037685036E-2</v>
      </c>
      <c r="GJ37" s="9">
        <f ca="1">IF(OR(GJ10="",GJ$28&lt;$A37),"",GJ10/OFFSET(SSTotalCLM!$A$2,MATCH(GJ$29,SSTotalCLM!$A$2:$A$500)+$A37-1,1)-1)</f>
        <v>2.2530179423729368E-2</v>
      </c>
      <c r="GK37" s="9">
        <f ca="1">IF(OR(GK10="",GK$28&lt;$A37),"",GK10/OFFSET(SSTotalCLM!$A$2,MATCH(GK$29,SSTotalCLM!$A$2:$A$500)+$A37-1,1)-1)</f>
        <v>3.2436500911199095E-2</v>
      </c>
      <c r="GL37" s="9">
        <f ca="1">IF(OR(GL10="",GL$28&lt;$A37),"",GL10/OFFSET(SSTotalCLM!$A$2,MATCH(GL$29,SSTotalCLM!$A$2:$A$500)+$A37-1,1)-1)</f>
        <v>2.5938343495867988E-2</v>
      </c>
      <c r="GM37" s="9">
        <f ca="1">IF(OR(GM10="",GM$28&lt;$A37),"",GM10/OFFSET(SSTotalCLM!$A$2,MATCH(GM$29,SSTotalCLM!$A$2:$A$500)+$A37-1,1)-1)</f>
        <v>5.3936925509510125E-3</v>
      </c>
      <c r="GN37" s="9">
        <f ca="1">IF(OR(GN10="",GN$28&lt;$A37),"",GN10/OFFSET(SSTotalCLM!$A$2,MATCH(GN$29,SSTotalCLM!$A$2:$A$500)+$A37-1,1)-1)</f>
        <v>1.7732936182305536E-2</v>
      </c>
      <c r="GO37" s="9">
        <f ca="1">IF(OR(GO10="",GO$28&lt;$A37),"",GO10/OFFSET(SSTotalCLM!$A$2,MATCH(GO$29,SSTotalCLM!$A$2:$A$500)+$A37-1,1)-1)</f>
        <v>-1.3942790959325602E-2</v>
      </c>
      <c r="GP37" s="9">
        <f ca="1">IF(OR(GP10="",GP$28&lt;$A37),"",GP10/OFFSET(SSTotalCLM!$A$2,MATCH(GP$29,SSTotalCLM!$A$2:$A$500)+$A37-1,1)-1)</f>
        <v>-6.0086909252686893E-2</v>
      </c>
      <c r="GQ37" s="9">
        <f ca="1">IF(OR(GQ10="",GQ$28&lt;$A37),"",GQ10/OFFSET(SSTotalCLM!$A$2,MATCH(GQ$29,SSTotalCLM!$A$2:$A$500)+$A37-1,1)-1)</f>
        <v>-5.8233673361145044E-2</v>
      </c>
      <c r="GR37" s="9" t="str">
        <f ca="1">IF(OR(GR10="",GR$28&lt;$A37),"",GR10/OFFSET(SSTotalCLM!$A$2,MATCH(GR$29,SSTotalCLM!$A$2:$A$500)+$A37-1,1)-1)</f>
        <v/>
      </c>
      <c r="GS37" s="9" t="str">
        <f ca="1">IF(OR(GS10="",GS$28&lt;$A37),"",GS10/OFFSET(SSTotalCLM!$A$2,MATCH(GS$29,SSTotalCLM!$A$2:$A$500)+$A37-1,1)-1)</f>
        <v/>
      </c>
      <c r="GT37" s="9" t="str">
        <f ca="1">IF(OR(GT10="",GT$28&lt;$A37),"",GT10/OFFSET(SSTotalCLM!$A$2,MATCH(GT$29,SSTotalCLM!$A$2:$A$500)+$A37-1,1)-1)</f>
        <v/>
      </c>
      <c r="GU37" s="9" t="str">
        <f ca="1">IF(OR(GU10="",GU$28&lt;$A37),"",GU10/OFFSET(SSTotalCLM!$A$2,MATCH(GU$29,SSTotalCLM!$A$2:$A$500)+$A37-1,1)-1)</f>
        <v/>
      </c>
      <c r="GV37" s="9" t="str">
        <f ca="1">IF(OR(GV10="",GV$28&lt;$A37),"",GV10/OFFSET(SSTotalCLM!$A$2,MATCH(GV$29,SSTotalCLM!$A$2:$A$500)+$A37-1,1)-1)</f>
        <v/>
      </c>
      <c r="GW37" s="9" t="str">
        <f ca="1">IF(OR(GW10="",GW$28&lt;$A37),"",GW10/OFFSET(SSTotalCLM!$A$2,MATCH(GW$29,SSTotalCLM!$A$2:$A$500)+$A37-1,1)-1)</f>
        <v/>
      </c>
      <c r="GX37" s="9" t="str">
        <f ca="1">IF(OR(GX10="",GX$28&lt;$A37),"",GX10/OFFSET(SSTotalCLM!$A$2,MATCH(GX$29,SSTotalCLM!$A$2:$A$500)+$A37-1,1)-1)</f>
        <v/>
      </c>
      <c r="GY37" s="9" t="str">
        <f ca="1">IF(OR(GY10="",GY$28&lt;$A37),"",GY10/OFFSET(SSTotalCLM!$A$2,MATCH(GY$29,SSTotalCLM!$A$2:$A$500)+$A37-1,1)-1)</f>
        <v/>
      </c>
      <c r="GZ37" s="9" t="str">
        <f ca="1">IF(OR(GZ10="",GZ$28&lt;$A37),"",GZ10/OFFSET(SSTotalCLM!$A$2,MATCH(GZ$29,SSTotalCLM!$A$2:$A$500)+$A37-1,1)-1)</f>
        <v/>
      </c>
      <c r="HA37" s="9" t="str">
        <f ca="1">IF(OR(HA10="",HA$28&lt;$A37),"",HA10/OFFSET(SSTotalCLM!$A$2,MATCH(HA$29,SSTotalCLM!$A$2:$A$500)+$A37-1,1)-1)</f>
        <v/>
      </c>
      <c r="HB37" s="9" t="str">
        <f ca="1">IF(OR(HB10="",HB$28&lt;$A37),"",HB10/OFFSET(SSTotalCLM!$A$2,MATCH(HB$29,SSTotalCLM!$A$2:$A$500)+$A37-1,1)-1)</f>
        <v/>
      </c>
      <c r="HC37" s="9" t="str">
        <f ca="1">IF(OR(HC10="",HC$28&lt;$A37),"",HC10/OFFSET(SSTotalCLM!$A$2,MATCH(HC$29,SSTotalCLM!$A$2:$A$500)+$A37-1,1)-1)</f>
        <v/>
      </c>
      <c r="HD37" s="9" t="str">
        <f ca="1">IF(OR(HD10="",HD$28&lt;$A37),"",HD10/OFFSET(SSTotalCLM!$A$2,MATCH(HD$29,SSTotalCLM!$A$2:$A$500)+$A37-1,1)-1)</f>
        <v/>
      </c>
      <c r="HE37" s="9" t="str">
        <f ca="1">IF(OR(HE10="",HE$28&lt;$A37),"",HE10/OFFSET(SSTotalCLM!$A$2,MATCH(HE$29,SSTotalCLM!$A$2:$A$500)+$A37-1,1)-1)</f>
        <v/>
      </c>
      <c r="HF37" s="9" t="str">
        <f ca="1">IF(OR(HF10="",HF$28&lt;$A37),"",HF10/OFFSET(SSTotalCLM!$A$2,MATCH(HF$29,SSTotalCLM!$A$2:$A$500)+$A37-1,1)-1)</f>
        <v/>
      </c>
      <c r="HG37" s="9" t="str">
        <f ca="1">IF(OR(HG10="",HG$28&lt;$A37),"",HG10/OFFSET(SSTotalCLM!$A$2,MATCH(HG$29,SSTotalCLM!$A$2:$A$500)+$A37-1,1)-1)</f>
        <v/>
      </c>
      <c r="HH37" s="9" t="str">
        <f ca="1">IF(OR(HH10="",HH$28&lt;$A37),"",HH10/OFFSET(SSTotalCLM!$A$2,MATCH(HH$29,SSTotalCLM!$A$2:$A$500)+$A37-1,1)-1)</f>
        <v/>
      </c>
      <c r="HI37" s="9" t="str">
        <f ca="1">IF(OR(HI10="",HI$28&lt;$A37),"",HI10/OFFSET(SSTotalCLM!$A$2,MATCH(HI$29,SSTotalCLM!$A$2:$A$500)+$A37-1,1)-1)</f>
        <v/>
      </c>
      <c r="HJ37" s="9" t="str">
        <f ca="1">IF(OR(HJ10="",HJ$28&lt;$A37),"",HJ10/OFFSET(SSTotalCLM!$A$2,MATCH(HJ$29,SSTotalCLM!$A$2:$A$500)+$A37-1,1)-1)</f>
        <v/>
      </c>
      <c r="HK37" s="9" t="str">
        <f ca="1">IF(OR(HK10="",HK$28&lt;$A37),"",HK10/OFFSET(SSTotalCLM!$A$2,MATCH(HK$29,SSTotalCLM!$A$2:$A$500)+$A37-1,1)-1)</f>
        <v/>
      </c>
      <c r="HL37" s="9" t="str">
        <f ca="1">IF(OR(HL10="",HL$28&lt;$A37),"",HL10/OFFSET(SSTotalCLM!$A$2,MATCH(HL$29,SSTotalCLM!$A$2:$A$500)+$A37-1,1)-1)</f>
        <v/>
      </c>
      <c r="HM37" s="9" t="str">
        <f ca="1">IF(OR(HM10="",HM$28&lt;$A37),"",HM10/OFFSET(SSTotalCLM!$A$2,MATCH(HM$29,SSTotalCLM!$A$2:$A$500)+$A37-1,1)-1)</f>
        <v/>
      </c>
      <c r="HN37" s="9" t="str">
        <f ca="1">IF(OR(HN10="",HN$28&lt;$A37),"",HN10/OFFSET(SSTotalCLM!$A$2,MATCH(HN$29,SSTotalCLM!$A$2:$A$500)+$A37-1,1)-1)</f>
        <v/>
      </c>
      <c r="HO37" s="9" t="str">
        <f ca="1">IF(OR(HO10="",HO$28&lt;$A37),"",HO10/OFFSET(SSTotalCLM!$A$2,MATCH(HO$29,SSTotalCLM!$A$2:$A$500)+$A37-1,1)-1)</f>
        <v/>
      </c>
      <c r="HP37" s="9" t="str">
        <f ca="1">IF(OR(HP10="",HP$28&lt;$A37),"",HP10/OFFSET(SSTotalCLM!$A$2,MATCH(HP$29,SSTotalCLM!$A$2:$A$500)+$A37-1,1)-1)</f>
        <v/>
      </c>
      <c r="HQ37" s="9" t="str">
        <f ca="1">IF(OR(HQ10="",HQ$28&lt;$A37),"",HQ10/OFFSET(SSTotalCLM!$A$2,MATCH(HQ$29,SSTotalCLM!$A$2:$A$500)+$A37-1,1)-1)</f>
        <v/>
      </c>
      <c r="HR37" s="9" t="str">
        <f ca="1">IF(OR(HR10="",HR$28&lt;$A37),"",HR10/OFFSET(SSTotalCLM!$A$2,MATCH(HR$29,SSTotalCLM!$A$2:$A$500)+$A37-1,1)-1)</f>
        <v/>
      </c>
      <c r="HS37" s="9" t="str">
        <f ca="1">IF(OR(HS10="",HS$28&lt;$A37),"",HS10/OFFSET(SSTotalCLM!$A$2,MATCH(HS$29,SSTotalCLM!$A$2:$A$500)+$A37-1,1)-1)</f>
        <v/>
      </c>
      <c r="HT37" s="9" t="str">
        <f ca="1">IF(OR(HT10="",HT$28&lt;$A37),"",HT10/OFFSET(SSTotalCLM!$A$2,MATCH(HT$29,SSTotalCLM!$A$2:$A$500)+$A37-1,1)-1)</f>
        <v/>
      </c>
      <c r="HU37" s="9" t="str">
        <f ca="1">IF(OR(HU10="",HU$28&lt;$A37),"",HU10/OFFSET(SSTotalCLM!$A$2,MATCH(HU$29,SSTotalCLM!$A$2:$A$500)+$A37-1,1)-1)</f>
        <v/>
      </c>
      <c r="HV37" s="9" t="str">
        <f ca="1">IF(OR(HV10="",HV$28&lt;$A37),"",HV10/OFFSET(SSTotalCLM!$A$2,MATCH(HV$29,SSTotalCLM!$A$2:$A$500)+$A37-1,1)-1)</f>
        <v/>
      </c>
      <c r="HW37" s="9" t="str">
        <f ca="1">IF(OR(HW10="",HW$28&lt;$A37),"",HW10/OFFSET(SSTotalCLM!$A$2,MATCH(HW$29,SSTotalCLM!$A$2:$A$500)+$A37-1,1)-1)</f>
        <v/>
      </c>
      <c r="HX37" s="9" t="str">
        <f ca="1">IF(OR(HX10="",HX$28&lt;$A37),"",HX10/OFFSET(SSTotalCLM!$A$2,MATCH(HX$29,SSTotalCLM!$A$2:$A$500)+$A37-1,1)-1)</f>
        <v/>
      </c>
      <c r="HY37" s="9" t="str">
        <f ca="1">IF(OR(HY10="",HY$28&lt;$A37),"",HY10/OFFSET(SSTotalCLM!$A$2,MATCH(HY$29,SSTotalCLM!$A$2:$A$500)+$A37-1,1)-1)</f>
        <v/>
      </c>
      <c r="HZ37" s="9" t="str">
        <f ca="1">IF(OR(HZ10="",HZ$28&lt;$A37),"",HZ10/OFFSET(SSTotalCLM!$A$2,MATCH(HZ$29,SSTotalCLM!$A$2:$A$500)+$A37-1,1)-1)</f>
        <v/>
      </c>
      <c r="IA37" s="9" t="str">
        <f ca="1">IF(OR(IA10="",IA$28&lt;$A37),"",IA10/OFFSET(SSTotalCLM!$A$2,MATCH(IA$29,SSTotalCLM!$A$2:$A$500)+$A37-1,1)-1)</f>
        <v/>
      </c>
      <c r="IB37" s="9" t="str">
        <f ca="1">IF(OR(IB10="",IB$28&lt;$A37),"",IB10/OFFSET(SSTotalCLM!$A$2,MATCH(IB$29,SSTotalCLM!$A$2:$A$500)+$A37-1,1)-1)</f>
        <v/>
      </c>
      <c r="IC37" s="9" t="str">
        <f ca="1">IF(OR(IC10="",IC$28&lt;$A37),"",IC10/OFFSET(SSTotalCLM!$A$2,MATCH(IC$29,SSTotalCLM!$A$2:$A$500)+$A37-1,1)-1)</f>
        <v/>
      </c>
      <c r="ID37" s="9" t="str">
        <f ca="1">IF(OR(ID10="",ID$28&lt;$A37),"",ID10/OFFSET(SSTotalCLM!$A$2,MATCH(ID$29,SSTotalCLM!$A$2:$A$500)+$A37-1,1)-1)</f>
        <v/>
      </c>
      <c r="IE37" s="9" t="str">
        <f ca="1">IF(OR(IE10="",IE$28&lt;$A37),"",IE10/OFFSET(SSTotalCLM!$A$2,MATCH(IE$29,SSTotalCLM!$A$2:$A$500)+$A37-1,1)-1)</f>
        <v/>
      </c>
      <c r="IF37" s="9" t="str">
        <f ca="1">IF(OR(IF10="",IF$28&lt;$A37),"",IF10/OFFSET(SSTotalCLM!$A$2,MATCH(IF$29,SSTotalCLM!$A$2:$A$500)+$A37-1,1)-1)</f>
        <v/>
      </c>
      <c r="IG37" s="9" t="str">
        <f ca="1">IF(OR(IG10="",IG$28&lt;$A37),"",IG10/OFFSET(SSTotalCLM!$A$2,MATCH(IG$29,SSTotalCLM!$A$2:$A$500)+$A37-1,1)-1)</f>
        <v/>
      </c>
      <c r="IH37" s="9" t="str">
        <f ca="1">IF(OR(IH10="",IH$28&lt;$A37),"",IH10/OFFSET(SSTotalCLM!$A$2,MATCH(IH$29,SSTotalCLM!$A$2:$A$500)+$A37-1,1)-1)</f>
        <v/>
      </c>
      <c r="II37" s="9" t="str">
        <f ca="1">IF(OR(II10="",II$28&lt;$A37),"",II10/OFFSET(SSTotalCLM!$A$2,MATCH(II$29,SSTotalCLM!$A$2:$A$500)+$A37-1,1)-1)</f>
        <v/>
      </c>
      <c r="IJ37" s="9" t="str">
        <f ca="1">IF(OR(IJ10="",IJ$28&lt;$A37),"",IJ10/OFFSET(SSTotalCLM!$A$2,MATCH(IJ$29,SSTotalCLM!$A$2:$A$500)+$A37-1,1)-1)</f>
        <v/>
      </c>
      <c r="IK37" s="9" t="str">
        <f ca="1">IF(OR(IK10="",IK$28&lt;$A37),"",IK10/OFFSET(SSTotalCLM!$A$2,MATCH(IK$29,SSTotalCLM!$A$2:$A$500)+$A37-1,1)-1)</f>
        <v/>
      </c>
      <c r="IL37" s="9" t="str">
        <f ca="1">IF(OR(IL10="",IL$28&lt;$A37),"",IL10/OFFSET(SSTotalCLM!$A$2,MATCH(IL$29,SSTotalCLM!$A$2:$A$500)+$A37-1,1)-1)</f>
        <v/>
      </c>
      <c r="IM37" s="9" t="str">
        <f ca="1">IF(OR(IM10="",IM$28&lt;$A37),"",IM10/OFFSET(SSTotalCLM!$A$2,MATCH(IM$29,SSTotalCLM!$A$2:$A$500)+$A37-1,1)-1)</f>
        <v/>
      </c>
      <c r="IN37" s="9" t="str">
        <f ca="1">IF(OR(IN10="",IN$28&lt;$A37),"",IN10/OFFSET(SSTotalCLM!$A$2,MATCH(IN$29,SSTotalCLM!$A$2:$A$500)+$A37-1,1)-1)</f>
        <v/>
      </c>
      <c r="IO37" s="9" t="str">
        <f ca="1">IF(OR(IO10="",IO$28&lt;$A37),"",IO10/OFFSET(SSTotalCLM!$A$2,MATCH(IO$29,SSTotalCLM!$A$2:$A$500)+$A37-1,1)-1)</f>
        <v/>
      </c>
      <c r="IP37" s="9" t="str">
        <f ca="1">IF(OR(IP10="",IP$28&lt;$A37),"",IP10/OFFSET(SSTotalCLM!$A$2,MATCH(IP$29,SSTotalCLM!$A$2:$A$500)+$A37-1,1)-1)</f>
        <v/>
      </c>
      <c r="IQ37" s="9" t="str">
        <f ca="1">IF(OR(IQ10="",IQ$28&lt;$A37),"",IQ10/OFFSET(SSTotalCLM!$A$2,MATCH(IQ$29,SSTotalCLM!$A$2:$A$500)+$A37-1,1)-1)</f>
        <v/>
      </c>
      <c r="IR37" s="9" t="str">
        <f ca="1">IF(OR(IR10="",IR$28&lt;$A37),"",IR10/OFFSET(SSTotalCLM!$A$2,MATCH(IR$29,SSTotalCLM!$A$2:$A$500)+$A37-1,1)-1)</f>
        <v/>
      </c>
      <c r="IS37" s="9" t="str">
        <f ca="1">IF(OR(IS10="",IS$28&lt;$A37),"",IS10/OFFSET(SSTotalCLM!$A$2,MATCH(IS$29,SSTotalCLM!$A$2:$A$500)+$A37-1,1)-1)</f>
        <v/>
      </c>
      <c r="IT37" s="9" t="str">
        <f ca="1">IF(OR(IT10="",IT$28&lt;$A37),"",IT10/OFFSET(SSTotalCLM!$A$2,MATCH(IT$29,SSTotalCLM!$A$2:$A$500)+$A37-1,1)-1)</f>
        <v/>
      </c>
      <c r="IU37" s="9" t="str">
        <f ca="1">IF(OR(IU10="",IU$28&lt;$A37),"",IU10/OFFSET(SSTotalCLM!$A$2,MATCH(IU$29,SSTotalCLM!$A$2:$A$500)+$A37-1,1)-1)</f>
        <v/>
      </c>
      <c r="IV37" s="9" t="str">
        <f ca="1">IF(OR(IV10="",IV$28&lt;$A37),"",IV10/OFFSET(SSTotalCLM!$A$2,MATCH(IV$29,SSTotalCLM!$A$2:$A$500)+$A37-1,1)-1)</f>
        <v/>
      </c>
      <c r="IW37" s="9" t="str">
        <f ca="1">IF(OR(IW10="",IW$28&lt;$A37),"",IW10/OFFSET(SSTotalCLM!$A$2,MATCH(IW$29,SSTotalCLM!$A$2:$A$500)+$A37-1,1)-1)</f>
        <v/>
      </c>
      <c r="IX37" s="9" t="str">
        <f ca="1">IF(OR(IX10="",IX$28&lt;$A37),"",IX10/OFFSET(SSTotalCLM!$A$2,MATCH(IX$29,SSTotalCLM!$A$2:$A$500)+$A37-1,1)-1)</f>
        <v/>
      </c>
      <c r="IY37" s="9" t="str">
        <f ca="1">IF(OR(IY10="",IY$28&lt;$A37),"",IY10/OFFSET(SSTotalCLM!$A$2,MATCH(IY$29,SSTotalCLM!$A$2:$A$500)+$A37-1,1)-1)</f>
        <v/>
      </c>
      <c r="IZ37" s="9" t="str">
        <f ca="1">IF(OR(IZ10="",IZ$28&lt;$A37),"",IZ10/OFFSET(SSTotalCLM!$A$2,MATCH(IZ$29,SSTotalCLM!$A$2:$A$500)+$A37-1,1)-1)</f>
        <v/>
      </c>
      <c r="JA37" s="9" t="str">
        <f ca="1">IF(OR(JA10="",JA$28&lt;$A37),"",JA10/OFFSET(SSTotalCLM!$A$2,MATCH(JA$29,SSTotalCLM!$A$2:$A$500)+$A37-1,1)-1)</f>
        <v/>
      </c>
      <c r="JB37" s="9" t="str">
        <f ca="1">IF(OR(JB10="",JB$28&lt;$A37),"",JB10/OFFSET(SSTotalCLM!$A$2,MATCH(JB$29,SSTotalCLM!$A$2:$A$500)+$A37-1,1)-1)</f>
        <v/>
      </c>
      <c r="JC37" s="9" t="str">
        <f ca="1">IF(OR(JC10="",JC$28&lt;$A37),"",JC10/OFFSET(SSTotalCLM!$A$2,MATCH(JC$29,SSTotalCLM!$A$2:$A$500)+$A37-1,1)-1)</f>
        <v/>
      </c>
      <c r="JD37" s="9" t="str">
        <f ca="1">IF(OR(JD10="",JD$28&lt;$A37),"",JD10/OFFSET(SSTotalCLM!$A$2,MATCH(JD$29,SSTotalCLM!$A$2:$A$500)+$A37-1,1)-1)</f>
        <v/>
      </c>
      <c r="JE37" s="9" t="str">
        <f ca="1">IF(OR(JE10="",JE$28&lt;$A37),"",JE10/OFFSET(SSTotalCLM!$A$2,MATCH(JE$29,SSTotalCLM!$A$2:$A$500)+$A37-1,1)-1)</f>
        <v/>
      </c>
      <c r="JF37" s="9" t="str">
        <f ca="1">IF(OR(JF10="",JF$28&lt;$A37),"",JF10/OFFSET(SSTotalCLM!$A$2,MATCH(JF$29,SSTotalCLM!$A$2:$A$500)+$A37-1,1)-1)</f>
        <v/>
      </c>
      <c r="JG37" s="9" t="str">
        <f ca="1">IF(OR(JG10="",JG$28&lt;$A37),"",JG10/OFFSET(SSTotalCLM!$A$2,MATCH(JG$29,SSTotalCLM!$A$2:$A$500)+$A37-1,1)-1)</f>
        <v/>
      </c>
      <c r="JH37" s="9" t="str">
        <f ca="1">IF(OR(JH10="",JH$28&lt;$A37),"",JH10/OFFSET(SSTotalCLM!$A$2,MATCH(JH$29,SSTotalCLM!$A$2:$A$500)+$A37-1,1)-1)</f>
        <v/>
      </c>
      <c r="JI37" s="13">
        <f t="shared" ca="1" si="13"/>
        <v>3.3820875622584605E-3</v>
      </c>
      <c r="JJ37" s="13">
        <f t="shared" ca="1" si="14"/>
        <v>6.8276523455712557E-3</v>
      </c>
      <c r="JK37" s="14">
        <f t="shared" ca="1" si="15"/>
        <v>7.6665793997672928E-4</v>
      </c>
      <c r="JL37" s="17">
        <f t="shared" ca="1" si="18"/>
        <v>2.7688588623776569E-2</v>
      </c>
      <c r="JM37" s="15" t="str">
        <f t="shared" ca="1" si="16"/>
        <v>[ -5,20% ; 5,88% ]</v>
      </c>
      <c r="JN37" s="17">
        <f t="shared" ca="1" si="17"/>
        <v>3.5441393438434006E-2</v>
      </c>
      <c r="LY37" s="1"/>
    </row>
    <row r="38" spans="1:337" x14ac:dyDescent="0.25">
      <c r="A38" s="4">
        <v>9</v>
      </c>
      <c r="B38" s="9">
        <f ca="1">IF(OR(B11="",B$28&lt;$A38),"",B11/OFFSET(SSTotalCLM!$A$2,MATCH(B$29,SSTotalCLM!$A$2:$A$500)+$A38-1,1)-1)</f>
        <v>-1.4778858016555207E-2</v>
      </c>
      <c r="C38" s="9">
        <f ca="1">IF(OR(C11="",C$28&lt;$A38),"",C11/OFFSET(SSTotalCLM!$A$2,MATCH(C$29,SSTotalCLM!$A$2:$A$500)+$A38-1,1)-1)</f>
        <v>-1.6658837939928839E-2</v>
      </c>
      <c r="D38" s="9">
        <f ca="1">IF(OR(D11="",D$28&lt;$A38),"",D11/OFFSET(SSTotalCLM!$A$2,MATCH(D$29,SSTotalCLM!$A$2:$A$500)+$A38-1,1)-1)</f>
        <v>-1.1516869636404303E-2</v>
      </c>
      <c r="E38" s="9">
        <f ca="1">IF(OR(E11="",E$28&lt;$A38),"",E11/OFFSET(SSTotalCLM!$A$2,MATCH(E$29,SSTotalCLM!$A$2:$A$500)+$A38-1,1)-1)</f>
        <v>-3.1220384718379512E-2</v>
      </c>
      <c r="F38" s="9">
        <f ca="1">IF(OR(F11="",F$28&lt;$A38),"",F11/OFFSET(SSTotalCLM!$A$2,MATCH(F$29,SSTotalCLM!$A$2:$A$500)+$A38-1,1)-1)</f>
        <v>-1.1854108733926005E-2</v>
      </c>
      <c r="G38" s="9">
        <f ca="1">IF(OR(G11="",G$28&lt;$A38),"",G11/OFFSET(SSTotalCLM!$A$2,MATCH(G$29,SSTotalCLM!$A$2:$A$500)+$A38-1,1)-1)</f>
        <v>-1.0230586142697784E-2</v>
      </c>
      <c r="H38" s="9">
        <f ca="1">IF(OR(H11="",H$28&lt;$A38),"",H11/OFFSET(SSTotalCLM!$A$2,MATCH(H$29,SSTotalCLM!$A$2:$A$500)+$A38-1,1)-1)</f>
        <v>-1.0708845800431521E-2</v>
      </c>
      <c r="I38" s="9">
        <f ca="1">IF(OR(I11="",I$28&lt;$A38),"",I11/OFFSET(SSTotalCLM!$A$2,MATCH(I$29,SSTotalCLM!$A$2:$A$500)+$A38-1,1)-1)</f>
        <v>-1.0922002694939814E-2</v>
      </c>
      <c r="J38" s="9">
        <f ca="1">IF(OR(J11="",J$28&lt;$A38),"",J11/OFFSET(SSTotalCLM!$A$2,MATCH(J$29,SSTotalCLM!$A$2:$A$500)+$A38-1,1)-1)</f>
        <v>-7.3672984945779563E-3</v>
      </c>
      <c r="K38" s="9">
        <f ca="1">IF(OR(K11="",K$28&lt;$A38),"",K11/OFFSET(SSTotalCLM!$A$2,MATCH(K$29,SSTotalCLM!$A$2:$A$500)+$A38-1,1)-1)</f>
        <v>-1.7440350460134146E-2</v>
      </c>
      <c r="L38" s="9">
        <f ca="1">IF(OR(L11="",L$28&lt;$A38),"",L11/OFFSET(SSTotalCLM!$A$2,MATCH(L$29,SSTotalCLM!$A$2:$A$500)+$A38-1,1)-1)</f>
        <v>-2.3495876678497396E-2</v>
      </c>
      <c r="M38" s="9">
        <f ca="1">IF(OR(M11="",M$28&lt;$A38),"",M11/OFFSET(SSTotalCLM!$A$2,MATCH(M$29,SSTotalCLM!$A$2:$A$500)+$A38-1,1)-1)</f>
        <v>-2.6963995806367436E-2</v>
      </c>
      <c r="N38" s="9">
        <f ca="1">IF(OR(N11="",N$28&lt;$A38),"",N11/OFFSET(SSTotalCLM!$A$2,MATCH(N$29,SSTotalCLM!$A$2:$A$500)+$A38-1,1)-1)</f>
        <v>-1.8085508137270723E-2</v>
      </c>
      <c r="O38" s="9">
        <f ca="1">IF(OR(O11="",O$28&lt;$A38),"",O11/OFFSET(SSTotalCLM!$A$2,MATCH(O$29,SSTotalCLM!$A$2:$A$500)+$A38-1,1)-1)</f>
        <v>-2.7105567011598053E-2</v>
      </c>
      <c r="P38" s="9">
        <f ca="1">IF(OR(P11="",P$28&lt;$A38),"",P11/OFFSET(SSTotalCLM!$A$2,MATCH(P$29,SSTotalCLM!$A$2:$A$500)+$A38-1,1)-1)</f>
        <v>-2.9964738220037646E-2</v>
      </c>
      <c r="Q38" s="9">
        <f ca="1">IF(OR(Q11="",Q$28&lt;$A38),"",Q11/OFFSET(SSTotalCLM!$A$2,MATCH(Q$29,SSTotalCLM!$A$2:$A$500)+$A38-1,1)-1)</f>
        <v>-4.1281361448827325E-2</v>
      </c>
      <c r="R38" s="9">
        <f ca="1">IF(OR(R11="",R$28&lt;$A38),"",R11/OFFSET(SSTotalCLM!$A$2,MATCH(R$29,SSTotalCLM!$A$2:$A$500)+$A38-1,1)-1)</f>
        <v>-2.6436431263439197E-2</v>
      </c>
      <c r="S38" s="9">
        <f ca="1">IF(OR(S11="",S$28&lt;$A38),"",S11/OFFSET(SSTotalCLM!$A$2,MATCH(S$29,SSTotalCLM!$A$2:$A$500)+$A38-1,1)-1)</f>
        <v>-2.0145110552152068E-2</v>
      </c>
      <c r="T38" s="9">
        <f ca="1">IF(OR(T11="",T$28&lt;$A38),"",T11/OFFSET(SSTotalCLM!$A$2,MATCH(T$29,SSTotalCLM!$A$2:$A$500)+$A38-1,1)-1)</f>
        <v>-1.3084368372053512E-2</v>
      </c>
      <c r="U38" s="9">
        <f ca="1">IF(OR(U11="",U$28&lt;$A38),"",U11/OFFSET(SSTotalCLM!$A$2,MATCH(U$29,SSTotalCLM!$A$2:$A$500)+$A38-1,1)-1)</f>
        <v>3.8837541363898609E-3</v>
      </c>
      <c r="V38" s="9">
        <f ca="1">IF(OR(V11="",V$28&lt;$A38),"",V11/OFFSET(SSTotalCLM!$A$2,MATCH(V$29,SSTotalCLM!$A$2:$A$500)+$A38-1,1)-1)</f>
        <v>7.3414103783910889E-3</v>
      </c>
      <c r="W38" s="9">
        <f ca="1">IF(OR(W11="",W$28&lt;$A38),"",W11/OFFSET(SSTotalCLM!$A$2,MATCH(W$29,SSTotalCLM!$A$2:$A$500)+$A38-1,1)-1)</f>
        <v>9.8102204261583115E-3</v>
      </c>
      <c r="X38" s="9">
        <f ca="1">IF(OR(X11="",X$28&lt;$A38),"",X11/OFFSET(SSTotalCLM!$A$2,MATCH(X$29,SSTotalCLM!$A$2:$A$500)+$A38-1,1)-1)</f>
        <v>1.6093215983554288E-2</v>
      </c>
      <c r="Y38" s="9">
        <f ca="1">IF(OR(Y11="",Y$28&lt;$A38),"",Y11/OFFSET(SSTotalCLM!$A$2,MATCH(Y$29,SSTotalCLM!$A$2:$A$500)+$A38-1,1)-1)</f>
        <v>2.5173662312581113E-2</v>
      </c>
      <c r="Z38" s="9">
        <f ca="1">IF(OR(Z11="",Z$28&lt;$A38),"",Z11/OFFSET(SSTotalCLM!$A$2,MATCH(Z$29,SSTotalCLM!$A$2:$A$500)+$A38-1,1)-1)</f>
        <v>2.9655732588859562E-2</v>
      </c>
      <c r="AA38" s="9">
        <f ca="1">IF(OR(AA11="",AA$28&lt;$A38),"",AA11/OFFSET(SSTotalCLM!$A$2,MATCH(AA$29,SSTotalCLM!$A$2:$A$500)+$A38-1,1)-1)</f>
        <v>2.4317816225437827E-2</v>
      </c>
      <c r="AB38" s="9">
        <f ca="1">IF(OR(AB11="",AB$28&lt;$A38),"",AB11/OFFSET(SSTotalCLM!$A$2,MATCH(AB$29,SSTotalCLM!$A$2:$A$500)+$A38-1,1)-1)</f>
        <v>2.31396197360203E-2</v>
      </c>
      <c r="AC38" s="9">
        <f ca="1">IF(OR(AC11="",AC$28&lt;$A38),"",AC11/OFFSET(SSTotalCLM!$A$2,MATCH(AC$29,SSTotalCLM!$A$2:$A$500)+$A38-1,1)-1)</f>
        <v>2.3009495004241431E-2</v>
      </c>
      <c r="AD38" s="9">
        <f ca="1">IF(OR(AD11="",AD$28&lt;$A38),"",AD11/OFFSET(SSTotalCLM!$A$2,MATCH(AD$29,SSTotalCLM!$A$2:$A$500)+$A38-1,1)-1)</f>
        <v>1.3864225802971974E-2</v>
      </c>
      <c r="AE38" s="9">
        <f ca="1">IF(OR(AE11="",AE$28&lt;$A38),"",AE11/OFFSET(SSTotalCLM!$A$2,MATCH(AE$29,SSTotalCLM!$A$2:$A$500)+$A38-1,1)-1)</f>
        <v>1.134558694527521E-2</v>
      </c>
      <c r="AF38" s="9">
        <f ca="1">IF(OR(AF11="",AF$28&lt;$A38),"",AF11/OFFSET(SSTotalCLM!$A$2,MATCH(AF$29,SSTotalCLM!$A$2:$A$500)+$A38-1,1)-1)</f>
        <v>-1.752281717910531E-4</v>
      </c>
      <c r="AG38" s="9">
        <f ca="1">IF(OR(AG11="",AG$28&lt;$A38),"",AG11/OFFSET(SSTotalCLM!$A$2,MATCH(AG$29,SSTotalCLM!$A$2:$A$500)+$A38-1,1)-1)</f>
        <v>-7.5437558282144268E-3</v>
      </c>
      <c r="AH38" s="9">
        <f ca="1">IF(OR(AH11="",AH$28&lt;$A38),"",AH11/OFFSET(SSTotalCLM!$A$2,MATCH(AH$29,SSTotalCLM!$A$2:$A$500)+$A38-1,1)-1)</f>
        <v>-1.1617065776077684E-2</v>
      </c>
      <c r="AI38" s="9">
        <f ca="1">IF(OR(AI11="",AI$28&lt;$A38),"",AI11/OFFSET(SSTotalCLM!$A$2,MATCH(AI$29,SSTotalCLM!$A$2:$A$500)+$A38-1,1)-1)</f>
        <v>-8.8151052100279292E-3</v>
      </c>
      <c r="AJ38" s="9">
        <f ca="1">IF(OR(AJ11="",AJ$28&lt;$A38),"",AJ11/OFFSET(SSTotalCLM!$A$2,MATCH(AJ$29,SSTotalCLM!$A$2:$A$500)+$A38-1,1)-1)</f>
        <v>-6.8790294954946818E-3</v>
      </c>
      <c r="AK38" s="9">
        <f ca="1">IF(OR(AK11="",AK$28&lt;$A38),"",AK11/OFFSET(SSTotalCLM!$A$2,MATCH(AK$29,SSTotalCLM!$A$2:$A$500)+$A38-1,1)-1)</f>
        <v>-2.4933417437883465E-3</v>
      </c>
      <c r="AL38" s="9">
        <f ca="1">IF(OR(AL11="",AL$28&lt;$A38),"",AL11/OFFSET(SSTotalCLM!$A$2,MATCH(AL$29,SSTotalCLM!$A$2:$A$500)+$A38-1,1)-1)</f>
        <v>3.4144994476572599E-3</v>
      </c>
      <c r="AM38" s="9">
        <f ca="1">IF(OR(AM11="",AM$28&lt;$A38),"",AM11/OFFSET(SSTotalCLM!$A$2,MATCH(AM$29,SSTotalCLM!$A$2:$A$500)+$A38-1,1)-1)</f>
        <v>-1.6684245053247837E-3</v>
      </c>
      <c r="AN38" s="9">
        <f ca="1">IF(OR(AN11="",AN$28&lt;$A38),"",AN11/OFFSET(SSTotalCLM!$A$2,MATCH(AN$29,SSTotalCLM!$A$2:$A$500)+$A38-1,1)-1)</f>
        <v>2.2678318196507341E-3</v>
      </c>
      <c r="AO38" s="9">
        <f ca="1">IF(OR(AO11="",AO$28&lt;$A38),"",AO11/OFFSET(SSTotalCLM!$A$2,MATCH(AO$29,SSTotalCLM!$A$2:$A$500)+$A38-1,1)-1)</f>
        <v>-3.9114265511008828E-4</v>
      </c>
      <c r="AP38" s="9">
        <f ca="1">IF(OR(AP11="",AP$28&lt;$A38),"",AP11/OFFSET(SSTotalCLM!$A$2,MATCH(AP$29,SSTotalCLM!$A$2:$A$500)+$A38-1,1)-1)</f>
        <v>8.4014382678405664E-3</v>
      </c>
      <c r="AQ38" s="9">
        <f ca="1">IF(OR(AQ11="",AQ$28&lt;$A38),"",AQ11/OFFSET(SSTotalCLM!$A$2,MATCH(AQ$29,SSTotalCLM!$A$2:$A$500)+$A38-1,1)-1)</f>
        <v>1.3207328844387911E-2</v>
      </c>
      <c r="AR38" s="9">
        <f ca="1">IF(OR(AR11="",AR$28&lt;$A38),"",AR11/OFFSET(SSTotalCLM!$A$2,MATCH(AR$29,SSTotalCLM!$A$2:$A$500)+$A38-1,1)-1)</f>
        <v>1.4477870655895453E-2</v>
      </c>
      <c r="AS38" s="9">
        <f ca="1">IF(OR(AS11="",AS$28&lt;$A38),"",AS11/OFFSET(SSTotalCLM!$A$2,MATCH(AS$29,SSTotalCLM!$A$2:$A$500)+$A38-1,1)-1)</f>
        <v>1.6108747826899084E-2</v>
      </c>
      <c r="AT38" s="9">
        <f ca="1">IF(OR(AT11="",AT$28&lt;$A38),"",AT11/OFFSET(SSTotalCLM!$A$2,MATCH(AT$29,SSTotalCLM!$A$2:$A$500)+$A38-1,1)-1)</f>
        <v>1.9899742059053205E-2</v>
      </c>
      <c r="AU38" s="9">
        <f ca="1">IF(OR(AU11="",AU$28&lt;$A38),"",AU11/OFFSET(SSTotalCLM!$A$2,MATCH(AU$29,SSTotalCLM!$A$2:$A$500)+$A38-1,1)-1)</f>
        <v>3.24390872180782E-2</v>
      </c>
      <c r="AV38" s="9">
        <f ca="1">IF(OR(AV11="",AV$28&lt;$A38),"",AV11/OFFSET(SSTotalCLM!$A$2,MATCH(AV$29,SSTotalCLM!$A$2:$A$500)+$A38-1,1)-1)</f>
        <v>4.4294196325305402E-2</v>
      </c>
      <c r="AW38" s="9">
        <f ca="1">IF(OR(AW11="",AW$28&lt;$A38),"",AW11/OFFSET(SSTotalCLM!$A$2,MATCH(AW$29,SSTotalCLM!$A$2:$A$500)+$A38-1,1)-1)</f>
        <v>5.3112815621006337E-2</v>
      </c>
      <c r="AX38" s="9">
        <f ca="1">IF(OR(AX11="",AX$28&lt;$A38),"",AX11/OFFSET(SSTotalCLM!$A$2,MATCH(AX$29,SSTotalCLM!$A$2:$A$500)+$A38-1,1)-1)</f>
        <v>6.1041361894663693E-2</v>
      </c>
      <c r="AY38" s="9">
        <f ca="1">IF(OR(AY11="",AY$28&lt;$A38),"",AY11/OFFSET(SSTotalCLM!$A$2,MATCH(AY$29,SSTotalCLM!$A$2:$A$500)+$A38-1,1)-1)</f>
        <v>5.568152378393898E-2</v>
      </c>
      <c r="AZ38" s="9">
        <f ca="1">IF(OR(AZ11="",AZ$28&lt;$A38),"",AZ11/OFFSET(SSTotalCLM!$A$2,MATCH(AZ$29,SSTotalCLM!$A$2:$A$500)+$A38-1,1)-1)</f>
        <v>7.9715331360351582E-2</v>
      </c>
      <c r="BA38" s="9">
        <f ca="1">IF(OR(BA11="",BA$28&lt;$A38),"",BA11/OFFSET(SSTotalCLM!$A$2,MATCH(BA$29,SSTotalCLM!$A$2:$A$500)+$A38-1,1)-1)</f>
        <v>7.8421314291714506E-2</v>
      </c>
      <c r="BB38" s="9">
        <f ca="1">IF(OR(BB11="",BB$28&lt;$A38),"",BB11/OFFSET(SSTotalCLM!$A$2,MATCH(BB$29,SSTotalCLM!$A$2:$A$500)+$A38-1,1)-1)</f>
        <v>8.8300467519885073E-2</v>
      </c>
      <c r="BC38" s="9">
        <f ca="1">IF(OR(BC11="",BC$28&lt;$A38),"",BC11/OFFSET(SSTotalCLM!$A$2,MATCH(BC$29,SSTotalCLM!$A$2:$A$500)+$A38-1,1)-1)</f>
        <v>9.1471109100346615E-2</v>
      </c>
      <c r="BD38" s="9">
        <f ca="1">IF(OR(BD11="",BD$28&lt;$A38),"",BD11/OFFSET(SSTotalCLM!$A$2,MATCH(BD$29,SSTotalCLM!$A$2:$A$500)+$A38-1,1)-1)</f>
        <v>9.4319841649628255E-2</v>
      </c>
      <c r="BE38" s="9">
        <f ca="1">IF(OR(BE11="",BE$28&lt;$A38),"",BE11/OFFSET(SSTotalCLM!$A$2,MATCH(BE$29,SSTotalCLM!$A$2:$A$500)+$A38-1,1)-1)</f>
        <v>7.9757897405756673E-2</v>
      </c>
      <c r="BF38" s="9">
        <f ca="1">IF(OR(BF11="",BF$28&lt;$A38),"",BF11/OFFSET(SSTotalCLM!$A$2,MATCH(BF$29,SSTotalCLM!$A$2:$A$500)+$A38-1,1)-1)</f>
        <v>4.3720142319390698E-2</v>
      </c>
      <c r="BG38" s="9">
        <f ca="1">IF(OR(BG11="",BG$28&lt;$A38),"",BG11/OFFSET(SSTotalCLM!$A$2,MATCH(BG$29,SSTotalCLM!$A$2:$A$500)+$A38-1,1)-1)</f>
        <v>4.9861715414728502E-2</v>
      </c>
      <c r="BH38" s="9">
        <f ca="1">IF(OR(BH11="",BH$28&lt;$A38),"",BH11/OFFSET(SSTotalCLM!$A$2,MATCH(BH$29,SSTotalCLM!$A$2:$A$500)+$A38-1,1)-1)</f>
        <v>5.5941274965428001E-2</v>
      </c>
      <c r="BI38" s="9">
        <f ca="1">IF(OR(BI11="",BI$28&lt;$A38),"",BI11/OFFSET(SSTotalCLM!$A$2,MATCH(BI$29,SSTotalCLM!$A$2:$A$500)+$A38-1,1)-1)</f>
        <v>7.8131354057784375E-3</v>
      </c>
      <c r="BJ38" s="9">
        <f ca="1">IF(OR(BJ11="",BJ$28&lt;$A38),"",BJ11/OFFSET(SSTotalCLM!$A$2,MATCH(BJ$29,SSTotalCLM!$A$2:$A$500)+$A38-1,1)-1)</f>
        <v>-2.7071248780635604E-2</v>
      </c>
      <c r="BK38" s="9">
        <f ca="1">IF(OR(BK11="",BK$28&lt;$A38),"",BK11/OFFSET(SSTotalCLM!$A$2,MATCH(BK$29,SSTotalCLM!$A$2:$A$500)+$A38-1,1)-1)</f>
        <v>-3.8800879844984482E-2</v>
      </c>
      <c r="BL38" s="9">
        <f ca="1">IF(OR(BL11="",BL$28&lt;$A38),"",BL11/OFFSET(SSTotalCLM!$A$2,MATCH(BL$29,SSTotalCLM!$A$2:$A$500)+$A38-1,1)-1)</f>
        <v>-5.7009589956717899E-2</v>
      </c>
      <c r="BM38" s="9">
        <f ca="1">IF(OR(BM11="",BM$28&lt;$A38),"",BM11/OFFSET(SSTotalCLM!$A$2,MATCH(BM$29,SSTotalCLM!$A$2:$A$500)+$A38-1,1)-1)</f>
        <v>-9.2209522731660831E-2</v>
      </c>
      <c r="BN38" s="9">
        <f ca="1">IF(OR(BN11="",BN$28&lt;$A38),"",BN11/OFFSET(SSTotalCLM!$A$2,MATCH(BN$29,SSTotalCLM!$A$2:$A$500)+$A38-1,1)-1)</f>
        <v>-7.4263317710699828E-2</v>
      </c>
      <c r="BO38" s="9">
        <f ca="1">IF(OR(BO11="",BO$28&lt;$A38),"",BO11/OFFSET(SSTotalCLM!$A$2,MATCH(BO$29,SSTotalCLM!$A$2:$A$500)+$A38-1,1)-1)</f>
        <v>-5.8902660657969008E-2</v>
      </c>
      <c r="BP38" s="9">
        <f ca="1">IF(OR(BP11="",BP$28&lt;$A38),"",BP11/OFFSET(SSTotalCLM!$A$2,MATCH(BP$29,SSTotalCLM!$A$2:$A$500)+$A38-1,1)-1)</f>
        <v>-2.9786063372227556E-2</v>
      </c>
      <c r="BQ38" s="9">
        <f ca="1">IF(OR(BQ11="",BQ$28&lt;$A38),"",BQ11/OFFSET(SSTotalCLM!$A$2,MATCH(BQ$29,SSTotalCLM!$A$2:$A$500)+$A38-1,1)-1)</f>
        <v>-2.5292322619086205E-2</v>
      </c>
      <c r="BR38" s="9">
        <f ca="1">IF(OR(BR11="",BR$28&lt;$A38),"",BR11/OFFSET(SSTotalCLM!$A$2,MATCH(BR$29,SSTotalCLM!$A$2:$A$500)+$A38-1,1)-1)</f>
        <v>-1.2242406357366065E-2</v>
      </c>
      <c r="BS38" s="9">
        <f ca="1">IF(OR(BS11="",BS$28&lt;$A38),"",BS11/OFFSET(SSTotalCLM!$A$2,MATCH(BS$29,SSTotalCLM!$A$2:$A$500)+$A38-1,1)-1)</f>
        <v>4.5944621905408267E-2</v>
      </c>
      <c r="BT38" s="9">
        <f ca="1">IF(OR(BT11="",BT$28&lt;$A38),"",BT11/OFFSET(SSTotalCLM!$A$2,MATCH(BT$29,SSTotalCLM!$A$2:$A$500)+$A38-1,1)-1)</f>
        <v>2.8796038115163958E-2</v>
      </c>
      <c r="BU38" s="9">
        <f ca="1">IF(OR(BU11="",BU$28&lt;$A38),"",BU11/OFFSET(SSTotalCLM!$A$2,MATCH(BU$29,SSTotalCLM!$A$2:$A$500)+$A38-1,1)-1)</f>
        <v>7.127855282327733E-3</v>
      </c>
      <c r="BV38" s="9">
        <f ca="1">IF(OR(BV11="",BV$28&lt;$A38),"",BV11/OFFSET(SSTotalCLM!$A$2,MATCH(BV$29,SSTotalCLM!$A$2:$A$500)+$A38-1,1)-1)</f>
        <v>1.2452468845080444E-2</v>
      </c>
      <c r="BW38" s="9">
        <f ca="1">IF(OR(BW11="",BW$28&lt;$A38),"",BW11/OFFSET(SSTotalCLM!$A$2,MATCH(BW$29,SSTotalCLM!$A$2:$A$500)+$A38-1,1)-1)</f>
        <v>9.5734885780873746E-4</v>
      </c>
      <c r="BX38" s="9">
        <f ca="1">IF(OR(BX11="",BX$28&lt;$A38),"",BX11/OFFSET(SSTotalCLM!$A$2,MATCH(BX$29,SSTotalCLM!$A$2:$A$500)+$A38-1,1)-1)</f>
        <v>1.0881388460842301E-2</v>
      </c>
      <c r="BY38" s="9">
        <f ca="1">IF(OR(BY11="",BY$28&lt;$A38),"",BY11/OFFSET(SSTotalCLM!$A$2,MATCH(BY$29,SSTotalCLM!$A$2:$A$500)+$A38-1,1)-1)</f>
        <v>1.0267271104900111E-3</v>
      </c>
      <c r="BZ38" s="9">
        <f ca="1">IF(OR(BZ11="",BZ$28&lt;$A38),"",BZ11/OFFSET(SSTotalCLM!$A$2,MATCH(BZ$29,SSTotalCLM!$A$2:$A$500)+$A38-1,1)-1)</f>
        <v>-6.0517169808286253E-3</v>
      </c>
      <c r="CA38" s="9">
        <f ca="1">IF(OR(CA11="",CA$28&lt;$A38),"",CA11/OFFSET(SSTotalCLM!$A$2,MATCH(CA$29,SSTotalCLM!$A$2:$A$500)+$A38-1,1)-1)</f>
        <v>5.9409859436965196E-3</v>
      </c>
      <c r="CB38" s="9">
        <f ca="1">IF(OR(CB11="",CB$28&lt;$A38),"",CB11/OFFSET(SSTotalCLM!$A$2,MATCH(CB$29,SSTotalCLM!$A$2:$A$500)+$A38-1,1)-1)</f>
        <v>-1.2970918767813977E-3</v>
      </c>
      <c r="CC38" s="9">
        <f ca="1">IF(OR(CC11="",CC$28&lt;$A38),"",CC11/OFFSET(SSTotalCLM!$A$2,MATCH(CC$29,SSTotalCLM!$A$2:$A$500)+$A38-1,1)-1)</f>
        <v>2.3554785164794367E-3</v>
      </c>
      <c r="CD38" s="9">
        <f ca="1">IF(OR(CD11="",CD$28&lt;$A38),"",CD11/OFFSET(SSTotalCLM!$A$2,MATCH(CD$29,SSTotalCLM!$A$2:$A$500)+$A38-1,1)-1)</f>
        <v>1.8387811645450558E-3</v>
      </c>
      <c r="CE38" s="9">
        <f ca="1">IF(OR(CE11="",CE$28&lt;$A38),"",CE11/OFFSET(SSTotalCLM!$A$2,MATCH(CE$29,SSTotalCLM!$A$2:$A$500)+$A38-1,1)-1)</f>
        <v>3.0140341393025016E-2</v>
      </c>
      <c r="CF38" s="9">
        <f ca="1">IF(OR(CF11="",CF$28&lt;$A38),"",CF11/OFFSET(SSTotalCLM!$A$2,MATCH(CF$29,SSTotalCLM!$A$2:$A$500)+$A38-1,1)-1)</f>
        <v>3.8260901269117298E-2</v>
      </c>
      <c r="CG38" s="9">
        <f ca="1">IF(OR(CG11="",CG$28&lt;$A38),"",CG11/OFFSET(SSTotalCLM!$A$2,MATCH(CG$29,SSTotalCLM!$A$2:$A$500)+$A38-1,1)-1)</f>
        <v>1.2020548432645661E-2</v>
      </c>
      <c r="CH38" s="9">
        <f ca="1">IF(OR(CH11="",CH$28&lt;$A38),"",CH11/OFFSET(SSTotalCLM!$A$2,MATCH(CH$29,SSTotalCLM!$A$2:$A$500)+$A38-1,1)-1)</f>
        <v>7.6774288780705469E-3</v>
      </c>
      <c r="CI38" s="9">
        <f ca="1">IF(OR(CI11="",CI$28&lt;$A38),"",CI11/OFFSET(SSTotalCLM!$A$2,MATCH(CI$29,SSTotalCLM!$A$2:$A$500)+$A38-1,1)-1)</f>
        <v>3.455298372885407E-2</v>
      </c>
      <c r="CJ38" s="9">
        <f ca="1">IF(OR(CJ11="",CJ$28&lt;$A38),"",CJ11/OFFSET(SSTotalCLM!$A$2,MATCH(CJ$29,SSTotalCLM!$A$2:$A$500)+$A38-1,1)-1)</f>
        <v>2.0757201952477322E-2</v>
      </c>
      <c r="CK38" s="9">
        <f ca="1">IF(OR(CK11="",CK$28&lt;$A38),"",CK11/OFFSET(SSTotalCLM!$A$2,MATCH(CK$29,SSTotalCLM!$A$2:$A$500)+$A38-1,1)-1)</f>
        <v>1.8819878462539741E-2</v>
      </c>
      <c r="CL38" s="9">
        <f ca="1">IF(OR(CL11="",CL$28&lt;$A38),"",CL11/OFFSET(SSTotalCLM!$A$2,MATCH(CL$29,SSTotalCLM!$A$2:$A$500)+$A38-1,1)-1)</f>
        <v>3.5341371658836662E-2</v>
      </c>
      <c r="CM38" s="9">
        <f ca="1">IF(OR(CM11="",CM$28&lt;$A38),"",CM11/OFFSET(SSTotalCLM!$A$2,MATCH(CM$29,SSTotalCLM!$A$2:$A$500)+$A38-1,1)-1)</f>
        <v>3.7192095517309509E-2</v>
      </c>
      <c r="CN38" s="9">
        <f ca="1">IF(OR(CN11="",CN$28&lt;$A38),"",CN11/OFFSET(SSTotalCLM!$A$2,MATCH(CN$29,SSTotalCLM!$A$2:$A$500)+$A38-1,1)-1)</f>
        <v>3.4834058753661079E-2</v>
      </c>
      <c r="CO38" s="9">
        <f ca="1">IF(OR(CO11="",CO$28&lt;$A38),"",CO11/OFFSET(SSTotalCLM!$A$2,MATCH(CO$29,SSTotalCLM!$A$2:$A$500)+$A38-1,1)-1)</f>
        <v>3.1299202271972248E-2</v>
      </c>
      <c r="CP38" s="9">
        <f ca="1">IF(OR(CP11="",CP$28&lt;$A38),"",CP11/OFFSET(SSTotalCLM!$A$2,MATCH(CP$29,SSTotalCLM!$A$2:$A$500)+$A38-1,1)-1)</f>
        <v>3.5605617134228051E-2</v>
      </c>
      <c r="CQ38" s="9">
        <f ca="1">IF(OR(CQ11="",CQ$28&lt;$A38),"",CQ11/OFFSET(SSTotalCLM!$A$2,MATCH(CQ$29,SSTotalCLM!$A$2:$A$500)+$A38-1,1)-1)</f>
        <v>4.8072723970812081E-2</v>
      </c>
      <c r="CR38" s="9">
        <f ca="1">IF(OR(CR11="",CR$28&lt;$A38),"",CR11/OFFSET(SSTotalCLM!$A$2,MATCH(CR$29,SSTotalCLM!$A$2:$A$500)+$A38-1,1)-1)</f>
        <v>3.4676871197661052E-2</v>
      </c>
      <c r="CS38" s="9">
        <f ca="1">IF(OR(CS11="",CS$28&lt;$A38),"",CS11/OFFSET(SSTotalCLM!$A$2,MATCH(CS$29,SSTotalCLM!$A$2:$A$500)+$A38-1,1)-1)</f>
        <v>3.302896495956098E-2</v>
      </c>
      <c r="CT38" s="9">
        <f ca="1">IF(OR(CT11="",CT$28&lt;$A38),"",CT11/OFFSET(SSTotalCLM!$A$2,MATCH(CT$29,SSTotalCLM!$A$2:$A$500)+$A38-1,1)-1)</f>
        <v>1.9934209773540879E-2</v>
      </c>
      <c r="CU38" s="9">
        <f ca="1">IF(OR(CU11="",CU$28&lt;$A38),"",CU11/OFFSET(SSTotalCLM!$A$2,MATCH(CU$29,SSTotalCLM!$A$2:$A$500)+$A38-1,1)-1)</f>
        <v>2.2303622721433047E-2</v>
      </c>
      <c r="CV38" s="9">
        <f ca="1">IF(OR(CV11="",CV$28&lt;$A38),"",CV11/OFFSET(SSTotalCLM!$A$2,MATCH(CV$29,SSTotalCLM!$A$2:$A$500)+$A38-1,1)-1)</f>
        <v>3.2675991999334908E-2</v>
      </c>
      <c r="CW38" s="9">
        <f ca="1">IF(OR(CW11="",CW$28&lt;$A38),"",CW11/OFFSET(SSTotalCLM!$A$2,MATCH(CW$29,SSTotalCLM!$A$2:$A$500)+$A38-1,1)-1)</f>
        <v>3.2995852010994753E-2</v>
      </c>
      <c r="CX38" s="9">
        <f ca="1">IF(OR(CX11="",CX$28&lt;$A38),"",CX11/OFFSET(SSTotalCLM!$A$2,MATCH(CX$29,SSTotalCLM!$A$2:$A$500)+$A38-1,1)-1)</f>
        <v>1.7223268798330471E-2</v>
      </c>
      <c r="CY38" s="9">
        <f ca="1">IF(OR(CY11="",CY$28&lt;$A38),"",CY11/OFFSET(SSTotalCLM!$A$2,MATCH(CY$29,SSTotalCLM!$A$2:$A$500)+$A38-1,1)-1)</f>
        <v>1.0749219511647645E-2</v>
      </c>
      <c r="CZ38" s="9">
        <f ca="1">IF(OR(CZ11="",CZ$28&lt;$A38),"",CZ11/OFFSET(SSTotalCLM!$A$2,MATCH(CZ$29,SSTotalCLM!$A$2:$A$500)+$A38-1,1)-1)</f>
        <v>2.5746403287911113E-2</v>
      </c>
      <c r="DA38" s="9">
        <f ca="1">IF(OR(DA11="",DA$28&lt;$A38),"",DA11/OFFSET(SSTotalCLM!$A$2,MATCH(DA$29,SSTotalCLM!$A$2:$A$500)+$A38-1,1)-1)</f>
        <v>6.0889054663817443E-3</v>
      </c>
      <c r="DB38" s="9">
        <f ca="1">IF(OR(DB11="",DB$28&lt;$A38),"",DB11/OFFSET(SSTotalCLM!$A$2,MATCH(DB$29,SSTotalCLM!$A$2:$A$500)+$A38-1,1)-1)</f>
        <v>-1.9934580766929555E-2</v>
      </c>
      <c r="DC38" s="9">
        <f ca="1">IF(OR(DC11="",DC$28&lt;$A38),"",DC11/OFFSET(SSTotalCLM!$A$2,MATCH(DC$29,SSTotalCLM!$A$2:$A$500)+$A38-1,1)-1)</f>
        <v>2.6683807069555199E-2</v>
      </c>
      <c r="DD38" s="9">
        <f ca="1">IF(OR(DD11="",DD$28&lt;$A38),"",DD11/OFFSET(SSTotalCLM!$A$2,MATCH(DD$29,SSTotalCLM!$A$2:$A$500)+$A38-1,1)-1)</f>
        <v>-1.9788746731883577E-3</v>
      </c>
      <c r="DE38" s="9">
        <f ca="1">IF(OR(DE11="",DE$28&lt;$A38),"",DE11/OFFSET(SSTotalCLM!$A$2,MATCH(DE$29,SSTotalCLM!$A$2:$A$500)+$A38-1,1)-1)</f>
        <v>-5.3256238577893633E-2</v>
      </c>
      <c r="DF38" s="9">
        <f ca="1">IF(OR(DF11="",DF$28&lt;$A38),"",DF11/OFFSET(SSTotalCLM!$A$2,MATCH(DF$29,SSTotalCLM!$A$2:$A$500)+$A38-1,1)-1)</f>
        <v>-6.6258108742492716E-2</v>
      </c>
      <c r="DG38" s="9">
        <f ca="1">IF(OR(DG11="",DG$28&lt;$A38),"",DG11/OFFSET(SSTotalCLM!$A$2,MATCH(DG$29,SSTotalCLM!$A$2:$A$500)+$A38-1,1)-1)</f>
        <v>-7.9270235374537812E-2</v>
      </c>
      <c r="DH38" s="9">
        <f ca="1">IF(OR(DH11="",DH$28&lt;$A38),"",DH11/OFFSET(SSTotalCLM!$A$2,MATCH(DH$29,SSTotalCLM!$A$2:$A$500)+$A38-1,1)-1)</f>
        <v>-5.0448432097107365E-2</v>
      </c>
      <c r="DI38" s="9">
        <f ca="1">IF(OR(DI11="",DI$28&lt;$A38),"",DI11/OFFSET(SSTotalCLM!$A$2,MATCH(DI$29,SSTotalCLM!$A$2:$A$500)+$A38-1,1)-1)</f>
        <v>-5.3348997609828586E-2</v>
      </c>
      <c r="DJ38" s="9">
        <f ca="1">IF(OR(DJ11="",DJ$28&lt;$A38),"",DJ11/OFFSET(SSTotalCLM!$A$2,MATCH(DJ$29,SSTotalCLM!$A$2:$A$500)+$A38-1,1)-1)</f>
        <v>-5.5956616066449416E-2</v>
      </c>
      <c r="DK38" s="9">
        <f ca="1">IF(OR(DK11="",DK$28&lt;$A38),"",DK11/OFFSET(SSTotalCLM!$A$2,MATCH(DK$29,SSTotalCLM!$A$2:$A$500)+$A38-1,1)-1)</f>
        <v>-5.0851443264914975E-2</v>
      </c>
      <c r="DL38" s="9">
        <f ca="1">IF(OR(DL11="",DL$28&lt;$A38),"",DL11/OFFSET(SSTotalCLM!$A$2,MATCH(DL$29,SSTotalCLM!$A$2:$A$500)+$A38-1,1)-1)</f>
        <v>-4.1754937776103396E-2</v>
      </c>
      <c r="DM38" s="9">
        <f ca="1">IF(OR(DM11="",DM$28&lt;$A38),"",DM11/OFFSET(SSTotalCLM!$A$2,MATCH(DM$29,SSTotalCLM!$A$2:$A$500)+$A38-1,1)-1)</f>
        <v>-5.0343446852433527E-2</v>
      </c>
      <c r="DN38" s="9">
        <f ca="1">IF(OR(DN11="",DN$28&lt;$A38),"",DN11/OFFSET(SSTotalCLM!$A$2,MATCH(DN$29,SSTotalCLM!$A$2:$A$500)+$A38-1,1)-1)</f>
        <v>-4.2694382516545004E-2</v>
      </c>
      <c r="DO38" s="9">
        <f ca="1">IF(OR(DO11="",DO$28&lt;$A38),"",DO11/OFFSET(SSTotalCLM!$A$2,MATCH(DO$29,SSTotalCLM!$A$2:$A$500)+$A38-1,1)-1)</f>
        <v>-4.4987321697910976E-2</v>
      </c>
      <c r="DP38" s="9">
        <f ca="1">IF(OR(DP11="",DP$28&lt;$A38),"",DP11/OFFSET(SSTotalCLM!$A$2,MATCH(DP$29,SSTotalCLM!$A$2:$A$500)+$A38-1,1)-1)</f>
        <v>6.370392797298452E-3</v>
      </c>
      <c r="DQ38" s="9">
        <f ca="1">IF(OR(DQ11="",DQ$28&lt;$A38),"",DQ11/OFFSET(SSTotalCLM!$A$2,MATCH(DQ$29,SSTotalCLM!$A$2:$A$500)+$A38-1,1)-1)</f>
        <v>-3.2655977715361328E-2</v>
      </c>
      <c r="DR38" s="9">
        <f ca="1">IF(OR(DR11="",DR$28&lt;$A38),"",DR11/OFFSET(SSTotalCLM!$A$2,MATCH(DR$29,SSTotalCLM!$A$2:$A$500)+$A38-1,1)-1)</f>
        <v>-2.7035716680336219E-2</v>
      </c>
      <c r="DS38" s="9">
        <f ca="1">IF(OR(DS11="",DS$28&lt;$A38),"",DS11/OFFSET(SSTotalCLM!$A$2,MATCH(DS$29,SSTotalCLM!$A$2:$A$500)+$A38-1,1)-1)</f>
        <v>1.6665602986277284E-2</v>
      </c>
      <c r="DT38" s="9">
        <f ca="1">IF(OR(DT11="",DT$28&lt;$A38),"",DT11/OFFSET(SSTotalCLM!$A$2,MATCH(DT$29,SSTotalCLM!$A$2:$A$500)+$A38-1,1)-1)</f>
        <v>9.0537876689356089E-4</v>
      </c>
      <c r="DU38" s="9">
        <f ca="1">IF(OR(DU11="",DU$28&lt;$A38),"",DU11/OFFSET(SSTotalCLM!$A$2,MATCH(DU$29,SSTotalCLM!$A$2:$A$500)+$A38-1,1)-1)</f>
        <v>-1.0297441896275572E-2</v>
      </c>
      <c r="DV38" s="9">
        <f ca="1">IF(OR(DV11="",DV$28&lt;$A38),"",DV11/OFFSET(SSTotalCLM!$A$2,MATCH(DV$29,SSTotalCLM!$A$2:$A$500)+$A38-1,1)-1)</f>
        <v>-3.9802379969955393E-3</v>
      </c>
      <c r="DW38" s="9">
        <f ca="1">IF(OR(DW11="",DW$28&lt;$A38),"",DW11/OFFSET(SSTotalCLM!$A$2,MATCH(DW$29,SSTotalCLM!$A$2:$A$500)+$A38-1,1)-1)</f>
        <v>-7.6302902706260056E-3</v>
      </c>
      <c r="DX38" s="9">
        <f ca="1">IF(OR(DX11="",DX$28&lt;$A38),"",DX11/OFFSET(SSTotalCLM!$A$2,MATCH(DX$29,SSTotalCLM!$A$2:$A$500)+$A38-1,1)-1)</f>
        <v>-5.7221128866211668E-3</v>
      </c>
      <c r="DY38" s="9">
        <f ca="1">IF(OR(DY11="",DY$28&lt;$A38),"",DY11/OFFSET(SSTotalCLM!$A$2,MATCH(DY$29,SSTotalCLM!$A$2:$A$500)+$A38-1,1)-1)</f>
        <v>-1.8899198044088017E-2</v>
      </c>
      <c r="DZ38" s="9">
        <f ca="1">IF(OR(DZ11="",DZ$28&lt;$A38),"",DZ11/OFFSET(SSTotalCLM!$A$2,MATCH(DZ$29,SSTotalCLM!$A$2:$A$500)+$A38-1,1)-1)</f>
        <v>-3.3769287816407756E-2</v>
      </c>
      <c r="EA38" s="9">
        <f ca="1">IF(OR(EA11="",EA$28&lt;$A38),"",EA11/OFFSET(SSTotalCLM!$A$2,MATCH(EA$29,SSTotalCLM!$A$2:$A$500)+$A38-1,1)-1)</f>
        <v>-4.2837762661251944E-4</v>
      </c>
      <c r="EB38" s="9">
        <f ca="1">IF(OR(EB11="",EB$28&lt;$A38),"",EB11/OFFSET(SSTotalCLM!$A$2,MATCH(EB$29,SSTotalCLM!$A$2:$A$500)+$A38-1,1)-1)</f>
        <v>-3.9549109153855455E-2</v>
      </c>
      <c r="EC38" s="9">
        <f ca="1">IF(OR(EC11="",EC$28&lt;$A38),"",EC11/OFFSET(SSTotalCLM!$A$2,MATCH(EC$29,SSTotalCLM!$A$2:$A$500)+$A38-1,1)-1)</f>
        <v>-1.6298631880174885E-2</v>
      </c>
      <c r="ED38" s="9">
        <f ca="1">IF(OR(ED11="",ED$28&lt;$A38),"",ED11/OFFSET(SSTotalCLM!$A$2,MATCH(ED$29,SSTotalCLM!$A$2:$A$500)+$A38-1,1)-1)</f>
        <v>-8.591539274317328E-3</v>
      </c>
      <c r="EE38" s="9">
        <f ca="1">IF(OR(EE11="",EE$28&lt;$A38),"",EE11/OFFSET(SSTotalCLM!$A$2,MATCH(EE$29,SSTotalCLM!$A$2:$A$500)+$A38-1,1)-1)</f>
        <v>-1.1712522648600565E-2</v>
      </c>
      <c r="EF38" s="9">
        <f ca="1">IF(OR(EF11="",EF$28&lt;$A38),"",EF11/OFFSET(SSTotalCLM!$A$2,MATCH(EF$29,SSTotalCLM!$A$2:$A$500)+$A38-1,1)-1)</f>
        <v>-9.2348146893621585E-3</v>
      </c>
      <c r="EG38" s="9">
        <f ca="1">IF(OR(EG11="",EG$28&lt;$A38),"",EG11/OFFSET(SSTotalCLM!$A$2,MATCH(EG$29,SSTotalCLM!$A$2:$A$500)+$A38-1,1)-1)</f>
        <v>-1.441831416491568E-3</v>
      </c>
      <c r="EH38" s="9">
        <f ca="1">IF(OR(EH11="",EH$28&lt;$A38),"",EH11/OFFSET(SSTotalCLM!$A$2,MATCH(EH$29,SSTotalCLM!$A$2:$A$500)+$A38-1,1)-1)</f>
        <v>1.4995060807285521E-2</v>
      </c>
      <c r="EI38" s="9">
        <f ca="1">IF(OR(EI11="",EI$28&lt;$A38),"",EI11/OFFSET(SSTotalCLM!$A$2,MATCH(EI$29,SSTotalCLM!$A$2:$A$500)+$A38-1,1)-1)</f>
        <v>3.2357439775509311E-2</v>
      </c>
      <c r="EJ38" s="9">
        <f ca="1">IF(OR(EJ11="",EJ$28&lt;$A38),"",EJ11/OFFSET(SSTotalCLM!$A$2,MATCH(EJ$29,SSTotalCLM!$A$2:$A$500)+$A38-1,1)-1)</f>
        <v>3.4006573207346902E-2</v>
      </c>
      <c r="EK38" s="9">
        <f ca="1">IF(OR(EK11="",EK$28&lt;$A38),"",EK11/OFFSET(SSTotalCLM!$A$2,MATCH(EK$29,SSTotalCLM!$A$2:$A$500)+$A38-1,1)-1)</f>
        <v>8.8794788223223176E-3</v>
      </c>
      <c r="EL38" s="9">
        <f ca="1">IF(OR(EL11="",EL$28&lt;$A38),"",EL11/OFFSET(SSTotalCLM!$A$2,MATCH(EL$29,SSTotalCLM!$A$2:$A$500)+$A38-1,1)-1)</f>
        <v>-1.3719825956474585E-2</v>
      </c>
      <c r="EM38" s="9">
        <f ca="1">IF(OR(EM11="",EM$28&lt;$A38),"",EM11/OFFSET(SSTotalCLM!$A$2,MATCH(EM$29,SSTotalCLM!$A$2:$A$500)+$A38-1,1)-1)</f>
        <v>-1.8308511397405969E-2</v>
      </c>
      <c r="EN38" s="9">
        <f ca="1">IF(OR(EN11="",EN$28&lt;$A38),"",EN11/OFFSET(SSTotalCLM!$A$2,MATCH(EN$29,SSTotalCLM!$A$2:$A$500)+$A38-1,1)-1)</f>
        <v>-3.890315223712848E-2</v>
      </c>
      <c r="EO38" s="9">
        <f ca="1">IF(OR(EO11="",EO$28&lt;$A38),"",EO11/OFFSET(SSTotalCLM!$A$2,MATCH(EO$29,SSTotalCLM!$A$2:$A$500)+$A38-1,1)-1)</f>
        <v>-1.9734442813871489E-2</v>
      </c>
      <c r="EP38" s="9">
        <f ca="1">IF(OR(EP11="",EP$28&lt;$A38),"",EP11/OFFSET(SSTotalCLM!$A$2,MATCH(EP$29,SSTotalCLM!$A$2:$A$500)+$A38-1,1)-1)</f>
        <v>-4.2601349054649518E-3</v>
      </c>
      <c r="EQ38" s="9">
        <f ca="1">IF(OR(EQ11="",EQ$28&lt;$A38),"",EQ11/OFFSET(SSTotalCLM!$A$2,MATCH(EQ$29,SSTotalCLM!$A$2:$A$500)+$A38-1,1)-1)</f>
        <v>-1.3405528366230213E-2</v>
      </c>
      <c r="ER38" s="9">
        <f ca="1">IF(OR(ER11="",ER$28&lt;$A38),"",ER11/OFFSET(SSTotalCLM!$A$2,MATCH(ER$29,SSTotalCLM!$A$2:$A$500)+$A38-1,1)-1)</f>
        <v>-8.5583795234929205E-3</v>
      </c>
      <c r="ES38" s="9">
        <f ca="1">IF(OR(ES11="",ES$28&lt;$A38),"",ES11/OFFSET(SSTotalCLM!$A$2,MATCH(ES$29,SSTotalCLM!$A$2:$A$500)+$A38-1,1)-1)</f>
        <v>-1.1766147758473289E-2</v>
      </c>
      <c r="ET38" s="9">
        <f ca="1">IF(OR(ET11="",ET$28&lt;$A38),"",ET11/OFFSET(SSTotalCLM!$A$2,MATCH(ET$29,SSTotalCLM!$A$2:$A$500)+$A38-1,1)-1)</f>
        <v>-1.2348297953475917E-2</v>
      </c>
      <c r="EU38" s="9">
        <f ca="1">IF(OR(EU11="",EU$28&lt;$A38),"",EU11/OFFSET(SSTotalCLM!$A$2,MATCH(EU$29,SSTotalCLM!$A$2:$A$500)+$A38-1,1)-1)</f>
        <v>-7.5346348460869628E-4</v>
      </c>
      <c r="EV38" s="9">
        <f ca="1">IF(OR(EV11="",EV$28&lt;$A38),"",EV11/OFFSET(SSTotalCLM!$A$2,MATCH(EV$29,SSTotalCLM!$A$2:$A$500)+$A38-1,1)-1)</f>
        <v>2.2434608447577054E-2</v>
      </c>
      <c r="EW38" s="9">
        <f ca="1">IF(OR(EW11="",EW$28&lt;$A38),"",EW11/OFFSET(SSTotalCLM!$A$2,MATCH(EW$29,SSTotalCLM!$A$2:$A$500)+$A38-1,1)-1)</f>
        <v>2.8377376372446417E-2</v>
      </c>
      <c r="EX38" s="9">
        <f ca="1">IF(OR(EX11="",EX$28&lt;$A38),"",EX11/OFFSET(SSTotalCLM!$A$2,MATCH(EX$29,SSTotalCLM!$A$2:$A$500)+$A38-1,1)-1)</f>
        <v>2.0996868504486121E-2</v>
      </c>
      <c r="EY38" s="9">
        <f ca="1">IF(OR(EY11="",EY$28&lt;$A38),"",EY11/OFFSET(SSTotalCLM!$A$2,MATCH(EY$29,SSTotalCLM!$A$2:$A$500)+$A38-1,1)-1)</f>
        <v>5.1181997020099956E-4</v>
      </c>
      <c r="EZ38" s="9">
        <f ca="1">IF(OR(EZ11="",EZ$28&lt;$A38),"",EZ11/OFFSET(SSTotalCLM!$A$2,MATCH(EZ$29,SSTotalCLM!$A$2:$A$500)+$A38-1,1)-1)</f>
        <v>6.7509591167935756E-3</v>
      </c>
      <c r="FA38" s="9">
        <f ca="1">IF(OR(FA11="",FA$28&lt;$A38),"",FA11/OFFSET(SSTotalCLM!$A$2,MATCH(FA$29,SSTotalCLM!$A$2:$A$500)+$A38-1,1)-1)</f>
        <v>-2.3084343740531477E-3</v>
      </c>
      <c r="FB38" s="9">
        <f ca="1">IF(OR(FB11="",FB$28&lt;$A38),"",FB11/OFFSET(SSTotalCLM!$A$2,MATCH(FB$29,SSTotalCLM!$A$2:$A$500)+$A38-1,1)-1)</f>
        <v>-1.1446486556897617E-2</v>
      </c>
      <c r="FC38" s="9">
        <f ca="1">IF(OR(FC11="",FC$28&lt;$A38),"",FC11/OFFSET(SSTotalCLM!$A$2,MATCH(FC$29,SSTotalCLM!$A$2:$A$500)+$A38-1,1)-1)</f>
        <v>-3.8882776017843401E-3</v>
      </c>
      <c r="FD38" s="9">
        <f ca="1">IF(OR(FD11="",FD$28&lt;$A38),"",FD11/OFFSET(SSTotalCLM!$A$2,MATCH(FD$29,SSTotalCLM!$A$2:$A$500)+$A38-1,1)-1)</f>
        <v>-1.7921627435669496E-2</v>
      </c>
      <c r="FE38" s="9">
        <f ca="1">IF(OR(FE11="",FE$28&lt;$A38),"",FE11/OFFSET(SSTotalCLM!$A$2,MATCH(FE$29,SSTotalCLM!$A$2:$A$500)+$A38-1,1)-1)</f>
        <v>-1.9473616169820462E-2</v>
      </c>
      <c r="FF38" s="9">
        <f ca="1">IF(OR(FF11="",FF$28&lt;$A38),"",FF11/OFFSET(SSTotalCLM!$A$2,MATCH(FF$29,SSTotalCLM!$A$2:$A$500)+$A38-1,1)-1)</f>
        <v>-2.1829936937387662E-2</v>
      </c>
      <c r="FG38" s="9">
        <f ca="1">IF(OR(FG11="",FG$28&lt;$A38),"",FG11/OFFSET(SSTotalCLM!$A$2,MATCH(FG$29,SSTotalCLM!$A$2:$A$500)+$A38-1,1)-1)</f>
        <v>-2.4147850966690587E-2</v>
      </c>
      <c r="FH38" s="9">
        <f ca="1">IF(OR(FH11="",FH$28&lt;$A38),"",FH11/OFFSET(SSTotalCLM!$A$2,MATCH(FH$29,SSTotalCLM!$A$2:$A$500)+$A38-1,1)-1)</f>
        <v>-7.5105504500415643E-3</v>
      </c>
      <c r="FI38" s="9">
        <f ca="1">IF(OR(FI11="",FI$28&lt;$A38),"",FI11/OFFSET(SSTotalCLM!$A$2,MATCH(FI$29,SSTotalCLM!$A$2:$A$500)+$A38-1,1)-1)</f>
        <v>-1.1500119255301033E-3</v>
      </c>
      <c r="FJ38" s="9">
        <f ca="1">IF(OR(FJ11="",FJ$28&lt;$A38),"",FJ11/OFFSET(SSTotalCLM!$A$2,MATCH(FJ$29,SSTotalCLM!$A$2:$A$500)+$A38-1,1)-1)</f>
        <v>1.4196844421556776E-3</v>
      </c>
      <c r="FK38" s="9">
        <f ca="1">IF(OR(FK11="",FK$28&lt;$A38),"",FK11/OFFSET(SSTotalCLM!$A$2,MATCH(FK$29,SSTotalCLM!$A$2:$A$500)+$A38-1,1)-1)</f>
        <v>4.490206952102449E-3</v>
      </c>
      <c r="FL38" s="9">
        <f ca="1">IF(OR(FL11="",FL$28&lt;$A38),"",FL11/OFFSET(SSTotalCLM!$A$2,MATCH(FL$29,SSTotalCLM!$A$2:$A$500)+$A38-1,1)-1)</f>
        <v>-4.2215620474980176E-3</v>
      </c>
      <c r="FM38" s="9">
        <f ca="1">IF(OR(FM11="",FM$28&lt;$A38),"",FM11/OFFSET(SSTotalCLM!$A$2,MATCH(FM$29,SSTotalCLM!$A$2:$A$500)+$A38-1,1)-1)</f>
        <v>2.3416144823501295E-2</v>
      </c>
      <c r="FN38" s="9">
        <f ca="1">IF(OR(FN11="",FN$28&lt;$A38),"",FN11/OFFSET(SSTotalCLM!$A$2,MATCH(FN$29,SSTotalCLM!$A$2:$A$500)+$A38-1,1)-1)</f>
        <v>3.5124030221531433E-2</v>
      </c>
      <c r="FO38" s="9">
        <f ca="1">IF(OR(FO11="",FO$28&lt;$A38),"",FO11/OFFSET(SSTotalCLM!$A$2,MATCH(FO$29,SSTotalCLM!$A$2:$A$500)+$A38-1,1)-1)</f>
        <v>8.5430661381689088E-3</v>
      </c>
      <c r="FP38" s="9">
        <f ca="1">IF(OR(FP11="",FP$28&lt;$A38),"",FP11/OFFSET(SSTotalCLM!$A$2,MATCH(FP$29,SSTotalCLM!$A$2:$A$500)+$A38-1,1)-1)</f>
        <v>2.1597707211120643E-3</v>
      </c>
      <c r="FQ38" s="9">
        <f ca="1">IF(OR(FQ11="",FQ$28&lt;$A38),"",FQ11/OFFSET(SSTotalCLM!$A$2,MATCH(FQ$29,SSTotalCLM!$A$2:$A$500)+$A38-1,1)-1)</f>
        <v>-1.9309223717494994E-2</v>
      </c>
      <c r="FR38" s="9">
        <f ca="1">IF(OR(FR11="",FR$28&lt;$A38),"",FR11/OFFSET(SSTotalCLM!$A$2,MATCH(FR$29,SSTotalCLM!$A$2:$A$500)+$A38-1,1)-1)</f>
        <v>-3.4173567176986497E-2</v>
      </c>
      <c r="FS38" s="9">
        <f ca="1">IF(OR(FS11="",FS$28&lt;$A38),"",FS11/OFFSET(SSTotalCLM!$A$2,MATCH(FS$29,SSTotalCLM!$A$2:$A$500)+$A38-1,1)-1)</f>
        <v>-3.4945284029541446E-2</v>
      </c>
      <c r="FT38" s="9">
        <f ca="1">IF(OR(FT11="",FT$28&lt;$A38),"",FT11/OFFSET(SSTotalCLM!$A$2,MATCH(FT$29,SSTotalCLM!$A$2:$A$500)+$A38-1,1)-1)</f>
        <v>-2.4933671675735902E-2</v>
      </c>
      <c r="FU38" s="9">
        <f ca="1">IF(OR(FU11="",FU$28&lt;$A38),"",FU11/OFFSET(SSTotalCLM!$A$2,MATCH(FU$29,SSTotalCLM!$A$2:$A$500)+$A38-1,1)-1)</f>
        <v>-3.426923091878642E-3</v>
      </c>
      <c r="FV38" s="9">
        <f ca="1">IF(OR(FV11="",FV$28&lt;$A38),"",FV11/OFFSET(SSTotalCLM!$A$2,MATCH(FV$29,SSTotalCLM!$A$2:$A$500)+$A38-1,1)-1)</f>
        <v>-1.3133982653402709E-3</v>
      </c>
      <c r="FW38" s="9">
        <f ca="1">IF(OR(FW11="",FW$28&lt;$A38),"",FW11/OFFSET(SSTotalCLM!$A$2,MATCH(FW$29,SSTotalCLM!$A$2:$A$500)+$A38-1,1)-1)</f>
        <v>-1.9455837838863843E-2</v>
      </c>
      <c r="FX38" s="9">
        <f ca="1">IF(OR(FX11="",FX$28&lt;$A38),"",FX11/OFFSET(SSTotalCLM!$A$2,MATCH(FX$29,SSTotalCLM!$A$2:$A$500)+$A38-1,1)-1)</f>
        <v>9.3536071517328345E-3</v>
      </c>
      <c r="FY38" s="9">
        <f ca="1">IF(OR(FY11="",FY$28&lt;$A38),"",FY11/OFFSET(SSTotalCLM!$A$2,MATCH(FY$29,SSTotalCLM!$A$2:$A$500)+$A38-1,1)-1)</f>
        <v>1.0425283077912351E-2</v>
      </c>
      <c r="FZ38" s="9">
        <f ca="1">IF(OR(FZ11="",FZ$28&lt;$A38),"",FZ11/OFFSET(SSTotalCLM!$A$2,MATCH(FZ$29,SSTotalCLM!$A$2:$A$500)+$A38-1,1)-1)</f>
        <v>3.86427539447598E-2</v>
      </c>
      <c r="GA38" s="9">
        <f ca="1">IF(OR(GA11="",GA$28&lt;$A38),"",GA11/OFFSET(SSTotalCLM!$A$2,MATCH(GA$29,SSTotalCLM!$A$2:$A$500)+$A38-1,1)-1)</f>
        <v>4.5449057177042951E-2</v>
      </c>
      <c r="GB38" s="9">
        <f ca="1">IF(OR(GB11="",GB$28&lt;$A38),"",GB11/OFFSET(SSTotalCLM!$A$2,MATCH(GB$29,SSTotalCLM!$A$2:$A$500)+$A38-1,1)-1)</f>
        <v>3.0809900641811439E-2</v>
      </c>
      <c r="GC38" s="9">
        <f ca="1">IF(OR(GC11="",GC$28&lt;$A38),"",GC11/OFFSET(SSTotalCLM!$A$2,MATCH(GC$29,SSTotalCLM!$A$2:$A$500)+$A38-1,1)-1)</f>
        <v>2.601562354848741E-2</v>
      </c>
      <c r="GD38" s="9">
        <f ca="1">IF(OR(GD11="",GD$28&lt;$A38),"",GD11/OFFSET(SSTotalCLM!$A$2,MATCH(GD$29,SSTotalCLM!$A$2:$A$500)+$A38-1,1)-1)</f>
        <v>1.6688847973680865E-2</v>
      </c>
      <c r="GE38" s="9">
        <f ca="1">IF(OR(GE11="",GE$28&lt;$A38),"",GE11/OFFSET(SSTotalCLM!$A$2,MATCH(GE$29,SSTotalCLM!$A$2:$A$500)+$A38-1,1)-1)</f>
        <v>1.6703742476193995E-3</v>
      </c>
      <c r="GF38" s="9">
        <f ca="1">IF(OR(GF11="",GF$28&lt;$A38),"",GF11/OFFSET(SSTotalCLM!$A$2,MATCH(GF$29,SSTotalCLM!$A$2:$A$500)+$A38-1,1)-1)</f>
        <v>1.5502884793541671E-2</v>
      </c>
      <c r="GG38" s="9">
        <f ca="1">IF(OR(GG11="",GG$28&lt;$A38),"",GG11/OFFSET(SSTotalCLM!$A$2,MATCH(GG$29,SSTotalCLM!$A$2:$A$500)+$A38-1,1)-1)</f>
        <v>4.583597941955686E-2</v>
      </c>
      <c r="GH38" s="9">
        <f ca="1">IF(OR(GH11="",GH$28&lt;$A38),"",GH11/OFFSET(SSTotalCLM!$A$2,MATCH(GH$29,SSTotalCLM!$A$2:$A$500)+$A38-1,1)-1)</f>
        <v>3.5738102293427776E-2</v>
      </c>
      <c r="GI38" s="9">
        <f ca="1">IF(OR(GI11="",GI$28&lt;$A38),"",GI11/OFFSET(SSTotalCLM!$A$2,MATCH(GI$29,SSTotalCLM!$A$2:$A$500)+$A38-1,1)-1)</f>
        <v>2.4611725998558986E-2</v>
      </c>
      <c r="GJ38" s="9">
        <f ca="1">IF(OR(GJ11="",GJ$28&lt;$A38),"",GJ11/OFFSET(SSTotalCLM!$A$2,MATCH(GJ$29,SSTotalCLM!$A$2:$A$500)+$A38-1,1)-1)</f>
        <v>1.854342426330069E-2</v>
      </c>
      <c r="GK38" s="9">
        <f ca="1">IF(OR(GK11="",GK$28&lt;$A38),"",GK11/OFFSET(SSTotalCLM!$A$2,MATCH(GK$29,SSTotalCLM!$A$2:$A$500)+$A38-1,1)-1)</f>
        <v>2.3722211289616268E-2</v>
      </c>
      <c r="GL38" s="9">
        <f ca="1">IF(OR(GL11="",GL$28&lt;$A38),"",GL11/OFFSET(SSTotalCLM!$A$2,MATCH(GL$29,SSTotalCLM!$A$2:$A$500)+$A38-1,1)-1)</f>
        <v>1.3359972308514267E-2</v>
      </c>
      <c r="GM38" s="9">
        <f ca="1">IF(OR(GM11="",GM$28&lt;$A38),"",GM11/OFFSET(SSTotalCLM!$A$2,MATCH(GM$29,SSTotalCLM!$A$2:$A$500)+$A38-1,1)-1)</f>
        <v>1.0893414094370168E-2</v>
      </c>
      <c r="GN38" s="9">
        <f ca="1">IF(OR(GN11="",GN$28&lt;$A38),"",GN11/OFFSET(SSTotalCLM!$A$2,MATCH(GN$29,SSTotalCLM!$A$2:$A$500)+$A38-1,1)-1)</f>
        <v>9.0401502530035316E-3</v>
      </c>
      <c r="GO38" s="9">
        <f ca="1">IF(OR(GO11="",GO$28&lt;$A38),"",GO11/OFFSET(SSTotalCLM!$A$2,MATCH(GO$29,SSTotalCLM!$A$2:$A$500)+$A38-1,1)-1)</f>
        <v>-1.3783917896419751E-2</v>
      </c>
      <c r="GP38" s="9">
        <f ca="1">IF(OR(GP11="",GP$28&lt;$A38),"",GP11/OFFSET(SSTotalCLM!$A$2,MATCH(GP$29,SSTotalCLM!$A$2:$A$500)+$A38-1,1)-1)</f>
        <v>-5.7659022910377833E-2</v>
      </c>
      <c r="GQ38" s="9" t="str">
        <f ca="1">IF(OR(GQ11="",GQ$28&lt;$A38),"",GQ11/OFFSET(SSTotalCLM!$A$2,MATCH(GQ$29,SSTotalCLM!$A$2:$A$500)+$A38-1,1)-1)</f>
        <v/>
      </c>
      <c r="GR38" s="9" t="str">
        <f ca="1">IF(OR(GR11="",GR$28&lt;$A38),"",GR11/OFFSET(SSTotalCLM!$A$2,MATCH(GR$29,SSTotalCLM!$A$2:$A$500)+$A38-1,1)-1)</f>
        <v/>
      </c>
      <c r="GS38" s="9" t="str">
        <f ca="1">IF(OR(GS11="",GS$28&lt;$A38),"",GS11/OFFSET(SSTotalCLM!$A$2,MATCH(GS$29,SSTotalCLM!$A$2:$A$500)+$A38-1,1)-1)</f>
        <v/>
      </c>
      <c r="GT38" s="9" t="str">
        <f ca="1">IF(OR(GT11="",GT$28&lt;$A38),"",GT11/OFFSET(SSTotalCLM!$A$2,MATCH(GT$29,SSTotalCLM!$A$2:$A$500)+$A38-1,1)-1)</f>
        <v/>
      </c>
      <c r="GU38" s="9" t="str">
        <f ca="1">IF(OR(GU11="",GU$28&lt;$A38),"",GU11/OFFSET(SSTotalCLM!$A$2,MATCH(GU$29,SSTotalCLM!$A$2:$A$500)+$A38-1,1)-1)</f>
        <v/>
      </c>
      <c r="GV38" s="9" t="str">
        <f ca="1">IF(OR(GV11="",GV$28&lt;$A38),"",GV11/OFFSET(SSTotalCLM!$A$2,MATCH(GV$29,SSTotalCLM!$A$2:$A$500)+$A38-1,1)-1)</f>
        <v/>
      </c>
      <c r="GW38" s="9" t="str">
        <f ca="1">IF(OR(GW11="",GW$28&lt;$A38),"",GW11/OFFSET(SSTotalCLM!$A$2,MATCH(GW$29,SSTotalCLM!$A$2:$A$500)+$A38-1,1)-1)</f>
        <v/>
      </c>
      <c r="GX38" s="9" t="str">
        <f ca="1">IF(OR(GX11="",GX$28&lt;$A38),"",GX11/OFFSET(SSTotalCLM!$A$2,MATCH(GX$29,SSTotalCLM!$A$2:$A$500)+$A38-1,1)-1)</f>
        <v/>
      </c>
      <c r="GY38" s="9" t="str">
        <f ca="1">IF(OR(GY11="",GY$28&lt;$A38),"",GY11/OFFSET(SSTotalCLM!$A$2,MATCH(GY$29,SSTotalCLM!$A$2:$A$500)+$A38-1,1)-1)</f>
        <v/>
      </c>
      <c r="GZ38" s="9" t="str">
        <f ca="1">IF(OR(GZ11="",GZ$28&lt;$A38),"",GZ11/OFFSET(SSTotalCLM!$A$2,MATCH(GZ$29,SSTotalCLM!$A$2:$A$500)+$A38-1,1)-1)</f>
        <v/>
      </c>
      <c r="HA38" s="9" t="str">
        <f ca="1">IF(OR(HA11="",HA$28&lt;$A38),"",HA11/OFFSET(SSTotalCLM!$A$2,MATCH(HA$29,SSTotalCLM!$A$2:$A$500)+$A38-1,1)-1)</f>
        <v/>
      </c>
      <c r="HB38" s="9" t="str">
        <f ca="1">IF(OR(HB11="",HB$28&lt;$A38),"",HB11/OFFSET(SSTotalCLM!$A$2,MATCH(HB$29,SSTotalCLM!$A$2:$A$500)+$A38-1,1)-1)</f>
        <v/>
      </c>
      <c r="HC38" s="9" t="str">
        <f ca="1">IF(OR(HC11="",HC$28&lt;$A38),"",HC11/OFFSET(SSTotalCLM!$A$2,MATCH(HC$29,SSTotalCLM!$A$2:$A$500)+$A38-1,1)-1)</f>
        <v/>
      </c>
      <c r="HD38" s="9" t="str">
        <f ca="1">IF(OR(HD11="",HD$28&lt;$A38),"",HD11/OFFSET(SSTotalCLM!$A$2,MATCH(HD$29,SSTotalCLM!$A$2:$A$500)+$A38-1,1)-1)</f>
        <v/>
      </c>
      <c r="HE38" s="9" t="str">
        <f ca="1">IF(OR(HE11="",HE$28&lt;$A38),"",HE11/OFFSET(SSTotalCLM!$A$2,MATCH(HE$29,SSTotalCLM!$A$2:$A$500)+$A38-1,1)-1)</f>
        <v/>
      </c>
      <c r="HF38" s="9" t="str">
        <f ca="1">IF(OR(HF11="",HF$28&lt;$A38),"",HF11/OFFSET(SSTotalCLM!$A$2,MATCH(HF$29,SSTotalCLM!$A$2:$A$500)+$A38-1,1)-1)</f>
        <v/>
      </c>
      <c r="HG38" s="9" t="str">
        <f ca="1">IF(OR(HG11="",HG$28&lt;$A38),"",HG11/OFFSET(SSTotalCLM!$A$2,MATCH(HG$29,SSTotalCLM!$A$2:$A$500)+$A38-1,1)-1)</f>
        <v/>
      </c>
      <c r="HH38" s="9" t="str">
        <f ca="1">IF(OR(HH11="",HH$28&lt;$A38),"",HH11/OFFSET(SSTotalCLM!$A$2,MATCH(HH$29,SSTotalCLM!$A$2:$A$500)+$A38-1,1)-1)</f>
        <v/>
      </c>
      <c r="HI38" s="9" t="str">
        <f ca="1">IF(OR(HI11="",HI$28&lt;$A38),"",HI11/OFFSET(SSTotalCLM!$A$2,MATCH(HI$29,SSTotalCLM!$A$2:$A$500)+$A38-1,1)-1)</f>
        <v/>
      </c>
      <c r="HJ38" s="9" t="str">
        <f ca="1">IF(OR(HJ11="",HJ$28&lt;$A38),"",HJ11/OFFSET(SSTotalCLM!$A$2,MATCH(HJ$29,SSTotalCLM!$A$2:$A$500)+$A38-1,1)-1)</f>
        <v/>
      </c>
      <c r="HK38" s="9" t="str">
        <f ca="1">IF(OR(HK11="",HK$28&lt;$A38),"",HK11/OFFSET(SSTotalCLM!$A$2,MATCH(HK$29,SSTotalCLM!$A$2:$A$500)+$A38-1,1)-1)</f>
        <v/>
      </c>
      <c r="HL38" s="9" t="str">
        <f ca="1">IF(OR(HL11="",HL$28&lt;$A38),"",HL11/OFFSET(SSTotalCLM!$A$2,MATCH(HL$29,SSTotalCLM!$A$2:$A$500)+$A38-1,1)-1)</f>
        <v/>
      </c>
      <c r="HM38" s="9" t="str">
        <f ca="1">IF(OR(HM11="",HM$28&lt;$A38),"",HM11/OFFSET(SSTotalCLM!$A$2,MATCH(HM$29,SSTotalCLM!$A$2:$A$500)+$A38-1,1)-1)</f>
        <v/>
      </c>
      <c r="HN38" s="9" t="str">
        <f ca="1">IF(OR(HN11="",HN$28&lt;$A38),"",HN11/OFFSET(SSTotalCLM!$A$2,MATCH(HN$29,SSTotalCLM!$A$2:$A$500)+$A38-1,1)-1)</f>
        <v/>
      </c>
      <c r="HO38" s="9" t="str">
        <f ca="1">IF(OR(HO11="",HO$28&lt;$A38),"",HO11/OFFSET(SSTotalCLM!$A$2,MATCH(HO$29,SSTotalCLM!$A$2:$A$500)+$A38-1,1)-1)</f>
        <v/>
      </c>
      <c r="HP38" s="9" t="str">
        <f ca="1">IF(OR(HP11="",HP$28&lt;$A38),"",HP11/OFFSET(SSTotalCLM!$A$2,MATCH(HP$29,SSTotalCLM!$A$2:$A$500)+$A38-1,1)-1)</f>
        <v/>
      </c>
      <c r="HQ38" s="9" t="str">
        <f ca="1">IF(OR(HQ11="",HQ$28&lt;$A38),"",HQ11/OFFSET(SSTotalCLM!$A$2,MATCH(HQ$29,SSTotalCLM!$A$2:$A$500)+$A38-1,1)-1)</f>
        <v/>
      </c>
      <c r="HR38" s="9" t="str">
        <f ca="1">IF(OR(HR11="",HR$28&lt;$A38),"",HR11/OFFSET(SSTotalCLM!$A$2,MATCH(HR$29,SSTotalCLM!$A$2:$A$500)+$A38-1,1)-1)</f>
        <v/>
      </c>
      <c r="HS38" s="9" t="str">
        <f ca="1">IF(OR(HS11="",HS$28&lt;$A38),"",HS11/OFFSET(SSTotalCLM!$A$2,MATCH(HS$29,SSTotalCLM!$A$2:$A$500)+$A38-1,1)-1)</f>
        <v/>
      </c>
      <c r="HT38" s="9" t="str">
        <f ca="1">IF(OR(HT11="",HT$28&lt;$A38),"",HT11/OFFSET(SSTotalCLM!$A$2,MATCH(HT$29,SSTotalCLM!$A$2:$A$500)+$A38-1,1)-1)</f>
        <v/>
      </c>
      <c r="HU38" s="9" t="str">
        <f ca="1">IF(OR(HU11="",HU$28&lt;$A38),"",HU11/OFFSET(SSTotalCLM!$A$2,MATCH(HU$29,SSTotalCLM!$A$2:$A$500)+$A38-1,1)-1)</f>
        <v/>
      </c>
      <c r="HV38" s="9" t="str">
        <f ca="1">IF(OR(HV11="",HV$28&lt;$A38),"",HV11/OFFSET(SSTotalCLM!$A$2,MATCH(HV$29,SSTotalCLM!$A$2:$A$500)+$A38-1,1)-1)</f>
        <v/>
      </c>
      <c r="HW38" s="9" t="str">
        <f ca="1">IF(OR(HW11="",HW$28&lt;$A38),"",HW11/OFFSET(SSTotalCLM!$A$2,MATCH(HW$29,SSTotalCLM!$A$2:$A$500)+$A38-1,1)-1)</f>
        <v/>
      </c>
      <c r="HX38" s="9" t="str">
        <f ca="1">IF(OR(HX11="",HX$28&lt;$A38),"",HX11/OFFSET(SSTotalCLM!$A$2,MATCH(HX$29,SSTotalCLM!$A$2:$A$500)+$A38-1,1)-1)</f>
        <v/>
      </c>
      <c r="HY38" s="9" t="str">
        <f ca="1">IF(OR(HY11="",HY$28&lt;$A38),"",HY11/OFFSET(SSTotalCLM!$A$2,MATCH(HY$29,SSTotalCLM!$A$2:$A$500)+$A38-1,1)-1)</f>
        <v/>
      </c>
      <c r="HZ38" s="9" t="str">
        <f ca="1">IF(OR(HZ11="",HZ$28&lt;$A38),"",HZ11/OFFSET(SSTotalCLM!$A$2,MATCH(HZ$29,SSTotalCLM!$A$2:$A$500)+$A38-1,1)-1)</f>
        <v/>
      </c>
      <c r="IA38" s="9" t="str">
        <f ca="1">IF(OR(IA11="",IA$28&lt;$A38),"",IA11/OFFSET(SSTotalCLM!$A$2,MATCH(IA$29,SSTotalCLM!$A$2:$A$500)+$A38-1,1)-1)</f>
        <v/>
      </c>
      <c r="IB38" s="9" t="str">
        <f ca="1">IF(OR(IB11="",IB$28&lt;$A38),"",IB11/OFFSET(SSTotalCLM!$A$2,MATCH(IB$29,SSTotalCLM!$A$2:$A$500)+$A38-1,1)-1)</f>
        <v/>
      </c>
      <c r="IC38" s="9" t="str">
        <f ca="1">IF(OR(IC11="",IC$28&lt;$A38),"",IC11/OFFSET(SSTotalCLM!$A$2,MATCH(IC$29,SSTotalCLM!$A$2:$A$500)+$A38-1,1)-1)</f>
        <v/>
      </c>
      <c r="ID38" s="9" t="str">
        <f ca="1">IF(OR(ID11="",ID$28&lt;$A38),"",ID11/OFFSET(SSTotalCLM!$A$2,MATCH(ID$29,SSTotalCLM!$A$2:$A$500)+$A38-1,1)-1)</f>
        <v/>
      </c>
      <c r="IE38" s="9" t="str">
        <f ca="1">IF(OR(IE11="",IE$28&lt;$A38),"",IE11/OFFSET(SSTotalCLM!$A$2,MATCH(IE$29,SSTotalCLM!$A$2:$A$500)+$A38-1,1)-1)</f>
        <v/>
      </c>
      <c r="IF38" s="9" t="str">
        <f ca="1">IF(OR(IF11="",IF$28&lt;$A38),"",IF11/OFFSET(SSTotalCLM!$A$2,MATCH(IF$29,SSTotalCLM!$A$2:$A$500)+$A38-1,1)-1)</f>
        <v/>
      </c>
      <c r="IG38" s="9" t="str">
        <f ca="1">IF(OR(IG11="",IG$28&lt;$A38),"",IG11/OFFSET(SSTotalCLM!$A$2,MATCH(IG$29,SSTotalCLM!$A$2:$A$500)+$A38-1,1)-1)</f>
        <v/>
      </c>
      <c r="IH38" s="9" t="str">
        <f ca="1">IF(OR(IH11="",IH$28&lt;$A38),"",IH11/OFFSET(SSTotalCLM!$A$2,MATCH(IH$29,SSTotalCLM!$A$2:$A$500)+$A38-1,1)-1)</f>
        <v/>
      </c>
      <c r="II38" s="9" t="str">
        <f ca="1">IF(OR(II11="",II$28&lt;$A38),"",II11/OFFSET(SSTotalCLM!$A$2,MATCH(II$29,SSTotalCLM!$A$2:$A$500)+$A38-1,1)-1)</f>
        <v/>
      </c>
      <c r="IJ38" s="9" t="str">
        <f ca="1">IF(OR(IJ11="",IJ$28&lt;$A38),"",IJ11/OFFSET(SSTotalCLM!$A$2,MATCH(IJ$29,SSTotalCLM!$A$2:$A$500)+$A38-1,1)-1)</f>
        <v/>
      </c>
      <c r="IK38" s="9" t="str">
        <f ca="1">IF(OR(IK11="",IK$28&lt;$A38),"",IK11/OFFSET(SSTotalCLM!$A$2,MATCH(IK$29,SSTotalCLM!$A$2:$A$500)+$A38-1,1)-1)</f>
        <v/>
      </c>
      <c r="IL38" s="9" t="str">
        <f ca="1">IF(OR(IL11="",IL$28&lt;$A38),"",IL11/OFFSET(SSTotalCLM!$A$2,MATCH(IL$29,SSTotalCLM!$A$2:$A$500)+$A38-1,1)-1)</f>
        <v/>
      </c>
      <c r="IM38" s="9" t="str">
        <f ca="1">IF(OR(IM11="",IM$28&lt;$A38),"",IM11/OFFSET(SSTotalCLM!$A$2,MATCH(IM$29,SSTotalCLM!$A$2:$A$500)+$A38-1,1)-1)</f>
        <v/>
      </c>
      <c r="IN38" s="9" t="str">
        <f ca="1">IF(OR(IN11="",IN$28&lt;$A38),"",IN11/OFFSET(SSTotalCLM!$A$2,MATCH(IN$29,SSTotalCLM!$A$2:$A$500)+$A38-1,1)-1)</f>
        <v/>
      </c>
      <c r="IO38" s="9" t="str">
        <f ca="1">IF(OR(IO11="",IO$28&lt;$A38),"",IO11/OFFSET(SSTotalCLM!$A$2,MATCH(IO$29,SSTotalCLM!$A$2:$A$500)+$A38-1,1)-1)</f>
        <v/>
      </c>
      <c r="IP38" s="9" t="str">
        <f ca="1">IF(OR(IP11="",IP$28&lt;$A38),"",IP11/OFFSET(SSTotalCLM!$A$2,MATCH(IP$29,SSTotalCLM!$A$2:$A$500)+$A38-1,1)-1)</f>
        <v/>
      </c>
      <c r="IQ38" s="9" t="str">
        <f ca="1">IF(OR(IQ11="",IQ$28&lt;$A38),"",IQ11/OFFSET(SSTotalCLM!$A$2,MATCH(IQ$29,SSTotalCLM!$A$2:$A$500)+$A38-1,1)-1)</f>
        <v/>
      </c>
      <c r="IR38" s="9" t="str">
        <f ca="1">IF(OR(IR11="",IR$28&lt;$A38),"",IR11/OFFSET(SSTotalCLM!$A$2,MATCH(IR$29,SSTotalCLM!$A$2:$A$500)+$A38-1,1)-1)</f>
        <v/>
      </c>
      <c r="IS38" s="9" t="str">
        <f ca="1">IF(OR(IS11="",IS$28&lt;$A38),"",IS11/OFFSET(SSTotalCLM!$A$2,MATCH(IS$29,SSTotalCLM!$A$2:$A$500)+$A38-1,1)-1)</f>
        <v/>
      </c>
      <c r="IT38" s="9" t="str">
        <f ca="1">IF(OR(IT11="",IT$28&lt;$A38),"",IT11/OFFSET(SSTotalCLM!$A$2,MATCH(IT$29,SSTotalCLM!$A$2:$A$500)+$A38-1,1)-1)</f>
        <v/>
      </c>
      <c r="IU38" s="9" t="str">
        <f ca="1">IF(OR(IU11="",IU$28&lt;$A38),"",IU11/OFFSET(SSTotalCLM!$A$2,MATCH(IU$29,SSTotalCLM!$A$2:$A$500)+$A38-1,1)-1)</f>
        <v/>
      </c>
      <c r="IV38" s="9" t="str">
        <f ca="1">IF(OR(IV11="",IV$28&lt;$A38),"",IV11/OFFSET(SSTotalCLM!$A$2,MATCH(IV$29,SSTotalCLM!$A$2:$A$500)+$A38-1,1)-1)</f>
        <v/>
      </c>
      <c r="IW38" s="9" t="str">
        <f ca="1">IF(OR(IW11="",IW$28&lt;$A38),"",IW11/OFFSET(SSTotalCLM!$A$2,MATCH(IW$29,SSTotalCLM!$A$2:$A$500)+$A38-1,1)-1)</f>
        <v/>
      </c>
      <c r="IX38" s="9" t="str">
        <f ca="1">IF(OR(IX11="",IX$28&lt;$A38),"",IX11/OFFSET(SSTotalCLM!$A$2,MATCH(IX$29,SSTotalCLM!$A$2:$A$500)+$A38-1,1)-1)</f>
        <v/>
      </c>
      <c r="IY38" s="9" t="str">
        <f ca="1">IF(OR(IY11="",IY$28&lt;$A38),"",IY11/OFFSET(SSTotalCLM!$A$2,MATCH(IY$29,SSTotalCLM!$A$2:$A$500)+$A38-1,1)-1)</f>
        <v/>
      </c>
      <c r="IZ38" s="9" t="str">
        <f ca="1">IF(OR(IZ11="",IZ$28&lt;$A38),"",IZ11/OFFSET(SSTotalCLM!$A$2,MATCH(IZ$29,SSTotalCLM!$A$2:$A$500)+$A38-1,1)-1)</f>
        <v/>
      </c>
      <c r="JA38" s="9" t="str">
        <f ca="1">IF(OR(JA11="",JA$28&lt;$A38),"",JA11/OFFSET(SSTotalCLM!$A$2,MATCH(JA$29,SSTotalCLM!$A$2:$A$500)+$A38-1,1)-1)</f>
        <v/>
      </c>
      <c r="JB38" s="9" t="str">
        <f ca="1">IF(OR(JB11="",JB$28&lt;$A38),"",JB11/OFFSET(SSTotalCLM!$A$2,MATCH(JB$29,SSTotalCLM!$A$2:$A$500)+$A38-1,1)-1)</f>
        <v/>
      </c>
      <c r="JC38" s="9" t="str">
        <f ca="1">IF(OR(JC11="",JC$28&lt;$A38),"",JC11/OFFSET(SSTotalCLM!$A$2,MATCH(JC$29,SSTotalCLM!$A$2:$A$500)+$A38-1,1)-1)</f>
        <v/>
      </c>
      <c r="JD38" s="9" t="str">
        <f ca="1">IF(OR(JD11="",JD$28&lt;$A38),"",JD11/OFFSET(SSTotalCLM!$A$2,MATCH(JD$29,SSTotalCLM!$A$2:$A$500)+$A38-1,1)-1)</f>
        <v/>
      </c>
      <c r="JE38" s="9" t="str">
        <f ca="1">IF(OR(JE11="",JE$28&lt;$A38),"",JE11/OFFSET(SSTotalCLM!$A$2,MATCH(JE$29,SSTotalCLM!$A$2:$A$500)+$A38-1,1)-1)</f>
        <v/>
      </c>
      <c r="JF38" s="9" t="str">
        <f ca="1">IF(OR(JF11="",JF$28&lt;$A38),"",JF11/OFFSET(SSTotalCLM!$A$2,MATCH(JF$29,SSTotalCLM!$A$2:$A$500)+$A38-1,1)-1)</f>
        <v/>
      </c>
      <c r="JG38" s="9" t="str">
        <f ca="1">IF(OR(JG11="",JG$28&lt;$A38),"",JG11/OFFSET(SSTotalCLM!$A$2,MATCH(JG$29,SSTotalCLM!$A$2:$A$500)+$A38-1,1)-1)</f>
        <v/>
      </c>
      <c r="JH38" s="9" t="str">
        <f ca="1">IF(OR(JH11="",JH$28&lt;$A38),"",JH11/OFFSET(SSTotalCLM!$A$2,MATCH(JH$29,SSTotalCLM!$A$2:$A$500)+$A38-1,1)-1)</f>
        <v/>
      </c>
      <c r="JI38" s="13">
        <f t="shared" ca="1" si="13"/>
        <v>6.4347102259345416E-3</v>
      </c>
      <c r="JJ38" s="13">
        <f t="shared" ca="1" si="14"/>
        <v>1.065934858614126E-2</v>
      </c>
      <c r="JK38" s="14">
        <f t="shared" ca="1" si="15"/>
        <v>6.6868029650427486E-4</v>
      </c>
      <c r="JL38" s="17">
        <f t="shared" ca="1" si="18"/>
        <v>2.5858853348597551E-2</v>
      </c>
      <c r="JM38" s="15" t="str">
        <f t="shared" ca="1" si="16"/>
        <v>[ -4,53% ; 5,82% ]</v>
      </c>
      <c r="JN38" s="17">
        <f t="shared" ca="1" si="17"/>
        <v>3.3099332286204868E-2</v>
      </c>
      <c r="LY38" s="1"/>
    </row>
    <row r="39" spans="1:337" x14ac:dyDescent="0.25">
      <c r="A39" s="4">
        <v>10</v>
      </c>
      <c r="B39" s="9">
        <f ca="1">IF(OR(B12="",B$28&lt;$A39),"",B12/OFFSET(SSTotalCLM!$A$2,MATCH(B$29,SSTotalCLM!$A$2:$A$500)+$A39-1,1)-1)</f>
        <v>-1.5152661412480395E-2</v>
      </c>
      <c r="C39" s="9">
        <f ca="1">IF(OR(C12="",C$28&lt;$A39),"",C12/OFFSET(SSTotalCLM!$A$2,MATCH(C$29,SSTotalCLM!$A$2:$A$500)+$A39-1,1)-1)</f>
        <v>-1.2269010599444852E-2</v>
      </c>
      <c r="D39" s="9">
        <f ca="1">IF(OR(D12="",D$28&lt;$A39),"",D12/OFFSET(SSTotalCLM!$A$2,MATCH(D$29,SSTotalCLM!$A$2:$A$500)+$A39-1,1)-1)</f>
        <v>-3.1044136200926609E-2</v>
      </c>
      <c r="E39" s="9">
        <f ca="1">IF(OR(E12="",E$28&lt;$A39),"",E12/OFFSET(SSTotalCLM!$A$2,MATCH(E$29,SSTotalCLM!$A$2:$A$500)+$A39-1,1)-1)</f>
        <v>-1.159959623828033E-2</v>
      </c>
      <c r="F39" s="9">
        <f ca="1">IF(OR(F12="",F$28&lt;$A39),"",F12/OFFSET(SSTotalCLM!$A$2,MATCH(F$29,SSTotalCLM!$A$2:$A$500)+$A39-1,1)-1)</f>
        <v>-1.0744503794727134E-2</v>
      </c>
      <c r="G39" s="9">
        <f ca="1">IF(OR(G12="",G$28&lt;$A39),"",G12/OFFSET(SSTotalCLM!$A$2,MATCH(G$29,SSTotalCLM!$A$2:$A$500)+$A39-1,1)-1)</f>
        <v>-1.2268992958122782E-2</v>
      </c>
      <c r="H39" s="9">
        <f ca="1">IF(OR(H12="",H$28&lt;$A39),"",H12/OFFSET(SSTotalCLM!$A$2,MATCH(H$29,SSTotalCLM!$A$2:$A$500)+$A39-1,1)-1)</f>
        <v>-1.8082953609246277E-2</v>
      </c>
      <c r="I39" s="9">
        <f ca="1">IF(OR(I12="",I$28&lt;$A39),"",I12/OFFSET(SSTotalCLM!$A$2,MATCH(I$29,SSTotalCLM!$A$2:$A$500)+$A39-1,1)-1)</f>
        <v>-1.6741722175649176E-2</v>
      </c>
      <c r="J39" s="9">
        <f ca="1">IF(OR(J12="",J$28&lt;$A39),"",J12/OFFSET(SSTotalCLM!$A$2,MATCH(J$29,SSTotalCLM!$A$2:$A$500)+$A39-1,1)-1)</f>
        <v>-1.5874592837172852E-2</v>
      </c>
      <c r="K39" s="9">
        <f ca="1">IF(OR(K12="",K$28&lt;$A39),"",K12/OFFSET(SSTotalCLM!$A$2,MATCH(K$29,SSTotalCLM!$A$2:$A$500)+$A39-1,1)-1)</f>
        <v>-2.098089846710316E-2</v>
      </c>
      <c r="L39" s="9">
        <f ca="1">IF(OR(L12="",L$28&lt;$A39),"",L12/OFFSET(SSTotalCLM!$A$2,MATCH(L$29,SSTotalCLM!$A$2:$A$500)+$A39-1,1)-1)</f>
        <v>-2.6063116554031818E-2</v>
      </c>
      <c r="M39" s="9">
        <f ca="1">IF(OR(M12="",M$28&lt;$A39),"",M12/OFFSET(SSTotalCLM!$A$2,MATCH(M$29,SSTotalCLM!$A$2:$A$500)+$A39-1,1)-1)</f>
        <v>-2.3807982872543931E-2</v>
      </c>
      <c r="N39" s="9">
        <f ca="1">IF(OR(N12="",N$28&lt;$A39),"",N12/OFFSET(SSTotalCLM!$A$2,MATCH(N$29,SSTotalCLM!$A$2:$A$500)+$A39-1,1)-1)</f>
        <v>-1.9933266741842037E-2</v>
      </c>
      <c r="O39" s="9">
        <f ca="1">IF(OR(O12="",O$28&lt;$A39),"",O12/OFFSET(SSTotalCLM!$A$2,MATCH(O$29,SSTotalCLM!$A$2:$A$500)+$A39-1,1)-1)</f>
        <v>-2.8111078227425979E-2</v>
      </c>
      <c r="P39" s="9">
        <f ca="1">IF(OR(P12="",P$28&lt;$A39),"",P12/OFFSET(SSTotalCLM!$A$2,MATCH(P$29,SSTotalCLM!$A$2:$A$500)+$A39-1,1)-1)</f>
        <v>-4.0416455206478186E-2</v>
      </c>
      <c r="Q39" s="9">
        <f ca="1">IF(OR(Q12="",Q$28&lt;$A39),"",Q12/OFFSET(SSTotalCLM!$A$2,MATCH(Q$29,SSTotalCLM!$A$2:$A$500)+$A39-1,1)-1)</f>
        <v>-3.1537364065003293E-2</v>
      </c>
      <c r="R39" s="9">
        <f ca="1">IF(OR(R12="",R$28&lt;$A39),"",R12/OFFSET(SSTotalCLM!$A$2,MATCH(R$29,SSTotalCLM!$A$2:$A$500)+$A39-1,1)-1)</f>
        <v>-2.7235357607273247E-2</v>
      </c>
      <c r="S39" s="9">
        <f ca="1">IF(OR(S12="",S$28&lt;$A39),"",S12/OFFSET(SSTotalCLM!$A$2,MATCH(S$29,SSTotalCLM!$A$2:$A$500)+$A39-1,1)-1)</f>
        <v>-2.2893875069993186E-2</v>
      </c>
      <c r="T39" s="9">
        <f ca="1">IF(OR(T12="",T$28&lt;$A39),"",T12/OFFSET(SSTotalCLM!$A$2,MATCH(T$29,SSTotalCLM!$A$2:$A$500)+$A39-1,1)-1)</f>
        <v>-1.1440415268319404E-2</v>
      </c>
      <c r="U39" s="9">
        <f ca="1">IF(OR(U12="",U$28&lt;$A39),"",U12/OFFSET(SSTotalCLM!$A$2,MATCH(U$29,SSTotalCLM!$A$2:$A$500)+$A39-1,1)-1)</f>
        <v>6.923602519486538E-3</v>
      </c>
      <c r="V39" s="9">
        <f ca="1">IF(OR(V12="",V$28&lt;$A39),"",V12/OFFSET(SSTotalCLM!$A$2,MATCH(V$29,SSTotalCLM!$A$2:$A$500)+$A39-1,1)-1)</f>
        <v>1.535121195406175E-2</v>
      </c>
      <c r="W39" s="9">
        <f ca="1">IF(OR(W12="",W$28&lt;$A39),"",W12/OFFSET(SSTotalCLM!$A$2,MATCH(W$29,SSTotalCLM!$A$2:$A$500)+$A39-1,1)-1)</f>
        <v>1.6227532831783797E-2</v>
      </c>
      <c r="X39" s="9">
        <f ca="1">IF(OR(X12="",X$28&lt;$A39),"",X12/OFFSET(SSTotalCLM!$A$2,MATCH(X$29,SSTotalCLM!$A$2:$A$500)+$A39-1,1)-1)</f>
        <v>2.1009256744569216E-2</v>
      </c>
      <c r="Y39" s="9">
        <f ca="1">IF(OR(Y12="",Y$28&lt;$A39),"",Y12/OFFSET(SSTotalCLM!$A$2,MATCH(Y$29,SSTotalCLM!$A$2:$A$500)+$A39-1,1)-1)</f>
        <v>2.405913167430862E-2</v>
      </c>
      <c r="Z39" s="9">
        <f ca="1">IF(OR(Z12="",Z$28&lt;$A39),"",Z12/OFFSET(SSTotalCLM!$A$2,MATCH(Z$29,SSTotalCLM!$A$2:$A$500)+$A39-1,1)-1)</f>
        <v>2.9566545738427541E-2</v>
      </c>
      <c r="AA39" s="9">
        <f ca="1">IF(OR(AA12="",AA$28&lt;$A39),"",AA12/OFFSET(SSTotalCLM!$A$2,MATCH(AA$29,SSTotalCLM!$A$2:$A$500)+$A39-1,1)-1)</f>
        <v>2.5063094109410544E-2</v>
      </c>
      <c r="AB39" s="9">
        <f ca="1">IF(OR(AB12="",AB$28&lt;$A39),"",AB12/OFFSET(SSTotalCLM!$A$2,MATCH(AB$29,SSTotalCLM!$A$2:$A$500)+$A39-1,1)-1)</f>
        <v>1.9695017529350212E-2</v>
      </c>
      <c r="AC39" s="9">
        <f ca="1">IF(OR(AC12="",AC$28&lt;$A39),"",AC12/OFFSET(SSTotalCLM!$A$2,MATCH(AC$29,SSTotalCLM!$A$2:$A$500)+$A39-1,1)-1)</f>
        <v>2.2368049778618726E-2</v>
      </c>
      <c r="AD39" s="9">
        <f ca="1">IF(OR(AD12="",AD$28&lt;$A39),"",AD12/OFFSET(SSTotalCLM!$A$2,MATCH(AD$29,SSTotalCLM!$A$2:$A$500)+$A39-1,1)-1)</f>
        <v>1.1935271878191767E-2</v>
      </c>
      <c r="AE39" s="9">
        <f ca="1">IF(OR(AE12="",AE$28&lt;$A39),"",AE12/OFFSET(SSTotalCLM!$A$2,MATCH(AE$29,SSTotalCLM!$A$2:$A$500)+$A39-1,1)-1)</f>
        <v>1.0701065709090907E-2</v>
      </c>
      <c r="AF39" s="9">
        <f ca="1">IF(OR(AF12="",AF$28&lt;$A39),"",AF12/OFFSET(SSTotalCLM!$A$2,MATCH(AF$29,SSTotalCLM!$A$2:$A$500)+$A39-1,1)-1)</f>
        <v>-2.25355553284734E-4</v>
      </c>
      <c r="AG39" s="9">
        <f ca="1">IF(OR(AG12="",AG$28&lt;$A39),"",AG12/OFFSET(SSTotalCLM!$A$2,MATCH(AG$29,SSTotalCLM!$A$2:$A$500)+$A39-1,1)-1)</f>
        <v>-7.2472576450844928E-3</v>
      </c>
      <c r="AH39" s="9">
        <f ca="1">IF(OR(AH12="",AH$28&lt;$A39),"",AH12/OFFSET(SSTotalCLM!$A$2,MATCH(AH$29,SSTotalCLM!$A$2:$A$500)+$A39-1,1)-1)</f>
        <v>-6.9499297457640274E-3</v>
      </c>
      <c r="AI39" s="9">
        <f ca="1">IF(OR(AI12="",AI$28&lt;$A39),"",AI12/OFFSET(SSTotalCLM!$A$2,MATCH(AI$29,SSTotalCLM!$A$2:$A$500)+$A39-1,1)-1)</f>
        <v>-7.6930451009580292E-3</v>
      </c>
      <c r="AJ39" s="9">
        <f ca="1">IF(OR(AJ12="",AJ$28&lt;$A39),"",AJ12/OFFSET(SSTotalCLM!$A$2,MATCH(AJ$29,SSTotalCLM!$A$2:$A$500)+$A39-1,1)-1)</f>
        <v>-4.4667601469847718E-3</v>
      </c>
      <c r="AK39" s="9">
        <f ca="1">IF(OR(AK12="",AK$28&lt;$A39),"",AK12/OFFSET(SSTotalCLM!$A$2,MATCH(AK$29,SSTotalCLM!$A$2:$A$500)+$A39-1,1)-1)</f>
        <v>-3.7848112239273757E-3</v>
      </c>
      <c r="AL39" s="9">
        <f ca="1">IF(OR(AL12="",AL$28&lt;$A39),"",AL12/OFFSET(SSTotalCLM!$A$2,MATCH(AL$29,SSTotalCLM!$A$2:$A$500)+$A39-1,1)-1)</f>
        <v>-1.5609851638828109E-3</v>
      </c>
      <c r="AM39" s="9">
        <f ca="1">IF(OR(AM12="",AM$28&lt;$A39),"",AM12/OFFSET(SSTotalCLM!$A$2,MATCH(AM$29,SSTotalCLM!$A$2:$A$500)+$A39-1,1)-1)</f>
        <v>6.5259604125955661E-4</v>
      </c>
      <c r="AN39" s="9">
        <f ca="1">IF(OR(AN12="",AN$28&lt;$A39),"",AN12/OFFSET(SSTotalCLM!$A$2,MATCH(AN$29,SSTotalCLM!$A$2:$A$500)+$A39-1,1)-1)</f>
        <v>-2.3597355445057477E-3</v>
      </c>
      <c r="AO39" s="9">
        <f ca="1">IF(OR(AO12="",AO$28&lt;$A39),"",AO12/OFFSET(SSTotalCLM!$A$2,MATCH(AO$29,SSTotalCLM!$A$2:$A$500)+$A39-1,1)-1)</f>
        <v>7.9277564505315645E-3</v>
      </c>
      <c r="AP39" s="9">
        <f ca="1">IF(OR(AP12="",AP$28&lt;$A39),"",AP12/OFFSET(SSTotalCLM!$A$2,MATCH(AP$29,SSTotalCLM!$A$2:$A$500)+$A39-1,1)-1)</f>
        <v>1.2722339291033613E-2</v>
      </c>
      <c r="AQ39" s="9">
        <f ca="1">IF(OR(AQ12="",AQ$28&lt;$A39),"",AQ12/OFFSET(SSTotalCLM!$A$2,MATCH(AQ$29,SSTotalCLM!$A$2:$A$500)+$A39-1,1)-1)</f>
        <v>1.9388092742852026E-2</v>
      </c>
      <c r="AR39" s="9">
        <f ca="1">IF(OR(AR12="",AR$28&lt;$A39),"",AR12/OFFSET(SSTotalCLM!$A$2,MATCH(AR$29,SSTotalCLM!$A$2:$A$500)+$A39-1,1)-1)</f>
        <v>1.7456367983988752E-2</v>
      </c>
      <c r="AS39" s="9">
        <f ca="1">IF(OR(AS12="",AS$28&lt;$A39),"",AS12/OFFSET(SSTotalCLM!$A$2,MATCH(AS$29,SSTotalCLM!$A$2:$A$500)+$A39-1,1)-1)</f>
        <v>2.3059042148941167E-2</v>
      </c>
      <c r="AT39" s="9">
        <f ca="1">IF(OR(AT12="",AT$28&lt;$A39),"",AT12/OFFSET(SSTotalCLM!$A$2,MATCH(AT$29,SSTotalCLM!$A$2:$A$500)+$A39-1,1)-1)</f>
        <v>3.0686095476891273E-2</v>
      </c>
      <c r="AU39" s="9">
        <f ca="1">IF(OR(AU12="",AU$28&lt;$A39),"",AU12/OFFSET(SSTotalCLM!$A$2,MATCH(AU$29,SSTotalCLM!$A$2:$A$500)+$A39-1,1)-1)</f>
        <v>3.911297708263084E-2</v>
      </c>
      <c r="AV39" s="9">
        <f ca="1">IF(OR(AV12="",AV$28&lt;$A39),"",AV12/OFFSET(SSTotalCLM!$A$2,MATCH(AV$29,SSTotalCLM!$A$2:$A$500)+$A39-1,1)-1)</f>
        <v>5.323287070599303E-2</v>
      </c>
      <c r="AW39" s="9">
        <f ca="1">IF(OR(AW12="",AW$28&lt;$A39),"",AW12/OFFSET(SSTotalCLM!$A$2,MATCH(AW$29,SSTotalCLM!$A$2:$A$500)+$A39-1,1)-1)</f>
        <v>5.712492947373482E-2</v>
      </c>
      <c r="AX39" s="9">
        <f ca="1">IF(OR(AX12="",AX$28&lt;$A39),"",AX12/OFFSET(SSTotalCLM!$A$2,MATCH(AX$29,SSTotalCLM!$A$2:$A$500)+$A39-1,1)-1)</f>
        <v>6.3803348927641723E-2</v>
      </c>
      <c r="AY39" s="9">
        <f ca="1">IF(OR(AY12="",AY$28&lt;$A39),"",AY12/OFFSET(SSTotalCLM!$A$2,MATCH(AY$29,SSTotalCLM!$A$2:$A$500)+$A39-1,1)-1)</f>
        <v>8.5532512613011535E-2</v>
      </c>
      <c r="AZ39" s="9">
        <f ca="1">IF(OR(AZ12="",AZ$28&lt;$A39),"",AZ12/OFFSET(SSTotalCLM!$A$2,MATCH(AZ$29,SSTotalCLM!$A$2:$A$500)+$A39-1,1)-1)</f>
        <v>9.0834491753689628E-2</v>
      </c>
      <c r="BA39" s="9">
        <f ca="1">IF(OR(BA12="",BA$28&lt;$A39),"",BA12/OFFSET(SSTotalCLM!$A$2,MATCH(BA$29,SSTotalCLM!$A$2:$A$500)+$A39-1,1)-1)</f>
        <v>9.3632847391974749E-2</v>
      </c>
      <c r="BB39" s="9">
        <f ca="1">IF(OR(BB12="",BB$28&lt;$A39),"",BB12/OFFSET(SSTotalCLM!$A$2,MATCH(BB$29,SSTotalCLM!$A$2:$A$500)+$A39-1,1)-1)</f>
        <v>0.10162089794484275</v>
      </c>
      <c r="BC39" s="9">
        <f ca="1">IF(OR(BC12="",BC$28&lt;$A39),"",BC12/OFFSET(SSTotalCLM!$A$2,MATCH(BC$29,SSTotalCLM!$A$2:$A$500)+$A39-1,1)-1)</f>
        <v>0.10658880180553076</v>
      </c>
      <c r="BD39" s="9">
        <f ca="1">IF(OR(BD12="",BD$28&lt;$A39),"",BD12/OFFSET(SSTotalCLM!$A$2,MATCH(BD$29,SSTotalCLM!$A$2:$A$500)+$A39-1,1)-1)</f>
        <v>0.10103991835621429</v>
      </c>
      <c r="BE39" s="9">
        <f ca="1">IF(OR(BE12="",BE$28&lt;$A39),"",BE12/OFFSET(SSTotalCLM!$A$2,MATCH(BE$29,SSTotalCLM!$A$2:$A$500)+$A39-1,1)-1)</f>
        <v>7.532633812998113E-2</v>
      </c>
      <c r="BF39" s="9">
        <f ca="1">IF(OR(BF12="",BF$28&lt;$A39),"",BF12/OFFSET(SSTotalCLM!$A$2,MATCH(BF$29,SSTotalCLM!$A$2:$A$500)+$A39-1,1)-1)</f>
        <v>4.5621381544872275E-2</v>
      </c>
      <c r="BG39" s="9">
        <f ca="1">IF(OR(BG12="",BG$28&lt;$A39),"",BG12/OFFSET(SSTotalCLM!$A$2,MATCH(BG$29,SSTotalCLM!$A$2:$A$500)+$A39-1,1)-1)</f>
        <v>4.7530729944263994E-2</v>
      </c>
      <c r="BH39" s="9">
        <f ca="1">IF(OR(BH12="",BH$28&lt;$A39),"",BH12/OFFSET(SSTotalCLM!$A$2,MATCH(BH$29,SSTotalCLM!$A$2:$A$500)+$A39-1,1)-1)</f>
        <v>5.3567259090435249E-2</v>
      </c>
      <c r="BI39" s="9">
        <f ca="1">IF(OR(BI12="",BI$28&lt;$A39),"",BI12/OFFSET(SSTotalCLM!$A$2,MATCH(BI$29,SSTotalCLM!$A$2:$A$500)+$A39-1,1)-1)</f>
        <v>-1.4803156743718571E-2</v>
      </c>
      <c r="BJ39" s="9">
        <f ca="1">IF(OR(BJ12="",BJ$28&lt;$A39),"",BJ12/OFFSET(SSTotalCLM!$A$2,MATCH(BJ$29,SSTotalCLM!$A$2:$A$500)+$A39-1,1)-1)</f>
        <v>-2.3599940836471878E-2</v>
      </c>
      <c r="BK39" s="9">
        <f ca="1">IF(OR(BK12="",BK$28&lt;$A39),"",BK12/OFFSET(SSTotalCLM!$A$2,MATCH(BK$29,SSTotalCLM!$A$2:$A$500)+$A39-1,1)-1)</f>
        <v>-3.8704153537652108E-2</v>
      </c>
      <c r="BL39" s="9">
        <f ca="1">IF(OR(BL12="",BL$28&lt;$A39),"",BL12/OFFSET(SSTotalCLM!$A$2,MATCH(BL$29,SSTotalCLM!$A$2:$A$500)+$A39-1,1)-1)</f>
        <v>-7.2628800245446601E-2</v>
      </c>
      <c r="BM39" s="9">
        <f ca="1">IF(OR(BM12="",BM$28&lt;$A39),"",BM12/OFFSET(SSTotalCLM!$A$2,MATCH(BM$29,SSTotalCLM!$A$2:$A$500)+$A39-1,1)-1)</f>
        <v>-9.3837587549779888E-2</v>
      </c>
      <c r="BN39" s="9">
        <f ca="1">IF(OR(BN12="",BN$28&lt;$A39),"",BN12/OFFSET(SSTotalCLM!$A$2,MATCH(BN$29,SSTotalCLM!$A$2:$A$500)+$A39-1,1)-1)</f>
        <v>-7.8322428431536584E-2</v>
      </c>
      <c r="BO39" s="9">
        <f ca="1">IF(OR(BO12="",BO$28&lt;$A39),"",BO12/OFFSET(SSTotalCLM!$A$2,MATCH(BO$29,SSTotalCLM!$A$2:$A$500)+$A39-1,1)-1)</f>
        <v>-6.2467067301131496E-2</v>
      </c>
      <c r="BP39" s="9">
        <f ca="1">IF(OR(BP12="",BP$28&lt;$A39),"",BP12/OFFSET(SSTotalCLM!$A$2,MATCH(BP$29,SSTotalCLM!$A$2:$A$500)+$A39-1,1)-1)</f>
        <v>-2.8779527789655868E-2</v>
      </c>
      <c r="BQ39" s="9">
        <f ca="1">IF(OR(BQ12="",BQ$28&lt;$A39),"",BQ12/OFFSET(SSTotalCLM!$A$2,MATCH(BQ$29,SSTotalCLM!$A$2:$A$500)+$A39-1,1)-1)</f>
        <v>-2.6220112763185477E-2</v>
      </c>
      <c r="BR39" s="9">
        <f ca="1">IF(OR(BR12="",BR$28&lt;$A39),"",BR12/OFFSET(SSTotalCLM!$A$2,MATCH(BR$29,SSTotalCLM!$A$2:$A$500)+$A39-1,1)-1)</f>
        <v>-8.9918824004137088E-3</v>
      </c>
      <c r="BS39" s="9">
        <f ca="1">IF(OR(BS12="",BS$28&lt;$A39),"",BS12/OFFSET(SSTotalCLM!$A$2,MATCH(BS$29,SSTotalCLM!$A$2:$A$500)+$A39-1,1)-1)</f>
        <v>4.9487066872229368E-2</v>
      </c>
      <c r="BT39" s="9">
        <f ca="1">IF(OR(BT12="",BT$28&lt;$A39),"",BT12/OFFSET(SSTotalCLM!$A$2,MATCH(BT$29,SSTotalCLM!$A$2:$A$500)+$A39-1,1)-1)</f>
        <v>2.9069723188784424E-2</v>
      </c>
      <c r="BU39" s="9">
        <f ca="1">IF(OR(BU12="",BU$28&lt;$A39),"",BU12/OFFSET(SSTotalCLM!$A$2,MATCH(BU$29,SSTotalCLM!$A$2:$A$500)+$A39-1,1)-1)</f>
        <v>-6.3730974423996667E-3</v>
      </c>
      <c r="BV39" s="9">
        <f ca="1">IF(OR(BV12="",BV$28&lt;$A39),"",BV12/OFFSET(SSTotalCLM!$A$2,MATCH(BV$29,SSTotalCLM!$A$2:$A$500)+$A39-1,1)-1)</f>
        <v>1.2767382760931145E-2</v>
      </c>
      <c r="BW39" s="9">
        <f ca="1">IF(OR(BW12="",BW$28&lt;$A39),"",BW12/OFFSET(SSTotalCLM!$A$2,MATCH(BW$29,SSTotalCLM!$A$2:$A$500)+$A39-1,1)-1)</f>
        <v>1.1601146635519699E-2</v>
      </c>
      <c r="BX39" s="9">
        <f ca="1">IF(OR(BX12="",BX$28&lt;$A39),"",BX12/OFFSET(SSTotalCLM!$A$2,MATCH(BX$29,SSTotalCLM!$A$2:$A$500)+$A39-1,1)-1)</f>
        <v>6.6970046742700351E-3</v>
      </c>
      <c r="BY39" s="9">
        <f ca="1">IF(OR(BY12="",BY$28&lt;$A39),"",BY12/OFFSET(SSTotalCLM!$A$2,MATCH(BY$29,SSTotalCLM!$A$2:$A$500)+$A39-1,1)-1)</f>
        <v>2.4678779245967952E-3</v>
      </c>
      <c r="BZ39" s="9">
        <f ca="1">IF(OR(BZ12="",BZ$28&lt;$A39),"",BZ12/OFFSET(SSTotalCLM!$A$2,MATCH(BZ$29,SSTotalCLM!$A$2:$A$500)+$A39-1,1)-1)</f>
        <v>2.5729267586482862E-5</v>
      </c>
      <c r="CA39" s="9">
        <f ca="1">IF(OR(CA12="",CA$28&lt;$A39),"",CA12/OFFSET(SSTotalCLM!$A$2,MATCH(CA$29,SSTotalCLM!$A$2:$A$500)+$A39-1,1)-1)</f>
        <v>4.3045981403981859E-3</v>
      </c>
      <c r="CB39" s="9">
        <f ca="1">IF(OR(CB12="",CB$28&lt;$A39),"",CB12/OFFSET(SSTotalCLM!$A$2,MATCH(CB$29,SSTotalCLM!$A$2:$A$500)+$A39-1,1)-1)</f>
        <v>-3.003461539819785E-3</v>
      </c>
      <c r="CC39" s="9">
        <f ca="1">IF(OR(CC12="",CC$28&lt;$A39),"",CC12/OFFSET(SSTotalCLM!$A$2,MATCH(CC$29,SSTotalCLM!$A$2:$A$500)+$A39-1,1)-1)</f>
        <v>2.7339972318678463E-3</v>
      </c>
      <c r="CD39" s="9">
        <f ca="1">IF(OR(CD12="",CD$28&lt;$A39),"",CD12/OFFSET(SSTotalCLM!$A$2,MATCH(CD$29,SSTotalCLM!$A$2:$A$500)+$A39-1,1)-1)</f>
        <v>4.6075808926444584E-3</v>
      </c>
      <c r="CE39" s="9">
        <f ca="1">IF(OR(CE12="",CE$28&lt;$A39),"",CE12/OFFSET(SSTotalCLM!$A$2,MATCH(CE$29,SSTotalCLM!$A$2:$A$500)+$A39-1,1)-1)</f>
        <v>3.4519023237672863E-2</v>
      </c>
      <c r="CF39" s="9">
        <f ca="1">IF(OR(CF12="",CF$28&lt;$A39),"",CF12/OFFSET(SSTotalCLM!$A$2,MATCH(CF$29,SSTotalCLM!$A$2:$A$500)+$A39-1,1)-1)</f>
        <v>4.5865774044715035E-2</v>
      </c>
      <c r="CG39" s="9">
        <f ca="1">IF(OR(CG12="",CG$28&lt;$A39),"",CG12/OFFSET(SSTotalCLM!$A$2,MATCH(CG$29,SSTotalCLM!$A$2:$A$500)+$A39-1,1)-1)</f>
        <v>3.1401455536856915E-3</v>
      </c>
      <c r="CH39" s="9">
        <f ca="1">IF(OR(CH12="",CH$28&lt;$A39),"",CH12/OFFSET(SSTotalCLM!$A$2,MATCH(CH$29,SSTotalCLM!$A$2:$A$500)+$A39-1,1)-1)</f>
        <v>3.1872204573873075E-2</v>
      </c>
      <c r="CI39" s="9">
        <f ca="1">IF(OR(CI12="",CI$28&lt;$A39),"",CI12/OFFSET(SSTotalCLM!$A$2,MATCH(CI$29,SSTotalCLM!$A$2:$A$500)+$A39-1,1)-1)</f>
        <v>3.7402349464178419E-2</v>
      </c>
      <c r="CJ39" s="9">
        <f ca="1">IF(OR(CJ12="",CJ$28&lt;$A39),"",CJ12/OFFSET(SSTotalCLM!$A$2,MATCH(CJ$29,SSTotalCLM!$A$2:$A$500)+$A39-1,1)-1)</f>
        <v>1.3679639212820227E-2</v>
      </c>
      <c r="CK39" s="9">
        <f ca="1">IF(OR(CK12="",CK$28&lt;$A39),"",CK12/OFFSET(SSTotalCLM!$A$2,MATCH(CK$29,SSTotalCLM!$A$2:$A$500)+$A39-1,1)-1)</f>
        <v>2.5977092740490537E-2</v>
      </c>
      <c r="CL39" s="9">
        <f ca="1">IF(OR(CL12="",CL$28&lt;$A39),"",CL12/OFFSET(SSTotalCLM!$A$2,MATCH(CL$29,SSTotalCLM!$A$2:$A$500)+$A39-1,1)-1)</f>
        <v>4.2261843594525672E-2</v>
      </c>
      <c r="CM39" s="9">
        <f ca="1">IF(OR(CM12="",CM$28&lt;$A39),"",CM12/OFFSET(SSTotalCLM!$A$2,MATCH(CM$29,SSTotalCLM!$A$2:$A$500)+$A39-1,1)-1)</f>
        <v>4.1018372833040884E-2</v>
      </c>
      <c r="CN39" s="9">
        <f ca="1">IF(OR(CN12="",CN$28&lt;$A39),"",CN12/OFFSET(SSTotalCLM!$A$2,MATCH(CN$29,SSTotalCLM!$A$2:$A$500)+$A39-1,1)-1)</f>
        <v>4.0660211209848862E-2</v>
      </c>
      <c r="CO39" s="9">
        <f ca="1">IF(OR(CO12="",CO$28&lt;$A39),"",CO12/OFFSET(SSTotalCLM!$A$2,MATCH(CO$29,SSTotalCLM!$A$2:$A$500)+$A39-1,1)-1)</f>
        <v>3.4668204918876455E-2</v>
      </c>
      <c r="CP39" s="9">
        <f ca="1">IF(OR(CP12="",CP$28&lt;$A39),"",CP12/OFFSET(SSTotalCLM!$A$2,MATCH(CP$29,SSTotalCLM!$A$2:$A$500)+$A39-1,1)-1)</f>
        <v>3.0193742657625089E-2</v>
      </c>
      <c r="CQ39" s="9">
        <f ca="1">IF(OR(CQ12="",CQ$28&lt;$A39),"",CQ12/OFFSET(SSTotalCLM!$A$2,MATCH(CQ$29,SSTotalCLM!$A$2:$A$500)+$A39-1,1)-1)</f>
        <v>5.5868786882088628E-2</v>
      </c>
      <c r="CR39" s="9">
        <f ca="1">IF(OR(CR12="",CR$28&lt;$A39),"",CR12/OFFSET(SSTotalCLM!$A$2,MATCH(CR$29,SSTotalCLM!$A$2:$A$500)+$A39-1,1)-1)</f>
        <v>4.5909690847692808E-2</v>
      </c>
      <c r="CS39" s="9">
        <f ca="1">IF(OR(CS12="",CS$28&lt;$A39),"",CS12/OFFSET(SSTotalCLM!$A$2,MATCH(CS$29,SSTotalCLM!$A$2:$A$500)+$A39-1,1)-1)</f>
        <v>7.6686452009637751E-3</v>
      </c>
      <c r="CT39" s="9">
        <f ca="1">IF(OR(CT12="",CT$28&lt;$A39),"",CT12/OFFSET(SSTotalCLM!$A$2,MATCH(CT$29,SSTotalCLM!$A$2:$A$500)+$A39-1,1)-1)</f>
        <v>3.7529897176116433E-2</v>
      </c>
      <c r="CU39" s="9">
        <f ca="1">IF(OR(CU12="",CU$28&lt;$A39),"",CU12/OFFSET(SSTotalCLM!$A$2,MATCH(CU$29,SSTotalCLM!$A$2:$A$500)+$A39-1,1)-1)</f>
        <v>4.417325497304514E-2</v>
      </c>
      <c r="CV39" s="9">
        <f ca="1">IF(OR(CV12="",CV$28&lt;$A39),"",CV12/OFFSET(SSTotalCLM!$A$2,MATCH(CV$29,SSTotalCLM!$A$2:$A$500)+$A39-1,1)-1)</f>
        <v>3.5292150693986724E-2</v>
      </c>
      <c r="CW39" s="9">
        <f ca="1">IF(OR(CW12="",CW$28&lt;$A39),"",CW12/OFFSET(SSTotalCLM!$A$2,MATCH(CW$29,SSTotalCLM!$A$2:$A$500)+$A39-1,1)-1)</f>
        <v>3.284284061474696E-2</v>
      </c>
      <c r="CX39" s="9">
        <f ca="1">IF(OR(CX12="",CX$28&lt;$A39),"",CX12/OFFSET(SSTotalCLM!$A$2,MATCH(CX$29,SSTotalCLM!$A$2:$A$500)+$A39-1,1)-1)</f>
        <v>1.4127170395682009E-2</v>
      </c>
      <c r="CY39" s="9">
        <f ca="1">IF(OR(CY12="",CY$28&lt;$A39),"",CY12/OFFSET(SSTotalCLM!$A$2,MATCH(CY$29,SSTotalCLM!$A$2:$A$500)+$A39-1,1)-1)</f>
        <v>7.0415218041088856E-3</v>
      </c>
      <c r="CZ39" s="9">
        <f ca="1">IF(OR(CZ12="",CZ$28&lt;$A39),"",CZ12/OFFSET(SSTotalCLM!$A$2,MATCH(CZ$29,SSTotalCLM!$A$2:$A$500)+$A39-1,1)-1)</f>
        <v>2.3098741008771073E-2</v>
      </c>
      <c r="DA39" s="9">
        <f ca="1">IF(OR(DA12="",DA$28&lt;$A39),"",DA12/OFFSET(SSTotalCLM!$A$2,MATCH(DA$29,SSTotalCLM!$A$2:$A$500)+$A39-1,1)-1)</f>
        <v>2.2784230856023324E-3</v>
      </c>
      <c r="DB39" s="9">
        <f ca="1">IF(OR(DB12="",DB$28&lt;$A39),"",DB12/OFFSET(SSTotalCLM!$A$2,MATCH(DB$29,SSTotalCLM!$A$2:$A$500)+$A39-1,1)-1)</f>
        <v>-2.8832219816333327E-2</v>
      </c>
      <c r="DC39" s="9">
        <f ca="1">IF(OR(DC12="",DC$28&lt;$A39),"",DC12/OFFSET(SSTotalCLM!$A$2,MATCH(DC$29,SSTotalCLM!$A$2:$A$500)+$A39-1,1)-1)</f>
        <v>2.1194525865435354E-2</v>
      </c>
      <c r="DD39" s="9">
        <f ca="1">IF(OR(DD12="",DD$28&lt;$A39),"",DD12/OFFSET(SSTotalCLM!$A$2,MATCH(DD$29,SSTotalCLM!$A$2:$A$500)+$A39-1,1)-1)</f>
        <v>-5.6052552026797375E-3</v>
      </c>
      <c r="DE39" s="9">
        <f ca="1">IF(OR(DE12="",DE$28&lt;$A39),"",DE12/OFFSET(SSTotalCLM!$A$2,MATCH(DE$29,SSTotalCLM!$A$2:$A$500)+$A39-1,1)-1)</f>
        <v>-5.7432530373262014E-2</v>
      </c>
      <c r="DF39" s="9">
        <f ca="1">IF(OR(DF12="",DF$28&lt;$A39),"",DF12/OFFSET(SSTotalCLM!$A$2,MATCH(DF$29,SSTotalCLM!$A$2:$A$500)+$A39-1,1)-1)</f>
        <v>-9.4965958308242948E-2</v>
      </c>
      <c r="DG39" s="9">
        <f ca="1">IF(OR(DG12="",DG$28&lt;$A39),"",DG12/OFFSET(SSTotalCLM!$A$2,MATCH(DG$29,SSTotalCLM!$A$2:$A$500)+$A39-1,1)-1)</f>
        <v>-6.6590735699672665E-2</v>
      </c>
      <c r="DH39" s="9">
        <f ca="1">IF(OR(DH12="",DH$28&lt;$A39),"",DH12/OFFSET(SSTotalCLM!$A$2,MATCH(DH$29,SSTotalCLM!$A$2:$A$500)+$A39-1,1)-1)</f>
        <v>-6.7890843568597425E-2</v>
      </c>
      <c r="DI39" s="9">
        <f ca="1">IF(OR(DI12="",DI$28&lt;$A39),"",DI12/OFFSET(SSTotalCLM!$A$2,MATCH(DI$29,SSTotalCLM!$A$2:$A$500)+$A39-1,1)-1)</f>
        <v>-6.6944745358709312E-2</v>
      </c>
      <c r="DJ39" s="9">
        <f ca="1">IF(OR(DJ12="",DJ$28&lt;$A39),"",DJ12/OFFSET(SSTotalCLM!$A$2,MATCH(DJ$29,SSTotalCLM!$A$2:$A$500)+$A39-1,1)-1)</f>
        <v>-5.8312272187870495E-2</v>
      </c>
      <c r="DK39" s="9">
        <f ca="1">IF(OR(DK12="",DK$28&lt;$A39),"",DK12/OFFSET(SSTotalCLM!$A$2,MATCH(DK$29,SSTotalCLM!$A$2:$A$500)+$A39-1,1)-1)</f>
        <v>-5.3595934445577198E-2</v>
      </c>
      <c r="DL39" s="9">
        <f ca="1">IF(OR(DL12="",DL$28&lt;$A39),"",DL12/OFFSET(SSTotalCLM!$A$2,MATCH(DL$29,SSTotalCLM!$A$2:$A$500)+$A39-1,1)-1)</f>
        <v>-4.6928989953728739E-2</v>
      </c>
      <c r="DM39" s="9">
        <f ca="1">IF(OR(DM12="",DM$28&lt;$A39),"",DM12/OFFSET(SSTotalCLM!$A$2,MATCH(DM$29,SSTotalCLM!$A$2:$A$500)+$A39-1,1)-1)</f>
        <v>-5.3438630215543736E-2</v>
      </c>
      <c r="DN39" s="9">
        <f ca="1">IF(OR(DN12="",DN$28&lt;$A39),"",DN12/OFFSET(SSTotalCLM!$A$2,MATCH(DN$29,SSTotalCLM!$A$2:$A$500)+$A39-1,1)-1)</f>
        <v>-4.7469180843238812E-2</v>
      </c>
      <c r="DO39" s="9">
        <f ca="1">IF(OR(DO12="",DO$28&lt;$A39),"",DO12/OFFSET(SSTotalCLM!$A$2,MATCH(DO$29,SSTotalCLM!$A$2:$A$500)+$A39-1,1)-1)</f>
        <v>-4.5948304380943883E-2</v>
      </c>
      <c r="DP39" s="9">
        <f ca="1">IF(OR(DP12="",DP$28&lt;$A39),"",DP12/OFFSET(SSTotalCLM!$A$2,MATCH(DP$29,SSTotalCLM!$A$2:$A$500)+$A39-1,1)-1)</f>
        <v>7.8406873368790375E-3</v>
      </c>
      <c r="DQ39" s="9">
        <f ca="1">IF(OR(DQ12="",DQ$28&lt;$A39),"",DQ12/OFFSET(SSTotalCLM!$A$2,MATCH(DQ$29,SSTotalCLM!$A$2:$A$500)+$A39-1,1)-1)</f>
        <v>-5.2752535204325546E-2</v>
      </c>
      <c r="DR39" s="9">
        <f ca="1">IF(OR(DR12="",DR$28&lt;$A39),"",DR12/OFFSET(SSTotalCLM!$A$2,MATCH(DR$29,SSTotalCLM!$A$2:$A$500)+$A39-1,1)-1)</f>
        <v>1.181730837100492E-3</v>
      </c>
      <c r="DS39" s="9">
        <f ca="1">IF(OR(DS12="",DS$28&lt;$A39),"",DS12/OFFSET(SSTotalCLM!$A$2,MATCH(DS$29,SSTotalCLM!$A$2:$A$500)+$A39-1,1)-1)</f>
        <v>-6.0677135365916346E-4</v>
      </c>
      <c r="DT39" s="9">
        <f ca="1">IF(OR(DT12="",DT$28&lt;$A39),"",DT12/OFFSET(SSTotalCLM!$A$2,MATCH(DT$29,SSTotalCLM!$A$2:$A$500)+$A39-1,1)-1)</f>
        <v>-8.3497731335381298E-3</v>
      </c>
      <c r="DU39" s="9">
        <f ca="1">IF(OR(DU12="",DU$28&lt;$A39),"",DU12/OFFSET(SSTotalCLM!$A$2,MATCH(DU$29,SSTotalCLM!$A$2:$A$500)+$A39-1,1)-1)</f>
        <v>-4.5077098706206575E-3</v>
      </c>
      <c r="DV39" s="9">
        <f ca="1">IF(OR(DV12="",DV$28&lt;$A39),"",DV12/OFFSET(SSTotalCLM!$A$2,MATCH(DV$29,SSTotalCLM!$A$2:$A$500)+$A39-1,1)-1)</f>
        <v>-1.1968808715937196E-2</v>
      </c>
      <c r="DW39" s="9">
        <f ca="1">IF(OR(DW12="",DW$28&lt;$A39),"",DW12/OFFSET(SSTotalCLM!$A$2,MATCH(DW$29,SSTotalCLM!$A$2:$A$500)+$A39-1,1)-1)</f>
        <v>-1.4809195083682503E-2</v>
      </c>
      <c r="DX39" s="9">
        <f ca="1">IF(OR(DX12="",DX$28&lt;$A39),"",DX12/OFFSET(SSTotalCLM!$A$2,MATCH(DX$29,SSTotalCLM!$A$2:$A$500)+$A39-1,1)-1)</f>
        <v>-1.2113735044575358E-2</v>
      </c>
      <c r="DY39" s="9">
        <f ca="1">IF(OR(DY12="",DY$28&lt;$A39),"",DY12/OFFSET(SSTotalCLM!$A$2,MATCH(DY$29,SSTotalCLM!$A$2:$A$500)+$A39-1,1)-1)</f>
        <v>-2.8259717893392433E-2</v>
      </c>
      <c r="DZ39" s="9">
        <f ca="1">IF(OR(DZ12="",DZ$28&lt;$A39),"",DZ12/OFFSET(SSTotalCLM!$A$2,MATCH(DZ$29,SSTotalCLM!$A$2:$A$500)+$A39-1,1)-1)</f>
        <v>-3.6290113072053098E-2</v>
      </c>
      <c r="EA39" s="9">
        <f ca="1">IF(OR(EA12="",EA$28&lt;$A39),"",EA12/OFFSET(SSTotalCLM!$A$2,MATCH(EA$29,SSTotalCLM!$A$2:$A$500)+$A39-1,1)-1)</f>
        <v>1.1425854651013534E-2</v>
      </c>
      <c r="EB39" s="9">
        <f ca="1">IF(OR(EB12="",EB$28&lt;$A39),"",EB12/OFFSET(SSTotalCLM!$A$2,MATCH(EB$29,SSTotalCLM!$A$2:$A$500)+$A39-1,1)-1)</f>
        <v>-3.8287503182621863E-2</v>
      </c>
      <c r="EC39" s="9">
        <f ca="1">IF(OR(EC12="",EC$28&lt;$A39),"",EC12/OFFSET(SSTotalCLM!$A$2,MATCH(EC$29,SSTotalCLM!$A$2:$A$500)+$A39-1,1)-1)</f>
        <v>-1.8308963896536468E-2</v>
      </c>
      <c r="ED39" s="9">
        <f ca="1">IF(OR(ED12="",ED$28&lt;$A39),"",ED12/OFFSET(SSTotalCLM!$A$2,MATCH(ED$29,SSTotalCLM!$A$2:$A$500)+$A39-1,1)-1)</f>
        <v>-2.7494213451519922E-3</v>
      </c>
      <c r="EE39" s="9">
        <f ca="1">IF(OR(EE12="",EE$28&lt;$A39),"",EE12/OFFSET(SSTotalCLM!$A$2,MATCH(EE$29,SSTotalCLM!$A$2:$A$500)+$A39-1,1)-1)</f>
        <v>-2.4099099351722053E-2</v>
      </c>
      <c r="EF39" s="9">
        <f ca="1">IF(OR(EF12="",EF$28&lt;$A39),"",EF12/OFFSET(SSTotalCLM!$A$2,MATCH(EF$29,SSTotalCLM!$A$2:$A$500)+$A39-1,1)-1)</f>
        <v>-1.5955066811899621E-2</v>
      </c>
      <c r="EG39" s="9">
        <f ca="1">IF(OR(EG12="",EG$28&lt;$A39),"",EG12/OFFSET(SSTotalCLM!$A$2,MATCH(EG$29,SSTotalCLM!$A$2:$A$500)+$A39-1,1)-1)</f>
        <v>2.2507812672611927E-4</v>
      </c>
      <c r="EH39" s="9">
        <f ca="1">IF(OR(EH12="",EH$28&lt;$A39),"",EH12/OFFSET(SSTotalCLM!$A$2,MATCH(EH$29,SSTotalCLM!$A$2:$A$500)+$A39-1,1)-1)</f>
        <v>1.7238087309644712E-2</v>
      </c>
      <c r="EI39" s="9">
        <f ca="1">IF(OR(EI12="",EI$28&lt;$A39),"",EI12/OFFSET(SSTotalCLM!$A$2,MATCH(EI$29,SSTotalCLM!$A$2:$A$500)+$A39-1,1)-1)</f>
        <v>3.3652183394791368E-2</v>
      </c>
      <c r="EJ39" s="9">
        <f ca="1">IF(OR(EJ12="",EJ$28&lt;$A39),"",EJ12/OFFSET(SSTotalCLM!$A$2,MATCH(EJ$29,SSTotalCLM!$A$2:$A$500)+$A39-1,1)-1)</f>
        <v>3.1341573824472446E-2</v>
      </c>
      <c r="EK39" s="9">
        <f ca="1">IF(OR(EK12="",EK$28&lt;$A39),"",EK12/OFFSET(SSTotalCLM!$A$2,MATCH(EK$29,SSTotalCLM!$A$2:$A$500)+$A39-1,1)-1)</f>
        <v>3.2485068409853213E-3</v>
      </c>
      <c r="EL39" s="9">
        <f ca="1">IF(OR(EL12="",EL$28&lt;$A39),"",EL12/OFFSET(SSTotalCLM!$A$2,MATCH(EL$29,SSTotalCLM!$A$2:$A$500)+$A39-1,1)-1)</f>
        <v>-2.3605933875239349E-2</v>
      </c>
      <c r="EM39" s="9">
        <f ca="1">IF(OR(EM12="",EM$28&lt;$A39),"",EM12/OFFSET(SSTotalCLM!$A$2,MATCH(EM$29,SSTotalCLM!$A$2:$A$500)+$A39-1,1)-1)</f>
        <v>-1.5475574577324291E-2</v>
      </c>
      <c r="EN39" s="9">
        <f ca="1">IF(OR(EN12="",EN$28&lt;$A39),"",EN12/OFFSET(SSTotalCLM!$A$2,MATCH(EN$29,SSTotalCLM!$A$2:$A$500)+$A39-1,1)-1)</f>
        <v>-3.0854182362932581E-2</v>
      </c>
      <c r="EO39" s="9">
        <f ca="1">IF(OR(EO12="",EO$28&lt;$A39),"",EO12/OFFSET(SSTotalCLM!$A$2,MATCH(EO$29,SSTotalCLM!$A$2:$A$500)+$A39-1,1)-1)</f>
        <v>-1.3441057339330542E-2</v>
      </c>
      <c r="EP39" s="9">
        <f ca="1">IF(OR(EP12="",EP$28&lt;$A39),"",EP12/OFFSET(SSTotalCLM!$A$2,MATCH(EP$29,SSTotalCLM!$A$2:$A$500)+$A39-1,1)-1)</f>
        <v>-1.314578635711483E-2</v>
      </c>
      <c r="EQ39" s="9">
        <f ca="1">IF(OR(EQ12="",EQ$28&lt;$A39),"",EQ12/OFFSET(SSTotalCLM!$A$2,MATCH(EQ$29,SSTotalCLM!$A$2:$A$500)+$A39-1,1)-1)</f>
        <v>-4.2943887870946496E-3</v>
      </c>
      <c r="ER39" s="9">
        <f ca="1">IF(OR(ER12="",ER$28&lt;$A39),"",ER12/OFFSET(SSTotalCLM!$A$2,MATCH(ER$29,SSTotalCLM!$A$2:$A$500)+$A39-1,1)-1)</f>
        <v>-9.7480417759506777E-3</v>
      </c>
      <c r="ES39" s="9">
        <f ca="1">IF(OR(ES12="",ES$28&lt;$A39),"",ES12/OFFSET(SSTotalCLM!$A$2,MATCH(ES$29,SSTotalCLM!$A$2:$A$500)+$A39-1,1)-1)</f>
        <v>-1.695956493977413E-2</v>
      </c>
      <c r="ET39" s="9">
        <f ca="1">IF(OR(ET12="",ET$28&lt;$A39),"",ET12/OFFSET(SSTotalCLM!$A$2,MATCH(ET$29,SSTotalCLM!$A$2:$A$500)+$A39-1,1)-1)</f>
        <v>-1.0406465896673045E-2</v>
      </c>
      <c r="EU39" s="9">
        <f ca="1">IF(OR(EU12="",EU$28&lt;$A39),"",EU12/OFFSET(SSTotalCLM!$A$2,MATCH(EU$29,SSTotalCLM!$A$2:$A$500)+$A39-1,1)-1)</f>
        <v>1.7417393308116758E-3</v>
      </c>
      <c r="EV39" s="9">
        <f ca="1">IF(OR(EV12="",EV$28&lt;$A39),"",EV12/OFFSET(SSTotalCLM!$A$2,MATCH(EV$29,SSTotalCLM!$A$2:$A$500)+$A39-1,1)-1)</f>
        <v>2.7486524447082328E-2</v>
      </c>
      <c r="EW39" s="9">
        <f ca="1">IF(OR(EW12="",EW$28&lt;$A39),"",EW12/OFFSET(SSTotalCLM!$A$2,MATCH(EW$29,SSTotalCLM!$A$2:$A$500)+$A39-1,1)-1)</f>
        <v>2.9827325834464791E-2</v>
      </c>
      <c r="EX39" s="9">
        <f ca="1">IF(OR(EX12="",EX$28&lt;$A39),"",EX12/OFFSET(SSTotalCLM!$A$2,MATCH(EX$29,SSTotalCLM!$A$2:$A$500)+$A39-1,1)-1)</f>
        <v>1.5853212242501691E-2</v>
      </c>
      <c r="EY39" s="9">
        <f ca="1">IF(OR(EY12="",EY$28&lt;$A39),"",EY12/OFFSET(SSTotalCLM!$A$2,MATCH(EY$29,SSTotalCLM!$A$2:$A$500)+$A39-1,1)-1)</f>
        <v>2.7485670771998372E-4</v>
      </c>
      <c r="EZ39" s="9">
        <f ca="1">IF(OR(EZ12="",EZ$28&lt;$A39),"",EZ12/OFFSET(SSTotalCLM!$A$2,MATCH(EZ$29,SSTotalCLM!$A$2:$A$500)+$A39-1,1)-1)</f>
        <v>1.2100032358163926E-2</v>
      </c>
      <c r="FA39" s="9">
        <f ca="1">IF(OR(FA12="",FA$28&lt;$A39),"",FA12/OFFSET(SSTotalCLM!$A$2,MATCH(FA$29,SSTotalCLM!$A$2:$A$500)+$A39-1,1)-1)</f>
        <v>-9.1569184863490305E-3</v>
      </c>
      <c r="FB39" s="9">
        <f ca="1">IF(OR(FB12="",FB$28&lt;$A39),"",FB12/OFFSET(SSTotalCLM!$A$2,MATCH(FB$29,SSTotalCLM!$A$2:$A$500)+$A39-1,1)-1)</f>
        <v>-1.2504561442243323E-2</v>
      </c>
      <c r="FC39" s="9">
        <f ca="1">IF(OR(FC12="",FC$28&lt;$A39),"",FC12/OFFSET(SSTotalCLM!$A$2,MATCH(FC$29,SSTotalCLM!$A$2:$A$500)+$A39-1,1)-1)</f>
        <v>-1.8684955725621677E-2</v>
      </c>
      <c r="FD39" s="9">
        <f ca="1">IF(OR(FD12="",FD$28&lt;$A39),"",FD12/OFFSET(SSTotalCLM!$A$2,MATCH(FD$29,SSTotalCLM!$A$2:$A$500)+$A39-1,1)-1)</f>
        <v>-1.8042290249750237E-2</v>
      </c>
      <c r="FE39" s="9">
        <f ca="1">IF(OR(FE12="",FE$28&lt;$A39),"",FE12/OFFSET(SSTotalCLM!$A$2,MATCH(FE$29,SSTotalCLM!$A$2:$A$500)+$A39-1,1)-1)</f>
        <v>-1.79060914891086E-2</v>
      </c>
      <c r="FF39" s="9">
        <f ca="1">IF(OR(FF12="",FF$28&lt;$A39),"",FF12/OFFSET(SSTotalCLM!$A$2,MATCH(FF$29,SSTotalCLM!$A$2:$A$500)+$A39-1,1)-1)</f>
        <v>-1.8982618761475223E-2</v>
      </c>
      <c r="FG39" s="9">
        <f ca="1">IF(OR(FG12="",FG$28&lt;$A39),"",FG12/OFFSET(SSTotalCLM!$A$2,MATCH(FG$29,SSTotalCLM!$A$2:$A$500)+$A39-1,1)-1)</f>
        <v>-2.0740791415505777E-2</v>
      </c>
      <c r="FH39" s="9">
        <f ca="1">IF(OR(FH12="",FH$28&lt;$A39),"",FH12/OFFSET(SSTotalCLM!$A$2,MATCH(FH$29,SSTotalCLM!$A$2:$A$500)+$A39-1,1)-1)</f>
        <v>-2.1785410820585049E-3</v>
      </c>
      <c r="FI39" s="9">
        <f ca="1">IF(OR(FI12="",FI$28&lt;$A39),"",FI12/OFFSET(SSTotalCLM!$A$2,MATCH(FI$29,SSTotalCLM!$A$2:$A$500)+$A39-1,1)-1)</f>
        <v>-1.366826575857405E-3</v>
      </c>
      <c r="FJ39" s="9">
        <f ca="1">IF(OR(FJ12="",FJ$28&lt;$A39),"",FJ12/OFFSET(SSTotalCLM!$A$2,MATCH(FJ$29,SSTotalCLM!$A$2:$A$500)+$A39-1,1)-1)</f>
        <v>2.9957598388079543E-3</v>
      </c>
      <c r="FK39" s="9">
        <f ca="1">IF(OR(FK12="",FK$28&lt;$A39),"",FK12/OFFSET(SSTotalCLM!$A$2,MATCH(FK$29,SSTotalCLM!$A$2:$A$500)+$A39-1,1)-1)</f>
        <v>-4.0518230577542003E-3</v>
      </c>
      <c r="FL39" s="9">
        <f ca="1">IF(OR(FL12="",FL$28&lt;$A39),"",FL12/OFFSET(SSTotalCLM!$A$2,MATCH(FL$29,SSTotalCLM!$A$2:$A$500)+$A39-1,1)-1)</f>
        <v>2.5755100786730711E-3</v>
      </c>
      <c r="FM39" s="9">
        <f ca="1">IF(OR(FM12="",FM$28&lt;$A39),"",FM12/OFFSET(SSTotalCLM!$A$2,MATCH(FM$29,SSTotalCLM!$A$2:$A$500)+$A39-1,1)-1)</f>
        <v>3.4972695202367676E-2</v>
      </c>
      <c r="FN39" s="9">
        <f ca="1">IF(OR(FN12="",FN$28&lt;$A39),"",FN12/OFFSET(SSTotalCLM!$A$2,MATCH(FN$29,SSTotalCLM!$A$2:$A$500)+$A39-1,1)-1)</f>
        <v>1.935161615428127E-2</v>
      </c>
      <c r="FO39" s="9">
        <f ca="1">IF(OR(FO12="",FO$28&lt;$A39),"",FO12/OFFSET(SSTotalCLM!$A$2,MATCH(FO$29,SSTotalCLM!$A$2:$A$500)+$A39-1,1)-1)</f>
        <v>1.3339990964006843E-2</v>
      </c>
      <c r="FP39" s="9">
        <f ca="1">IF(OR(FP12="",FP$28&lt;$A39),"",FP12/OFFSET(SSTotalCLM!$A$2,MATCH(FP$29,SSTotalCLM!$A$2:$A$500)+$A39-1,1)-1)</f>
        <v>-9.5226220392046201E-3</v>
      </c>
      <c r="FQ39" s="9">
        <f ca="1">IF(OR(FQ12="",FQ$28&lt;$A39),"",FQ12/OFFSET(SSTotalCLM!$A$2,MATCH(FQ$29,SSTotalCLM!$A$2:$A$500)+$A39-1,1)-1)</f>
        <v>-2.2873589971714403E-2</v>
      </c>
      <c r="FR39" s="9">
        <f ca="1">IF(OR(FR12="",FR$28&lt;$A39),"",FR12/OFFSET(SSTotalCLM!$A$2,MATCH(FR$29,SSTotalCLM!$A$2:$A$500)+$A39-1,1)-1)</f>
        <v>-3.3363526109764674E-2</v>
      </c>
      <c r="FS39" s="9">
        <f ca="1">IF(OR(FS12="",FS$28&lt;$A39),"",FS12/OFFSET(SSTotalCLM!$A$2,MATCH(FS$29,SSTotalCLM!$A$2:$A$500)+$A39-1,1)-1)</f>
        <v>-3.4634495537321675E-2</v>
      </c>
      <c r="FT39" s="9">
        <f ca="1">IF(OR(FT12="",FT$28&lt;$A39),"",FT12/OFFSET(SSTotalCLM!$A$2,MATCH(FT$29,SSTotalCLM!$A$2:$A$500)+$A39-1,1)-1)</f>
        <v>-2.1665177134751024E-2</v>
      </c>
      <c r="FU39" s="9">
        <f ca="1">IF(OR(FU12="",FU$28&lt;$A39),"",FU12/OFFSET(SSTotalCLM!$A$2,MATCH(FU$29,SSTotalCLM!$A$2:$A$500)+$A39-1,1)-1)</f>
        <v>2.0347061477101747E-3</v>
      </c>
      <c r="FV39" s="9">
        <f ca="1">IF(OR(FV12="",FV$28&lt;$A39),"",FV12/OFFSET(SSTotalCLM!$A$2,MATCH(FV$29,SSTotalCLM!$A$2:$A$500)+$A39-1,1)-1)</f>
        <v>1.3426575656434458E-3</v>
      </c>
      <c r="FW39" s="9">
        <f ca="1">IF(OR(FW12="",FW$28&lt;$A39),"",FW12/OFFSET(SSTotalCLM!$A$2,MATCH(FW$29,SSTotalCLM!$A$2:$A$500)+$A39-1,1)-1)</f>
        <v>-1.761351349258844E-2</v>
      </c>
      <c r="FX39" s="9">
        <f ca="1">IF(OR(FX12="",FX$28&lt;$A39),"",FX12/OFFSET(SSTotalCLM!$A$2,MATCH(FX$29,SSTotalCLM!$A$2:$A$500)+$A39-1,1)-1)</f>
        <v>1.3311509249454678E-2</v>
      </c>
      <c r="FY39" s="9">
        <f ca="1">IF(OR(FY12="",FY$28&lt;$A39),"",FY12/OFFSET(SSTotalCLM!$A$2,MATCH(FY$29,SSTotalCLM!$A$2:$A$500)+$A39-1,1)-1)</f>
        <v>1.8954700808984759E-2</v>
      </c>
      <c r="FZ39" s="9">
        <f ca="1">IF(OR(FZ12="",FZ$28&lt;$A39),"",FZ12/OFFSET(SSTotalCLM!$A$2,MATCH(FZ$29,SSTotalCLM!$A$2:$A$500)+$A39-1,1)-1)</f>
        <v>3.8226114648541198E-2</v>
      </c>
      <c r="GA39" s="9">
        <f ca="1">IF(OR(GA12="",GA$28&lt;$A39),"",GA12/OFFSET(SSTotalCLM!$A$2,MATCH(GA$29,SSTotalCLM!$A$2:$A$500)+$A39-1,1)-1)</f>
        <v>4.04752475286696E-2</v>
      </c>
      <c r="GB39" s="9">
        <f ca="1">IF(OR(GB12="",GB$28&lt;$A39),"",GB12/OFFSET(SSTotalCLM!$A$2,MATCH(GB$29,SSTotalCLM!$A$2:$A$500)+$A39-1,1)-1)</f>
        <v>3.4765115814151093E-2</v>
      </c>
      <c r="GC39" s="9">
        <f ca="1">IF(OR(GC12="",GC$28&lt;$A39),"",GC12/OFFSET(SSTotalCLM!$A$2,MATCH(GC$29,SSTotalCLM!$A$2:$A$500)+$A39-1,1)-1)</f>
        <v>3.0275828354297207E-2</v>
      </c>
      <c r="GD39" s="9">
        <f ca="1">IF(OR(GD12="",GD$28&lt;$A39),"",GD12/OFFSET(SSTotalCLM!$A$2,MATCH(GD$29,SSTotalCLM!$A$2:$A$500)+$A39-1,1)-1)</f>
        <v>1.0953273078925463E-2</v>
      </c>
      <c r="GE39" s="9">
        <f ca="1">IF(OR(GE12="",GE$28&lt;$A39),"",GE12/OFFSET(SSTotalCLM!$A$2,MATCH(GE$29,SSTotalCLM!$A$2:$A$500)+$A39-1,1)-1)</f>
        <v>1.7233160612594611E-2</v>
      </c>
      <c r="GF39" s="9">
        <f ca="1">IF(OR(GF12="",GF$28&lt;$A39),"",GF12/OFFSET(SSTotalCLM!$A$2,MATCH(GF$29,SSTotalCLM!$A$2:$A$500)+$A39-1,1)-1)</f>
        <v>4.5954916072818097E-2</v>
      </c>
      <c r="GG39" s="9">
        <f ca="1">IF(OR(GG12="",GG$28&lt;$A39),"",GG12/OFFSET(SSTotalCLM!$A$2,MATCH(GG$29,SSTotalCLM!$A$2:$A$500)+$A39-1,1)-1)</f>
        <v>4.1483564319589217E-2</v>
      </c>
      <c r="GH39" s="9">
        <f ca="1">IF(OR(GH12="",GH$28&lt;$A39),"",GH12/OFFSET(SSTotalCLM!$A$2,MATCH(GH$29,SSTotalCLM!$A$2:$A$500)+$A39-1,1)-1)</f>
        <v>2.9230851939261893E-2</v>
      </c>
      <c r="GI39" s="9">
        <f ca="1">IF(OR(GI12="",GI$28&lt;$A39),"",GI12/OFFSET(SSTotalCLM!$A$2,MATCH(GI$29,SSTotalCLM!$A$2:$A$500)+$A39-1,1)-1)</f>
        <v>2.0618543110510146E-2</v>
      </c>
      <c r="GJ39" s="9">
        <f ca="1">IF(OR(GJ12="",GJ$28&lt;$A39),"",GJ12/OFFSET(SSTotalCLM!$A$2,MATCH(GJ$29,SSTotalCLM!$A$2:$A$500)+$A39-1,1)-1)</f>
        <v>1.2927373750399207E-2</v>
      </c>
      <c r="GK39" s="9">
        <f ca="1">IF(OR(GK12="",GK$28&lt;$A39),"",GK12/OFFSET(SSTotalCLM!$A$2,MATCH(GK$29,SSTotalCLM!$A$2:$A$500)+$A39-1,1)-1)</f>
        <v>1.0550845067829995E-2</v>
      </c>
      <c r="GL39" s="9">
        <f ca="1">IF(OR(GL12="",GL$28&lt;$A39),"",GL12/OFFSET(SSTotalCLM!$A$2,MATCH(GL$29,SSTotalCLM!$A$2:$A$500)+$A39-1,1)-1)</f>
        <v>1.9322516284502544E-2</v>
      </c>
      <c r="GM39" s="9">
        <f ca="1">IF(OR(GM12="",GM$28&lt;$A39),"",GM12/OFFSET(SSTotalCLM!$A$2,MATCH(GM$29,SSTotalCLM!$A$2:$A$500)+$A39-1,1)-1)</f>
        <v>3.6023606597217483E-3</v>
      </c>
      <c r="GN39" s="9">
        <f ca="1">IF(OR(GN12="",GN$28&lt;$A39),"",GN12/OFFSET(SSTotalCLM!$A$2,MATCH(GN$29,SSTotalCLM!$A$2:$A$500)+$A39-1,1)-1)</f>
        <v>8.7690075254194255E-3</v>
      </c>
      <c r="GO39" s="9">
        <f ca="1">IF(OR(GO12="",GO$28&lt;$A39),"",GO12/OFFSET(SSTotalCLM!$A$2,MATCH(GO$29,SSTotalCLM!$A$2:$A$500)+$A39-1,1)-1)</f>
        <v>-8.3184748430547018E-3</v>
      </c>
      <c r="GP39" s="9" t="str">
        <f ca="1">IF(OR(GP12="",GP$28&lt;$A39),"",GP12/OFFSET(SSTotalCLM!$A$2,MATCH(GP$29,SSTotalCLM!$A$2:$A$500)+$A39-1,1)-1)</f>
        <v/>
      </c>
      <c r="GQ39" s="9" t="str">
        <f ca="1">IF(OR(GQ12="",GQ$28&lt;$A39),"",GQ12/OFFSET(SSTotalCLM!$A$2,MATCH(GQ$29,SSTotalCLM!$A$2:$A$500)+$A39-1,1)-1)</f>
        <v/>
      </c>
      <c r="GR39" s="9" t="str">
        <f ca="1">IF(OR(GR12="",GR$28&lt;$A39),"",GR12/OFFSET(SSTotalCLM!$A$2,MATCH(GR$29,SSTotalCLM!$A$2:$A$500)+$A39-1,1)-1)</f>
        <v/>
      </c>
      <c r="GS39" s="9" t="str">
        <f ca="1">IF(OR(GS12="",GS$28&lt;$A39),"",GS12/OFFSET(SSTotalCLM!$A$2,MATCH(GS$29,SSTotalCLM!$A$2:$A$500)+$A39-1,1)-1)</f>
        <v/>
      </c>
      <c r="GT39" s="9" t="str">
        <f ca="1">IF(OR(GT12="",GT$28&lt;$A39),"",GT12/OFFSET(SSTotalCLM!$A$2,MATCH(GT$29,SSTotalCLM!$A$2:$A$500)+$A39-1,1)-1)</f>
        <v/>
      </c>
      <c r="GU39" s="9" t="str">
        <f ca="1">IF(OR(GU12="",GU$28&lt;$A39),"",GU12/OFFSET(SSTotalCLM!$A$2,MATCH(GU$29,SSTotalCLM!$A$2:$A$500)+$A39-1,1)-1)</f>
        <v/>
      </c>
      <c r="GV39" s="9" t="str">
        <f ca="1">IF(OR(GV12="",GV$28&lt;$A39),"",GV12/OFFSET(SSTotalCLM!$A$2,MATCH(GV$29,SSTotalCLM!$A$2:$A$500)+$A39-1,1)-1)</f>
        <v/>
      </c>
      <c r="GW39" s="9" t="str">
        <f ca="1">IF(OR(GW12="",GW$28&lt;$A39),"",GW12/OFFSET(SSTotalCLM!$A$2,MATCH(GW$29,SSTotalCLM!$A$2:$A$500)+$A39-1,1)-1)</f>
        <v/>
      </c>
      <c r="GX39" s="9" t="str">
        <f ca="1">IF(OR(GX12="",GX$28&lt;$A39),"",GX12/OFFSET(SSTotalCLM!$A$2,MATCH(GX$29,SSTotalCLM!$A$2:$A$500)+$A39-1,1)-1)</f>
        <v/>
      </c>
      <c r="GY39" s="9" t="str">
        <f ca="1">IF(OR(GY12="",GY$28&lt;$A39),"",GY12/OFFSET(SSTotalCLM!$A$2,MATCH(GY$29,SSTotalCLM!$A$2:$A$500)+$A39-1,1)-1)</f>
        <v/>
      </c>
      <c r="GZ39" s="9" t="str">
        <f ca="1">IF(OR(GZ12="",GZ$28&lt;$A39),"",GZ12/OFFSET(SSTotalCLM!$A$2,MATCH(GZ$29,SSTotalCLM!$A$2:$A$500)+$A39-1,1)-1)</f>
        <v/>
      </c>
      <c r="HA39" s="9" t="str">
        <f ca="1">IF(OR(HA12="",HA$28&lt;$A39),"",HA12/OFFSET(SSTotalCLM!$A$2,MATCH(HA$29,SSTotalCLM!$A$2:$A$500)+$A39-1,1)-1)</f>
        <v/>
      </c>
      <c r="HB39" s="9" t="str">
        <f ca="1">IF(OR(HB12="",HB$28&lt;$A39),"",HB12/OFFSET(SSTotalCLM!$A$2,MATCH(HB$29,SSTotalCLM!$A$2:$A$500)+$A39-1,1)-1)</f>
        <v/>
      </c>
      <c r="HC39" s="9" t="str">
        <f ca="1">IF(OR(HC12="",HC$28&lt;$A39),"",HC12/OFFSET(SSTotalCLM!$A$2,MATCH(HC$29,SSTotalCLM!$A$2:$A$500)+$A39-1,1)-1)</f>
        <v/>
      </c>
      <c r="HD39" s="9" t="str">
        <f ca="1">IF(OR(HD12="",HD$28&lt;$A39),"",HD12/OFFSET(SSTotalCLM!$A$2,MATCH(HD$29,SSTotalCLM!$A$2:$A$500)+$A39-1,1)-1)</f>
        <v/>
      </c>
      <c r="HE39" s="9" t="str">
        <f ca="1">IF(OR(HE12="",HE$28&lt;$A39),"",HE12/OFFSET(SSTotalCLM!$A$2,MATCH(HE$29,SSTotalCLM!$A$2:$A$500)+$A39-1,1)-1)</f>
        <v/>
      </c>
      <c r="HF39" s="9" t="str">
        <f ca="1">IF(OR(HF12="",HF$28&lt;$A39),"",HF12/OFFSET(SSTotalCLM!$A$2,MATCH(HF$29,SSTotalCLM!$A$2:$A$500)+$A39-1,1)-1)</f>
        <v/>
      </c>
      <c r="HG39" s="9" t="str">
        <f ca="1">IF(OR(HG12="",HG$28&lt;$A39),"",HG12/OFFSET(SSTotalCLM!$A$2,MATCH(HG$29,SSTotalCLM!$A$2:$A$500)+$A39-1,1)-1)</f>
        <v/>
      </c>
      <c r="HH39" s="9" t="str">
        <f ca="1">IF(OR(HH12="",HH$28&lt;$A39),"",HH12/OFFSET(SSTotalCLM!$A$2,MATCH(HH$29,SSTotalCLM!$A$2:$A$500)+$A39-1,1)-1)</f>
        <v/>
      </c>
      <c r="HI39" s="9" t="str">
        <f ca="1">IF(OR(HI12="",HI$28&lt;$A39),"",HI12/OFFSET(SSTotalCLM!$A$2,MATCH(HI$29,SSTotalCLM!$A$2:$A$500)+$A39-1,1)-1)</f>
        <v/>
      </c>
      <c r="HJ39" s="9" t="str">
        <f ca="1">IF(OR(HJ12="",HJ$28&lt;$A39),"",HJ12/OFFSET(SSTotalCLM!$A$2,MATCH(HJ$29,SSTotalCLM!$A$2:$A$500)+$A39-1,1)-1)</f>
        <v/>
      </c>
      <c r="HK39" s="9" t="str">
        <f ca="1">IF(OR(HK12="",HK$28&lt;$A39),"",HK12/OFFSET(SSTotalCLM!$A$2,MATCH(HK$29,SSTotalCLM!$A$2:$A$500)+$A39-1,1)-1)</f>
        <v/>
      </c>
      <c r="HL39" s="9" t="str">
        <f ca="1">IF(OR(HL12="",HL$28&lt;$A39),"",HL12/OFFSET(SSTotalCLM!$A$2,MATCH(HL$29,SSTotalCLM!$A$2:$A$500)+$A39-1,1)-1)</f>
        <v/>
      </c>
      <c r="HM39" s="9" t="str">
        <f ca="1">IF(OR(HM12="",HM$28&lt;$A39),"",HM12/OFFSET(SSTotalCLM!$A$2,MATCH(HM$29,SSTotalCLM!$A$2:$A$500)+$A39-1,1)-1)</f>
        <v/>
      </c>
      <c r="HN39" s="9" t="str">
        <f ca="1">IF(OR(HN12="",HN$28&lt;$A39),"",HN12/OFFSET(SSTotalCLM!$A$2,MATCH(HN$29,SSTotalCLM!$A$2:$A$500)+$A39-1,1)-1)</f>
        <v/>
      </c>
      <c r="HO39" s="9" t="str">
        <f ca="1">IF(OR(HO12="",HO$28&lt;$A39),"",HO12/OFFSET(SSTotalCLM!$A$2,MATCH(HO$29,SSTotalCLM!$A$2:$A$500)+$A39-1,1)-1)</f>
        <v/>
      </c>
      <c r="HP39" s="9" t="str">
        <f ca="1">IF(OR(HP12="",HP$28&lt;$A39),"",HP12/OFFSET(SSTotalCLM!$A$2,MATCH(HP$29,SSTotalCLM!$A$2:$A$500)+$A39-1,1)-1)</f>
        <v/>
      </c>
      <c r="HQ39" s="9" t="str">
        <f ca="1">IF(OR(HQ12="",HQ$28&lt;$A39),"",HQ12/OFFSET(SSTotalCLM!$A$2,MATCH(HQ$29,SSTotalCLM!$A$2:$A$500)+$A39-1,1)-1)</f>
        <v/>
      </c>
      <c r="HR39" s="9" t="str">
        <f ca="1">IF(OR(HR12="",HR$28&lt;$A39),"",HR12/OFFSET(SSTotalCLM!$A$2,MATCH(HR$29,SSTotalCLM!$A$2:$A$500)+$A39-1,1)-1)</f>
        <v/>
      </c>
      <c r="HS39" s="9" t="str">
        <f ca="1">IF(OR(HS12="",HS$28&lt;$A39),"",HS12/OFFSET(SSTotalCLM!$A$2,MATCH(HS$29,SSTotalCLM!$A$2:$A$500)+$A39-1,1)-1)</f>
        <v/>
      </c>
      <c r="HT39" s="9" t="str">
        <f ca="1">IF(OR(HT12="",HT$28&lt;$A39),"",HT12/OFFSET(SSTotalCLM!$A$2,MATCH(HT$29,SSTotalCLM!$A$2:$A$500)+$A39-1,1)-1)</f>
        <v/>
      </c>
      <c r="HU39" s="9" t="str">
        <f ca="1">IF(OR(HU12="",HU$28&lt;$A39),"",HU12/OFFSET(SSTotalCLM!$A$2,MATCH(HU$29,SSTotalCLM!$A$2:$A$500)+$A39-1,1)-1)</f>
        <v/>
      </c>
      <c r="HV39" s="9" t="str">
        <f ca="1">IF(OR(HV12="",HV$28&lt;$A39),"",HV12/OFFSET(SSTotalCLM!$A$2,MATCH(HV$29,SSTotalCLM!$A$2:$A$500)+$A39-1,1)-1)</f>
        <v/>
      </c>
      <c r="HW39" s="9" t="str">
        <f ca="1">IF(OR(HW12="",HW$28&lt;$A39),"",HW12/OFFSET(SSTotalCLM!$A$2,MATCH(HW$29,SSTotalCLM!$A$2:$A$500)+$A39-1,1)-1)</f>
        <v/>
      </c>
      <c r="HX39" s="9" t="str">
        <f ca="1">IF(OR(HX12="",HX$28&lt;$A39),"",HX12/OFFSET(SSTotalCLM!$A$2,MATCH(HX$29,SSTotalCLM!$A$2:$A$500)+$A39-1,1)-1)</f>
        <v/>
      </c>
      <c r="HY39" s="9" t="str">
        <f ca="1">IF(OR(HY12="",HY$28&lt;$A39),"",HY12/OFFSET(SSTotalCLM!$A$2,MATCH(HY$29,SSTotalCLM!$A$2:$A$500)+$A39-1,1)-1)</f>
        <v/>
      </c>
      <c r="HZ39" s="9" t="str">
        <f ca="1">IF(OR(HZ12="",HZ$28&lt;$A39),"",HZ12/OFFSET(SSTotalCLM!$A$2,MATCH(HZ$29,SSTotalCLM!$A$2:$A$500)+$A39-1,1)-1)</f>
        <v/>
      </c>
      <c r="IA39" s="9" t="str">
        <f ca="1">IF(OR(IA12="",IA$28&lt;$A39),"",IA12/OFFSET(SSTotalCLM!$A$2,MATCH(IA$29,SSTotalCLM!$A$2:$A$500)+$A39-1,1)-1)</f>
        <v/>
      </c>
      <c r="IB39" s="9" t="str">
        <f ca="1">IF(OR(IB12="",IB$28&lt;$A39),"",IB12/OFFSET(SSTotalCLM!$A$2,MATCH(IB$29,SSTotalCLM!$A$2:$A$500)+$A39-1,1)-1)</f>
        <v/>
      </c>
      <c r="IC39" s="9" t="str">
        <f ca="1">IF(OR(IC12="",IC$28&lt;$A39),"",IC12/OFFSET(SSTotalCLM!$A$2,MATCH(IC$29,SSTotalCLM!$A$2:$A$500)+$A39-1,1)-1)</f>
        <v/>
      </c>
      <c r="ID39" s="9" t="str">
        <f ca="1">IF(OR(ID12="",ID$28&lt;$A39),"",ID12/OFFSET(SSTotalCLM!$A$2,MATCH(ID$29,SSTotalCLM!$A$2:$A$500)+$A39-1,1)-1)</f>
        <v/>
      </c>
      <c r="IE39" s="9" t="str">
        <f ca="1">IF(OR(IE12="",IE$28&lt;$A39),"",IE12/OFFSET(SSTotalCLM!$A$2,MATCH(IE$29,SSTotalCLM!$A$2:$A$500)+$A39-1,1)-1)</f>
        <v/>
      </c>
      <c r="IF39" s="9" t="str">
        <f ca="1">IF(OR(IF12="",IF$28&lt;$A39),"",IF12/OFFSET(SSTotalCLM!$A$2,MATCH(IF$29,SSTotalCLM!$A$2:$A$500)+$A39-1,1)-1)</f>
        <v/>
      </c>
      <c r="IG39" s="9" t="str">
        <f ca="1">IF(OR(IG12="",IG$28&lt;$A39),"",IG12/OFFSET(SSTotalCLM!$A$2,MATCH(IG$29,SSTotalCLM!$A$2:$A$500)+$A39-1,1)-1)</f>
        <v/>
      </c>
      <c r="IH39" s="9" t="str">
        <f ca="1">IF(OR(IH12="",IH$28&lt;$A39),"",IH12/OFFSET(SSTotalCLM!$A$2,MATCH(IH$29,SSTotalCLM!$A$2:$A$500)+$A39-1,1)-1)</f>
        <v/>
      </c>
      <c r="II39" s="9" t="str">
        <f ca="1">IF(OR(II12="",II$28&lt;$A39),"",II12/OFFSET(SSTotalCLM!$A$2,MATCH(II$29,SSTotalCLM!$A$2:$A$500)+$A39-1,1)-1)</f>
        <v/>
      </c>
      <c r="IJ39" s="9" t="str">
        <f ca="1">IF(OR(IJ12="",IJ$28&lt;$A39),"",IJ12/OFFSET(SSTotalCLM!$A$2,MATCH(IJ$29,SSTotalCLM!$A$2:$A$500)+$A39-1,1)-1)</f>
        <v/>
      </c>
      <c r="IK39" s="9" t="str">
        <f ca="1">IF(OR(IK12="",IK$28&lt;$A39),"",IK12/OFFSET(SSTotalCLM!$A$2,MATCH(IK$29,SSTotalCLM!$A$2:$A$500)+$A39-1,1)-1)</f>
        <v/>
      </c>
      <c r="IL39" s="9" t="str">
        <f ca="1">IF(OR(IL12="",IL$28&lt;$A39),"",IL12/OFFSET(SSTotalCLM!$A$2,MATCH(IL$29,SSTotalCLM!$A$2:$A$500)+$A39-1,1)-1)</f>
        <v/>
      </c>
      <c r="IM39" s="9" t="str">
        <f ca="1">IF(OR(IM12="",IM$28&lt;$A39),"",IM12/OFFSET(SSTotalCLM!$A$2,MATCH(IM$29,SSTotalCLM!$A$2:$A$500)+$A39-1,1)-1)</f>
        <v/>
      </c>
      <c r="IN39" s="9" t="str">
        <f ca="1">IF(OR(IN12="",IN$28&lt;$A39),"",IN12/OFFSET(SSTotalCLM!$A$2,MATCH(IN$29,SSTotalCLM!$A$2:$A$500)+$A39-1,1)-1)</f>
        <v/>
      </c>
      <c r="IO39" s="9" t="str">
        <f ca="1">IF(OR(IO12="",IO$28&lt;$A39),"",IO12/OFFSET(SSTotalCLM!$A$2,MATCH(IO$29,SSTotalCLM!$A$2:$A$500)+$A39-1,1)-1)</f>
        <v/>
      </c>
      <c r="IP39" s="9" t="str">
        <f ca="1">IF(OR(IP12="",IP$28&lt;$A39),"",IP12/OFFSET(SSTotalCLM!$A$2,MATCH(IP$29,SSTotalCLM!$A$2:$A$500)+$A39-1,1)-1)</f>
        <v/>
      </c>
      <c r="IQ39" s="9" t="str">
        <f ca="1">IF(OR(IQ12="",IQ$28&lt;$A39),"",IQ12/OFFSET(SSTotalCLM!$A$2,MATCH(IQ$29,SSTotalCLM!$A$2:$A$500)+$A39-1,1)-1)</f>
        <v/>
      </c>
      <c r="IR39" s="9" t="str">
        <f ca="1">IF(OR(IR12="",IR$28&lt;$A39),"",IR12/OFFSET(SSTotalCLM!$A$2,MATCH(IR$29,SSTotalCLM!$A$2:$A$500)+$A39-1,1)-1)</f>
        <v/>
      </c>
      <c r="IS39" s="9" t="str">
        <f ca="1">IF(OR(IS12="",IS$28&lt;$A39),"",IS12/OFFSET(SSTotalCLM!$A$2,MATCH(IS$29,SSTotalCLM!$A$2:$A$500)+$A39-1,1)-1)</f>
        <v/>
      </c>
      <c r="IT39" s="9" t="str">
        <f ca="1">IF(OR(IT12="",IT$28&lt;$A39),"",IT12/OFFSET(SSTotalCLM!$A$2,MATCH(IT$29,SSTotalCLM!$A$2:$A$500)+$A39-1,1)-1)</f>
        <v/>
      </c>
      <c r="IU39" s="9" t="str">
        <f ca="1">IF(OR(IU12="",IU$28&lt;$A39),"",IU12/OFFSET(SSTotalCLM!$A$2,MATCH(IU$29,SSTotalCLM!$A$2:$A$500)+$A39-1,1)-1)</f>
        <v/>
      </c>
      <c r="IV39" s="9" t="str">
        <f ca="1">IF(OR(IV12="",IV$28&lt;$A39),"",IV12/OFFSET(SSTotalCLM!$A$2,MATCH(IV$29,SSTotalCLM!$A$2:$A$500)+$A39-1,1)-1)</f>
        <v/>
      </c>
      <c r="IW39" s="9" t="str">
        <f ca="1">IF(OR(IW12="",IW$28&lt;$A39),"",IW12/OFFSET(SSTotalCLM!$A$2,MATCH(IW$29,SSTotalCLM!$A$2:$A$500)+$A39-1,1)-1)</f>
        <v/>
      </c>
      <c r="IX39" s="9" t="str">
        <f ca="1">IF(OR(IX12="",IX$28&lt;$A39),"",IX12/OFFSET(SSTotalCLM!$A$2,MATCH(IX$29,SSTotalCLM!$A$2:$A$500)+$A39-1,1)-1)</f>
        <v/>
      </c>
      <c r="IY39" s="9" t="str">
        <f ca="1">IF(OR(IY12="",IY$28&lt;$A39),"",IY12/OFFSET(SSTotalCLM!$A$2,MATCH(IY$29,SSTotalCLM!$A$2:$A$500)+$A39-1,1)-1)</f>
        <v/>
      </c>
      <c r="IZ39" s="9" t="str">
        <f ca="1">IF(OR(IZ12="",IZ$28&lt;$A39),"",IZ12/OFFSET(SSTotalCLM!$A$2,MATCH(IZ$29,SSTotalCLM!$A$2:$A$500)+$A39-1,1)-1)</f>
        <v/>
      </c>
      <c r="JA39" s="9" t="str">
        <f ca="1">IF(OR(JA12="",JA$28&lt;$A39),"",JA12/OFFSET(SSTotalCLM!$A$2,MATCH(JA$29,SSTotalCLM!$A$2:$A$500)+$A39-1,1)-1)</f>
        <v/>
      </c>
      <c r="JB39" s="9" t="str">
        <f ca="1">IF(OR(JB12="",JB$28&lt;$A39),"",JB12/OFFSET(SSTotalCLM!$A$2,MATCH(JB$29,SSTotalCLM!$A$2:$A$500)+$A39-1,1)-1)</f>
        <v/>
      </c>
      <c r="JC39" s="9" t="str">
        <f ca="1">IF(OR(JC12="",JC$28&lt;$A39),"",JC12/OFFSET(SSTotalCLM!$A$2,MATCH(JC$29,SSTotalCLM!$A$2:$A$500)+$A39-1,1)-1)</f>
        <v/>
      </c>
      <c r="JD39" s="9" t="str">
        <f ca="1">IF(OR(JD12="",JD$28&lt;$A39),"",JD12/OFFSET(SSTotalCLM!$A$2,MATCH(JD$29,SSTotalCLM!$A$2:$A$500)+$A39-1,1)-1)</f>
        <v/>
      </c>
      <c r="JE39" s="9" t="str">
        <f ca="1">IF(OR(JE12="",JE$28&lt;$A39),"",JE12/OFFSET(SSTotalCLM!$A$2,MATCH(JE$29,SSTotalCLM!$A$2:$A$500)+$A39-1,1)-1)</f>
        <v/>
      </c>
      <c r="JF39" s="9" t="str">
        <f ca="1">IF(OR(JF12="",JF$28&lt;$A39),"",JF12/OFFSET(SSTotalCLM!$A$2,MATCH(JF$29,SSTotalCLM!$A$2:$A$500)+$A39-1,1)-1)</f>
        <v/>
      </c>
      <c r="JG39" s="9" t="str">
        <f ca="1">IF(OR(JG12="",JG$28&lt;$A39),"",JG12/OFFSET(SSTotalCLM!$A$2,MATCH(JG$29,SSTotalCLM!$A$2:$A$500)+$A39-1,1)-1)</f>
        <v/>
      </c>
      <c r="JH39" s="9" t="str">
        <f ca="1">IF(OR(JH12="",JH$28&lt;$A39),"",JH12/OFFSET(SSTotalCLM!$A$2,MATCH(JH$29,SSTotalCLM!$A$2:$A$500)+$A39-1,1)-1)</f>
        <v/>
      </c>
      <c r="JI39" s="13">
        <f t="shared" ca="1" si="13"/>
        <v>1.0462540617993184E-2</v>
      </c>
      <c r="JJ39" s="13">
        <f t="shared" ca="1" si="14"/>
        <v>1.2927373750399207E-2</v>
      </c>
      <c r="JK39" s="14">
        <f t="shared" ca="1" si="15"/>
        <v>5.1944565398631876E-4</v>
      </c>
      <c r="JL39" s="17">
        <f t="shared" ca="1" si="18"/>
        <v>2.2791350420418681E-2</v>
      </c>
      <c r="JM39" s="15" t="str">
        <f t="shared" ca="1" si="16"/>
        <v>[ -3,51% ; 5,60% ]</v>
      </c>
      <c r="JN39" s="17">
        <f t="shared" ca="1" si="17"/>
        <v>2.9172928538135912E-2</v>
      </c>
      <c r="LY39" s="1"/>
    </row>
    <row r="40" spans="1:337" x14ac:dyDescent="0.25">
      <c r="A40" s="4">
        <v>11</v>
      </c>
      <c r="B40" s="9">
        <f ca="1">IF(OR(B13="",B$28&lt;$A40),"",B13/OFFSET(SSTotalCLM!$A$2,MATCH(B$29,SSTotalCLM!$A$2:$A$500)+$A40-1,1)-1)</f>
        <v>-1.0748726992634294E-2</v>
      </c>
      <c r="C40" s="9">
        <f ca="1">IF(OR(C13="",C$28&lt;$A40),"",C13/OFFSET(SSTotalCLM!$A$2,MATCH(C$29,SSTotalCLM!$A$2:$A$500)+$A40-1,1)-1)</f>
        <v>-3.0530712708085717E-2</v>
      </c>
      <c r="D40" s="9">
        <f ca="1">IF(OR(D13="",D$28&lt;$A40),"",D13/OFFSET(SSTotalCLM!$A$2,MATCH(D$29,SSTotalCLM!$A$2:$A$500)+$A40-1,1)-1)</f>
        <v>-1.2145417771925127E-2</v>
      </c>
      <c r="E40" s="9">
        <f ca="1">IF(OR(E13="",E$28&lt;$A40),"",E13/OFFSET(SSTotalCLM!$A$2,MATCH(E$29,SSTotalCLM!$A$2:$A$500)+$A40-1,1)-1)</f>
        <v>-1.0584745565747844E-2</v>
      </c>
      <c r="F40" s="9">
        <f ca="1">IF(OR(F13="",F$28&lt;$A40),"",F13/OFFSET(SSTotalCLM!$A$2,MATCH(F$29,SSTotalCLM!$A$2:$A$500)+$A40-1,1)-1)</f>
        <v>-1.2799468327077013E-2</v>
      </c>
      <c r="G40" s="9">
        <f ca="1">IF(OR(G13="",G$28&lt;$A40),"",G13/OFFSET(SSTotalCLM!$A$2,MATCH(G$29,SSTotalCLM!$A$2:$A$500)+$A40-1,1)-1)</f>
        <v>-2.0342730496083261E-2</v>
      </c>
      <c r="H40" s="9">
        <f ca="1">IF(OR(H13="",H$28&lt;$A40),"",H13/OFFSET(SSTotalCLM!$A$2,MATCH(H$29,SSTotalCLM!$A$2:$A$500)+$A40-1,1)-1)</f>
        <v>-2.2483437776580462E-2</v>
      </c>
      <c r="I40" s="9">
        <f ca="1">IF(OR(I13="",I$28&lt;$A40),"",I13/OFFSET(SSTotalCLM!$A$2,MATCH(I$29,SSTotalCLM!$A$2:$A$500)+$A40-1,1)-1)</f>
        <v>-2.617560970342081E-2</v>
      </c>
      <c r="J40" s="9">
        <f ca="1">IF(OR(J13="",J$28&lt;$A40),"",J13/OFFSET(SSTotalCLM!$A$2,MATCH(J$29,SSTotalCLM!$A$2:$A$500)+$A40-1,1)-1)</f>
        <v>-2.0948574409148324E-2</v>
      </c>
      <c r="K40" s="9">
        <f ca="1">IF(OR(K13="",K$28&lt;$A40),"",K13/OFFSET(SSTotalCLM!$A$2,MATCH(K$29,SSTotalCLM!$A$2:$A$500)+$A40-1,1)-1)</f>
        <v>-2.3836899540224277E-2</v>
      </c>
      <c r="L40" s="9">
        <f ca="1">IF(OR(L13="",L$28&lt;$A40),"",L13/OFFSET(SSTotalCLM!$A$2,MATCH(L$29,SSTotalCLM!$A$2:$A$500)+$A40-1,1)-1)</f>
        <v>-2.2550253598648151E-2</v>
      </c>
      <c r="M40" s="9">
        <f ca="1">IF(OR(M13="",M$28&lt;$A40),"",M13/OFFSET(SSTotalCLM!$A$2,MATCH(M$29,SSTotalCLM!$A$2:$A$500)+$A40-1,1)-1)</f>
        <v>-2.6332835996034198E-2</v>
      </c>
      <c r="N40" s="9">
        <f ca="1">IF(OR(N13="",N$28&lt;$A40),"",N13/OFFSET(SSTotalCLM!$A$2,MATCH(N$29,SSTotalCLM!$A$2:$A$500)+$A40-1,1)-1)</f>
        <v>-2.0735880898474668E-2</v>
      </c>
      <c r="O40" s="9">
        <f ca="1">IF(OR(O13="",O$28&lt;$A40),"",O13/OFFSET(SSTotalCLM!$A$2,MATCH(O$29,SSTotalCLM!$A$2:$A$500)+$A40-1,1)-1)</f>
        <v>-3.9029366390798792E-2</v>
      </c>
      <c r="P40" s="9">
        <f ca="1">IF(OR(P13="",P$28&lt;$A40),"",P13/OFFSET(SSTotalCLM!$A$2,MATCH(P$29,SSTotalCLM!$A$2:$A$500)+$A40-1,1)-1)</f>
        <v>-3.138031151346643E-2</v>
      </c>
      <c r="Q40" s="9">
        <f ca="1">IF(OR(Q13="",Q$28&lt;$A40),"",Q13/OFFSET(SSTotalCLM!$A$2,MATCH(Q$29,SSTotalCLM!$A$2:$A$500)+$A40-1,1)-1)</f>
        <v>-3.1778923624732447E-2</v>
      </c>
      <c r="R40" s="9">
        <f ca="1">IF(OR(R13="",R$28&lt;$A40),"",R13/OFFSET(SSTotalCLM!$A$2,MATCH(R$29,SSTotalCLM!$A$2:$A$500)+$A40-1,1)-1)</f>
        <v>-3.0373844010379125E-2</v>
      </c>
      <c r="S40" s="9">
        <f ca="1">IF(OR(S13="",S$28&lt;$A40),"",S13/OFFSET(SSTotalCLM!$A$2,MATCH(S$29,SSTotalCLM!$A$2:$A$500)+$A40-1,1)-1)</f>
        <v>-2.2402718627310136E-2</v>
      </c>
      <c r="T40" s="9">
        <f ca="1">IF(OR(T13="",T$28&lt;$A40),"",T13/OFFSET(SSTotalCLM!$A$2,MATCH(T$29,SSTotalCLM!$A$2:$A$500)+$A40-1,1)-1)</f>
        <v>-9.5933257548544981E-3</v>
      </c>
      <c r="U40" s="9">
        <f ca="1">IF(OR(U13="",U$28&lt;$A40),"",U13/OFFSET(SSTotalCLM!$A$2,MATCH(U$29,SSTotalCLM!$A$2:$A$500)+$A40-1,1)-1)</f>
        <v>1.6344557103505686E-2</v>
      </c>
      <c r="V40" s="9">
        <f ca="1">IF(OR(V13="",V$28&lt;$A40),"",V13/OFFSET(SSTotalCLM!$A$2,MATCH(V$29,SSTotalCLM!$A$2:$A$500)+$A40-1,1)-1)</f>
        <v>2.2393784959545471E-2</v>
      </c>
      <c r="W40" s="9">
        <f ca="1">IF(OR(W13="",W$28&lt;$A40),"",W13/OFFSET(SSTotalCLM!$A$2,MATCH(W$29,SSTotalCLM!$A$2:$A$500)+$A40-1,1)-1)</f>
        <v>2.0512176337932786E-2</v>
      </c>
      <c r="X40" s="9">
        <f ca="1">IF(OR(X13="",X$28&lt;$A40),"",X13/OFFSET(SSTotalCLM!$A$2,MATCH(X$29,SSTotalCLM!$A$2:$A$500)+$A40-1,1)-1)</f>
        <v>1.9558299781673671E-2</v>
      </c>
      <c r="Y40" s="9">
        <f ca="1">IF(OR(Y13="",Y$28&lt;$A40),"",Y13/OFFSET(SSTotalCLM!$A$2,MATCH(Y$29,SSTotalCLM!$A$2:$A$500)+$A40-1,1)-1)</f>
        <v>2.4448162468048151E-2</v>
      </c>
      <c r="Z40" s="9">
        <f ca="1">IF(OR(Z13="",Z$28&lt;$A40),"",Z13/OFFSET(SSTotalCLM!$A$2,MATCH(Z$29,SSTotalCLM!$A$2:$A$500)+$A40-1,1)-1)</f>
        <v>3.0503544742253474E-2</v>
      </c>
      <c r="AA40" s="9">
        <f ca="1">IF(OR(AA13="",AA$28&lt;$A40),"",AA13/OFFSET(SSTotalCLM!$A$2,MATCH(AA$29,SSTotalCLM!$A$2:$A$500)+$A40-1,1)-1)</f>
        <v>2.1622417633976987E-2</v>
      </c>
      <c r="AB40" s="9">
        <f ca="1">IF(OR(AB13="",AB$28&lt;$A40),"",AB13/OFFSET(SSTotalCLM!$A$2,MATCH(AB$29,SSTotalCLM!$A$2:$A$500)+$A40-1,1)-1)</f>
        <v>1.8071052182019098E-2</v>
      </c>
      <c r="AC40" s="9">
        <f ca="1">IF(OR(AC13="",AC$28&lt;$A40),"",AC13/OFFSET(SSTotalCLM!$A$2,MATCH(AC$29,SSTotalCLM!$A$2:$A$500)+$A40-1,1)-1)</f>
        <v>1.9860281320008832E-2</v>
      </c>
      <c r="AD40" s="9">
        <f ca="1">IF(OR(AD13="",AD$28&lt;$A40),"",AD13/OFFSET(SSTotalCLM!$A$2,MATCH(AD$29,SSTotalCLM!$A$2:$A$500)+$A40-1,1)-1)</f>
        <v>1.0980030325902224E-2</v>
      </c>
      <c r="AE40" s="9">
        <f ca="1">IF(OR(AE13="",AE$28&lt;$A40),"",AE13/OFFSET(SSTotalCLM!$A$2,MATCH(AE$29,SSTotalCLM!$A$2:$A$500)+$A40-1,1)-1)</f>
        <v>1.0632457763825487E-2</v>
      </c>
      <c r="AF40" s="9">
        <f ca="1">IF(OR(AF13="",AF$28&lt;$A40),"",AF13/OFFSET(SSTotalCLM!$A$2,MATCH(AF$29,SSTotalCLM!$A$2:$A$500)+$A40-1,1)-1)</f>
        <v>-1.5321726986083917E-3</v>
      </c>
      <c r="AG40" s="9">
        <f ca="1">IF(OR(AG13="",AG$28&lt;$A40),"",AG13/OFFSET(SSTotalCLM!$A$2,MATCH(AG$29,SSTotalCLM!$A$2:$A$500)+$A40-1,1)-1)</f>
        <v>-3.1082328217048039E-3</v>
      </c>
      <c r="AH40" s="9">
        <f ca="1">IF(OR(AH13="",AH$28&lt;$A40),"",AH13/OFFSET(SSTotalCLM!$A$2,MATCH(AH$29,SSTotalCLM!$A$2:$A$500)+$A40-1,1)-1)</f>
        <v>-6.355955604279484E-3</v>
      </c>
      <c r="AI40" s="9">
        <f ca="1">IF(OR(AI13="",AI$28&lt;$A40),"",AI13/OFFSET(SSTotalCLM!$A$2,MATCH(AI$29,SSTotalCLM!$A$2:$A$500)+$A40-1,1)-1)</f>
        <v>-5.3238614250851191E-3</v>
      </c>
      <c r="AJ40" s="9">
        <f ca="1">IF(OR(AJ13="",AJ$28&lt;$A40),"",AJ13/OFFSET(SSTotalCLM!$A$2,MATCH(AJ$29,SSTotalCLM!$A$2:$A$500)+$A40-1,1)-1)</f>
        <v>-5.6884786099528073E-3</v>
      </c>
      <c r="AK40" s="9">
        <f ca="1">IF(OR(AK13="",AK$28&lt;$A40),"",AK13/OFFSET(SSTotalCLM!$A$2,MATCH(AK$29,SSTotalCLM!$A$2:$A$500)+$A40-1,1)-1)</f>
        <v>-8.9485181957954518E-3</v>
      </c>
      <c r="AL40" s="9">
        <f ca="1">IF(OR(AL13="",AL$28&lt;$A40),"",AL13/OFFSET(SSTotalCLM!$A$2,MATCH(AL$29,SSTotalCLM!$A$2:$A$500)+$A40-1,1)-1)</f>
        <v>1.1612864728727246E-5</v>
      </c>
      <c r="AM40" s="9">
        <f ca="1">IF(OR(AM13="",AM$28&lt;$A40),"",AM13/OFFSET(SSTotalCLM!$A$2,MATCH(AM$29,SSTotalCLM!$A$2:$A$500)+$A40-1,1)-1)</f>
        <v>-3.6274612728193212E-3</v>
      </c>
      <c r="AN40" s="9">
        <f ca="1">IF(OR(AN13="",AN$28&lt;$A40),"",AN13/OFFSET(SSTotalCLM!$A$2,MATCH(AN$29,SSTotalCLM!$A$2:$A$500)+$A40-1,1)-1)</f>
        <v>5.3568746992607164E-3</v>
      </c>
      <c r="AO40" s="9">
        <f ca="1">IF(OR(AO13="",AO$28&lt;$A40),"",AO13/OFFSET(SSTotalCLM!$A$2,MATCH(AO$29,SSTotalCLM!$A$2:$A$500)+$A40-1,1)-1)</f>
        <v>1.3090529036774878E-2</v>
      </c>
      <c r="AP40" s="9">
        <f ca="1">IF(OR(AP13="",AP$28&lt;$A40),"",AP13/OFFSET(SSTotalCLM!$A$2,MATCH(AP$29,SSTotalCLM!$A$2:$A$500)+$A40-1,1)-1)</f>
        <v>1.9951134237442547E-2</v>
      </c>
      <c r="AQ40" s="9">
        <f ca="1">IF(OR(AQ13="",AQ$28&lt;$A40),"",AQ13/OFFSET(SSTotalCLM!$A$2,MATCH(AQ$29,SSTotalCLM!$A$2:$A$500)+$A40-1,1)-1)</f>
        <v>2.3057410227139474E-2</v>
      </c>
      <c r="AR40" s="9">
        <f ca="1">IF(OR(AR13="",AR$28&lt;$A40),"",AR13/OFFSET(SSTotalCLM!$A$2,MATCH(AR$29,SSTotalCLM!$A$2:$A$500)+$A40-1,1)-1)</f>
        <v>2.5850804226944524E-2</v>
      </c>
      <c r="AS40" s="9">
        <f ca="1">IF(OR(AS13="",AS$28&lt;$A40),"",AS13/OFFSET(SSTotalCLM!$A$2,MATCH(AS$29,SSTotalCLM!$A$2:$A$500)+$A40-1,1)-1)</f>
        <v>3.5424588510755362E-2</v>
      </c>
      <c r="AT40" s="9">
        <f ca="1">IF(OR(AT13="",AT$28&lt;$A40),"",AT13/OFFSET(SSTotalCLM!$A$2,MATCH(AT$29,SSTotalCLM!$A$2:$A$500)+$A40-1,1)-1)</f>
        <v>3.8138754430565136E-2</v>
      </c>
      <c r="AU40" s="9">
        <f ca="1">IF(OR(AU13="",AU$28&lt;$A40),"",AU13/OFFSET(SSTotalCLM!$A$2,MATCH(AU$29,SSTotalCLM!$A$2:$A$500)+$A40-1,1)-1)</f>
        <v>4.7329620358340874E-2</v>
      </c>
      <c r="AV40" s="9">
        <f ca="1">IF(OR(AV13="",AV$28&lt;$A40),"",AV13/OFFSET(SSTotalCLM!$A$2,MATCH(AV$29,SSTotalCLM!$A$2:$A$500)+$A40-1,1)-1)</f>
        <v>5.7041811272661169E-2</v>
      </c>
      <c r="AW40" s="9">
        <f ca="1">IF(OR(AW13="",AW$28&lt;$A40),"",AW13/OFFSET(SSTotalCLM!$A$2,MATCH(AW$29,SSTotalCLM!$A$2:$A$500)+$A40-1,1)-1)</f>
        <v>5.8787031613200424E-2</v>
      </c>
      <c r="AX40" s="9">
        <f ca="1">IF(OR(AX13="",AX$28&lt;$A40),"",AX13/OFFSET(SSTotalCLM!$A$2,MATCH(AX$29,SSTotalCLM!$A$2:$A$500)+$A40-1,1)-1)</f>
        <v>9.3763924170960244E-2</v>
      </c>
      <c r="AY40" s="9">
        <f ca="1">IF(OR(AY13="",AY$28&lt;$A40),"",AY13/OFFSET(SSTotalCLM!$A$2,MATCH(AY$29,SSTotalCLM!$A$2:$A$500)+$A40-1,1)-1)</f>
        <v>9.5840918726776136E-2</v>
      </c>
      <c r="AZ40" s="9">
        <f ca="1">IF(OR(AZ13="",AZ$28&lt;$A40),"",AZ13/OFFSET(SSTotalCLM!$A$2,MATCH(AZ$29,SSTotalCLM!$A$2:$A$500)+$A40-1,1)-1)</f>
        <v>0.10338667319570449</v>
      </c>
      <c r="BA40" s="9">
        <f ca="1">IF(OR(BA13="",BA$28&lt;$A40),"",BA13/OFFSET(SSTotalCLM!$A$2,MATCH(BA$29,SSTotalCLM!$A$2:$A$500)+$A40-1,1)-1)</f>
        <v>0.10674361965137336</v>
      </c>
      <c r="BB40" s="9">
        <f ca="1">IF(OR(BB13="",BB$28&lt;$A40),"",BB13/OFFSET(SSTotalCLM!$A$2,MATCH(BB$29,SSTotalCLM!$A$2:$A$500)+$A40-1,1)-1)</f>
        <v>0.11707906230787901</v>
      </c>
      <c r="BC40" s="9">
        <f ca="1">IF(OR(BC13="",BC$28&lt;$A40),"",BC13/OFFSET(SSTotalCLM!$A$2,MATCH(BC$29,SSTotalCLM!$A$2:$A$500)+$A40-1,1)-1)</f>
        <v>0.11418783452955061</v>
      </c>
      <c r="BD40" s="9">
        <f ca="1">IF(OR(BD13="",BD$28&lt;$A40),"",BD13/OFFSET(SSTotalCLM!$A$2,MATCH(BD$29,SSTotalCLM!$A$2:$A$500)+$A40-1,1)-1)</f>
        <v>9.7765103414345633E-2</v>
      </c>
      <c r="BE40" s="9">
        <f ca="1">IF(OR(BE13="",BE$28&lt;$A40),"",BE13/OFFSET(SSTotalCLM!$A$2,MATCH(BE$29,SSTotalCLM!$A$2:$A$500)+$A40-1,1)-1)</f>
        <v>7.587714023654879E-2</v>
      </c>
      <c r="BF40" s="9">
        <f ca="1">IF(OR(BF13="",BF$28&lt;$A40),"",BF13/OFFSET(SSTotalCLM!$A$2,MATCH(BF$29,SSTotalCLM!$A$2:$A$500)+$A40-1,1)-1)</f>
        <v>4.1941274225026026E-2</v>
      </c>
      <c r="BG40" s="9">
        <f ca="1">IF(OR(BG13="",BG$28&lt;$A40),"",BG13/OFFSET(SSTotalCLM!$A$2,MATCH(BG$29,SSTotalCLM!$A$2:$A$500)+$A40-1,1)-1)</f>
        <v>4.3502445380167343E-2</v>
      </c>
      <c r="BH40" s="9">
        <f ca="1">IF(OR(BH13="",BH$28&lt;$A40),"",BH13/OFFSET(SSTotalCLM!$A$2,MATCH(BH$29,SSTotalCLM!$A$2:$A$500)+$A40-1,1)-1)</f>
        <v>3.3216150012731926E-2</v>
      </c>
      <c r="BI40" s="9">
        <f ca="1">IF(OR(BI13="",BI$28&lt;$A40),"",BI13/OFFSET(SSTotalCLM!$A$2,MATCH(BI$29,SSTotalCLM!$A$2:$A$500)+$A40-1,1)-1)</f>
        <v>-1.0480074220049485E-2</v>
      </c>
      <c r="BJ40" s="9">
        <f ca="1">IF(OR(BJ13="",BJ$28&lt;$A40),"",BJ13/OFFSET(SSTotalCLM!$A$2,MATCH(BJ$29,SSTotalCLM!$A$2:$A$500)+$A40-1,1)-1)</f>
        <v>-2.4261212337604143E-2</v>
      </c>
      <c r="BK40" s="9">
        <f ca="1">IF(OR(BK13="",BK$28&lt;$A40),"",BK13/OFFSET(SSTotalCLM!$A$2,MATCH(BK$29,SSTotalCLM!$A$2:$A$500)+$A40-1,1)-1)</f>
        <v>-5.1965617870897596E-2</v>
      </c>
      <c r="BL40" s="9">
        <f ca="1">IF(OR(BL13="",BL$28&lt;$A40),"",BL13/OFFSET(SSTotalCLM!$A$2,MATCH(BL$29,SSTotalCLM!$A$2:$A$500)+$A40-1,1)-1)</f>
        <v>-7.502094975243101E-2</v>
      </c>
      <c r="BM40" s="9">
        <f ca="1">IF(OR(BM13="",BM$28&lt;$A40),"",BM13/OFFSET(SSTotalCLM!$A$2,MATCH(BM$29,SSTotalCLM!$A$2:$A$500)+$A40-1,1)-1)</f>
        <v>-9.9045374934857766E-2</v>
      </c>
      <c r="BN40" s="9">
        <f ca="1">IF(OR(BN13="",BN$28&lt;$A40),"",BN13/OFFSET(SSTotalCLM!$A$2,MATCH(BN$29,SSTotalCLM!$A$2:$A$500)+$A40-1,1)-1)</f>
        <v>-7.9883249488187258E-2</v>
      </c>
      <c r="BO40" s="9">
        <f ca="1">IF(OR(BO13="",BO$28&lt;$A40),"",BO13/OFFSET(SSTotalCLM!$A$2,MATCH(BO$29,SSTotalCLM!$A$2:$A$500)+$A40-1,1)-1)</f>
        <v>-6.3584378439579425E-2</v>
      </c>
      <c r="BP40" s="9">
        <f ca="1">IF(OR(BP13="",BP$28&lt;$A40),"",BP13/OFFSET(SSTotalCLM!$A$2,MATCH(BP$29,SSTotalCLM!$A$2:$A$500)+$A40-1,1)-1)</f>
        <v>-3.1252681238218893E-2</v>
      </c>
      <c r="BQ40" s="9">
        <f ca="1">IF(OR(BQ13="",BQ$28&lt;$A40),"",BQ13/OFFSET(SSTotalCLM!$A$2,MATCH(BQ$29,SSTotalCLM!$A$2:$A$500)+$A40-1,1)-1)</f>
        <v>-2.3533845552304866E-2</v>
      </c>
      <c r="BR40" s="9">
        <f ca="1">IF(OR(BR13="",BR$28&lt;$A40),"",BR13/OFFSET(SSTotalCLM!$A$2,MATCH(BR$29,SSTotalCLM!$A$2:$A$500)+$A40-1,1)-1)</f>
        <v>-8.7396447083478712E-3</v>
      </c>
      <c r="BS40" s="9">
        <f ca="1">IF(OR(BS13="",BS$28&lt;$A40),"",BS13/OFFSET(SSTotalCLM!$A$2,MATCH(BS$29,SSTotalCLM!$A$2:$A$500)+$A40-1,1)-1)</f>
        <v>5.4372848565217957E-2</v>
      </c>
      <c r="BT40" s="9">
        <f ca="1">IF(OR(BT13="",BT$28&lt;$A40),"",BT13/OFFSET(SSTotalCLM!$A$2,MATCH(BT$29,SSTotalCLM!$A$2:$A$500)+$A40-1,1)-1)</f>
        <v>1.6388567516167907E-2</v>
      </c>
      <c r="BU40" s="9">
        <f ca="1">IF(OR(BU13="",BU$28&lt;$A40),"",BU13/OFFSET(SSTotalCLM!$A$2,MATCH(BU$29,SSTotalCLM!$A$2:$A$500)+$A40-1,1)-1)</f>
        <v>-8.1197168663843522E-3</v>
      </c>
      <c r="BV40" s="9">
        <f ca="1">IF(OR(BV13="",BV$28&lt;$A40),"",BV13/OFFSET(SSTotalCLM!$A$2,MATCH(BV$29,SSTotalCLM!$A$2:$A$500)+$A40-1,1)-1)</f>
        <v>2.5783172235700702E-2</v>
      </c>
      <c r="BW40" s="9">
        <f ca="1">IF(OR(BW13="",BW$28&lt;$A40),"",BW13/OFFSET(SSTotalCLM!$A$2,MATCH(BW$29,SSTotalCLM!$A$2:$A$500)+$A40-1,1)-1)</f>
        <v>8.5989724245838506E-3</v>
      </c>
      <c r="BX40" s="9">
        <f ca="1">IF(OR(BX13="",BX$28&lt;$A40),"",BX13/OFFSET(SSTotalCLM!$A$2,MATCH(BX$29,SSTotalCLM!$A$2:$A$500)+$A40-1,1)-1)</f>
        <v>7.5981349627844974E-3</v>
      </c>
      <c r="BY40" s="9">
        <f ca="1">IF(OR(BY13="",BY$28&lt;$A40),"",BY13/OFFSET(SSTotalCLM!$A$2,MATCH(BY$29,SSTotalCLM!$A$2:$A$500)+$A40-1,1)-1)</f>
        <v>8.9146056965561105E-3</v>
      </c>
      <c r="BZ40" s="9">
        <f ca="1">IF(OR(BZ13="",BZ$28&lt;$A40),"",BZ13/OFFSET(SSTotalCLM!$A$2,MATCH(BZ$29,SSTotalCLM!$A$2:$A$500)+$A40-1,1)-1)</f>
        <v>3.8414595549873809E-4</v>
      </c>
      <c r="CA40" s="9">
        <f ca="1">IF(OR(CA13="",CA$28&lt;$A40),"",CA13/OFFSET(SSTotalCLM!$A$2,MATCH(CA$29,SSTotalCLM!$A$2:$A$500)+$A40-1,1)-1)</f>
        <v>2.069347640858421E-3</v>
      </c>
      <c r="CB40" s="9">
        <f ca="1">IF(OR(CB13="",CB$28&lt;$A40),"",CB13/OFFSET(SSTotalCLM!$A$2,MATCH(CB$29,SSTotalCLM!$A$2:$A$500)+$A40-1,1)-1)</f>
        <v>-1.835413316831902E-3</v>
      </c>
      <c r="CC40" s="9">
        <f ca="1">IF(OR(CC13="",CC$28&lt;$A40),"",CC13/OFFSET(SSTotalCLM!$A$2,MATCH(CC$29,SSTotalCLM!$A$2:$A$500)+$A40-1,1)-1)</f>
        <v>7.7736896937532496E-3</v>
      </c>
      <c r="CD40" s="9">
        <f ca="1">IF(OR(CD13="",CD$28&lt;$A40),"",CD13/OFFSET(SSTotalCLM!$A$2,MATCH(CD$29,SSTotalCLM!$A$2:$A$500)+$A40-1,1)-1)</f>
        <v>7.4381771199958369E-3</v>
      </c>
      <c r="CE40" s="9">
        <f ca="1">IF(OR(CE13="",CE$28&lt;$A40),"",CE13/OFFSET(SSTotalCLM!$A$2,MATCH(CE$29,SSTotalCLM!$A$2:$A$500)+$A40-1,1)-1)</f>
        <v>3.6195188038860682E-2</v>
      </c>
      <c r="CF40" s="9">
        <f ca="1">IF(OR(CF13="",CF$28&lt;$A40),"",CF13/OFFSET(SSTotalCLM!$A$2,MATCH(CF$29,SSTotalCLM!$A$2:$A$500)+$A40-1,1)-1)</f>
        <v>3.2629533408810696E-2</v>
      </c>
      <c r="CG40" s="9">
        <f ca="1">IF(OR(CG13="",CG$28&lt;$A40),"",CG13/OFFSET(SSTotalCLM!$A$2,MATCH(CG$29,SSTotalCLM!$A$2:$A$500)+$A40-1,1)-1)</f>
        <v>2.7550343037402225E-2</v>
      </c>
      <c r="CH40" s="9">
        <f ca="1">IF(OR(CH13="",CH$28&lt;$A40),"",CH13/OFFSET(SSTotalCLM!$A$2,MATCH(CH$29,SSTotalCLM!$A$2:$A$500)+$A40-1,1)-1)</f>
        <v>3.4933919782752509E-2</v>
      </c>
      <c r="CI40" s="9">
        <f ca="1">IF(OR(CI13="",CI$28&lt;$A40),"",CI13/OFFSET(SSTotalCLM!$A$2,MATCH(CI$29,SSTotalCLM!$A$2:$A$500)+$A40-1,1)-1)</f>
        <v>3.2623071017202854E-2</v>
      </c>
      <c r="CJ40" s="9">
        <f ca="1">IF(OR(CJ13="",CJ$28&lt;$A40),"",CJ13/OFFSET(SSTotalCLM!$A$2,MATCH(CJ$29,SSTotalCLM!$A$2:$A$500)+$A40-1,1)-1)</f>
        <v>2.4001821978126392E-2</v>
      </c>
      <c r="CK40" s="9">
        <f ca="1">IF(OR(CK13="",CK$28&lt;$A40),"",CK13/OFFSET(SSTotalCLM!$A$2,MATCH(CK$29,SSTotalCLM!$A$2:$A$500)+$A40-1,1)-1)</f>
        <v>3.3053773277860632E-2</v>
      </c>
      <c r="CL40" s="9">
        <f ca="1">IF(OR(CL13="",CL$28&lt;$A40),"",CL13/OFFSET(SSTotalCLM!$A$2,MATCH(CL$29,SSTotalCLM!$A$2:$A$500)+$A40-1,1)-1)</f>
        <v>4.6006754337599043E-2</v>
      </c>
      <c r="CM40" s="9">
        <f ca="1">IF(OR(CM13="",CM$28&lt;$A40),"",CM13/OFFSET(SSTotalCLM!$A$2,MATCH(CM$29,SSTotalCLM!$A$2:$A$500)+$A40-1,1)-1)</f>
        <v>4.7434675231406542E-2</v>
      </c>
      <c r="CN40" s="9">
        <f ca="1">IF(OR(CN13="",CN$28&lt;$A40),"",CN13/OFFSET(SSTotalCLM!$A$2,MATCH(CN$29,SSTotalCLM!$A$2:$A$500)+$A40-1,1)-1)</f>
        <v>4.4358789203034821E-2</v>
      </c>
      <c r="CO40" s="9">
        <f ca="1">IF(OR(CO13="",CO$28&lt;$A40),"",CO13/OFFSET(SSTotalCLM!$A$2,MATCH(CO$29,SSTotalCLM!$A$2:$A$500)+$A40-1,1)-1)</f>
        <v>3.0728692535347157E-2</v>
      </c>
      <c r="CP40" s="9">
        <f ca="1">IF(OR(CP13="",CP$28&lt;$A40),"",CP13/OFFSET(SSTotalCLM!$A$2,MATCH(CP$29,SSTotalCLM!$A$2:$A$500)+$A40-1,1)-1)</f>
        <v>3.8219095327589603E-2</v>
      </c>
      <c r="CQ40" s="9">
        <f ca="1">IF(OR(CQ13="",CQ$28&lt;$A40),"",CQ13/OFFSET(SSTotalCLM!$A$2,MATCH(CQ$29,SSTotalCLM!$A$2:$A$500)+$A40-1,1)-1)</f>
        <v>6.9831148025957912E-2</v>
      </c>
      <c r="CR40" s="9">
        <f ca="1">IF(OR(CR13="",CR$28&lt;$A40),"",CR13/OFFSET(SSTotalCLM!$A$2,MATCH(CR$29,SSTotalCLM!$A$2:$A$500)+$A40-1,1)-1)</f>
        <v>1.6248130129692617E-2</v>
      </c>
      <c r="CS40" s="9">
        <f ca="1">IF(OR(CS13="",CS$28&lt;$A40),"",CS13/OFFSET(SSTotalCLM!$A$2,MATCH(CS$29,SSTotalCLM!$A$2:$A$500)+$A40-1,1)-1)</f>
        <v>2.3097540456149535E-2</v>
      </c>
      <c r="CT40" s="9">
        <f ca="1">IF(OR(CT13="",CT$28&lt;$A40),"",CT13/OFFSET(SSTotalCLM!$A$2,MATCH(CT$29,SSTotalCLM!$A$2:$A$500)+$A40-1,1)-1)</f>
        <v>6.2756261901072863E-2</v>
      </c>
      <c r="CU40" s="9">
        <f ca="1">IF(OR(CU13="",CU$28&lt;$A40),"",CU13/OFFSET(SSTotalCLM!$A$2,MATCH(CU$29,SSTotalCLM!$A$2:$A$500)+$A40-1,1)-1)</f>
        <v>4.8129376027845394E-2</v>
      </c>
      <c r="CV40" s="9">
        <f ca="1">IF(OR(CV13="",CV$28&lt;$A40),"",CV13/OFFSET(SSTotalCLM!$A$2,MATCH(CV$29,SSTotalCLM!$A$2:$A$500)+$A40-1,1)-1)</f>
        <v>3.6856995309319407E-2</v>
      </c>
      <c r="CW40" s="9">
        <f ca="1">IF(OR(CW13="",CW$28&lt;$A40),"",CW13/OFFSET(SSTotalCLM!$A$2,MATCH(CW$29,SSTotalCLM!$A$2:$A$500)+$A40-1,1)-1)</f>
        <v>2.910567202188874E-2</v>
      </c>
      <c r="CX40" s="9">
        <f ca="1">IF(OR(CX13="",CX$28&lt;$A40),"",CX13/OFFSET(SSTotalCLM!$A$2,MATCH(CX$29,SSTotalCLM!$A$2:$A$500)+$A40-1,1)-1)</f>
        <v>1.0604526004883263E-2</v>
      </c>
      <c r="CY40" s="9">
        <f ca="1">IF(OR(CY13="",CY$28&lt;$A40),"",CY13/OFFSET(SSTotalCLM!$A$2,MATCH(CY$29,SSTotalCLM!$A$2:$A$500)+$A40-1,1)-1)</f>
        <v>4.1017153908933235E-3</v>
      </c>
      <c r="CZ40" s="9">
        <f ca="1">IF(OR(CZ13="",CZ$28&lt;$A40),"",CZ13/OFFSET(SSTotalCLM!$A$2,MATCH(CZ$29,SSTotalCLM!$A$2:$A$500)+$A40-1,1)-1)</f>
        <v>1.7790892035928207E-2</v>
      </c>
      <c r="DA40" s="9">
        <f ca="1">IF(OR(DA13="",DA$28&lt;$A40),"",DA13/OFFSET(SSTotalCLM!$A$2,MATCH(DA$29,SSTotalCLM!$A$2:$A$500)+$A40-1,1)-1)</f>
        <v>-3.5126412304525845E-3</v>
      </c>
      <c r="DB40" s="9">
        <f ca="1">IF(OR(DB13="",DB$28&lt;$A40),"",DB13/OFFSET(SSTotalCLM!$A$2,MATCH(DB$29,SSTotalCLM!$A$2:$A$500)+$A40-1,1)-1)</f>
        <v>-3.1469771597391727E-2</v>
      </c>
      <c r="DC40" s="9">
        <f ca="1">IF(OR(DC13="",DC$28&lt;$A40),"",DC13/OFFSET(SSTotalCLM!$A$2,MATCH(DC$29,SSTotalCLM!$A$2:$A$500)+$A40-1,1)-1)</f>
        <v>1.4297118190029989E-2</v>
      </c>
      <c r="DD40" s="9">
        <f ca="1">IF(OR(DD13="",DD$28&lt;$A40),"",DD13/OFFSET(SSTotalCLM!$A$2,MATCH(DD$29,SSTotalCLM!$A$2:$A$500)+$A40-1,1)-1)</f>
        <v>-1.0240674373420244E-2</v>
      </c>
      <c r="DE40" s="9">
        <f ca="1">IF(OR(DE13="",DE$28&lt;$A40),"",DE13/OFFSET(SSTotalCLM!$A$2,MATCH(DE$29,SSTotalCLM!$A$2:$A$500)+$A40-1,1)-1)</f>
        <v>-8.4564730640210417E-2</v>
      </c>
      <c r="DF40" s="9">
        <f ca="1">IF(OR(DF13="",DF$28&lt;$A40),"",DF13/OFFSET(SSTotalCLM!$A$2,MATCH(DF$29,SSTotalCLM!$A$2:$A$500)+$A40-1,1)-1)</f>
        <v>-8.1887812933152504E-2</v>
      </c>
      <c r="DG40" s="9">
        <f ca="1">IF(OR(DG13="",DG$28&lt;$A40),"",DG13/OFFSET(SSTotalCLM!$A$2,MATCH(DG$29,SSTotalCLM!$A$2:$A$500)+$A40-1,1)-1)</f>
        <v>-8.4237752324703541E-2</v>
      </c>
      <c r="DH40" s="9">
        <f ca="1">IF(OR(DH13="",DH$28&lt;$A40),"",DH13/OFFSET(SSTotalCLM!$A$2,MATCH(DH$29,SSTotalCLM!$A$2:$A$500)+$A40-1,1)-1)</f>
        <v>-7.876054716722658E-2</v>
      </c>
      <c r="DI40" s="9">
        <f ca="1">IF(OR(DI13="",DI$28&lt;$A40),"",DI13/OFFSET(SSTotalCLM!$A$2,MATCH(DI$29,SSTotalCLM!$A$2:$A$500)+$A40-1,1)-1)</f>
        <v>-6.9749081319549933E-2</v>
      </c>
      <c r="DJ40" s="9">
        <f ca="1">IF(OR(DJ13="",DJ$28&lt;$A40),"",DJ13/OFFSET(SSTotalCLM!$A$2,MATCH(DJ$29,SSTotalCLM!$A$2:$A$500)+$A40-1,1)-1)</f>
        <v>-6.1437908517942175E-2</v>
      </c>
      <c r="DK40" s="9">
        <f ca="1">IF(OR(DK13="",DK$28&lt;$A40),"",DK13/OFFSET(SSTotalCLM!$A$2,MATCH(DK$29,SSTotalCLM!$A$2:$A$500)+$A40-1,1)-1)</f>
        <v>-5.999156309652065E-2</v>
      </c>
      <c r="DL40" s="9">
        <f ca="1">IF(OR(DL13="",DL$28&lt;$A40),"",DL13/OFFSET(SSTotalCLM!$A$2,MATCH(DL$29,SSTotalCLM!$A$2:$A$500)+$A40-1,1)-1)</f>
        <v>-5.1127027412624537E-2</v>
      </c>
      <c r="DM40" s="9">
        <f ca="1">IF(OR(DM13="",DM$28&lt;$A40),"",DM13/OFFSET(SSTotalCLM!$A$2,MATCH(DM$29,SSTotalCLM!$A$2:$A$500)+$A40-1,1)-1)</f>
        <v>-5.9464400299239273E-2</v>
      </c>
      <c r="DN40" s="9">
        <f ca="1">IF(OR(DN13="",DN$28&lt;$A40),"",DN13/OFFSET(SSTotalCLM!$A$2,MATCH(DN$29,SSTotalCLM!$A$2:$A$500)+$A40-1,1)-1)</f>
        <v>-4.6628047329795308E-2</v>
      </c>
      <c r="DO40" s="9">
        <f ca="1">IF(OR(DO13="",DO$28&lt;$A40),"",DO13/OFFSET(SSTotalCLM!$A$2,MATCH(DO$29,SSTotalCLM!$A$2:$A$500)+$A40-1,1)-1)</f>
        <v>-4.6125577960668851E-2</v>
      </c>
      <c r="DP40" s="9">
        <f ca="1">IF(OR(DP13="",DP$28&lt;$A40),"",DP13/OFFSET(SSTotalCLM!$A$2,MATCH(DP$29,SSTotalCLM!$A$2:$A$500)+$A40-1,1)-1)</f>
        <v>-1.0521294653633939E-2</v>
      </c>
      <c r="DQ40" s="9">
        <f ca="1">IF(OR(DQ13="",DQ$28&lt;$A40),"",DQ13/OFFSET(SSTotalCLM!$A$2,MATCH(DQ$29,SSTotalCLM!$A$2:$A$500)+$A40-1,1)-1)</f>
        <v>-2.4296251771164679E-2</v>
      </c>
      <c r="DR40" s="9">
        <f ca="1">IF(OR(DR13="",DR$28&lt;$A40),"",DR13/OFFSET(SSTotalCLM!$A$2,MATCH(DR$29,SSTotalCLM!$A$2:$A$500)+$A40-1,1)-1)</f>
        <v>-1.3774732555425495E-2</v>
      </c>
      <c r="DS40" s="9">
        <f ca="1">IF(OR(DS13="",DS$28&lt;$A40),"",DS13/OFFSET(SSTotalCLM!$A$2,MATCH(DS$29,SSTotalCLM!$A$2:$A$500)+$A40-1,1)-1)</f>
        <v>-6.5725311853931379E-3</v>
      </c>
      <c r="DT40" s="9">
        <f ca="1">IF(OR(DT13="",DT$28&lt;$A40),"",DT13/OFFSET(SSTotalCLM!$A$2,MATCH(DT$29,SSTotalCLM!$A$2:$A$500)+$A40-1,1)-1)</f>
        <v>-2.0801497119078416E-3</v>
      </c>
      <c r="DU40" s="9">
        <f ca="1">IF(OR(DU13="",DU$28&lt;$A40),"",DU13/OFFSET(SSTotalCLM!$A$2,MATCH(DU$29,SSTotalCLM!$A$2:$A$500)+$A40-1,1)-1)</f>
        <v>-1.2706929415542745E-2</v>
      </c>
      <c r="DV40" s="9">
        <f ca="1">IF(OR(DV13="",DV$28&lt;$A40),"",DV13/OFFSET(SSTotalCLM!$A$2,MATCH(DV$29,SSTotalCLM!$A$2:$A$500)+$A40-1,1)-1)</f>
        <v>-1.9374815831764702E-2</v>
      </c>
      <c r="DW40" s="9">
        <f ca="1">IF(OR(DW13="",DW$28&lt;$A40),"",DW13/OFFSET(SSTotalCLM!$A$2,MATCH(DW$29,SSTotalCLM!$A$2:$A$500)+$A40-1,1)-1)</f>
        <v>-2.1640846836963767E-2</v>
      </c>
      <c r="DX40" s="9">
        <f ca="1">IF(OR(DX13="",DX$28&lt;$A40),"",DX13/OFFSET(SSTotalCLM!$A$2,MATCH(DX$29,SSTotalCLM!$A$2:$A$500)+$A40-1,1)-1)</f>
        <v>-2.1177880355870093E-2</v>
      </c>
      <c r="DY40" s="9">
        <f ca="1">IF(OR(DY13="",DY$28&lt;$A40),"",DY13/OFFSET(SSTotalCLM!$A$2,MATCH(DY$29,SSTotalCLM!$A$2:$A$500)+$A40-1,1)-1)</f>
        <v>-3.145138463157926E-2</v>
      </c>
      <c r="DZ40" s="9">
        <f ca="1">IF(OR(DZ13="",DZ$28&lt;$A40),"",DZ13/OFFSET(SSTotalCLM!$A$2,MATCH(DZ$29,SSTotalCLM!$A$2:$A$500)+$A40-1,1)-1)</f>
        <v>-2.8894041167817908E-2</v>
      </c>
      <c r="EA40" s="9">
        <f ca="1">IF(OR(EA13="",EA$28&lt;$A40),"",EA13/OFFSET(SSTotalCLM!$A$2,MATCH(EA$29,SSTotalCLM!$A$2:$A$500)+$A40-1,1)-1)</f>
        <v>2.2541069993731844E-2</v>
      </c>
      <c r="EB40" s="9">
        <f ca="1">IF(OR(EB13="",EB$28&lt;$A40),"",EB13/OFFSET(SSTotalCLM!$A$2,MATCH(EB$29,SSTotalCLM!$A$2:$A$500)+$A40-1,1)-1)</f>
        <v>-4.1979754836655947E-2</v>
      </c>
      <c r="EC40" s="9">
        <f ca="1">IF(OR(EC13="",EC$28&lt;$A40),"",EC13/OFFSET(SSTotalCLM!$A$2,MATCH(EC$29,SSTotalCLM!$A$2:$A$500)+$A40-1,1)-1)</f>
        <v>-1.2560028835591708E-2</v>
      </c>
      <c r="ED40" s="9">
        <f ca="1">IF(OR(ED13="",ED$28&lt;$A40),"",ED13/OFFSET(SSTotalCLM!$A$2,MATCH(ED$29,SSTotalCLM!$A$2:$A$500)+$A40-1,1)-1)</f>
        <v>-1.4166787078211729E-2</v>
      </c>
      <c r="EE40" s="9">
        <f ca="1">IF(OR(EE13="",EE$28&lt;$A40),"",EE13/OFFSET(SSTotalCLM!$A$2,MATCH(EE$29,SSTotalCLM!$A$2:$A$500)+$A40-1,1)-1)</f>
        <v>-2.7998286349836699E-2</v>
      </c>
      <c r="EF40" s="9">
        <f ca="1">IF(OR(EF13="",EF$28&lt;$A40),"",EF13/OFFSET(SSTotalCLM!$A$2,MATCH(EF$29,SSTotalCLM!$A$2:$A$500)+$A40-1,1)-1)</f>
        <v>-1.4970453592847432E-2</v>
      </c>
      <c r="EG40" s="9">
        <f ca="1">IF(OR(EG13="",EG$28&lt;$A40),"",EG13/OFFSET(SSTotalCLM!$A$2,MATCH(EG$29,SSTotalCLM!$A$2:$A$500)+$A40-1,1)-1)</f>
        <v>4.9023199653874805E-4</v>
      </c>
      <c r="EH40" s="9">
        <f ca="1">IF(OR(EH13="",EH$28&lt;$A40),"",EH13/OFFSET(SSTotalCLM!$A$2,MATCH(EH$29,SSTotalCLM!$A$2:$A$500)+$A40-1,1)-1)</f>
        <v>1.7891212549783875E-2</v>
      </c>
      <c r="EI40" s="9">
        <f ca="1">IF(OR(EI13="",EI$28&lt;$A40),"",EI13/OFFSET(SSTotalCLM!$A$2,MATCH(EI$29,SSTotalCLM!$A$2:$A$500)+$A40-1,1)-1)</f>
        <v>3.0314155895772243E-2</v>
      </c>
      <c r="EJ40" s="9">
        <f ca="1">IF(OR(EJ13="",EJ$28&lt;$A40),"",EJ13/OFFSET(SSTotalCLM!$A$2,MATCH(EJ$29,SSTotalCLM!$A$2:$A$500)+$A40-1,1)-1)</f>
        <v>2.44583457400398E-2</v>
      </c>
      <c r="EK40" s="9">
        <f ca="1">IF(OR(EK13="",EK$28&lt;$A40),"",EK13/OFFSET(SSTotalCLM!$A$2,MATCH(EK$29,SSTotalCLM!$A$2:$A$500)+$A40-1,1)-1)</f>
        <v>-5.7781233075039351E-3</v>
      </c>
      <c r="EL40" s="9">
        <f ca="1">IF(OR(EL13="",EL$28&lt;$A40),"",EL13/OFFSET(SSTotalCLM!$A$2,MATCH(EL$29,SSTotalCLM!$A$2:$A$500)+$A40-1,1)-1)</f>
        <v>-2.5967520258363463E-2</v>
      </c>
      <c r="EM40" s="9">
        <f ca="1">IF(OR(EM13="",EM$28&lt;$A40),"",EM13/OFFSET(SSTotalCLM!$A$2,MATCH(EM$29,SSTotalCLM!$A$2:$A$500)+$A40-1,1)-1)</f>
        <v>-1.3626288034793155E-2</v>
      </c>
      <c r="EN40" s="9">
        <f ca="1">IF(OR(EN13="",EN$28&lt;$A40),"",EN13/OFFSET(SSTotalCLM!$A$2,MATCH(EN$29,SSTotalCLM!$A$2:$A$500)+$A40-1,1)-1)</f>
        <v>-3.7680367505190326E-2</v>
      </c>
      <c r="EO40" s="9">
        <f ca="1">IF(OR(EO13="",EO$28&lt;$A40),"",EO13/OFFSET(SSTotalCLM!$A$2,MATCH(EO$29,SSTotalCLM!$A$2:$A$500)+$A40-1,1)-1)</f>
        <v>-2.2761943597348622E-2</v>
      </c>
      <c r="EP40" s="9">
        <f ca="1">IF(OR(EP13="",EP$28&lt;$A40),"",EP13/OFFSET(SSTotalCLM!$A$2,MATCH(EP$29,SSTotalCLM!$A$2:$A$500)+$A40-1,1)-1)</f>
        <v>-4.5610295623975672E-3</v>
      </c>
      <c r="EQ40" s="9">
        <f ca="1">IF(OR(EQ13="",EQ$28&lt;$A40),"",EQ13/OFFSET(SSTotalCLM!$A$2,MATCH(EQ$29,SSTotalCLM!$A$2:$A$500)+$A40-1,1)-1)</f>
        <v>-5.0959445971172634E-3</v>
      </c>
      <c r="ER40" s="9">
        <f ca="1">IF(OR(ER13="",ER$28&lt;$A40),"",ER13/OFFSET(SSTotalCLM!$A$2,MATCH(ER$29,SSTotalCLM!$A$2:$A$500)+$A40-1,1)-1)</f>
        <v>-1.488696775404752E-2</v>
      </c>
      <c r="ES40" s="9">
        <f ca="1">IF(OR(ES13="",ES$28&lt;$A40),"",ES13/OFFSET(SSTotalCLM!$A$2,MATCH(ES$29,SSTotalCLM!$A$2:$A$500)+$A40-1,1)-1)</f>
        <v>-1.5985968063577549E-2</v>
      </c>
      <c r="ET40" s="9">
        <f ca="1">IF(OR(ET13="",ET$28&lt;$A40),"",ET13/OFFSET(SSTotalCLM!$A$2,MATCH(ET$29,SSTotalCLM!$A$2:$A$500)+$A40-1,1)-1)</f>
        <v>-8.4296384113078382E-3</v>
      </c>
      <c r="EU40" s="9">
        <f ca="1">IF(OR(EU13="",EU$28&lt;$A40),"",EU13/OFFSET(SSTotalCLM!$A$2,MATCH(EU$29,SSTotalCLM!$A$2:$A$500)+$A40-1,1)-1)</f>
        <v>5.5335169183245991E-3</v>
      </c>
      <c r="EV40" s="9">
        <f ca="1">IF(OR(EV13="",EV$28&lt;$A40),"",EV13/OFFSET(SSTotalCLM!$A$2,MATCH(EV$29,SSTotalCLM!$A$2:$A$500)+$A40-1,1)-1)</f>
        <v>2.8549991715764778E-2</v>
      </c>
      <c r="EW40" s="9">
        <f ca="1">IF(OR(EW13="",EW$28&lt;$A40),"",EW13/OFFSET(SSTotalCLM!$A$2,MATCH(EW$29,SSTotalCLM!$A$2:$A$500)+$A40-1,1)-1)</f>
        <v>2.4864759930034008E-2</v>
      </c>
      <c r="EX40" s="9">
        <f ca="1">IF(OR(EX13="",EX$28&lt;$A40),"",EX13/OFFSET(SSTotalCLM!$A$2,MATCH(EX$29,SSTotalCLM!$A$2:$A$500)+$A40-1,1)-1)</f>
        <v>1.4568283522157888E-2</v>
      </c>
      <c r="EY40" s="9">
        <f ca="1">IF(OR(EY13="",EY$28&lt;$A40),"",EY13/OFFSET(SSTotalCLM!$A$2,MATCH(EY$29,SSTotalCLM!$A$2:$A$500)+$A40-1,1)-1)</f>
        <v>-1.5857658772540084E-3</v>
      </c>
      <c r="EZ40" s="9">
        <f ca="1">IF(OR(EZ13="",EZ$28&lt;$A40),"",EZ13/OFFSET(SSTotalCLM!$A$2,MATCH(EZ$29,SSTotalCLM!$A$2:$A$500)+$A40-1,1)-1)</f>
        <v>3.6279218631571908E-3</v>
      </c>
      <c r="FA40" s="9">
        <f ca="1">IF(OR(FA13="",FA$28&lt;$A40),"",FA13/OFFSET(SSTotalCLM!$A$2,MATCH(FA$29,SSTotalCLM!$A$2:$A$500)+$A40-1,1)-1)</f>
        <v>-1.1997809965097361E-2</v>
      </c>
      <c r="FB40" s="9">
        <f ca="1">IF(OR(FB13="",FB$28&lt;$A40),"",FB13/OFFSET(SSTotalCLM!$A$2,MATCH(FB$29,SSTotalCLM!$A$2:$A$500)+$A40-1,1)-1)</f>
        <v>-2.3456009096661234E-2</v>
      </c>
      <c r="FC40" s="9">
        <f ca="1">IF(OR(FC13="",FC$28&lt;$A40),"",FC13/OFFSET(SSTotalCLM!$A$2,MATCH(FC$29,SSTotalCLM!$A$2:$A$500)+$A40-1,1)-1)</f>
        <v>-1.8299402205786075E-2</v>
      </c>
      <c r="FD40" s="9">
        <f ca="1">IF(OR(FD13="",FD$28&lt;$A40),"",FD13/OFFSET(SSTotalCLM!$A$2,MATCH(FD$29,SSTotalCLM!$A$2:$A$500)+$A40-1,1)-1)</f>
        <v>-1.6133747824231826E-2</v>
      </c>
      <c r="FE40" s="9">
        <f ca="1">IF(OR(FE13="",FE$28&lt;$A40),"",FE13/OFFSET(SSTotalCLM!$A$2,MATCH(FE$29,SSTotalCLM!$A$2:$A$500)+$A40-1,1)-1)</f>
        <v>-1.4550273646918854E-2</v>
      </c>
      <c r="FF40" s="9">
        <f ca="1">IF(OR(FF13="",FF$28&lt;$A40),"",FF13/OFFSET(SSTotalCLM!$A$2,MATCH(FF$29,SSTotalCLM!$A$2:$A$500)+$A40-1,1)-1)</f>
        <v>-1.6745612005253041E-2</v>
      </c>
      <c r="FG40" s="9">
        <f ca="1">IF(OR(FG13="",FG$28&lt;$A40),"",FG13/OFFSET(SSTotalCLM!$A$2,MATCH(FG$29,SSTotalCLM!$A$2:$A$500)+$A40-1,1)-1)</f>
        <v>-1.5262469981311533E-2</v>
      </c>
      <c r="FH40" s="9">
        <f ca="1">IF(OR(FH13="",FH$28&lt;$A40),"",FH13/OFFSET(SSTotalCLM!$A$2,MATCH(FH$29,SSTotalCLM!$A$2:$A$500)+$A40-1,1)-1)</f>
        <v>-9.6438284075228697E-4</v>
      </c>
      <c r="FI40" s="9">
        <f ca="1">IF(OR(FI13="",FI$28&lt;$A40),"",FI13/OFFSET(SSTotalCLM!$A$2,MATCH(FI$29,SSTotalCLM!$A$2:$A$500)+$A40-1,1)-1)</f>
        <v>-1.7439381508974616E-3</v>
      </c>
      <c r="FJ40" s="9">
        <f ca="1">IF(OR(FJ13="",FJ$28&lt;$A40),"",FJ13/OFFSET(SSTotalCLM!$A$2,MATCH(FJ$29,SSTotalCLM!$A$2:$A$500)+$A40-1,1)-1)</f>
        <v>-5.5105799119310461E-3</v>
      </c>
      <c r="FK40" s="9">
        <f ca="1">IF(OR(FK13="",FK$28&lt;$A40),"",FK13/OFFSET(SSTotalCLM!$A$2,MATCH(FK$29,SSTotalCLM!$A$2:$A$500)+$A40-1,1)-1)</f>
        <v>-7.7598290359526256E-4</v>
      </c>
      <c r="FL40" s="9">
        <f ca="1">IF(OR(FL13="",FL$28&lt;$A40),"",FL13/OFFSET(SSTotalCLM!$A$2,MATCH(FL$29,SSTotalCLM!$A$2:$A$500)+$A40-1,1)-1)</f>
        <v>9.2979403196351562E-3</v>
      </c>
      <c r="FM40" s="9">
        <f ca="1">IF(OR(FM13="",FM$28&lt;$A40),"",FM13/OFFSET(SSTotalCLM!$A$2,MATCH(FM$29,SSTotalCLM!$A$2:$A$500)+$A40-1,1)-1)</f>
        <v>1.7598660659433385E-2</v>
      </c>
      <c r="FN40" s="9">
        <f ca="1">IF(OR(FN13="",FN$28&lt;$A40),"",FN13/OFFSET(SSTotalCLM!$A$2,MATCH(FN$29,SSTotalCLM!$A$2:$A$500)+$A40-1,1)-1)</f>
        <v>2.3607441628884507E-2</v>
      </c>
      <c r="FO40" s="9">
        <f ca="1">IF(OR(FO13="",FO$28&lt;$A40),"",FO13/OFFSET(SSTotalCLM!$A$2,MATCH(FO$29,SSTotalCLM!$A$2:$A$500)+$A40-1,1)-1)</f>
        <v>2.5723528198977608E-3</v>
      </c>
      <c r="FP40" s="9">
        <f ca="1">IF(OR(FP13="",FP$28&lt;$A40),"",FP13/OFFSET(SSTotalCLM!$A$2,MATCH(FP$29,SSTotalCLM!$A$2:$A$500)+$A40-1,1)-1)</f>
        <v>-1.2134061489149084E-2</v>
      </c>
      <c r="FQ40" s="9">
        <f ca="1">IF(OR(FQ13="",FQ$28&lt;$A40),"",FQ13/OFFSET(SSTotalCLM!$A$2,MATCH(FQ$29,SSTotalCLM!$A$2:$A$500)+$A40-1,1)-1)</f>
        <v>-2.1597983082449868E-2</v>
      </c>
      <c r="FR40" s="9">
        <f ca="1">IF(OR(FR13="",FR$28&lt;$A40),"",FR13/OFFSET(SSTotalCLM!$A$2,MATCH(FR$29,SSTotalCLM!$A$2:$A$500)+$A40-1,1)-1)</f>
        <v>-3.1971299448853685E-2</v>
      </c>
      <c r="FS40" s="9">
        <f ca="1">IF(OR(FS13="",FS$28&lt;$A40),"",FS13/OFFSET(SSTotalCLM!$A$2,MATCH(FS$29,SSTotalCLM!$A$2:$A$500)+$A40-1,1)-1)</f>
        <v>-3.1031258545976659E-2</v>
      </c>
      <c r="FT40" s="9">
        <f ca="1">IF(OR(FT13="",FT$28&lt;$A40),"",FT13/OFFSET(SSTotalCLM!$A$2,MATCH(FT$29,SSTotalCLM!$A$2:$A$500)+$A40-1,1)-1)</f>
        <v>-1.6966167758689088E-2</v>
      </c>
      <c r="FU40" s="9">
        <f ca="1">IF(OR(FU13="",FU$28&lt;$A40),"",FU13/OFFSET(SSTotalCLM!$A$2,MATCH(FU$29,SSTotalCLM!$A$2:$A$500)+$A40-1,1)-1)</f>
        <v>3.8069137796468144E-3</v>
      </c>
      <c r="FV40" s="9">
        <f ca="1">IF(OR(FV13="",FV$28&lt;$A40),"",FV13/OFFSET(SSTotalCLM!$A$2,MATCH(FV$29,SSTotalCLM!$A$2:$A$500)+$A40-1,1)-1)</f>
        <v>5.0897623950389992E-3</v>
      </c>
      <c r="FW40" s="9">
        <f ca="1">IF(OR(FW13="",FW$28&lt;$A40),"",FW13/OFFSET(SSTotalCLM!$A$2,MATCH(FW$29,SSTotalCLM!$A$2:$A$500)+$A40-1,1)-1)</f>
        <v>-1.6338822099963624E-2</v>
      </c>
      <c r="FX40" s="9">
        <f ca="1">IF(OR(FX13="",FX$28&lt;$A40),"",FX13/OFFSET(SSTotalCLM!$A$2,MATCH(FX$29,SSTotalCLM!$A$2:$A$500)+$A40-1,1)-1)</f>
        <v>1.8003157380025669E-2</v>
      </c>
      <c r="FY40" s="9">
        <f ca="1">IF(OR(FY13="",FY$28&lt;$A40),"",FY13/OFFSET(SSTotalCLM!$A$2,MATCH(FY$29,SSTotalCLM!$A$2:$A$500)+$A40-1,1)-1)</f>
        <v>1.6542250019848881E-2</v>
      </c>
      <c r="FZ40" s="9">
        <f ca="1">IF(OR(FZ13="",FZ$28&lt;$A40),"",FZ13/OFFSET(SSTotalCLM!$A$2,MATCH(FZ$29,SSTotalCLM!$A$2:$A$500)+$A40-1,1)-1)</f>
        <v>3.1455714065131257E-2</v>
      </c>
      <c r="GA40" s="9">
        <f ca="1">IF(OR(GA13="",GA$28&lt;$A40),"",GA13/OFFSET(SSTotalCLM!$A$2,MATCH(GA$29,SSTotalCLM!$A$2:$A$500)+$A40-1,1)-1)</f>
        <v>4.2332642662667119E-2</v>
      </c>
      <c r="GB40" s="9">
        <f ca="1">IF(OR(GB13="",GB$28&lt;$A40),"",GB13/OFFSET(SSTotalCLM!$A$2,MATCH(GB$29,SSTotalCLM!$A$2:$A$500)+$A40-1,1)-1)</f>
        <v>4.0324533533483198E-2</v>
      </c>
      <c r="GC40" s="9">
        <f ca="1">IF(OR(GC13="",GC$28&lt;$A40),"",GC13/OFFSET(SSTotalCLM!$A$2,MATCH(GC$29,SSTotalCLM!$A$2:$A$500)+$A40-1,1)-1)</f>
        <v>2.5141519549987557E-2</v>
      </c>
      <c r="GD40" s="9">
        <f ca="1">IF(OR(GD13="",GD$28&lt;$A40),"",GD13/OFFSET(SSTotalCLM!$A$2,MATCH(GD$29,SSTotalCLM!$A$2:$A$500)+$A40-1,1)-1)</f>
        <v>2.7108201018397393E-2</v>
      </c>
      <c r="GE40" s="9">
        <f ca="1">IF(OR(GE13="",GE$28&lt;$A40),"",GE13/OFFSET(SSTotalCLM!$A$2,MATCH(GE$29,SSTotalCLM!$A$2:$A$500)+$A40-1,1)-1)</f>
        <v>4.9940452929974288E-2</v>
      </c>
      <c r="GF40" s="9">
        <f ca="1">IF(OR(GF13="",GF$28&lt;$A40),"",GF13/OFFSET(SSTotalCLM!$A$2,MATCH(GF$29,SSTotalCLM!$A$2:$A$500)+$A40-1,1)-1)</f>
        <v>4.0556923350324015E-2</v>
      </c>
      <c r="GG40" s="9">
        <f ca="1">IF(OR(GG13="",GG$28&lt;$A40),"",GG13/OFFSET(SSTotalCLM!$A$2,MATCH(GG$29,SSTotalCLM!$A$2:$A$500)+$A40-1,1)-1)</f>
        <v>3.1419192330026657E-2</v>
      </c>
      <c r="GH40" s="9">
        <f ca="1">IF(OR(GH13="",GH$28&lt;$A40),"",GH13/OFFSET(SSTotalCLM!$A$2,MATCH(GH$29,SSTotalCLM!$A$2:$A$500)+$A40-1,1)-1)</f>
        <v>2.4106490832521255E-2</v>
      </c>
      <c r="GI40" s="9">
        <f ca="1">IF(OR(GI13="",GI$28&lt;$A40),"",GI13/OFFSET(SSTotalCLM!$A$2,MATCH(GI$29,SSTotalCLM!$A$2:$A$500)+$A40-1,1)-1)</f>
        <v>1.4652265906571094E-2</v>
      </c>
      <c r="GJ40" s="9">
        <f ca="1">IF(OR(GJ13="",GJ$28&lt;$A40),"",GJ13/OFFSET(SSTotalCLM!$A$2,MATCH(GJ$29,SSTotalCLM!$A$2:$A$500)+$A40-1,1)-1)</f>
        <v>-4.0443743446094693E-4</v>
      </c>
      <c r="GK40" s="9">
        <f ca="1">IF(OR(GK13="",GK$28&lt;$A40),"",GK13/OFFSET(SSTotalCLM!$A$2,MATCH(GK$29,SSTotalCLM!$A$2:$A$500)+$A40-1,1)-1)</f>
        <v>1.712970435312644E-2</v>
      </c>
      <c r="GL40" s="9">
        <f ca="1">IF(OR(GL13="",GL$28&lt;$A40),"",GL13/OFFSET(SSTotalCLM!$A$2,MATCH(GL$29,SSTotalCLM!$A$2:$A$500)+$A40-1,1)-1)</f>
        <v>1.2398461265111127E-2</v>
      </c>
      <c r="GM40" s="9">
        <f ca="1">IF(OR(GM13="",GM$28&lt;$A40),"",GM13/OFFSET(SSTotalCLM!$A$2,MATCH(GM$29,SSTotalCLM!$A$2:$A$500)+$A40-1,1)-1)</f>
        <v>1.228567213252818E-3</v>
      </c>
      <c r="GN40" s="9">
        <f ca="1">IF(OR(GN13="",GN$28&lt;$A40),"",GN13/OFFSET(SSTotalCLM!$A$2,MATCH(GN$29,SSTotalCLM!$A$2:$A$500)+$A40-1,1)-1)</f>
        <v>1.4896757594452303E-2</v>
      </c>
      <c r="GO40" s="9" t="str">
        <f ca="1">IF(OR(GO13="",GO$28&lt;$A40),"",GO13/OFFSET(SSTotalCLM!$A$2,MATCH(GO$29,SSTotalCLM!$A$2:$A$500)+$A40-1,1)-1)</f>
        <v/>
      </c>
      <c r="GP40" s="9" t="str">
        <f ca="1">IF(OR(GP13="",GP$28&lt;$A40),"",GP13/OFFSET(SSTotalCLM!$A$2,MATCH(GP$29,SSTotalCLM!$A$2:$A$500)+$A40-1,1)-1)</f>
        <v/>
      </c>
      <c r="GQ40" s="9" t="str">
        <f ca="1">IF(OR(GQ13="",GQ$28&lt;$A40),"",GQ13/OFFSET(SSTotalCLM!$A$2,MATCH(GQ$29,SSTotalCLM!$A$2:$A$500)+$A40-1,1)-1)</f>
        <v/>
      </c>
      <c r="GR40" s="9" t="str">
        <f ca="1">IF(OR(GR13="",GR$28&lt;$A40),"",GR13/OFFSET(SSTotalCLM!$A$2,MATCH(GR$29,SSTotalCLM!$A$2:$A$500)+$A40-1,1)-1)</f>
        <v/>
      </c>
      <c r="GS40" s="9" t="str">
        <f ca="1">IF(OR(GS13="",GS$28&lt;$A40),"",GS13/OFFSET(SSTotalCLM!$A$2,MATCH(GS$29,SSTotalCLM!$A$2:$A$500)+$A40-1,1)-1)</f>
        <v/>
      </c>
      <c r="GT40" s="9" t="str">
        <f ca="1">IF(OR(GT13="",GT$28&lt;$A40),"",GT13/OFFSET(SSTotalCLM!$A$2,MATCH(GT$29,SSTotalCLM!$A$2:$A$500)+$A40-1,1)-1)</f>
        <v/>
      </c>
      <c r="GU40" s="9" t="str">
        <f ca="1">IF(OR(GU13="",GU$28&lt;$A40),"",GU13/OFFSET(SSTotalCLM!$A$2,MATCH(GU$29,SSTotalCLM!$A$2:$A$500)+$A40-1,1)-1)</f>
        <v/>
      </c>
      <c r="GV40" s="9" t="str">
        <f ca="1">IF(OR(GV13="",GV$28&lt;$A40),"",GV13/OFFSET(SSTotalCLM!$A$2,MATCH(GV$29,SSTotalCLM!$A$2:$A$500)+$A40-1,1)-1)</f>
        <v/>
      </c>
      <c r="GW40" s="9" t="str">
        <f ca="1">IF(OR(GW13="",GW$28&lt;$A40),"",GW13/OFFSET(SSTotalCLM!$A$2,MATCH(GW$29,SSTotalCLM!$A$2:$A$500)+$A40-1,1)-1)</f>
        <v/>
      </c>
      <c r="GX40" s="9" t="str">
        <f ca="1">IF(OR(GX13="",GX$28&lt;$A40),"",GX13/OFFSET(SSTotalCLM!$A$2,MATCH(GX$29,SSTotalCLM!$A$2:$A$500)+$A40-1,1)-1)</f>
        <v/>
      </c>
      <c r="GY40" s="9" t="str">
        <f ca="1">IF(OR(GY13="",GY$28&lt;$A40),"",GY13/OFFSET(SSTotalCLM!$A$2,MATCH(GY$29,SSTotalCLM!$A$2:$A$500)+$A40-1,1)-1)</f>
        <v/>
      </c>
      <c r="GZ40" s="9" t="str">
        <f ca="1">IF(OR(GZ13="",GZ$28&lt;$A40),"",GZ13/OFFSET(SSTotalCLM!$A$2,MATCH(GZ$29,SSTotalCLM!$A$2:$A$500)+$A40-1,1)-1)</f>
        <v/>
      </c>
      <c r="HA40" s="9" t="str">
        <f ca="1">IF(OR(HA13="",HA$28&lt;$A40),"",HA13/OFFSET(SSTotalCLM!$A$2,MATCH(HA$29,SSTotalCLM!$A$2:$A$500)+$A40-1,1)-1)</f>
        <v/>
      </c>
      <c r="HB40" s="9" t="str">
        <f ca="1">IF(OR(HB13="",HB$28&lt;$A40),"",HB13/OFFSET(SSTotalCLM!$A$2,MATCH(HB$29,SSTotalCLM!$A$2:$A$500)+$A40-1,1)-1)</f>
        <v/>
      </c>
      <c r="HC40" s="9" t="str">
        <f ca="1">IF(OR(HC13="",HC$28&lt;$A40),"",HC13/OFFSET(SSTotalCLM!$A$2,MATCH(HC$29,SSTotalCLM!$A$2:$A$500)+$A40-1,1)-1)</f>
        <v/>
      </c>
      <c r="HD40" s="9" t="str">
        <f ca="1">IF(OR(HD13="",HD$28&lt;$A40),"",HD13/OFFSET(SSTotalCLM!$A$2,MATCH(HD$29,SSTotalCLM!$A$2:$A$500)+$A40-1,1)-1)</f>
        <v/>
      </c>
      <c r="HE40" s="9" t="str">
        <f ca="1">IF(OR(HE13="",HE$28&lt;$A40),"",HE13/OFFSET(SSTotalCLM!$A$2,MATCH(HE$29,SSTotalCLM!$A$2:$A$500)+$A40-1,1)-1)</f>
        <v/>
      </c>
      <c r="HF40" s="9" t="str">
        <f ca="1">IF(OR(HF13="",HF$28&lt;$A40),"",HF13/OFFSET(SSTotalCLM!$A$2,MATCH(HF$29,SSTotalCLM!$A$2:$A$500)+$A40-1,1)-1)</f>
        <v/>
      </c>
      <c r="HG40" s="9" t="str">
        <f ca="1">IF(OR(HG13="",HG$28&lt;$A40),"",HG13/OFFSET(SSTotalCLM!$A$2,MATCH(HG$29,SSTotalCLM!$A$2:$A$500)+$A40-1,1)-1)</f>
        <v/>
      </c>
      <c r="HH40" s="9" t="str">
        <f ca="1">IF(OR(HH13="",HH$28&lt;$A40),"",HH13/OFFSET(SSTotalCLM!$A$2,MATCH(HH$29,SSTotalCLM!$A$2:$A$500)+$A40-1,1)-1)</f>
        <v/>
      </c>
      <c r="HI40" s="9" t="str">
        <f ca="1">IF(OR(HI13="",HI$28&lt;$A40),"",HI13/OFFSET(SSTotalCLM!$A$2,MATCH(HI$29,SSTotalCLM!$A$2:$A$500)+$A40-1,1)-1)</f>
        <v/>
      </c>
      <c r="HJ40" s="9" t="str">
        <f ca="1">IF(OR(HJ13="",HJ$28&lt;$A40),"",HJ13/OFFSET(SSTotalCLM!$A$2,MATCH(HJ$29,SSTotalCLM!$A$2:$A$500)+$A40-1,1)-1)</f>
        <v/>
      </c>
      <c r="HK40" s="9" t="str">
        <f ca="1">IF(OR(HK13="",HK$28&lt;$A40),"",HK13/OFFSET(SSTotalCLM!$A$2,MATCH(HK$29,SSTotalCLM!$A$2:$A$500)+$A40-1,1)-1)</f>
        <v/>
      </c>
      <c r="HL40" s="9" t="str">
        <f ca="1">IF(OR(HL13="",HL$28&lt;$A40),"",HL13/OFFSET(SSTotalCLM!$A$2,MATCH(HL$29,SSTotalCLM!$A$2:$A$500)+$A40-1,1)-1)</f>
        <v/>
      </c>
      <c r="HM40" s="9" t="str">
        <f ca="1">IF(OR(HM13="",HM$28&lt;$A40),"",HM13/OFFSET(SSTotalCLM!$A$2,MATCH(HM$29,SSTotalCLM!$A$2:$A$500)+$A40-1,1)-1)</f>
        <v/>
      </c>
      <c r="HN40" s="9" t="str">
        <f ca="1">IF(OR(HN13="",HN$28&lt;$A40),"",HN13/OFFSET(SSTotalCLM!$A$2,MATCH(HN$29,SSTotalCLM!$A$2:$A$500)+$A40-1,1)-1)</f>
        <v/>
      </c>
      <c r="HO40" s="9" t="str">
        <f ca="1">IF(OR(HO13="",HO$28&lt;$A40),"",HO13/OFFSET(SSTotalCLM!$A$2,MATCH(HO$29,SSTotalCLM!$A$2:$A$500)+$A40-1,1)-1)</f>
        <v/>
      </c>
      <c r="HP40" s="9" t="str">
        <f ca="1">IF(OR(HP13="",HP$28&lt;$A40),"",HP13/OFFSET(SSTotalCLM!$A$2,MATCH(HP$29,SSTotalCLM!$A$2:$A$500)+$A40-1,1)-1)</f>
        <v/>
      </c>
      <c r="HQ40" s="9" t="str">
        <f ca="1">IF(OR(HQ13="",HQ$28&lt;$A40),"",HQ13/OFFSET(SSTotalCLM!$A$2,MATCH(HQ$29,SSTotalCLM!$A$2:$A$500)+$A40-1,1)-1)</f>
        <v/>
      </c>
      <c r="HR40" s="9" t="str">
        <f ca="1">IF(OR(HR13="",HR$28&lt;$A40),"",HR13/OFFSET(SSTotalCLM!$A$2,MATCH(HR$29,SSTotalCLM!$A$2:$A$500)+$A40-1,1)-1)</f>
        <v/>
      </c>
      <c r="HS40" s="9" t="str">
        <f ca="1">IF(OR(HS13="",HS$28&lt;$A40),"",HS13/OFFSET(SSTotalCLM!$A$2,MATCH(HS$29,SSTotalCLM!$A$2:$A$500)+$A40-1,1)-1)</f>
        <v/>
      </c>
      <c r="HT40" s="9" t="str">
        <f ca="1">IF(OR(HT13="",HT$28&lt;$A40),"",HT13/OFFSET(SSTotalCLM!$A$2,MATCH(HT$29,SSTotalCLM!$A$2:$A$500)+$A40-1,1)-1)</f>
        <v/>
      </c>
      <c r="HU40" s="9" t="str">
        <f ca="1">IF(OR(HU13="",HU$28&lt;$A40),"",HU13/OFFSET(SSTotalCLM!$A$2,MATCH(HU$29,SSTotalCLM!$A$2:$A$500)+$A40-1,1)-1)</f>
        <v/>
      </c>
      <c r="HV40" s="9" t="str">
        <f ca="1">IF(OR(HV13="",HV$28&lt;$A40),"",HV13/OFFSET(SSTotalCLM!$A$2,MATCH(HV$29,SSTotalCLM!$A$2:$A$500)+$A40-1,1)-1)</f>
        <v/>
      </c>
      <c r="HW40" s="9" t="str">
        <f ca="1">IF(OR(HW13="",HW$28&lt;$A40),"",HW13/OFFSET(SSTotalCLM!$A$2,MATCH(HW$29,SSTotalCLM!$A$2:$A$500)+$A40-1,1)-1)</f>
        <v/>
      </c>
      <c r="HX40" s="9" t="str">
        <f ca="1">IF(OR(HX13="",HX$28&lt;$A40),"",HX13/OFFSET(SSTotalCLM!$A$2,MATCH(HX$29,SSTotalCLM!$A$2:$A$500)+$A40-1,1)-1)</f>
        <v/>
      </c>
      <c r="HY40" s="9" t="str">
        <f ca="1">IF(OR(HY13="",HY$28&lt;$A40),"",HY13/OFFSET(SSTotalCLM!$A$2,MATCH(HY$29,SSTotalCLM!$A$2:$A$500)+$A40-1,1)-1)</f>
        <v/>
      </c>
      <c r="HZ40" s="9" t="str">
        <f ca="1">IF(OR(HZ13="",HZ$28&lt;$A40),"",HZ13/OFFSET(SSTotalCLM!$A$2,MATCH(HZ$29,SSTotalCLM!$A$2:$A$500)+$A40-1,1)-1)</f>
        <v/>
      </c>
      <c r="IA40" s="9" t="str">
        <f ca="1">IF(OR(IA13="",IA$28&lt;$A40),"",IA13/OFFSET(SSTotalCLM!$A$2,MATCH(IA$29,SSTotalCLM!$A$2:$A$500)+$A40-1,1)-1)</f>
        <v/>
      </c>
      <c r="IB40" s="9" t="str">
        <f ca="1">IF(OR(IB13="",IB$28&lt;$A40),"",IB13/OFFSET(SSTotalCLM!$A$2,MATCH(IB$29,SSTotalCLM!$A$2:$A$500)+$A40-1,1)-1)</f>
        <v/>
      </c>
      <c r="IC40" s="9" t="str">
        <f ca="1">IF(OR(IC13="",IC$28&lt;$A40),"",IC13/OFFSET(SSTotalCLM!$A$2,MATCH(IC$29,SSTotalCLM!$A$2:$A$500)+$A40-1,1)-1)</f>
        <v/>
      </c>
      <c r="ID40" s="9" t="str">
        <f ca="1">IF(OR(ID13="",ID$28&lt;$A40),"",ID13/OFFSET(SSTotalCLM!$A$2,MATCH(ID$29,SSTotalCLM!$A$2:$A$500)+$A40-1,1)-1)</f>
        <v/>
      </c>
      <c r="IE40" s="9" t="str">
        <f ca="1">IF(OR(IE13="",IE$28&lt;$A40),"",IE13/OFFSET(SSTotalCLM!$A$2,MATCH(IE$29,SSTotalCLM!$A$2:$A$500)+$A40-1,1)-1)</f>
        <v/>
      </c>
      <c r="IF40" s="9" t="str">
        <f ca="1">IF(OR(IF13="",IF$28&lt;$A40),"",IF13/OFFSET(SSTotalCLM!$A$2,MATCH(IF$29,SSTotalCLM!$A$2:$A$500)+$A40-1,1)-1)</f>
        <v/>
      </c>
      <c r="IG40" s="9" t="str">
        <f ca="1">IF(OR(IG13="",IG$28&lt;$A40),"",IG13/OFFSET(SSTotalCLM!$A$2,MATCH(IG$29,SSTotalCLM!$A$2:$A$500)+$A40-1,1)-1)</f>
        <v/>
      </c>
      <c r="IH40" s="9" t="str">
        <f ca="1">IF(OR(IH13="",IH$28&lt;$A40),"",IH13/OFFSET(SSTotalCLM!$A$2,MATCH(IH$29,SSTotalCLM!$A$2:$A$500)+$A40-1,1)-1)</f>
        <v/>
      </c>
      <c r="II40" s="9" t="str">
        <f ca="1">IF(OR(II13="",II$28&lt;$A40),"",II13/OFFSET(SSTotalCLM!$A$2,MATCH(II$29,SSTotalCLM!$A$2:$A$500)+$A40-1,1)-1)</f>
        <v/>
      </c>
      <c r="IJ40" s="9" t="str">
        <f ca="1">IF(OR(IJ13="",IJ$28&lt;$A40),"",IJ13/OFFSET(SSTotalCLM!$A$2,MATCH(IJ$29,SSTotalCLM!$A$2:$A$500)+$A40-1,1)-1)</f>
        <v/>
      </c>
      <c r="IK40" s="9" t="str">
        <f ca="1">IF(OR(IK13="",IK$28&lt;$A40),"",IK13/OFFSET(SSTotalCLM!$A$2,MATCH(IK$29,SSTotalCLM!$A$2:$A$500)+$A40-1,1)-1)</f>
        <v/>
      </c>
      <c r="IL40" s="9" t="str">
        <f ca="1">IF(OR(IL13="",IL$28&lt;$A40),"",IL13/OFFSET(SSTotalCLM!$A$2,MATCH(IL$29,SSTotalCLM!$A$2:$A$500)+$A40-1,1)-1)</f>
        <v/>
      </c>
      <c r="IM40" s="9" t="str">
        <f ca="1">IF(OR(IM13="",IM$28&lt;$A40),"",IM13/OFFSET(SSTotalCLM!$A$2,MATCH(IM$29,SSTotalCLM!$A$2:$A$500)+$A40-1,1)-1)</f>
        <v/>
      </c>
      <c r="IN40" s="9" t="str">
        <f ca="1">IF(OR(IN13="",IN$28&lt;$A40),"",IN13/OFFSET(SSTotalCLM!$A$2,MATCH(IN$29,SSTotalCLM!$A$2:$A$500)+$A40-1,1)-1)</f>
        <v/>
      </c>
      <c r="IO40" s="9" t="str">
        <f ca="1">IF(OR(IO13="",IO$28&lt;$A40),"",IO13/OFFSET(SSTotalCLM!$A$2,MATCH(IO$29,SSTotalCLM!$A$2:$A$500)+$A40-1,1)-1)</f>
        <v/>
      </c>
      <c r="IP40" s="9" t="str">
        <f ca="1">IF(OR(IP13="",IP$28&lt;$A40),"",IP13/OFFSET(SSTotalCLM!$A$2,MATCH(IP$29,SSTotalCLM!$A$2:$A$500)+$A40-1,1)-1)</f>
        <v/>
      </c>
      <c r="IQ40" s="9" t="str">
        <f ca="1">IF(OR(IQ13="",IQ$28&lt;$A40),"",IQ13/OFFSET(SSTotalCLM!$A$2,MATCH(IQ$29,SSTotalCLM!$A$2:$A$500)+$A40-1,1)-1)</f>
        <v/>
      </c>
      <c r="IR40" s="9" t="str">
        <f ca="1">IF(OR(IR13="",IR$28&lt;$A40),"",IR13/OFFSET(SSTotalCLM!$A$2,MATCH(IR$29,SSTotalCLM!$A$2:$A$500)+$A40-1,1)-1)</f>
        <v/>
      </c>
      <c r="IS40" s="9" t="str">
        <f ca="1">IF(OR(IS13="",IS$28&lt;$A40),"",IS13/OFFSET(SSTotalCLM!$A$2,MATCH(IS$29,SSTotalCLM!$A$2:$A$500)+$A40-1,1)-1)</f>
        <v/>
      </c>
      <c r="IT40" s="9" t="str">
        <f ca="1">IF(OR(IT13="",IT$28&lt;$A40),"",IT13/OFFSET(SSTotalCLM!$A$2,MATCH(IT$29,SSTotalCLM!$A$2:$A$500)+$A40-1,1)-1)</f>
        <v/>
      </c>
      <c r="IU40" s="9" t="str">
        <f ca="1">IF(OR(IU13="",IU$28&lt;$A40),"",IU13/OFFSET(SSTotalCLM!$A$2,MATCH(IU$29,SSTotalCLM!$A$2:$A$500)+$A40-1,1)-1)</f>
        <v/>
      </c>
      <c r="IV40" s="9" t="str">
        <f ca="1">IF(OR(IV13="",IV$28&lt;$A40),"",IV13/OFFSET(SSTotalCLM!$A$2,MATCH(IV$29,SSTotalCLM!$A$2:$A$500)+$A40-1,1)-1)</f>
        <v/>
      </c>
      <c r="IW40" s="9" t="str">
        <f ca="1">IF(OR(IW13="",IW$28&lt;$A40),"",IW13/OFFSET(SSTotalCLM!$A$2,MATCH(IW$29,SSTotalCLM!$A$2:$A$500)+$A40-1,1)-1)</f>
        <v/>
      </c>
      <c r="IX40" s="9" t="str">
        <f ca="1">IF(OR(IX13="",IX$28&lt;$A40),"",IX13/OFFSET(SSTotalCLM!$A$2,MATCH(IX$29,SSTotalCLM!$A$2:$A$500)+$A40-1,1)-1)</f>
        <v/>
      </c>
      <c r="IY40" s="9" t="str">
        <f ca="1">IF(OR(IY13="",IY$28&lt;$A40),"",IY13/OFFSET(SSTotalCLM!$A$2,MATCH(IY$29,SSTotalCLM!$A$2:$A$500)+$A40-1,1)-1)</f>
        <v/>
      </c>
      <c r="IZ40" s="9" t="str">
        <f ca="1">IF(OR(IZ13="",IZ$28&lt;$A40),"",IZ13/OFFSET(SSTotalCLM!$A$2,MATCH(IZ$29,SSTotalCLM!$A$2:$A$500)+$A40-1,1)-1)</f>
        <v/>
      </c>
      <c r="JA40" s="9" t="str">
        <f ca="1">IF(OR(JA13="",JA$28&lt;$A40),"",JA13/OFFSET(SSTotalCLM!$A$2,MATCH(JA$29,SSTotalCLM!$A$2:$A$500)+$A40-1,1)-1)</f>
        <v/>
      </c>
      <c r="JB40" s="9" t="str">
        <f ca="1">IF(OR(JB13="",JB$28&lt;$A40),"",JB13/OFFSET(SSTotalCLM!$A$2,MATCH(JB$29,SSTotalCLM!$A$2:$A$500)+$A40-1,1)-1)</f>
        <v/>
      </c>
      <c r="JC40" s="9" t="str">
        <f ca="1">IF(OR(JC13="",JC$28&lt;$A40),"",JC13/OFFSET(SSTotalCLM!$A$2,MATCH(JC$29,SSTotalCLM!$A$2:$A$500)+$A40-1,1)-1)</f>
        <v/>
      </c>
      <c r="JD40" s="9" t="str">
        <f ca="1">IF(OR(JD13="",JD$28&lt;$A40),"",JD13/OFFSET(SSTotalCLM!$A$2,MATCH(JD$29,SSTotalCLM!$A$2:$A$500)+$A40-1,1)-1)</f>
        <v/>
      </c>
      <c r="JE40" s="9" t="str">
        <f ca="1">IF(OR(JE13="",JE$28&lt;$A40),"",JE13/OFFSET(SSTotalCLM!$A$2,MATCH(JE$29,SSTotalCLM!$A$2:$A$500)+$A40-1,1)-1)</f>
        <v/>
      </c>
      <c r="JF40" s="9" t="str">
        <f ca="1">IF(OR(JF13="",JF$28&lt;$A40),"",JF13/OFFSET(SSTotalCLM!$A$2,MATCH(JF$29,SSTotalCLM!$A$2:$A$500)+$A40-1,1)-1)</f>
        <v/>
      </c>
      <c r="JG40" s="9" t="str">
        <f ca="1">IF(OR(JG13="",JG$28&lt;$A40),"",JG13/OFFSET(SSTotalCLM!$A$2,MATCH(JG$29,SSTotalCLM!$A$2:$A$500)+$A40-1,1)-1)</f>
        <v/>
      </c>
      <c r="JH40" s="9" t="str">
        <f ca="1">IF(OR(JH13="",JH$28&lt;$A40),"",JH13/OFFSET(SSTotalCLM!$A$2,MATCH(JH$29,SSTotalCLM!$A$2:$A$500)+$A40-1,1)-1)</f>
        <v/>
      </c>
      <c r="JI40" s="13">
        <f t="shared" ca="1" si="13"/>
        <v>1.240931424204971E-2</v>
      </c>
      <c r="JJ40" s="13">
        <f t="shared" ca="1" si="14"/>
        <v>1.5719503807150592E-2</v>
      </c>
      <c r="JK40" s="14">
        <f t="shared" ca="1" si="15"/>
        <v>5.1316309607636287E-4</v>
      </c>
      <c r="JL40" s="17">
        <f t="shared" ca="1" si="18"/>
        <v>2.2653103453530662E-2</v>
      </c>
      <c r="JM40" s="15" t="str">
        <f t="shared" ca="1" si="16"/>
        <v>[ -3,29% ; 5,77% ]</v>
      </c>
      <c r="JN40" s="17">
        <f t="shared" ca="1" si="17"/>
        <v>2.8995972420519246E-2</v>
      </c>
      <c r="LY40" s="1"/>
    </row>
    <row r="41" spans="1:337" x14ac:dyDescent="0.25">
      <c r="A41" s="4">
        <v>12</v>
      </c>
      <c r="B41" s="9">
        <f ca="1">IF(OR(B14="",B$28&lt;$A41),"",B14/OFFSET(SSTotalCLM!$A$2,MATCH(B$29,SSTotalCLM!$A$2:$A$500)+$A41-1,1)-1)</f>
        <v>-3.1240092943339515E-2</v>
      </c>
      <c r="C41" s="9">
        <f ca="1">IF(OR(C14="",C$28&lt;$A41),"",C14/OFFSET(SSTotalCLM!$A$2,MATCH(C$29,SSTotalCLM!$A$2:$A$500)+$A41-1,1)-1)</f>
        <v>-1.3695152874067196E-2</v>
      </c>
      <c r="D41" s="9">
        <f ca="1">IF(OR(D14="",D$28&lt;$A41),"",D14/OFFSET(SSTotalCLM!$A$2,MATCH(D$29,SSTotalCLM!$A$2:$A$500)+$A41-1,1)-1)</f>
        <v>-1.1156616108557005E-2</v>
      </c>
      <c r="E41" s="9">
        <f ca="1">IF(OR(E14="",E$28&lt;$A41),"",E14/OFFSET(SSTotalCLM!$A$2,MATCH(E$29,SSTotalCLM!$A$2:$A$500)+$A41-1,1)-1)</f>
        <v>-1.2617687157002955E-2</v>
      </c>
      <c r="F41" s="9">
        <f ca="1">IF(OR(F14="",F$28&lt;$A41),"",F14/OFFSET(SSTotalCLM!$A$2,MATCH(F$29,SSTotalCLM!$A$2:$A$500)+$A41-1,1)-1)</f>
        <v>-2.0634376114958441E-2</v>
      </c>
      <c r="G41" s="9">
        <f ca="1">IF(OR(G14="",G$28&lt;$A41),"",G14/OFFSET(SSTotalCLM!$A$2,MATCH(G$29,SSTotalCLM!$A$2:$A$500)+$A41-1,1)-1)</f>
        <v>-2.4305750533234693E-2</v>
      </c>
      <c r="H41" s="9">
        <f ca="1">IF(OR(H14="",H$28&lt;$A41),"",H14/OFFSET(SSTotalCLM!$A$2,MATCH(H$29,SSTotalCLM!$A$2:$A$500)+$A41-1,1)-1)</f>
        <v>-3.1004234711582312E-2</v>
      </c>
      <c r="I41" s="9">
        <f ca="1">IF(OR(I14="",I$28&lt;$A41),"",I14/OFFSET(SSTotalCLM!$A$2,MATCH(I$29,SSTotalCLM!$A$2:$A$500)+$A41-1,1)-1)</f>
        <v>-3.1012341857200032E-2</v>
      </c>
      <c r="J41" s="9">
        <f ca="1">IF(OR(J14="",J$28&lt;$A41),"",J14/OFFSET(SSTotalCLM!$A$2,MATCH(J$29,SSTotalCLM!$A$2:$A$500)+$A41-1,1)-1)</f>
        <v>-2.3146837579645863E-2</v>
      </c>
      <c r="K41" s="9">
        <f ca="1">IF(OR(K14="",K$28&lt;$A41),"",K14/OFFSET(SSTotalCLM!$A$2,MATCH(K$29,SSTotalCLM!$A$2:$A$500)+$A41-1,1)-1)</f>
        <v>-2.0689285396298551E-2</v>
      </c>
      <c r="L41" s="9">
        <f ca="1">IF(OR(L14="",L$28&lt;$A41),"",L14/OFFSET(SSTotalCLM!$A$2,MATCH(L$29,SSTotalCLM!$A$2:$A$500)+$A41-1,1)-1)</f>
        <v>-2.4581722681099261E-2</v>
      </c>
      <c r="M41" s="9">
        <f ca="1">IF(OR(M14="",M$28&lt;$A41),"",M14/OFFSET(SSTotalCLM!$A$2,MATCH(M$29,SSTotalCLM!$A$2:$A$500)+$A41-1,1)-1)</f>
        <v>-2.8931950486679847E-2</v>
      </c>
      <c r="N41" s="9">
        <f ca="1">IF(OR(N14="",N$28&lt;$A41),"",N14/OFFSET(SSTotalCLM!$A$2,MATCH(N$29,SSTotalCLM!$A$2:$A$500)+$A41-1,1)-1)</f>
        <v>-3.0272685296222179E-2</v>
      </c>
      <c r="O41" s="9">
        <f ca="1">IF(OR(O14="",O$28&lt;$A41),"",O14/OFFSET(SSTotalCLM!$A$2,MATCH(O$29,SSTotalCLM!$A$2:$A$500)+$A41-1,1)-1)</f>
        <v>-3.0038483467305532E-2</v>
      </c>
      <c r="P41" s="9">
        <f ca="1">IF(OR(P14="",P$28&lt;$A41),"",P14/OFFSET(SSTotalCLM!$A$2,MATCH(P$29,SSTotalCLM!$A$2:$A$500)+$A41-1,1)-1)</f>
        <v>-3.1817798691895827E-2</v>
      </c>
      <c r="Q41" s="9">
        <f ca="1">IF(OR(Q14="",Q$28&lt;$A41),"",Q14/OFFSET(SSTotalCLM!$A$2,MATCH(Q$29,SSTotalCLM!$A$2:$A$500)+$A41-1,1)-1)</f>
        <v>-3.4825028569319016E-2</v>
      </c>
      <c r="R41" s="9">
        <f ca="1">IF(OR(R14="",R$28&lt;$A41),"",R14/OFFSET(SSTotalCLM!$A$2,MATCH(R$29,SSTotalCLM!$A$2:$A$500)+$A41-1,1)-1)</f>
        <v>-2.9498577158110328E-2</v>
      </c>
      <c r="S41" s="9">
        <f ca="1">IF(OR(S14="",S$28&lt;$A41),"",S14/OFFSET(SSTotalCLM!$A$2,MATCH(S$29,SSTotalCLM!$A$2:$A$500)+$A41-1,1)-1)</f>
        <v>-2.1911632133434944E-2</v>
      </c>
      <c r="T41" s="9">
        <f ca="1">IF(OR(T14="",T$28&lt;$A41),"",T14/OFFSET(SSTotalCLM!$A$2,MATCH(T$29,SSTotalCLM!$A$2:$A$500)+$A41-1,1)-1)</f>
        <v>-5.4641961963889374E-3</v>
      </c>
      <c r="U41" s="9">
        <f ca="1">IF(OR(U14="",U$28&lt;$A41),"",U14/OFFSET(SSTotalCLM!$A$2,MATCH(U$29,SSTotalCLM!$A$2:$A$500)+$A41-1,1)-1)</f>
        <v>2.2429802204025906E-2</v>
      </c>
      <c r="V41" s="9">
        <f ca="1">IF(OR(V14="",V$28&lt;$A41),"",V14/OFFSET(SSTotalCLM!$A$2,MATCH(V$29,SSTotalCLM!$A$2:$A$500)+$A41-1,1)-1)</f>
        <v>2.6013808284719442E-2</v>
      </c>
      <c r="W41" s="9">
        <f ca="1">IF(OR(W14="",W$28&lt;$A41),"",W14/OFFSET(SSTotalCLM!$A$2,MATCH(W$29,SSTotalCLM!$A$2:$A$500)+$A41-1,1)-1)</f>
        <v>1.8661934815475956E-2</v>
      </c>
      <c r="X41" s="9">
        <f ca="1">IF(OR(X14="",X$28&lt;$A41),"",X14/OFFSET(SSTotalCLM!$A$2,MATCH(X$29,SSTotalCLM!$A$2:$A$500)+$A41-1,1)-1)</f>
        <v>1.9268768845756457E-2</v>
      </c>
      <c r="Y41" s="9">
        <f ca="1">IF(OR(Y14="",Y$28&lt;$A41),"",Y14/OFFSET(SSTotalCLM!$A$2,MATCH(Y$29,SSTotalCLM!$A$2:$A$500)+$A41-1,1)-1)</f>
        <v>2.2527934230358371E-2</v>
      </c>
      <c r="Z41" s="9">
        <f ca="1">IF(OR(Z14="",Z$28&lt;$A41),"",Z14/OFFSET(SSTotalCLM!$A$2,MATCH(Z$29,SSTotalCLM!$A$2:$A$500)+$A41-1,1)-1)</f>
        <v>2.4370541458002659E-2</v>
      </c>
      <c r="AA41" s="9">
        <f ca="1">IF(OR(AA14="",AA$28&lt;$A41),"",AA14/OFFSET(SSTotalCLM!$A$2,MATCH(AA$29,SSTotalCLM!$A$2:$A$500)+$A41-1,1)-1)</f>
        <v>1.9932012405707411E-2</v>
      </c>
      <c r="AB41" s="9">
        <f ca="1">IF(OR(AB14="",AB$28&lt;$A41),"",AB14/OFFSET(SSTotalCLM!$A$2,MATCH(AB$29,SSTotalCLM!$A$2:$A$500)+$A41-1,1)-1)</f>
        <v>1.5923915273203582E-2</v>
      </c>
      <c r="AC41" s="9">
        <f ca="1">IF(OR(AC14="",AC$28&lt;$A41),"",AC14/OFFSET(SSTotalCLM!$A$2,MATCH(AC$29,SSTotalCLM!$A$2:$A$500)+$A41-1,1)-1)</f>
        <v>1.8795083559641768E-2</v>
      </c>
      <c r="AD41" s="9">
        <f ca="1">IF(OR(AD14="",AD$28&lt;$A41),"",AD14/OFFSET(SSTotalCLM!$A$2,MATCH(AD$29,SSTotalCLM!$A$2:$A$500)+$A41-1,1)-1)</f>
        <v>1.053930795634006E-2</v>
      </c>
      <c r="AE41" s="9">
        <f ca="1">IF(OR(AE14="",AE$28&lt;$A41),"",AE14/OFFSET(SSTotalCLM!$A$2,MATCH(AE$29,SSTotalCLM!$A$2:$A$500)+$A41-1,1)-1)</f>
        <v>1.0794886019186434E-2</v>
      </c>
      <c r="AF41" s="9">
        <f ca="1">IF(OR(AF14="",AF$28&lt;$A41),"",AF14/OFFSET(SSTotalCLM!$A$2,MATCH(AF$29,SSTotalCLM!$A$2:$A$500)+$A41-1,1)-1)</f>
        <v>3.0471253326393999E-3</v>
      </c>
      <c r="AG41" s="9">
        <f ca="1">IF(OR(AG14="",AG$28&lt;$A41),"",AG14/OFFSET(SSTotalCLM!$A$2,MATCH(AG$29,SSTotalCLM!$A$2:$A$500)+$A41-1,1)-1)</f>
        <v>-1.7708440780405121E-3</v>
      </c>
      <c r="AH41" s="9">
        <f ca="1">IF(OR(AH14="",AH$28&lt;$A41),"",AH14/OFFSET(SSTotalCLM!$A$2,MATCH(AH$29,SSTotalCLM!$A$2:$A$500)+$A41-1,1)-1)</f>
        <v>-3.0539232370174751E-3</v>
      </c>
      <c r="AI41" s="9">
        <f ca="1">IF(OR(AI14="",AI$28&lt;$A41),"",AI14/OFFSET(SSTotalCLM!$A$2,MATCH(AI$29,SSTotalCLM!$A$2:$A$500)+$A41-1,1)-1)</f>
        <v>-6.4464495309026759E-3</v>
      </c>
      <c r="AJ41" s="9">
        <f ca="1">IF(OR(AJ14="",AJ$28&lt;$A41),"",AJ14/OFFSET(SSTotalCLM!$A$2,MATCH(AJ$29,SSTotalCLM!$A$2:$A$500)+$A41-1,1)-1)</f>
        <v>-1.096736400748044E-2</v>
      </c>
      <c r="AK41" s="9">
        <f ca="1">IF(OR(AK14="",AK$28&lt;$A41),"",AK14/OFFSET(SSTotalCLM!$A$2,MATCH(AK$29,SSTotalCLM!$A$2:$A$500)+$A41-1,1)-1)</f>
        <v>-8.0015986230761449E-3</v>
      </c>
      <c r="AL41" s="9">
        <f ca="1">IF(OR(AL14="",AL$28&lt;$A41),"",AL14/OFFSET(SSTotalCLM!$A$2,MATCH(AL$29,SSTotalCLM!$A$2:$A$500)+$A41-1,1)-1)</f>
        <v>-4.1125506403142387E-3</v>
      </c>
      <c r="AM41" s="9">
        <f ca="1">IF(OR(AM14="",AM$28&lt;$A41),"",AM14/OFFSET(SSTotalCLM!$A$2,MATCH(AM$29,SSTotalCLM!$A$2:$A$500)+$A41-1,1)-1)</f>
        <v>3.3001210654823865E-3</v>
      </c>
      <c r="AN41" s="9">
        <f ca="1">IF(OR(AN14="",AN$28&lt;$A41),"",AN14/OFFSET(SSTotalCLM!$A$2,MATCH(AN$29,SSTotalCLM!$A$2:$A$500)+$A41-1,1)-1)</f>
        <v>9.5296606697550246E-3</v>
      </c>
      <c r="AO41" s="9">
        <f ca="1">IF(OR(AO14="",AO$28&lt;$A41),"",AO14/OFFSET(SSTotalCLM!$A$2,MATCH(AO$29,SSTotalCLM!$A$2:$A$500)+$A41-1,1)-1)</f>
        <v>1.9517960496167275E-2</v>
      </c>
      <c r="AP41" s="9">
        <f ca="1">IF(OR(AP14="",AP$28&lt;$A41),"",AP14/OFFSET(SSTotalCLM!$A$2,MATCH(AP$29,SSTotalCLM!$A$2:$A$500)+$A41-1,1)-1)</f>
        <v>2.3039710205861486E-2</v>
      </c>
      <c r="AQ41" s="9">
        <f ca="1">IF(OR(AQ14="",AQ$28&lt;$A41),"",AQ14/OFFSET(SSTotalCLM!$A$2,MATCH(AQ$29,SSTotalCLM!$A$2:$A$500)+$A41-1,1)-1)</f>
        <v>3.185318005000215E-2</v>
      </c>
      <c r="AR41" s="9">
        <f ca="1">IF(OR(AR14="",AR$28&lt;$A41),"",AR14/OFFSET(SSTotalCLM!$A$2,MATCH(AR$29,SSTotalCLM!$A$2:$A$500)+$A41-1,1)-1)</f>
        <v>3.7189926097626724E-2</v>
      </c>
      <c r="AS41" s="9">
        <f ca="1">IF(OR(AS14="",AS$28&lt;$A41),"",AS14/OFFSET(SSTotalCLM!$A$2,MATCH(AS$29,SSTotalCLM!$A$2:$A$500)+$A41-1,1)-1)</f>
        <v>4.2284046377746964E-2</v>
      </c>
      <c r="AT41" s="9">
        <f ca="1">IF(OR(AT14="",AT$28&lt;$A41),"",AT14/OFFSET(SSTotalCLM!$A$2,MATCH(AT$29,SSTotalCLM!$A$2:$A$500)+$A41-1,1)-1)</f>
        <v>4.6318026263628909E-2</v>
      </c>
      <c r="AU41" s="9">
        <f ca="1">IF(OR(AU14="",AU$28&lt;$A41),"",AU14/OFFSET(SSTotalCLM!$A$2,MATCH(AU$29,SSTotalCLM!$A$2:$A$500)+$A41-1,1)-1)</f>
        <v>5.0763452595329994E-2</v>
      </c>
      <c r="AV41" s="9">
        <f ca="1">IF(OR(AV14="",AV$28&lt;$A41),"",AV14/OFFSET(SSTotalCLM!$A$2,MATCH(AV$29,SSTotalCLM!$A$2:$A$500)+$A41-1,1)-1)</f>
        <v>5.8384956464456517E-2</v>
      </c>
      <c r="AW41" s="9">
        <f ca="1">IF(OR(AW14="",AW$28&lt;$A41),"",AW14/OFFSET(SSTotalCLM!$A$2,MATCH(AW$29,SSTotalCLM!$A$2:$A$500)+$A41-1,1)-1)</f>
        <v>8.8096913323561177E-2</v>
      </c>
      <c r="AX41" s="9">
        <f ca="1">IF(OR(AX14="",AX$28&lt;$A41),"",AX14/OFFSET(SSTotalCLM!$A$2,MATCH(AX$29,SSTotalCLM!$A$2:$A$500)+$A41-1,1)-1)</f>
        <v>0.1035297922644689</v>
      </c>
      <c r="AY41" s="9">
        <f ca="1">IF(OR(AY14="",AY$28&lt;$A41),"",AY14/OFFSET(SSTotalCLM!$A$2,MATCH(AY$29,SSTotalCLM!$A$2:$A$500)+$A41-1,1)-1)</f>
        <v>0.11081259731009174</v>
      </c>
      <c r="AZ41" s="9">
        <f ca="1">IF(OR(AZ14="",AZ$28&lt;$A41),"",AZ14/OFFSET(SSTotalCLM!$A$2,MATCH(AZ$29,SSTotalCLM!$A$2:$A$500)+$A41-1,1)-1)</f>
        <v>0.11714441686508503</v>
      </c>
      <c r="BA41" s="9">
        <f ca="1">IF(OR(BA14="",BA$28&lt;$A41),"",BA14/OFFSET(SSTotalCLM!$A$2,MATCH(BA$29,SSTotalCLM!$A$2:$A$500)+$A41-1,1)-1)</f>
        <v>0.12282303951612117</v>
      </c>
      <c r="BB41" s="9">
        <f ca="1">IF(OR(BB14="",BB$28&lt;$A41),"",BB14/OFFSET(SSTotalCLM!$A$2,MATCH(BB$29,SSTotalCLM!$A$2:$A$500)+$A41-1,1)-1)</f>
        <v>0.12587178235349961</v>
      </c>
      <c r="BC41" s="9">
        <f ca="1">IF(OR(BC14="",BC$28&lt;$A41),"",BC14/OFFSET(SSTotalCLM!$A$2,MATCH(BC$29,SSTotalCLM!$A$2:$A$500)+$A41-1,1)-1)</f>
        <v>0.1125552262644427</v>
      </c>
      <c r="BD41" s="9">
        <f ca="1">IF(OR(BD14="",BD$28&lt;$A41),"",BD14/OFFSET(SSTotalCLM!$A$2,MATCH(BD$29,SSTotalCLM!$A$2:$A$500)+$A41-1,1)-1)</f>
        <v>0.10119418615931264</v>
      </c>
      <c r="BE41" s="9">
        <f ca="1">IF(OR(BE14="",BE$28&lt;$A41),"",BE14/OFFSET(SSTotalCLM!$A$2,MATCH(BE$29,SSTotalCLM!$A$2:$A$500)+$A41-1,1)-1)</f>
        <v>7.1697117620747264E-2</v>
      </c>
      <c r="BF41" s="9">
        <f ca="1">IF(OR(BF14="",BF$28&lt;$A41),"",BF14/OFFSET(SSTotalCLM!$A$2,MATCH(BF$29,SSTotalCLM!$A$2:$A$500)+$A41-1,1)-1)</f>
        <v>3.9847688310558294E-2</v>
      </c>
      <c r="BG41" s="9">
        <f ca="1">IF(OR(BG14="",BG$28&lt;$A41),"",BG14/OFFSET(SSTotalCLM!$A$2,MATCH(BG$29,SSTotalCLM!$A$2:$A$500)+$A41-1,1)-1)</f>
        <v>2.2516283015432625E-2</v>
      </c>
      <c r="BH41" s="9">
        <f ca="1">IF(OR(BH14="",BH$28&lt;$A41),"",BH14/OFFSET(SSTotalCLM!$A$2,MATCH(BH$29,SSTotalCLM!$A$2:$A$500)+$A41-1,1)-1)</f>
        <v>4.2157196600207003E-2</v>
      </c>
      <c r="BI41" s="9">
        <f ca="1">IF(OR(BI14="",BI$28&lt;$A41),"",BI14/OFFSET(SSTotalCLM!$A$2,MATCH(BI$29,SSTotalCLM!$A$2:$A$500)+$A41-1,1)-1)</f>
        <v>-1.0860951309657918E-2</v>
      </c>
      <c r="BJ41" s="9">
        <f ca="1">IF(OR(BJ14="",BJ$28&lt;$A41),"",BJ14/OFFSET(SSTotalCLM!$A$2,MATCH(BJ$29,SSTotalCLM!$A$2:$A$500)+$A41-1,1)-1)</f>
        <v>-3.6654955995163663E-2</v>
      </c>
      <c r="BK41" s="9">
        <f ca="1">IF(OR(BK14="",BK$28&lt;$A41),"",BK14/OFFSET(SSTotalCLM!$A$2,MATCH(BK$29,SSTotalCLM!$A$2:$A$500)+$A41-1,1)-1)</f>
        <v>-4.8103566414445686E-2</v>
      </c>
      <c r="BL41" s="9">
        <f ca="1">IF(OR(BL14="",BL$28&lt;$A41),"",BL14/OFFSET(SSTotalCLM!$A$2,MATCH(BL$29,SSTotalCLM!$A$2:$A$500)+$A41-1,1)-1)</f>
        <v>-8.0832178195541893E-2</v>
      </c>
      <c r="BM41" s="9">
        <f ca="1">IF(OR(BM14="",BM$28&lt;$A41),"",BM14/OFFSET(SSTotalCLM!$A$2,MATCH(BM$29,SSTotalCLM!$A$2:$A$500)+$A41-1,1)-1)</f>
        <v>-0.10270878344034506</v>
      </c>
      <c r="BN41" s="9">
        <f ca="1">IF(OR(BN14="",BN$28&lt;$A41),"",BN14/OFFSET(SSTotalCLM!$A$2,MATCH(BN$29,SSTotalCLM!$A$2:$A$500)+$A41-1,1)-1)</f>
        <v>-8.3546081262056537E-2</v>
      </c>
      <c r="BO41" s="9">
        <f ca="1">IF(OR(BO14="",BO$28&lt;$A41),"",BO14/OFFSET(SSTotalCLM!$A$2,MATCH(BO$29,SSTotalCLM!$A$2:$A$500)+$A41-1,1)-1)</f>
        <v>-6.9468412092783871E-2</v>
      </c>
      <c r="BP41" s="9">
        <f ca="1">IF(OR(BP14="",BP$28&lt;$A41),"",BP14/OFFSET(SSTotalCLM!$A$2,MATCH(BP$29,SSTotalCLM!$A$2:$A$500)+$A41-1,1)-1)</f>
        <v>-2.9864116786759709E-2</v>
      </c>
      <c r="BQ41" s="9">
        <f ca="1">IF(OR(BQ14="",BQ$28&lt;$A41),"",BQ14/OFFSET(SSTotalCLM!$A$2,MATCH(BQ$29,SSTotalCLM!$A$2:$A$500)+$A41-1,1)-1)</f>
        <v>-2.3239397192752365E-2</v>
      </c>
      <c r="BR41" s="9">
        <f ca="1">IF(OR(BR14="",BR$28&lt;$A41),"",BR14/OFFSET(SSTotalCLM!$A$2,MATCH(BR$29,SSTotalCLM!$A$2:$A$500)+$A41-1,1)-1)</f>
        <v>-8.8176665588260983E-3</v>
      </c>
      <c r="BS41" s="9">
        <f ca="1">IF(OR(BS14="",BS$28&lt;$A41),"",BS14/OFFSET(SSTotalCLM!$A$2,MATCH(BS$29,SSTotalCLM!$A$2:$A$500)+$A41-1,1)-1)</f>
        <v>5.0237968729066829E-2</v>
      </c>
      <c r="BT41" s="9">
        <f ca="1">IF(OR(BT14="",BT$28&lt;$A41),"",BT14/OFFSET(SSTotalCLM!$A$2,MATCH(BT$29,SSTotalCLM!$A$2:$A$500)+$A41-1,1)-1)</f>
        <v>1.7818228392070923E-2</v>
      </c>
      <c r="BU41" s="9">
        <f ca="1">IF(OR(BU14="",BU$28&lt;$A41),"",BU14/OFFSET(SSTotalCLM!$A$2,MATCH(BU$29,SSTotalCLM!$A$2:$A$500)+$A41-1,1)-1)</f>
        <v>3.0892023537427704E-3</v>
      </c>
      <c r="BV41" s="9">
        <f ca="1">IF(OR(BV14="",BV$28&lt;$A41),"",BV14/OFFSET(SSTotalCLM!$A$2,MATCH(BV$29,SSTotalCLM!$A$2:$A$500)+$A41-1,1)-1)</f>
        <v>2.040567813910843E-2</v>
      </c>
      <c r="BW41" s="9">
        <f ca="1">IF(OR(BW14="",BW$28&lt;$A41),"",BW14/OFFSET(SSTotalCLM!$A$2,MATCH(BW$29,SSTotalCLM!$A$2:$A$500)+$A41-1,1)-1)</f>
        <v>1.1027352200219553E-2</v>
      </c>
      <c r="BX41" s="9">
        <f ca="1">IF(OR(BX14="",BX$28&lt;$A41),"",BX14/OFFSET(SSTotalCLM!$A$2,MATCH(BX$29,SSTotalCLM!$A$2:$A$500)+$A41-1,1)-1)</f>
        <v>1.4547587789437877E-2</v>
      </c>
      <c r="BY41" s="9">
        <f ca="1">IF(OR(BY14="",BY$28&lt;$A41),"",BY14/OFFSET(SSTotalCLM!$A$2,MATCH(BY$29,SSTotalCLM!$A$2:$A$500)+$A41-1,1)-1)</f>
        <v>9.6936935058296037E-3</v>
      </c>
      <c r="BZ41" s="9">
        <f ca="1">IF(OR(BZ14="",BZ$28&lt;$A41),"",BZ14/OFFSET(SSTotalCLM!$A$2,MATCH(BZ$29,SSTotalCLM!$A$2:$A$500)+$A41-1,1)-1)</f>
        <v>-1.6594814052058871E-3</v>
      </c>
      <c r="CA41" s="9">
        <f ca="1">IF(OR(CA14="",CA$28&lt;$A41),"",CA14/OFFSET(SSTotalCLM!$A$2,MATCH(CA$29,SSTotalCLM!$A$2:$A$500)+$A41-1,1)-1)</f>
        <v>3.419391347681433E-3</v>
      </c>
      <c r="CB41" s="9">
        <f ca="1">IF(OR(CB14="",CB$28&lt;$A41),"",CB14/OFFSET(SSTotalCLM!$A$2,MATCH(CB$29,SSTotalCLM!$A$2:$A$500)+$A41-1,1)-1)</f>
        <v>2.5971162648419366E-3</v>
      </c>
      <c r="CC41" s="9">
        <f ca="1">IF(OR(CC14="",CC$28&lt;$A41),"",CC14/OFFSET(SSTotalCLM!$A$2,MATCH(CC$29,SSTotalCLM!$A$2:$A$500)+$A41-1,1)-1)</f>
        <v>1.0131432779855398E-2</v>
      </c>
      <c r="CD41" s="9">
        <f ca="1">IF(OR(CD14="",CD$28&lt;$A41),"",CD14/OFFSET(SSTotalCLM!$A$2,MATCH(CD$29,SSTotalCLM!$A$2:$A$500)+$A41-1,1)-1)</f>
        <v>1.0276516179522188E-2</v>
      </c>
      <c r="CE41" s="9">
        <f ca="1">IF(OR(CE14="",CE$28&lt;$A41),"",CE14/OFFSET(SSTotalCLM!$A$2,MATCH(CE$29,SSTotalCLM!$A$2:$A$500)+$A41-1,1)-1)</f>
        <v>2.7276099208886517E-2</v>
      </c>
      <c r="CF41" s="9">
        <f ca="1">IF(OR(CF14="",CF$28&lt;$A41),"",CF14/OFFSET(SSTotalCLM!$A$2,MATCH(CF$29,SSTotalCLM!$A$2:$A$500)+$A41-1,1)-1)</f>
        <v>5.5807616163223717E-2</v>
      </c>
      <c r="CG41" s="9">
        <f ca="1">IF(OR(CG14="",CG$28&lt;$A41),"",CG14/OFFSET(SSTotalCLM!$A$2,MATCH(CG$29,SSTotalCLM!$A$2:$A$500)+$A41-1,1)-1)</f>
        <v>3.0674457960971457E-2</v>
      </c>
      <c r="CH41" s="9">
        <f ca="1">IF(OR(CH14="",CH$28&lt;$A41),"",CH14/OFFSET(SSTotalCLM!$A$2,MATCH(CH$29,SSTotalCLM!$A$2:$A$500)+$A41-1,1)-1)</f>
        <v>2.9232442053730212E-2</v>
      </c>
      <c r="CI41" s="9">
        <f ca="1">IF(OR(CI14="",CI$28&lt;$A41),"",CI14/OFFSET(SSTotalCLM!$A$2,MATCH(CI$29,SSTotalCLM!$A$2:$A$500)+$A41-1,1)-1)</f>
        <v>4.2933650388586653E-2</v>
      </c>
      <c r="CJ41" s="9">
        <f ca="1">IF(OR(CJ14="",CJ$28&lt;$A41),"",CJ14/OFFSET(SSTotalCLM!$A$2,MATCH(CJ$29,SSTotalCLM!$A$2:$A$500)+$A41-1,1)-1)</f>
        <v>3.1693305948301109E-2</v>
      </c>
      <c r="CK41" s="9">
        <f ca="1">IF(OR(CK14="",CK$28&lt;$A41),"",CK14/OFFSET(SSTotalCLM!$A$2,MATCH(CK$29,SSTotalCLM!$A$2:$A$500)+$A41-1,1)-1)</f>
        <v>3.6698322067855838E-2</v>
      </c>
      <c r="CL41" s="9">
        <f ca="1">IF(OR(CL14="",CL$28&lt;$A41),"",CL14/OFFSET(SSTotalCLM!$A$2,MATCH(CL$29,SSTotalCLM!$A$2:$A$500)+$A41-1,1)-1)</f>
        <v>5.2687059767187572E-2</v>
      </c>
      <c r="CM41" s="9">
        <f ca="1">IF(OR(CM14="",CM$28&lt;$A41),"",CM14/OFFSET(SSTotalCLM!$A$2,MATCH(CM$29,SSTotalCLM!$A$2:$A$500)+$A41-1,1)-1)</f>
        <v>5.1427110571321988E-2</v>
      </c>
      <c r="CN41" s="9">
        <f ca="1">IF(OR(CN14="",CN$28&lt;$A41),"",CN14/OFFSET(SSTotalCLM!$A$2,MATCH(CN$29,SSTotalCLM!$A$2:$A$500)+$A41-1,1)-1)</f>
        <v>4.0106945929736515E-2</v>
      </c>
      <c r="CO41" s="9">
        <f ca="1">IF(OR(CO14="",CO$28&lt;$A41),"",CO14/OFFSET(SSTotalCLM!$A$2,MATCH(CO$29,SSTotalCLM!$A$2:$A$500)+$A41-1,1)-1)</f>
        <v>4.0756833842500617E-2</v>
      </c>
      <c r="CP41" s="9">
        <f ca="1">IF(OR(CP14="",CP$28&lt;$A41),"",CP14/OFFSET(SSTotalCLM!$A$2,MATCH(CP$29,SSTotalCLM!$A$2:$A$500)+$A41-1,1)-1)</f>
        <v>4.6449347577216082E-2</v>
      </c>
      <c r="CQ41" s="9">
        <f ca="1">IF(OR(CQ14="",CQ$28&lt;$A41),"",CQ14/OFFSET(SSTotalCLM!$A$2,MATCH(CQ$29,SSTotalCLM!$A$2:$A$500)+$A41-1,1)-1)</f>
        <v>4.8011483858213078E-2</v>
      </c>
      <c r="CR41" s="9">
        <f ca="1">IF(OR(CR14="",CR$28&lt;$A41),"",CR14/OFFSET(SSTotalCLM!$A$2,MATCH(CR$29,SSTotalCLM!$A$2:$A$500)+$A41-1,1)-1)</f>
        <v>3.9241549032989154E-2</v>
      </c>
      <c r="CS41" s="9">
        <f ca="1">IF(OR(CS14="",CS$28&lt;$A41),"",CS14/OFFSET(SSTotalCLM!$A$2,MATCH(CS$29,SSTotalCLM!$A$2:$A$500)+$A41-1,1)-1)</f>
        <v>4.6797097082931893E-2</v>
      </c>
      <c r="CT41" s="9">
        <f ca="1">IF(OR(CT14="",CT$28&lt;$A41),"",CT14/OFFSET(SSTotalCLM!$A$2,MATCH(CT$29,SSTotalCLM!$A$2:$A$500)+$A41-1,1)-1)</f>
        <v>6.7590498644652941E-2</v>
      </c>
      <c r="CU41" s="9">
        <f ca="1">IF(OR(CU14="",CU$28&lt;$A41),"",CU14/OFFSET(SSTotalCLM!$A$2,MATCH(CU$29,SSTotalCLM!$A$2:$A$500)+$A41-1,1)-1)</f>
        <v>4.9927284514913017E-2</v>
      </c>
      <c r="CV41" s="9">
        <f ca="1">IF(OR(CV14="",CV$28&lt;$A41),"",CV14/OFFSET(SSTotalCLM!$A$2,MATCH(CV$29,SSTotalCLM!$A$2:$A$500)+$A41-1,1)-1)</f>
        <v>3.4168796982581906E-2</v>
      </c>
      <c r="CW41" s="9">
        <f ca="1">IF(OR(CW14="",CW$28&lt;$A41),"",CW14/OFFSET(SSTotalCLM!$A$2,MATCH(CW$29,SSTotalCLM!$A$2:$A$500)+$A41-1,1)-1)</f>
        <v>2.4333402898623735E-2</v>
      </c>
      <c r="CX41" s="9">
        <f ca="1">IF(OR(CX14="",CX$28&lt;$A41),"",CX14/OFFSET(SSTotalCLM!$A$2,MATCH(CX$29,SSTotalCLM!$A$2:$A$500)+$A41-1,1)-1)</f>
        <v>7.7968802049028785E-3</v>
      </c>
      <c r="CY41" s="9">
        <f ca="1">IF(OR(CY14="",CY$28&lt;$A41),"",CY14/OFFSET(SSTotalCLM!$A$2,MATCH(CY$29,SSTotalCLM!$A$2:$A$500)+$A41-1,1)-1)</f>
        <v>2.5102960033351884E-4</v>
      </c>
      <c r="CZ41" s="9">
        <f ca="1">IF(OR(CZ14="",CZ$28&lt;$A41),"",CZ14/OFFSET(SSTotalCLM!$A$2,MATCH(CZ$29,SSTotalCLM!$A$2:$A$500)+$A41-1,1)-1)</f>
        <v>1.209154081825381E-2</v>
      </c>
      <c r="DA41" s="9">
        <f ca="1">IF(OR(DA14="",DA$28&lt;$A41),"",DA14/OFFSET(SSTotalCLM!$A$2,MATCH(DA$29,SSTotalCLM!$A$2:$A$500)+$A41-1,1)-1)</f>
        <v>-6.962879065849803E-3</v>
      </c>
      <c r="DB41" s="9">
        <f ca="1">IF(OR(DB14="",DB$28&lt;$A41),"",DB14/OFFSET(SSTotalCLM!$A$2,MATCH(DB$29,SSTotalCLM!$A$2:$A$500)+$A41-1,1)-1)</f>
        <v>-3.3459846535597859E-2</v>
      </c>
      <c r="DC41" s="9">
        <f ca="1">IF(OR(DC14="",DC$28&lt;$A41),"",DC14/OFFSET(SSTotalCLM!$A$2,MATCH(DC$29,SSTotalCLM!$A$2:$A$500)+$A41-1,1)-1)</f>
        <v>1.4911532295743379E-2</v>
      </c>
      <c r="DD41" s="9">
        <f ca="1">IF(OR(DD14="",DD$28&lt;$A41),"",DD14/OFFSET(SSTotalCLM!$A$2,MATCH(DD$29,SSTotalCLM!$A$2:$A$500)+$A41-1,1)-1)</f>
        <v>-3.7335382988137322E-2</v>
      </c>
      <c r="DE41" s="9">
        <f ca="1">IF(OR(DE14="",DE$28&lt;$A41),"",DE14/OFFSET(SSTotalCLM!$A$2,MATCH(DE$29,SSTotalCLM!$A$2:$A$500)+$A41-1,1)-1)</f>
        <v>-7.2434964896994414E-2</v>
      </c>
      <c r="DF41" s="9">
        <f ca="1">IF(OR(DF14="",DF$28&lt;$A41),"",DF14/OFFSET(SSTotalCLM!$A$2,MATCH(DF$29,SSTotalCLM!$A$2:$A$500)+$A41-1,1)-1)</f>
        <v>-9.6942236213010458E-2</v>
      </c>
      <c r="DG41" s="9">
        <f ca="1">IF(OR(DG14="",DG$28&lt;$A41),"",DG14/OFFSET(SSTotalCLM!$A$2,MATCH(DG$29,SSTotalCLM!$A$2:$A$500)+$A41-1,1)-1)</f>
        <v>-9.3230248655416514E-2</v>
      </c>
      <c r="DH41" s="9">
        <f ca="1">IF(OR(DH14="",DH$28&lt;$A41),"",DH14/OFFSET(SSTotalCLM!$A$2,MATCH(DH$29,SSTotalCLM!$A$2:$A$500)+$A41-1,1)-1)</f>
        <v>-8.1248295599307907E-2</v>
      </c>
      <c r="DI41" s="9">
        <f ca="1">IF(OR(DI14="",DI$28&lt;$A41),"",DI14/OFFSET(SSTotalCLM!$A$2,MATCH(DI$29,SSTotalCLM!$A$2:$A$500)+$A41-1,1)-1)</f>
        <v>-7.1398149848491688E-2</v>
      </c>
      <c r="DJ41" s="9">
        <f ca="1">IF(OR(DJ14="",DJ$28&lt;$A41),"",DJ14/OFFSET(SSTotalCLM!$A$2,MATCH(DJ$29,SSTotalCLM!$A$2:$A$500)+$A41-1,1)-1)</f>
        <v>-6.8175804367491599E-2</v>
      </c>
      <c r="DK41" s="9">
        <f ca="1">IF(OR(DK14="",DK$28&lt;$A41),"",DK14/OFFSET(SSTotalCLM!$A$2,MATCH(DK$29,SSTotalCLM!$A$2:$A$500)+$A41-1,1)-1)</f>
        <v>-6.5314053475380995E-2</v>
      </c>
      <c r="DL41" s="9">
        <f ca="1">IF(OR(DL14="",DL$28&lt;$A41),"",DL14/OFFSET(SSTotalCLM!$A$2,MATCH(DL$29,SSTotalCLM!$A$2:$A$500)+$A41-1,1)-1)</f>
        <v>-5.706193551868588E-2</v>
      </c>
      <c r="DM41" s="9">
        <f ca="1">IF(OR(DM14="",DM$28&lt;$A41),"",DM14/OFFSET(SSTotalCLM!$A$2,MATCH(DM$29,SSTotalCLM!$A$2:$A$500)+$A41-1,1)-1)</f>
        <v>-5.8765966088178412E-2</v>
      </c>
      <c r="DN41" s="9">
        <f ca="1">IF(OR(DN14="",DN$28&lt;$A41),"",DN14/OFFSET(SSTotalCLM!$A$2,MATCH(DN$29,SSTotalCLM!$A$2:$A$500)+$A41-1,1)-1)</f>
        <v>-4.1360907885728992E-2</v>
      </c>
      <c r="DO41" s="9">
        <f ca="1">IF(OR(DO14="",DO$28&lt;$A41),"",DO14/OFFSET(SSTotalCLM!$A$2,MATCH(DO$29,SSTotalCLM!$A$2:$A$500)+$A41-1,1)-1)</f>
        <v>-5.9708058761662075E-2</v>
      </c>
      <c r="DP41" s="9">
        <f ca="1">IF(OR(DP14="",DP$28&lt;$A41),"",DP14/OFFSET(SSTotalCLM!$A$2,MATCH(DP$29,SSTotalCLM!$A$2:$A$500)+$A41-1,1)-1)</f>
        <v>2.4980243669486812E-2</v>
      </c>
      <c r="DQ41" s="9">
        <f ca="1">IF(OR(DQ14="",DQ$28&lt;$A41),"",DQ14/OFFSET(SSTotalCLM!$A$2,MATCH(DQ$29,SSTotalCLM!$A$2:$A$500)+$A41-1,1)-1)</f>
        <v>-4.1905129227324478E-2</v>
      </c>
      <c r="DR41" s="9">
        <f ca="1">IF(OR(DR14="",DR$28&lt;$A41),"",DR14/OFFSET(SSTotalCLM!$A$2,MATCH(DR$29,SSTotalCLM!$A$2:$A$500)+$A41-1,1)-1)</f>
        <v>-1.9352400437978479E-2</v>
      </c>
      <c r="DS41" s="9">
        <f ca="1">IF(OR(DS14="",DS$28&lt;$A41),"",DS14/OFFSET(SSTotalCLM!$A$2,MATCH(DS$29,SSTotalCLM!$A$2:$A$500)+$A41-1,1)-1)</f>
        <v>-2.8108308301225682E-3</v>
      </c>
      <c r="DT41" s="9">
        <f ca="1">IF(OR(DT14="",DT$28&lt;$A41),"",DT14/OFFSET(SSTotalCLM!$A$2,MATCH(DT$29,SSTotalCLM!$A$2:$A$500)+$A41-1,1)-1)</f>
        <v>-1.048944015628428E-2</v>
      </c>
      <c r="DU41" s="9">
        <f ca="1">IF(OR(DU14="",DU$28&lt;$A41),"",DU14/OFFSET(SSTotalCLM!$A$2,MATCH(DU$29,SSTotalCLM!$A$2:$A$500)+$A41-1,1)-1)</f>
        <v>-2.0115191347685357E-2</v>
      </c>
      <c r="DV41" s="9">
        <f ca="1">IF(OR(DV14="",DV$28&lt;$A41),"",DV14/OFFSET(SSTotalCLM!$A$2,MATCH(DV$29,SSTotalCLM!$A$2:$A$500)+$A41-1,1)-1)</f>
        <v>-2.6425306419618599E-2</v>
      </c>
      <c r="DW41" s="9">
        <f ca="1">IF(OR(DW14="",DW$28&lt;$A41),"",DW14/OFFSET(SSTotalCLM!$A$2,MATCH(DW$29,SSTotalCLM!$A$2:$A$500)+$A41-1,1)-1)</f>
        <v>-3.1066212966466722E-2</v>
      </c>
      <c r="DX41" s="9">
        <f ca="1">IF(OR(DX14="",DX$28&lt;$A41),"",DX14/OFFSET(SSTotalCLM!$A$2,MATCH(DX$29,SSTotalCLM!$A$2:$A$500)+$A41-1,1)-1)</f>
        <v>-2.4291357367926203E-2</v>
      </c>
      <c r="DY41" s="9">
        <f ca="1">IF(OR(DY14="",DY$28&lt;$A41),"",DY14/OFFSET(SSTotalCLM!$A$2,MATCH(DY$29,SSTotalCLM!$A$2:$A$500)+$A41-1,1)-1)</f>
        <v>-2.2099458892474777E-2</v>
      </c>
      <c r="DZ41" s="9">
        <f ca="1">IF(OR(DZ14="",DZ$28&lt;$A41),"",DZ14/OFFSET(SSTotalCLM!$A$2,MATCH(DZ$29,SSTotalCLM!$A$2:$A$500)+$A41-1,1)-1)</f>
        <v>-2.6120227240495675E-2</v>
      </c>
      <c r="EA41" s="9">
        <f ca="1">IF(OR(EA14="",EA$28&lt;$A41),"",EA14/OFFSET(SSTotalCLM!$A$2,MATCH(EA$29,SSTotalCLM!$A$2:$A$500)+$A41-1,1)-1)</f>
        <v>8.9132670144940196E-3</v>
      </c>
      <c r="EB41" s="9">
        <f ca="1">IF(OR(EB14="",EB$28&lt;$A41),"",EB14/OFFSET(SSTotalCLM!$A$2,MATCH(EB$29,SSTotalCLM!$A$2:$A$500)+$A41-1,1)-1)</f>
        <v>-3.2380791941987397E-2</v>
      </c>
      <c r="EC41" s="9">
        <f ca="1">IF(OR(EC14="",EC$28&lt;$A41),"",EC14/OFFSET(SSTotalCLM!$A$2,MATCH(EC$29,SSTotalCLM!$A$2:$A$500)+$A41-1,1)-1)</f>
        <v>-2.4585663334175556E-2</v>
      </c>
      <c r="ED41" s="9">
        <f ca="1">IF(OR(ED14="",ED$28&lt;$A41),"",ED14/OFFSET(SSTotalCLM!$A$2,MATCH(ED$29,SSTotalCLM!$A$2:$A$500)+$A41-1,1)-1)</f>
        <v>-1.6753180472271589E-2</v>
      </c>
      <c r="EE41" s="9">
        <f ca="1">IF(OR(EE14="",EE$28&lt;$A41),"",EE14/OFFSET(SSTotalCLM!$A$2,MATCH(EE$29,SSTotalCLM!$A$2:$A$500)+$A41-1,1)-1)</f>
        <v>-2.7027110117636699E-2</v>
      </c>
      <c r="EF41" s="9">
        <f ca="1">IF(OR(EF14="",EF$28&lt;$A41),"",EF14/OFFSET(SSTotalCLM!$A$2,MATCH(EF$29,SSTotalCLM!$A$2:$A$500)+$A41-1,1)-1)</f>
        <v>-1.5076509059482768E-2</v>
      </c>
      <c r="EG41" s="9">
        <f ca="1">IF(OR(EG14="",EG$28&lt;$A41),"",EG14/OFFSET(SSTotalCLM!$A$2,MATCH(EG$29,SSTotalCLM!$A$2:$A$500)+$A41-1,1)-1)</f>
        <v>5.4098002763658393E-4</v>
      </c>
      <c r="EH41" s="9">
        <f ca="1">IF(OR(EH14="",EH$28&lt;$A41),"",EH14/OFFSET(SSTotalCLM!$A$2,MATCH(EH$29,SSTotalCLM!$A$2:$A$500)+$A41-1,1)-1)</f>
        <v>1.4082446151446382E-2</v>
      </c>
      <c r="EI41" s="9">
        <f ca="1">IF(OR(EI14="",EI$28&lt;$A41),"",EI14/OFFSET(SSTotalCLM!$A$2,MATCH(EI$29,SSTotalCLM!$A$2:$A$500)+$A41-1,1)-1)</f>
        <v>2.490769952062033E-2</v>
      </c>
      <c r="EJ41" s="9">
        <f ca="1">IF(OR(EJ14="",EJ$28&lt;$A41),"",EJ14/OFFSET(SSTotalCLM!$A$2,MATCH(EJ$29,SSTotalCLM!$A$2:$A$500)+$A41-1,1)-1)</f>
        <v>1.5137621114009736E-2</v>
      </c>
      <c r="EK41" s="9">
        <f ca="1">IF(OR(EK14="",EK$28&lt;$A41),"",EK14/OFFSET(SSTotalCLM!$A$2,MATCH(EK$29,SSTotalCLM!$A$2:$A$500)+$A41-1,1)-1)</f>
        <v>-4.5204982414235317E-3</v>
      </c>
      <c r="EL41" s="9">
        <f ca="1">IF(OR(EL14="",EL$28&lt;$A41),"",EL14/OFFSET(SSTotalCLM!$A$2,MATCH(EL$29,SSTotalCLM!$A$2:$A$500)+$A41-1,1)-1)</f>
        <v>-2.257687001067965E-2</v>
      </c>
      <c r="EM41" s="9">
        <f ca="1">IF(OR(EM14="",EM$28&lt;$A41),"",EM14/OFFSET(SSTotalCLM!$A$2,MATCH(EM$29,SSTotalCLM!$A$2:$A$500)+$A41-1,1)-1)</f>
        <v>-1.7019871115150687E-2</v>
      </c>
      <c r="EN41" s="9">
        <f ca="1">IF(OR(EN14="",EN$28&lt;$A41),"",EN14/OFFSET(SSTotalCLM!$A$2,MATCH(EN$29,SSTotalCLM!$A$2:$A$500)+$A41-1,1)-1)</f>
        <v>-3.9596402473576986E-2</v>
      </c>
      <c r="EO41" s="9">
        <f ca="1">IF(OR(EO14="",EO$28&lt;$A41),"",EO14/OFFSET(SSTotalCLM!$A$2,MATCH(EO$29,SSTotalCLM!$A$2:$A$500)+$A41-1,1)-1)</f>
        <v>-1.4615187944934438E-2</v>
      </c>
      <c r="EP41" s="9">
        <f ca="1">IF(OR(EP14="",EP$28&lt;$A41),"",EP14/OFFSET(SSTotalCLM!$A$2,MATCH(EP$29,SSTotalCLM!$A$2:$A$500)+$A41-1,1)-1)</f>
        <v>-5.2685789803883498E-3</v>
      </c>
      <c r="EQ41" s="9">
        <f ca="1">IF(OR(EQ14="",EQ$28&lt;$A41),"",EQ14/OFFSET(SSTotalCLM!$A$2,MATCH(EQ$29,SSTotalCLM!$A$2:$A$500)+$A41-1,1)-1)</f>
        <v>-1.0466225429598963E-2</v>
      </c>
      <c r="ER41" s="9">
        <f ca="1">IF(OR(ER14="",ER$28&lt;$A41),"",ER14/OFFSET(SSTotalCLM!$A$2,MATCH(ER$29,SSTotalCLM!$A$2:$A$500)+$A41-1,1)-1)</f>
        <v>-1.3887111352389292E-2</v>
      </c>
      <c r="ES41" s="9">
        <f ca="1">IF(OR(ES14="",ES$28&lt;$A41),"",ES14/OFFSET(SSTotalCLM!$A$2,MATCH(ES$29,SSTotalCLM!$A$2:$A$500)+$A41-1,1)-1)</f>
        <v>-1.5754720533422084E-2</v>
      </c>
      <c r="ET41" s="9">
        <f ca="1">IF(OR(ET14="",ET$28&lt;$A41),"",ET14/OFFSET(SSTotalCLM!$A$2,MATCH(ET$29,SSTotalCLM!$A$2:$A$500)+$A41-1,1)-1)</f>
        <v>-7.0961994831940656E-3</v>
      </c>
      <c r="EU41" s="9">
        <f ca="1">IF(OR(EU14="",EU$28&lt;$A41),"",EU14/OFFSET(SSTotalCLM!$A$2,MATCH(EU$29,SSTotalCLM!$A$2:$A$500)+$A41-1,1)-1)</f>
        <v>6.3786629022479779E-3</v>
      </c>
      <c r="EV41" s="9">
        <f ca="1">IF(OR(EV14="",EV$28&lt;$A41),"",EV14/OFFSET(SSTotalCLM!$A$2,MATCH(EV$29,SSTotalCLM!$A$2:$A$500)+$A41-1,1)-1)</f>
        <v>2.1195972976354449E-2</v>
      </c>
      <c r="EW41" s="9">
        <f ca="1">IF(OR(EW14="",EW$28&lt;$A41),"",EW14/OFFSET(SSTotalCLM!$A$2,MATCH(EW$29,SSTotalCLM!$A$2:$A$500)+$A41-1,1)-1)</f>
        <v>2.3934588403492052E-2</v>
      </c>
      <c r="EX41" s="9">
        <f ca="1">IF(OR(EX14="",EX$28&lt;$A41),"",EX14/OFFSET(SSTotalCLM!$A$2,MATCH(EX$29,SSTotalCLM!$A$2:$A$500)+$A41-1,1)-1)</f>
        <v>1.391863243146485E-2</v>
      </c>
      <c r="EY41" s="9">
        <f ca="1">IF(OR(EY14="",EY$28&lt;$A41),"",EY14/OFFSET(SSTotalCLM!$A$2,MATCH(EY$29,SSTotalCLM!$A$2:$A$500)+$A41-1,1)-1)</f>
        <v>-3.902600385402355E-3</v>
      </c>
      <c r="EZ41" s="9">
        <f ca="1">IF(OR(EZ14="",EZ$28&lt;$A41),"",EZ14/OFFSET(SSTotalCLM!$A$2,MATCH(EZ$29,SSTotalCLM!$A$2:$A$500)+$A41-1,1)-1)</f>
        <v>3.727471961283868E-3</v>
      </c>
      <c r="FA41" s="9">
        <f ca="1">IF(OR(FA14="",FA$28&lt;$A41),"",FA14/OFFSET(SSTotalCLM!$A$2,MATCH(FA$29,SSTotalCLM!$A$2:$A$500)+$A41-1,1)-1)</f>
        <v>-2.5990131977166153E-2</v>
      </c>
      <c r="FB41" s="9">
        <f ca="1">IF(OR(FB14="",FB$28&lt;$A41),"",FB14/OFFSET(SSTotalCLM!$A$2,MATCH(FB$29,SSTotalCLM!$A$2:$A$500)+$A41-1,1)-1)</f>
        <v>-2.73303773040392E-2</v>
      </c>
      <c r="FC41" s="9">
        <f ca="1">IF(OR(FC14="",FC$28&lt;$A41),"",FC14/OFFSET(SSTotalCLM!$A$2,MATCH(FC$29,SSTotalCLM!$A$2:$A$500)+$A41-1,1)-1)</f>
        <v>-1.6399226419233637E-2</v>
      </c>
      <c r="FD41" s="9">
        <f ca="1">IF(OR(FD14="",FD$28&lt;$A41),"",FD14/OFFSET(SSTotalCLM!$A$2,MATCH(FD$29,SSTotalCLM!$A$2:$A$500)+$A41-1,1)-1)</f>
        <v>-1.2890542943169492E-2</v>
      </c>
      <c r="FE41" s="9">
        <f ca="1">IF(OR(FE14="",FE$28&lt;$A41),"",FE14/OFFSET(SSTotalCLM!$A$2,MATCH(FE$29,SSTotalCLM!$A$2:$A$500)+$A41-1,1)-1)</f>
        <v>-1.1832471466753147E-2</v>
      </c>
      <c r="FF41" s="9">
        <f ca="1">IF(OR(FF14="",FF$28&lt;$A41),"",FF14/OFFSET(SSTotalCLM!$A$2,MATCH(FF$29,SSTotalCLM!$A$2:$A$500)+$A41-1,1)-1)</f>
        <v>-1.3267240572046091E-2</v>
      </c>
      <c r="FG41" s="9">
        <f ca="1">IF(OR(FG14="",FG$28&lt;$A41),"",FG14/OFFSET(SSTotalCLM!$A$2,MATCH(FG$29,SSTotalCLM!$A$2:$A$500)+$A41-1,1)-1)</f>
        <v>-1.6470924125864372E-2</v>
      </c>
      <c r="FH41" s="9">
        <f ca="1">IF(OR(FH14="",FH$28&lt;$A41),"",FH14/OFFSET(SSTotalCLM!$A$2,MATCH(FH$29,SSTotalCLM!$A$2:$A$500)+$A41-1,1)-1)</f>
        <v>-2.4129017291756316E-3</v>
      </c>
      <c r="FI41" s="9">
        <f ca="1">IF(OR(FI14="",FI$28&lt;$A41),"",FI14/OFFSET(SSTotalCLM!$A$2,MATCH(FI$29,SSTotalCLM!$A$2:$A$500)+$A41-1,1)-1)</f>
        <v>-9.3434531816852795E-3</v>
      </c>
      <c r="FJ41" s="9">
        <f ca="1">IF(OR(FJ14="",FJ$28&lt;$A41),"",FJ14/OFFSET(SSTotalCLM!$A$2,MATCH(FJ$29,SSTotalCLM!$A$2:$A$500)+$A41-1,1)-1)</f>
        <v>-3.7460107775546536E-3</v>
      </c>
      <c r="FK41" s="9">
        <f ca="1">IF(OR(FK14="",FK$28&lt;$A41),"",FK14/OFFSET(SSTotalCLM!$A$2,MATCH(FK$29,SSTotalCLM!$A$2:$A$500)+$A41-1,1)-1)</f>
        <v>9.1140356102885622E-3</v>
      </c>
      <c r="FL41" s="9">
        <f ca="1">IF(OR(FL14="",FL$28&lt;$A41),"",FL14/OFFSET(SSTotalCLM!$A$2,MATCH(FL$29,SSTotalCLM!$A$2:$A$500)+$A41-1,1)-1)</f>
        <v>-8.8158577441554975E-3</v>
      </c>
      <c r="FM41" s="9">
        <f ca="1">IF(OR(FM14="",FM$28&lt;$A41),"",FM14/OFFSET(SSTotalCLM!$A$2,MATCH(FM$29,SSTotalCLM!$A$2:$A$500)+$A41-1,1)-1)</f>
        <v>2.0803857079789712E-2</v>
      </c>
      <c r="FN41" s="9">
        <f ca="1">IF(OR(FN14="",FN$28&lt;$A41),"",FN14/OFFSET(SSTotalCLM!$A$2,MATCH(FN$29,SSTotalCLM!$A$2:$A$500)+$A41-1,1)-1)</f>
        <v>1.1514535163809736E-2</v>
      </c>
      <c r="FO41" s="9">
        <f ca="1">IF(OR(FO14="",FO$28&lt;$A41),"",FO14/OFFSET(SSTotalCLM!$A$2,MATCH(FO$29,SSTotalCLM!$A$2:$A$500)+$A41-1,1)-1)</f>
        <v>1.014920037911704E-4</v>
      </c>
      <c r="FP41" s="9">
        <f ca="1">IF(OR(FP14="",FP$28&lt;$A41),"",FP14/OFFSET(SSTotalCLM!$A$2,MATCH(FP$29,SSTotalCLM!$A$2:$A$500)+$A41-1,1)-1)</f>
        <v>-1.0262181597616937E-2</v>
      </c>
      <c r="FQ41" s="9">
        <f ca="1">IF(OR(FQ14="",FQ$28&lt;$A41),"",FQ14/OFFSET(SSTotalCLM!$A$2,MATCH(FQ$29,SSTotalCLM!$A$2:$A$500)+$A41-1,1)-1)</f>
        <v>-1.9407947970049411E-2</v>
      </c>
      <c r="FR41" s="9">
        <f ca="1">IF(OR(FR14="",FR$28&lt;$A41),"",FR14/OFFSET(SSTotalCLM!$A$2,MATCH(FR$29,SSTotalCLM!$A$2:$A$500)+$A41-1,1)-1)</f>
        <v>-2.7970775498123435E-2</v>
      </c>
      <c r="FS41" s="9">
        <f ca="1">IF(OR(FS14="",FS$28&lt;$A41),"",FS14/OFFSET(SSTotalCLM!$A$2,MATCH(FS$29,SSTotalCLM!$A$2:$A$500)+$A41-1,1)-1)</f>
        <v>-2.923019888978351E-2</v>
      </c>
      <c r="FT41" s="9">
        <f ca="1">IF(OR(FT14="",FT$28&lt;$A41),"",FT14/OFFSET(SSTotalCLM!$A$2,MATCH(FT$29,SSTotalCLM!$A$2:$A$500)+$A41-1,1)-1)</f>
        <v>-1.9381240874132621E-2</v>
      </c>
      <c r="FU41" s="9">
        <f ca="1">IF(OR(FU14="",FU$28&lt;$A41),"",FU14/OFFSET(SSTotalCLM!$A$2,MATCH(FU$29,SSTotalCLM!$A$2:$A$500)+$A41-1,1)-1)</f>
        <v>3.3157193270323404E-3</v>
      </c>
      <c r="FV41" s="9">
        <f ca="1">IF(OR(FV14="",FV$28&lt;$A41),"",FV14/OFFSET(SSTotalCLM!$A$2,MATCH(FV$29,SSTotalCLM!$A$2:$A$500)+$A41-1,1)-1)</f>
        <v>7.1719047953195947E-3</v>
      </c>
      <c r="FW41" s="9">
        <f ca="1">IF(OR(FW14="",FW$28&lt;$A41),"",FW14/OFFSET(SSTotalCLM!$A$2,MATCH(FW$29,SSTotalCLM!$A$2:$A$500)+$A41-1,1)-1)</f>
        <v>-1.1818915942243158E-2</v>
      </c>
      <c r="FX41" s="9">
        <f ca="1">IF(OR(FX14="",FX$28&lt;$A41),"",FX14/OFFSET(SSTotalCLM!$A$2,MATCH(FX$29,SSTotalCLM!$A$2:$A$500)+$A41-1,1)-1)</f>
        <v>1.9550801004664331E-2</v>
      </c>
      <c r="FY41" s="9">
        <f ca="1">IF(OR(FY14="",FY$28&lt;$A41),"",FY14/OFFSET(SSTotalCLM!$A$2,MATCH(FY$29,SSTotalCLM!$A$2:$A$500)+$A41-1,1)-1)</f>
        <v>9.8931260724648418E-3</v>
      </c>
      <c r="FZ41" s="9">
        <f ca="1">IF(OR(FZ14="",FZ$28&lt;$A41),"",FZ14/OFFSET(SSTotalCLM!$A$2,MATCH(FZ$29,SSTotalCLM!$A$2:$A$500)+$A41-1,1)-1)</f>
        <v>3.2849771262872585E-2</v>
      </c>
      <c r="GA41" s="9">
        <f ca="1">IF(OR(GA14="",GA$28&lt;$A41),"",GA14/OFFSET(SSTotalCLM!$A$2,MATCH(GA$29,SSTotalCLM!$A$2:$A$500)+$A41-1,1)-1)</f>
        <v>4.7385491930436396E-2</v>
      </c>
      <c r="GB41" s="9">
        <f ca="1">IF(OR(GB14="",GB$28&lt;$A41),"",GB14/OFFSET(SSTotalCLM!$A$2,MATCH(GB$29,SSTotalCLM!$A$2:$A$500)+$A41-1,1)-1)</f>
        <v>3.5486986362397666E-2</v>
      </c>
      <c r="GC41" s="9">
        <f ca="1">IF(OR(GC14="",GC$28&lt;$A41),"",GC14/OFFSET(SSTotalCLM!$A$2,MATCH(GC$29,SSTotalCLM!$A$2:$A$500)+$A41-1,1)-1)</f>
        <v>4.2188065011014686E-2</v>
      </c>
      <c r="GD41" s="9">
        <f ca="1">IF(OR(GD14="",GD$28&lt;$A41),"",GD14/OFFSET(SSTotalCLM!$A$2,MATCH(GD$29,SSTotalCLM!$A$2:$A$500)+$A41-1,1)-1)</f>
        <v>6.0739652093403818E-2</v>
      </c>
      <c r="GE41" s="9">
        <f ca="1">IF(OR(GE14="",GE$28&lt;$A41),"",GE14/OFFSET(SSTotalCLM!$A$2,MATCH(GE$29,SSTotalCLM!$A$2:$A$500)+$A41-1,1)-1)</f>
        <v>4.3017724146838798E-2</v>
      </c>
      <c r="GF41" s="9">
        <f ca="1">IF(OR(GF14="",GF$28&lt;$A41),"",GF14/OFFSET(SSTotalCLM!$A$2,MATCH(GF$29,SSTotalCLM!$A$2:$A$500)+$A41-1,1)-1)</f>
        <v>3.1798019718835224E-2</v>
      </c>
      <c r="GG41" s="9">
        <f ca="1">IF(OR(GG14="",GG$28&lt;$A41),"",GG14/OFFSET(SSTotalCLM!$A$2,MATCH(GG$29,SSTotalCLM!$A$2:$A$500)+$A41-1,1)-1)</f>
        <v>2.7969594031926448E-2</v>
      </c>
      <c r="GH41" s="9">
        <f ca="1">IF(OR(GH14="",GH$28&lt;$A41),"",GH14/OFFSET(SSTotalCLM!$A$2,MATCH(GH$29,SSTotalCLM!$A$2:$A$500)+$A41-1,1)-1)</f>
        <v>1.3380103802875798E-2</v>
      </c>
      <c r="GI41" s="9">
        <f ca="1">IF(OR(GI14="",GI$28&lt;$A41),"",GI14/OFFSET(SSTotalCLM!$A$2,MATCH(GI$29,SSTotalCLM!$A$2:$A$500)+$A41-1,1)-1)</f>
        <v>-6.4996393011840237E-4</v>
      </c>
      <c r="GJ41" s="9">
        <f ca="1">IF(OR(GJ14="",GJ$28&lt;$A41),"",GJ14/OFFSET(SSTotalCLM!$A$2,MATCH(GJ$29,SSTotalCLM!$A$2:$A$500)+$A41-1,1)-1)</f>
        <v>9.8163469663203884E-4</v>
      </c>
      <c r="GK41" s="9">
        <f ca="1">IF(OR(GK14="",GK$28&lt;$A41),"",GK14/OFFSET(SSTotalCLM!$A$2,MATCH(GK$29,SSTotalCLM!$A$2:$A$500)+$A41-1,1)-1)</f>
        <v>8.2317675659122624E-3</v>
      </c>
      <c r="GL41" s="9">
        <f ca="1">IF(OR(GL14="",GL$28&lt;$A41),"",GL14/OFFSET(SSTotalCLM!$A$2,MATCH(GL$29,SSTotalCLM!$A$2:$A$500)+$A41-1,1)-1)</f>
        <v>1.0179416713866019E-2</v>
      </c>
      <c r="GM41" s="9">
        <f ca="1">IF(OR(GM14="",GM$28&lt;$A41),"",GM14/OFFSET(SSTotalCLM!$A$2,MATCH(GM$29,SSTotalCLM!$A$2:$A$500)+$A41-1,1)-1)</f>
        <v>7.7611074710497441E-3</v>
      </c>
      <c r="GN41" s="9" t="str">
        <f ca="1">IF(OR(GN14="",GN$28&lt;$A41),"",GN14/OFFSET(SSTotalCLM!$A$2,MATCH(GN$29,SSTotalCLM!$A$2:$A$500)+$A41-1,1)-1)</f>
        <v/>
      </c>
      <c r="GO41" s="9" t="str">
        <f ca="1">IF(OR(GO14="",GO$28&lt;$A41),"",GO14/OFFSET(SSTotalCLM!$A$2,MATCH(GO$29,SSTotalCLM!$A$2:$A$500)+$A41-1,1)-1)</f>
        <v/>
      </c>
      <c r="GP41" s="9" t="str">
        <f ca="1">IF(OR(GP14="",GP$28&lt;$A41),"",GP14/OFFSET(SSTotalCLM!$A$2,MATCH(GP$29,SSTotalCLM!$A$2:$A$500)+$A41-1,1)-1)</f>
        <v/>
      </c>
      <c r="GQ41" s="9" t="str">
        <f ca="1">IF(OR(GQ14="",GQ$28&lt;$A41),"",GQ14/OFFSET(SSTotalCLM!$A$2,MATCH(GQ$29,SSTotalCLM!$A$2:$A$500)+$A41-1,1)-1)</f>
        <v/>
      </c>
      <c r="GR41" s="9" t="str">
        <f ca="1">IF(OR(GR14="",GR$28&lt;$A41),"",GR14/OFFSET(SSTotalCLM!$A$2,MATCH(GR$29,SSTotalCLM!$A$2:$A$500)+$A41-1,1)-1)</f>
        <v/>
      </c>
      <c r="GS41" s="9" t="str">
        <f ca="1">IF(OR(GS14="",GS$28&lt;$A41),"",GS14/OFFSET(SSTotalCLM!$A$2,MATCH(GS$29,SSTotalCLM!$A$2:$A$500)+$A41-1,1)-1)</f>
        <v/>
      </c>
      <c r="GT41" s="9" t="str">
        <f ca="1">IF(OR(GT14="",GT$28&lt;$A41),"",GT14/OFFSET(SSTotalCLM!$A$2,MATCH(GT$29,SSTotalCLM!$A$2:$A$500)+$A41-1,1)-1)</f>
        <v/>
      </c>
      <c r="GU41" s="9" t="str">
        <f ca="1">IF(OR(GU14="",GU$28&lt;$A41),"",GU14/OFFSET(SSTotalCLM!$A$2,MATCH(GU$29,SSTotalCLM!$A$2:$A$500)+$A41-1,1)-1)</f>
        <v/>
      </c>
      <c r="GV41" s="9" t="str">
        <f ca="1">IF(OR(GV14="",GV$28&lt;$A41),"",GV14/OFFSET(SSTotalCLM!$A$2,MATCH(GV$29,SSTotalCLM!$A$2:$A$500)+$A41-1,1)-1)</f>
        <v/>
      </c>
      <c r="GW41" s="9" t="str">
        <f ca="1">IF(OR(GW14="",GW$28&lt;$A41),"",GW14/OFFSET(SSTotalCLM!$A$2,MATCH(GW$29,SSTotalCLM!$A$2:$A$500)+$A41-1,1)-1)</f>
        <v/>
      </c>
      <c r="GX41" s="9" t="str">
        <f ca="1">IF(OR(GX14="",GX$28&lt;$A41),"",GX14/OFFSET(SSTotalCLM!$A$2,MATCH(GX$29,SSTotalCLM!$A$2:$A$500)+$A41-1,1)-1)</f>
        <v/>
      </c>
      <c r="GY41" s="9" t="str">
        <f ca="1">IF(OR(GY14="",GY$28&lt;$A41),"",GY14/OFFSET(SSTotalCLM!$A$2,MATCH(GY$29,SSTotalCLM!$A$2:$A$500)+$A41-1,1)-1)</f>
        <v/>
      </c>
      <c r="GZ41" s="9" t="str">
        <f ca="1">IF(OR(GZ14="",GZ$28&lt;$A41),"",GZ14/OFFSET(SSTotalCLM!$A$2,MATCH(GZ$29,SSTotalCLM!$A$2:$A$500)+$A41-1,1)-1)</f>
        <v/>
      </c>
      <c r="HA41" s="9" t="str">
        <f ca="1">IF(OR(HA14="",HA$28&lt;$A41),"",HA14/OFFSET(SSTotalCLM!$A$2,MATCH(HA$29,SSTotalCLM!$A$2:$A$500)+$A41-1,1)-1)</f>
        <v/>
      </c>
      <c r="HB41" s="9" t="str">
        <f ca="1">IF(OR(HB14="",HB$28&lt;$A41),"",HB14/OFFSET(SSTotalCLM!$A$2,MATCH(HB$29,SSTotalCLM!$A$2:$A$500)+$A41-1,1)-1)</f>
        <v/>
      </c>
      <c r="HC41" s="9" t="str">
        <f ca="1">IF(OR(HC14="",HC$28&lt;$A41),"",HC14/OFFSET(SSTotalCLM!$A$2,MATCH(HC$29,SSTotalCLM!$A$2:$A$500)+$A41-1,1)-1)</f>
        <v/>
      </c>
      <c r="HD41" s="9" t="str">
        <f ca="1">IF(OR(HD14="",HD$28&lt;$A41),"",HD14/OFFSET(SSTotalCLM!$A$2,MATCH(HD$29,SSTotalCLM!$A$2:$A$500)+$A41-1,1)-1)</f>
        <v/>
      </c>
      <c r="HE41" s="9" t="str">
        <f ca="1">IF(OR(HE14="",HE$28&lt;$A41),"",HE14/OFFSET(SSTotalCLM!$A$2,MATCH(HE$29,SSTotalCLM!$A$2:$A$500)+$A41-1,1)-1)</f>
        <v/>
      </c>
      <c r="HF41" s="9" t="str">
        <f ca="1">IF(OR(HF14="",HF$28&lt;$A41),"",HF14/OFFSET(SSTotalCLM!$A$2,MATCH(HF$29,SSTotalCLM!$A$2:$A$500)+$A41-1,1)-1)</f>
        <v/>
      </c>
      <c r="HG41" s="9" t="str">
        <f ca="1">IF(OR(HG14="",HG$28&lt;$A41),"",HG14/OFFSET(SSTotalCLM!$A$2,MATCH(HG$29,SSTotalCLM!$A$2:$A$500)+$A41-1,1)-1)</f>
        <v/>
      </c>
      <c r="HH41" s="9" t="str">
        <f ca="1">IF(OR(HH14="",HH$28&lt;$A41),"",HH14/OFFSET(SSTotalCLM!$A$2,MATCH(HH$29,SSTotalCLM!$A$2:$A$500)+$A41-1,1)-1)</f>
        <v/>
      </c>
      <c r="HI41" s="9" t="str">
        <f ca="1">IF(OR(HI14="",HI$28&lt;$A41),"",HI14/OFFSET(SSTotalCLM!$A$2,MATCH(HI$29,SSTotalCLM!$A$2:$A$500)+$A41-1,1)-1)</f>
        <v/>
      </c>
      <c r="HJ41" s="9" t="str">
        <f ca="1">IF(OR(HJ14="",HJ$28&lt;$A41),"",HJ14/OFFSET(SSTotalCLM!$A$2,MATCH(HJ$29,SSTotalCLM!$A$2:$A$500)+$A41-1,1)-1)</f>
        <v/>
      </c>
      <c r="HK41" s="9" t="str">
        <f ca="1">IF(OR(HK14="",HK$28&lt;$A41),"",HK14/OFFSET(SSTotalCLM!$A$2,MATCH(HK$29,SSTotalCLM!$A$2:$A$500)+$A41-1,1)-1)</f>
        <v/>
      </c>
      <c r="HL41" s="9" t="str">
        <f ca="1">IF(OR(HL14="",HL$28&lt;$A41),"",HL14/OFFSET(SSTotalCLM!$A$2,MATCH(HL$29,SSTotalCLM!$A$2:$A$500)+$A41-1,1)-1)</f>
        <v/>
      </c>
      <c r="HM41" s="9" t="str">
        <f ca="1">IF(OR(HM14="",HM$28&lt;$A41),"",HM14/OFFSET(SSTotalCLM!$A$2,MATCH(HM$29,SSTotalCLM!$A$2:$A$500)+$A41-1,1)-1)</f>
        <v/>
      </c>
      <c r="HN41" s="9" t="str">
        <f ca="1">IF(OR(HN14="",HN$28&lt;$A41),"",HN14/OFFSET(SSTotalCLM!$A$2,MATCH(HN$29,SSTotalCLM!$A$2:$A$500)+$A41-1,1)-1)</f>
        <v/>
      </c>
      <c r="HO41" s="9" t="str">
        <f ca="1">IF(OR(HO14="",HO$28&lt;$A41),"",HO14/OFFSET(SSTotalCLM!$A$2,MATCH(HO$29,SSTotalCLM!$A$2:$A$500)+$A41-1,1)-1)</f>
        <v/>
      </c>
      <c r="HP41" s="9" t="str">
        <f ca="1">IF(OR(HP14="",HP$28&lt;$A41),"",HP14/OFFSET(SSTotalCLM!$A$2,MATCH(HP$29,SSTotalCLM!$A$2:$A$500)+$A41-1,1)-1)</f>
        <v/>
      </c>
      <c r="HQ41" s="9" t="str">
        <f ca="1">IF(OR(HQ14="",HQ$28&lt;$A41),"",HQ14/OFFSET(SSTotalCLM!$A$2,MATCH(HQ$29,SSTotalCLM!$A$2:$A$500)+$A41-1,1)-1)</f>
        <v/>
      </c>
      <c r="HR41" s="9" t="str">
        <f ca="1">IF(OR(HR14="",HR$28&lt;$A41),"",HR14/OFFSET(SSTotalCLM!$A$2,MATCH(HR$29,SSTotalCLM!$A$2:$A$500)+$A41-1,1)-1)</f>
        <v/>
      </c>
      <c r="HS41" s="9" t="str">
        <f ca="1">IF(OR(HS14="",HS$28&lt;$A41),"",HS14/OFFSET(SSTotalCLM!$A$2,MATCH(HS$29,SSTotalCLM!$A$2:$A$500)+$A41-1,1)-1)</f>
        <v/>
      </c>
      <c r="HT41" s="9" t="str">
        <f ca="1">IF(OR(HT14="",HT$28&lt;$A41),"",HT14/OFFSET(SSTotalCLM!$A$2,MATCH(HT$29,SSTotalCLM!$A$2:$A$500)+$A41-1,1)-1)</f>
        <v/>
      </c>
      <c r="HU41" s="9" t="str">
        <f ca="1">IF(OR(HU14="",HU$28&lt;$A41),"",HU14/OFFSET(SSTotalCLM!$A$2,MATCH(HU$29,SSTotalCLM!$A$2:$A$500)+$A41-1,1)-1)</f>
        <v/>
      </c>
      <c r="HV41" s="9" t="str">
        <f ca="1">IF(OR(HV14="",HV$28&lt;$A41),"",HV14/OFFSET(SSTotalCLM!$A$2,MATCH(HV$29,SSTotalCLM!$A$2:$A$500)+$A41-1,1)-1)</f>
        <v/>
      </c>
      <c r="HW41" s="9" t="str">
        <f ca="1">IF(OR(HW14="",HW$28&lt;$A41),"",HW14/OFFSET(SSTotalCLM!$A$2,MATCH(HW$29,SSTotalCLM!$A$2:$A$500)+$A41-1,1)-1)</f>
        <v/>
      </c>
      <c r="HX41" s="9" t="str">
        <f ca="1">IF(OR(HX14="",HX$28&lt;$A41),"",HX14/OFFSET(SSTotalCLM!$A$2,MATCH(HX$29,SSTotalCLM!$A$2:$A$500)+$A41-1,1)-1)</f>
        <v/>
      </c>
      <c r="HY41" s="9" t="str">
        <f ca="1">IF(OR(HY14="",HY$28&lt;$A41),"",HY14/OFFSET(SSTotalCLM!$A$2,MATCH(HY$29,SSTotalCLM!$A$2:$A$500)+$A41-1,1)-1)</f>
        <v/>
      </c>
      <c r="HZ41" s="9" t="str">
        <f ca="1">IF(OR(HZ14="",HZ$28&lt;$A41),"",HZ14/OFFSET(SSTotalCLM!$A$2,MATCH(HZ$29,SSTotalCLM!$A$2:$A$500)+$A41-1,1)-1)</f>
        <v/>
      </c>
      <c r="IA41" s="9" t="str">
        <f ca="1">IF(OR(IA14="",IA$28&lt;$A41),"",IA14/OFFSET(SSTotalCLM!$A$2,MATCH(IA$29,SSTotalCLM!$A$2:$A$500)+$A41-1,1)-1)</f>
        <v/>
      </c>
      <c r="IB41" s="9" t="str">
        <f ca="1">IF(OR(IB14="",IB$28&lt;$A41),"",IB14/OFFSET(SSTotalCLM!$A$2,MATCH(IB$29,SSTotalCLM!$A$2:$A$500)+$A41-1,1)-1)</f>
        <v/>
      </c>
      <c r="IC41" s="9" t="str">
        <f ca="1">IF(OR(IC14="",IC$28&lt;$A41),"",IC14/OFFSET(SSTotalCLM!$A$2,MATCH(IC$29,SSTotalCLM!$A$2:$A$500)+$A41-1,1)-1)</f>
        <v/>
      </c>
      <c r="ID41" s="9" t="str">
        <f ca="1">IF(OR(ID14="",ID$28&lt;$A41),"",ID14/OFFSET(SSTotalCLM!$A$2,MATCH(ID$29,SSTotalCLM!$A$2:$A$500)+$A41-1,1)-1)</f>
        <v/>
      </c>
      <c r="IE41" s="9" t="str">
        <f ca="1">IF(OR(IE14="",IE$28&lt;$A41),"",IE14/OFFSET(SSTotalCLM!$A$2,MATCH(IE$29,SSTotalCLM!$A$2:$A$500)+$A41-1,1)-1)</f>
        <v/>
      </c>
      <c r="IF41" s="9" t="str">
        <f ca="1">IF(OR(IF14="",IF$28&lt;$A41),"",IF14/OFFSET(SSTotalCLM!$A$2,MATCH(IF$29,SSTotalCLM!$A$2:$A$500)+$A41-1,1)-1)</f>
        <v/>
      </c>
      <c r="IG41" s="9" t="str">
        <f ca="1">IF(OR(IG14="",IG$28&lt;$A41),"",IG14/OFFSET(SSTotalCLM!$A$2,MATCH(IG$29,SSTotalCLM!$A$2:$A$500)+$A41-1,1)-1)</f>
        <v/>
      </c>
      <c r="IH41" s="9" t="str">
        <f ca="1">IF(OR(IH14="",IH$28&lt;$A41),"",IH14/OFFSET(SSTotalCLM!$A$2,MATCH(IH$29,SSTotalCLM!$A$2:$A$500)+$A41-1,1)-1)</f>
        <v/>
      </c>
      <c r="II41" s="9" t="str">
        <f ca="1">IF(OR(II14="",II$28&lt;$A41),"",II14/OFFSET(SSTotalCLM!$A$2,MATCH(II$29,SSTotalCLM!$A$2:$A$500)+$A41-1,1)-1)</f>
        <v/>
      </c>
      <c r="IJ41" s="9" t="str">
        <f ca="1">IF(OR(IJ14="",IJ$28&lt;$A41),"",IJ14/OFFSET(SSTotalCLM!$A$2,MATCH(IJ$29,SSTotalCLM!$A$2:$A$500)+$A41-1,1)-1)</f>
        <v/>
      </c>
      <c r="IK41" s="9" t="str">
        <f ca="1">IF(OR(IK14="",IK$28&lt;$A41),"",IK14/OFFSET(SSTotalCLM!$A$2,MATCH(IK$29,SSTotalCLM!$A$2:$A$500)+$A41-1,1)-1)</f>
        <v/>
      </c>
      <c r="IL41" s="9" t="str">
        <f ca="1">IF(OR(IL14="",IL$28&lt;$A41),"",IL14/OFFSET(SSTotalCLM!$A$2,MATCH(IL$29,SSTotalCLM!$A$2:$A$500)+$A41-1,1)-1)</f>
        <v/>
      </c>
      <c r="IM41" s="9" t="str">
        <f ca="1">IF(OR(IM14="",IM$28&lt;$A41),"",IM14/OFFSET(SSTotalCLM!$A$2,MATCH(IM$29,SSTotalCLM!$A$2:$A$500)+$A41-1,1)-1)</f>
        <v/>
      </c>
      <c r="IN41" s="9" t="str">
        <f ca="1">IF(OR(IN14="",IN$28&lt;$A41),"",IN14/OFFSET(SSTotalCLM!$A$2,MATCH(IN$29,SSTotalCLM!$A$2:$A$500)+$A41-1,1)-1)</f>
        <v/>
      </c>
      <c r="IO41" s="9" t="str">
        <f ca="1">IF(OR(IO14="",IO$28&lt;$A41),"",IO14/OFFSET(SSTotalCLM!$A$2,MATCH(IO$29,SSTotalCLM!$A$2:$A$500)+$A41-1,1)-1)</f>
        <v/>
      </c>
      <c r="IP41" s="9" t="str">
        <f ca="1">IF(OR(IP14="",IP$28&lt;$A41),"",IP14/OFFSET(SSTotalCLM!$A$2,MATCH(IP$29,SSTotalCLM!$A$2:$A$500)+$A41-1,1)-1)</f>
        <v/>
      </c>
      <c r="IQ41" s="9" t="str">
        <f ca="1">IF(OR(IQ14="",IQ$28&lt;$A41),"",IQ14/OFFSET(SSTotalCLM!$A$2,MATCH(IQ$29,SSTotalCLM!$A$2:$A$500)+$A41-1,1)-1)</f>
        <v/>
      </c>
      <c r="IR41" s="9" t="str">
        <f ca="1">IF(OR(IR14="",IR$28&lt;$A41),"",IR14/OFFSET(SSTotalCLM!$A$2,MATCH(IR$29,SSTotalCLM!$A$2:$A$500)+$A41-1,1)-1)</f>
        <v/>
      </c>
      <c r="IS41" s="9" t="str">
        <f ca="1">IF(OR(IS14="",IS$28&lt;$A41),"",IS14/OFFSET(SSTotalCLM!$A$2,MATCH(IS$29,SSTotalCLM!$A$2:$A$500)+$A41-1,1)-1)</f>
        <v/>
      </c>
      <c r="IT41" s="9" t="str">
        <f ca="1">IF(OR(IT14="",IT$28&lt;$A41),"",IT14/OFFSET(SSTotalCLM!$A$2,MATCH(IT$29,SSTotalCLM!$A$2:$A$500)+$A41-1,1)-1)</f>
        <v/>
      </c>
      <c r="IU41" s="9" t="str">
        <f ca="1">IF(OR(IU14="",IU$28&lt;$A41),"",IU14/OFFSET(SSTotalCLM!$A$2,MATCH(IU$29,SSTotalCLM!$A$2:$A$500)+$A41-1,1)-1)</f>
        <v/>
      </c>
      <c r="IV41" s="9" t="str">
        <f ca="1">IF(OR(IV14="",IV$28&lt;$A41),"",IV14/OFFSET(SSTotalCLM!$A$2,MATCH(IV$29,SSTotalCLM!$A$2:$A$500)+$A41-1,1)-1)</f>
        <v/>
      </c>
      <c r="IW41" s="9" t="str">
        <f ca="1">IF(OR(IW14="",IW$28&lt;$A41),"",IW14/OFFSET(SSTotalCLM!$A$2,MATCH(IW$29,SSTotalCLM!$A$2:$A$500)+$A41-1,1)-1)</f>
        <v/>
      </c>
      <c r="IX41" s="9" t="str">
        <f ca="1">IF(OR(IX14="",IX$28&lt;$A41),"",IX14/OFFSET(SSTotalCLM!$A$2,MATCH(IX$29,SSTotalCLM!$A$2:$A$500)+$A41-1,1)-1)</f>
        <v/>
      </c>
      <c r="IY41" s="9" t="str">
        <f ca="1">IF(OR(IY14="",IY$28&lt;$A41),"",IY14/OFFSET(SSTotalCLM!$A$2,MATCH(IY$29,SSTotalCLM!$A$2:$A$500)+$A41-1,1)-1)</f>
        <v/>
      </c>
      <c r="IZ41" s="9" t="str">
        <f ca="1">IF(OR(IZ14="",IZ$28&lt;$A41),"",IZ14/OFFSET(SSTotalCLM!$A$2,MATCH(IZ$29,SSTotalCLM!$A$2:$A$500)+$A41-1,1)-1)</f>
        <v/>
      </c>
      <c r="JA41" s="9" t="str">
        <f ca="1">IF(OR(JA14="",JA$28&lt;$A41),"",JA14/OFFSET(SSTotalCLM!$A$2,MATCH(JA$29,SSTotalCLM!$A$2:$A$500)+$A41-1,1)-1)</f>
        <v/>
      </c>
      <c r="JB41" s="9" t="str">
        <f ca="1">IF(OR(JB14="",JB$28&lt;$A41),"",JB14/OFFSET(SSTotalCLM!$A$2,MATCH(JB$29,SSTotalCLM!$A$2:$A$500)+$A41-1,1)-1)</f>
        <v/>
      </c>
      <c r="JC41" s="9" t="str">
        <f ca="1">IF(OR(JC14="",JC$28&lt;$A41),"",JC14/OFFSET(SSTotalCLM!$A$2,MATCH(JC$29,SSTotalCLM!$A$2:$A$500)+$A41-1,1)-1)</f>
        <v/>
      </c>
      <c r="JD41" s="9" t="str">
        <f ca="1">IF(OR(JD14="",JD$28&lt;$A41),"",JD14/OFFSET(SSTotalCLM!$A$2,MATCH(JD$29,SSTotalCLM!$A$2:$A$500)+$A41-1,1)-1)</f>
        <v/>
      </c>
      <c r="JE41" s="9" t="str">
        <f ca="1">IF(OR(JE14="",JE$28&lt;$A41),"",JE14/OFFSET(SSTotalCLM!$A$2,MATCH(JE$29,SSTotalCLM!$A$2:$A$500)+$A41-1,1)-1)</f>
        <v/>
      </c>
      <c r="JF41" s="9" t="str">
        <f ca="1">IF(OR(JF14="",JF$28&lt;$A41),"",JF14/OFFSET(SSTotalCLM!$A$2,MATCH(JF$29,SSTotalCLM!$A$2:$A$500)+$A41-1,1)-1)</f>
        <v/>
      </c>
      <c r="JG41" s="9" t="str">
        <f ca="1">IF(OR(JG14="",JG$28&lt;$A41),"",JG14/OFFSET(SSTotalCLM!$A$2,MATCH(JG$29,SSTotalCLM!$A$2:$A$500)+$A41-1,1)-1)</f>
        <v/>
      </c>
      <c r="JH41" s="9" t="str">
        <f ca="1">IF(OR(JH14="",JH$28&lt;$A41),"",JH14/OFFSET(SSTotalCLM!$A$2,MATCH(JH$29,SSTotalCLM!$A$2:$A$500)+$A41-1,1)-1)</f>
        <v/>
      </c>
      <c r="JI41" s="13">
        <f t="shared" ca="1" si="13"/>
        <v>1.2758340995786611E-2</v>
      </c>
      <c r="JJ41" s="13">
        <f t="shared" ca="1" si="14"/>
        <v>9.8931260724648418E-3</v>
      </c>
      <c r="JK41" s="14">
        <f t="shared" ca="1" si="15"/>
        <v>5.8419075999164725E-4</v>
      </c>
      <c r="JL41" s="17">
        <f t="shared" ca="1" si="18"/>
        <v>2.4170038477247968E-2</v>
      </c>
      <c r="JM41" s="15" t="str">
        <f t="shared" ca="1" si="16"/>
        <v>[ -3,56% ; 6,11% ]</v>
      </c>
      <c r="JN41" s="17">
        <f t="shared" ca="1" si="17"/>
        <v>3.09376492508774E-2</v>
      </c>
      <c r="LY41" s="1"/>
    </row>
    <row r="42" spans="1:337" hidden="1" x14ac:dyDescent="0.25">
      <c r="A42" s="5"/>
      <c r="LY42" s="1"/>
    </row>
    <row r="43" spans="1:337" hidden="1" x14ac:dyDescent="0.25">
      <c r="A43" s="5"/>
      <c r="LY43" s="1"/>
    </row>
    <row r="44" spans="1:337" hidden="1" x14ac:dyDescent="0.25">
      <c r="A44" s="5"/>
      <c r="LY44" s="1"/>
    </row>
    <row r="45" spans="1:337" hidden="1" x14ac:dyDescent="0.25">
      <c r="A45" s="5"/>
      <c r="LY45" s="1"/>
    </row>
    <row r="46" spans="1:337" hidden="1" x14ac:dyDescent="0.25">
      <c r="A46" s="5"/>
      <c r="LY46" s="1"/>
    </row>
    <row r="47" spans="1:337" hidden="1" x14ac:dyDescent="0.25">
      <c r="A47" s="5"/>
      <c r="LY47" s="1"/>
    </row>
    <row r="48" spans="1:337" hidden="1" x14ac:dyDescent="0.25">
      <c r="A48" s="5"/>
      <c r="LY48" s="1"/>
    </row>
    <row r="49" spans="1:337" hidden="1" x14ac:dyDescent="0.25">
      <c r="A49" s="5"/>
      <c r="LY49" s="1"/>
    </row>
    <row r="50" spans="1:337" hidden="1" x14ac:dyDescent="0.25">
      <c r="A50" s="5"/>
      <c r="LY50" s="1"/>
    </row>
    <row r="51" spans="1:337" hidden="1" x14ac:dyDescent="0.25">
      <c r="A51" s="5"/>
      <c r="LY51" s="1"/>
    </row>
    <row r="52" spans="1:337" hidden="1" x14ac:dyDescent="0.25">
      <c r="A52" s="5"/>
      <c r="LY52" s="1"/>
    </row>
    <row r="53" spans="1:337" hidden="1" x14ac:dyDescent="0.25">
      <c r="A53" s="5"/>
      <c r="LY53" s="1"/>
    </row>
    <row r="54" spans="1:337" x14ac:dyDescent="0.25">
      <c r="A54" s="5"/>
      <c r="LY54" s="1"/>
    </row>
    <row r="55" spans="1:337" x14ac:dyDescent="0.25">
      <c r="A55" s="5"/>
      <c r="CL55" s="20"/>
      <c r="CM55" s="20"/>
      <c r="JL55" s="16"/>
      <c r="LY55" s="1"/>
    </row>
    <row r="56" spans="1:337" ht="15.75" x14ac:dyDescent="0.25">
      <c r="A56" s="3" t="s">
        <v>1</v>
      </c>
      <c r="B56" s="7">
        <v>37986</v>
      </c>
      <c r="C56" s="7">
        <v>38017</v>
      </c>
      <c r="D56" s="7">
        <v>38046</v>
      </c>
      <c r="E56" s="7">
        <v>38077</v>
      </c>
      <c r="F56" s="7">
        <v>38107</v>
      </c>
      <c r="G56" s="7">
        <v>38138</v>
      </c>
      <c r="H56" s="7">
        <v>38168</v>
      </c>
      <c r="I56" s="7">
        <v>38199</v>
      </c>
      <c r="J56" s="7">
        <v>38230</v>
      </c>
      <c r="K56" s="7">
        <v>38260</v>
      </c>
      <c r="L56" s="7">
        <v>38291</v>
      </c>
      <c r="M56" s="7">
        <v>38321</v>
      </c>
      <c r="N56" s="7">
        <v>38352</v>
      </c>
      <c r="O56" s="7">
        <v>38383</v>
      </c>
      <c r="P56" s="7">
        <v>38411</v>
      </c>
      <c r="Q56" s="7">
        <v>38442</v>
      </c>
      <c r="R56" s="7">
        <v>38472</v>
      </c>
      <c r="S56" s="7">
        <v>38503</v>
      </c>
      <c r="T56" s="7">
        <v>38533</v>
      </c>
      <c r="U56" s="7">
        <v>38564</v>
      </c>
      <c r="V56" s="7">
        <v>38595</v>
      </c>
      <c r="W56" s="7">
        <v>38625</v>
      </c>
      <c r="X56" s="7">
        <v>38656</v>
      </c>
      <c r="Y56" s="7">
        <v>38686</v>
      </c>
      <c r="Z56" s="7">
        <v>38717</v>
      </c>
      <c r="AA56" s="7">
        <v>38748</v>
      </c>
      <c r="AB56" s="7">
        <v>38776</v>
      </c>
      <c r="AC56" s="7">
        <v>38807</v>
      </c>
      <c r="AD56" s="7">
        <v>38837</v>
      </c>
      <c r="AE56" s="7">
        <v>38868</v>
      </c>
      <c r="AF56" s="7">
        <v>38898</v>
      </c>
      <c r="AG56" s="7">
        <v>38929</v>
      </c>
      <c r="AH56" s="7">
        <v>38960</v>
      </c>
      <c r="AI56" s="7">
        <v>38990</v>
      </c>
      <c r="AJ56" s="7">
        <v>39021</v>
      </c>
      <c r="AK56" s="7">
        <v>39051</v>
      </c>
      <c r="AL56" s="7">
        <v>39082</v>
      </c>
      <c r="AM56" s="7">
        <v>39113</v>
      </c>
      <c r="AN56" s="7">
        <v>39141</v>
      </c>
      <c r="AO56" s="7">
        <v>39172</v>
      </c>
      <c r="AP56" s="7">
        <v>39202</v>
      </c>
      <c r="AQ56" s="7">
        <v>39233</v>
      </c>
      <c r="AR56" s="7">
        <v>39263</v>
      </c>
      <c r="AS56" s="7">
        <v>39294</v>
      </c>
      <c r="AT56" s="7">
        <v>39325</v>
      </c>
      <c r="AU56" s="7">
        <v>39355</v>
      </c>
      <c r="AV56" s="7">
        <v>39386</v>
      </c>
      <c r="AW56" s="7">
        <v>39416</v>
      </c>
      <c r="AX56" s="7">
        <v>39447</v>
      </c>
      <c r="AY56" s="7">
        <v>39478</v>
      </c>
      <c r="AZ56" s="7">
        <v>39507</v>
      </c>
      <c r="BA56" s="7">
        <v>39538</v>
      </c>
      <c r="BB56" s="7">
        <v>39568</v>
      </c>
      <c r="BC56" s="7">
        <v>39599</v>
      </c>
      <c r="BD56" s="7">
        <v>39629</v>
      </c>
      <c r="BE56" s="7">
        <v>39660</v>
      </c>
      <c r="BF56" s="7">
        <v>39691</v>
      </c>
      <c r="BG56" s="7">
        <v>39721</v>
      </c>
      <c r="BH56" s="7">
        <v>39752</v>
      </c>
      <c r="BI56" s="7">
        <v>39782</v>
      </c>
      <c r="BJ56" s="7">
        <v>39813</v>
      </c>
      <c r="BK56" s="7">
        <v>39844</v>
      </c>
      <c r="BL56" s="7">
        <v>39872</v>
      </c>
      <c r="BM56" s="7">
        <v>39903</v>
      </c>
      <c r="BN56" s="7">
        <v>39933</v>
      </c>
      <c r="BO56" s="7">
        <v>39964</v>
      </c>
      <c r="BP56" s="7">
        <v>39994</v>
      </c>
      <c r="BQ56" s="7">
        <v>40025</v>
      </c>
      <c r="BR56" s="7">
        <v>40056</v>
      </c>
      <c r="BS56" s="7">
        <v>40086</v>
      </c>
      <c r="BT56" s="7">
        <v>40117</v>
      </c>
      <c r="BU56" s="7">
        <v>40147</v>
      </c>
      <c r="BV56" s="7">
        <v>40178</v>
      </c>
      <c r="BW56" s="7">
        <v>40209</v>
      </c>
      <c r="BX56" s="7">
        <v>40237</v>
      </c>
      <c r="BY56" s="7">
        <v>40268</v>
      </c>
      <c r="BZ56" s="7">
        <v>40298</v>
      </c>
      <c r="CA56" s="7">
        <v>40329</v>
      </c>
      <c r="CB56" s="7">
        <v>40359</v>
      </c>
      <c r="CC56" s="7">
        <v>40390</v>
      </c>
      <c r="CD56" s="7">
        <v>40421</v>
      </c>
      <c r="CE56" s="7">
        <v>40451</v>
      </c>
      <c r="CF56" s="7">
        <v>40482</v>
      </c>
      <c r="CG56" s="7">
        <v>40512</v>
      </c>
      <c r="CH56" s="7">
        <v>40543</v>
      </c>
      <c r="CI56" s="7">
        <v>40574</v>
      </c>
      <c r="CJ56" s="7">
        <v>40602</v>
      </c>
      <c r="CK56" s="7">
        <v>40633</v>
      </c>
      <c r="CL56" s="7">
        <v>40663</v>
      </c>
      <c r="CM56" s="7">
        <v>40694</v>
      </c>
      <c r="CN56" s="7">
        <v>40724</v>
      </c>
      <c r="CO56" s="7">
        <v>40755</v>
      </c>
      <c r="CP56" s="7">
        <v>40786</v>
      </c>
      <c r="CQ56" s="7">
        <v>40816</v>
      </c>
      <c r="CR56" s="7">
        <v>40847</v>
      </c>
      <c r="CS56" s="7">
        <v>40877</v>
      </c>
      <c r="CT56" s="7">
        <v>40908</v>
      </c>
      <c r="CU56" s="7">
        <v>40939</v>
      </c>
      <c r="CV56" s="7">
        <v>40968</v>
      </c>
      <c r="CW56" s="7">
        <v>40999</v>
      </c>
      <c r="CX56" s="7">
        <v>41029</v>
      </c>
      <c r="CY56" s="7">
        <v>41060</v>
      </c>
      <c r="CZ56" s="7">
        <v>41090</v>
      </c>
      <c r="DA56" s="7">
        <v>41121</v>
      </c>
      <c r="DB56" s="7">
        <v>41152</v>
      </c>
      <c r="DC56" s="7">
        <v>41182</v>
      </c>
      <c r="DD56" s="7">
        <v>41213</v>
      </c>
      <c r="DE56" s="7">
        <v>41243</v>
      </c>
      <c r="DF56" s="7">
        <v>41274</v>
      </c>
      <c r="DG56" s="7">
        <v>41305</v>
      </c>
      <c r="DH56" s="7">
        <v>41333</v>
      </c>
      <c r="DI56" s="7">
        <v>41364</v>
      </c>
      <c r="DJ56" s="7">
        <v>41394</v>
      </c>
      <c r="DK56" s="7">
        <v>41425</v>
      </c>
      <c r="DL56" s="7">
        <v>41455</v>
      </c>
      <c r="DM56" s="7">
        <v>41486</v>
      </c>
      <c r="DN56" s="7">
        <v>41517</v>
      </c>
      <c r="DO56" s="7">
        <v>41547</v>
      </c>
      <c r="DP56" s="7">
        <v>41578</v>
      </c>
      <c r="DQ56" s="7">
        <v>41608</v>
      </c>
      <c r="DR56" s="7">
        <v>41639</v>
      </c>
      <c r="DS56" s="7">
        <v>41670</v>
      </c>
      <c r="DT56" s="7">
        <v>41698</v>
      </c>
      <c r="DU56" s="7">
        <v>41729</v>
      </c>
      <c r="DV56" s="7">
        <v>41759</v>
      </c>
      <c r="DW56" s="7">
        <v>41790</v>
      </c>
      <c r="DX56" s="7">
        <v>41820</v>
      </c>
      <c r="DY56" s="7">
        <v>41851</v>
      </c>
      <c r="DZ56" s="7">
        <v>41882</v>
      </c>
      <c r="EA56" s="7">
        <v>41912</v>
      </c>
      <c r="EB56" s="7">
        <v>41943</v>
      </c>
      <c r="EC56" s="7">
        <v>41973</v>
      </c>
      <c r="ED56" s="7">
        <v>42004</v>
      </c>
      <c r="EE56" s="7">
        <v>42035</v>
      </c>
      <c r="EF56" s="7">
        <v>42063</v>
      </c>
      <c r="EG56" s="7">
        <v>42094</v>
      </c>
      <c r="EH56" s="7">
        <v>42124</v>
      </c>
      <c r="EI56" s="7">
        <v>42155</v>
      </c>
      <c r="EJ56" s="7">
        <v>42185</v>
      </c>
      <c r="EK56" s="7">
        <v>42216</v>
      </c>
      <c r="EL56" s="7">
        <v>42247</v>
      </c>
      <c r="EM56" s="7">
        <v>42277</v>
      </c>
      <c r="EN56" s="7">
        <v>42308</v>
      </c>
      <c r="EO56" s="7">
        <v>42338</v>
      </c>
      <c r="EP56" s="7">
        <v>42369</v>
      </c>
      <c r="EQ56" s="7">
        <v>42400</v>
      </c>
      <c r="ER56" s="7">
        <v>42429</v>
      </c>
      <c r="ES56" s="7">
        <v>42460</v>
      </c>
      <c r="ET56" s="7">
        <v>42490</v>
      </c>
      <c r="EU56" s="7">
        <v>42521</v>
      </c>
      <c r="EV56" s="7">
        <v>42551</v>
      </c>
      <c r="EW56" s="7">
        <v>42582</v>
      </c>
      <c r="EX56" s="7">
        <v>42613</v>
      </c>
      <c r="EY56" s="7">
        <v>42643</v>
      </c>
      <c r="EZ56" s="7">
        <v>42674</v>
      </c>
      <c r="FA56" s="7">
        <v>42704</v>
      </c>
      <c r="FB56" s="7">
        <v>42735</v>
      </c>
      <c r="FC56" s="7">
        <v>42766</v>
      </c>
      <c r="FD56" s="7">
        <v>42794</v>
      </c>
      <c r="FE56" s="7">
        <v>42825</v>
      </c>
      <c r="FF56" s="7">
        <v>42855</v>
      </c>
      <c r="FG56" s="7">
        <v>42886</v>
      </c>
      <c r="FH56" s="7">
        <v>42916</v>
      </c>
      <c r="FI56" s="7">
        <v>42947</v>
      </c>
      <c r="FJ56" s="7">
        <v>42978</v>
      </c>
      <c r="FK56" s="7">
        <v>43008</v>
      </c>
      <c r="FL56" s="7">
        <v>43039</v>
      </c>
      <c r="FM56" s="7">
        <v>43069</v>
      </c>
      <c r="FN56" s="7">
        <v>43100</v>
      </c>
      <c r="FO56" s="7">
        <v>43131</v>
      </c>
      <c r="FP56" s="7">
        <v>43159</v>
      </c>
      <c r="FQ56" s="7">
        <v>43190</v>
      </c>
      <c r="FR56" s="7">
        <v>43220</v>
      </c>
      <c r="FS56" s="7">
        <v>43251</v>
      </c>
      <c r="FT56" s="7">
        <v>43281</v>
      </c>
      <c r="FU56" s="7">
        <v>43312</v>
      </c>
      <c r="FV56" s="7">
        <v>43343</v>
      </c>
      <c r="FW56" s="7">
        <v>43373</v>
      </c>
      <c r="FX56" s="7">
        <v>43404</v>
      </c>
      <c r="FY56" s="7">
        <v>43434</v>
      </c>
      <c r="FZ56" s="7">
        <v>43465</v>
      </c>
      <c r="GA56" s="7">
        <v>43496</v>
      </c>
      <c r="GB56" s="7">
        <v>43524</v>
      </c>
      <c r="GC56" s="7">
        <v>43555</v>
      </c>
      <c r="GD56" s="7">
        <v>43585</v>
      </c>
      <c r="GE56" s="7">
        <v>43616</v>
      </c>
      <c r="GF56" s="7">
        <v>43646</v>
      </c>
      <c r="GG56" s="7">
        <v>43677</v>
      </c>
      <c r="GH56" s="7">
        <v>43708</v>
      </c>
      <c r="GI56" s="7">
        <v>43738</v>
      </c>
      <c r="GJ56" s="7">
        <v>43769</v>
      </c>
      <c r="GK56" s="7">
        <v>43799</v>
      </c>
      <c r="GL56" s="7">
        <v>43830</v>
      </c>
      <c r="GM56" s="7">
        <v>43861</v>
      </c>
      <c r="GN56" s="7">
        <v>43890</v>
      </c>
      <c r="GO56" s="7">
        <v>43921</v>
      </c>
      <c r="GP56" s="7">
        <v>43951</v>
      </c>
      <c r="GQ56" s="7">
        <v>43982</v>
      </c>
      <c r="GR56" s="7">
        <v>44012</v>
      </c>
      <c r="GS56" s="7">
        <v>44043</v>
      </c>
      <c r="GT56" s="7">
        <v>44074</v>
      </c>
      <c r="GU56" s="7">
        <v>44104</v>
      </c>
      <c r="GV56" s="7">
        <v>44135</v>
      </c>
      <c r="GW56" s="7">
        <v>44165</v>
      </c>
      <c r="GX56" s="7">
        <v>44196</v>
      </c>
      <c r="GY56" s="7">
        <v>44227</v>
      </c>
      <c r="GZ56" s="7">
        <v>44255</v>
      </c>
      <c r="HA56" s="7">
        <v>44286</v>
      </c>
      <c r="HB56" s="7">
        <v>44316</v>
      </c>
      <c r="HC56" s="7">
        <v>44347</v>
      </c>
      <c r="HD56" s="7">
        <v>44377</v>
      </c>
      <c r="HE56" s="7">
        <v>44408</v>
      </c>
      <c r="HF56" s="7">
        <v>44439</v>
      </c>
      <c r="HG56" s="7">
        <v>44469</v>
      </c>
      <c r="HH56" s="7">
        <v>44500</v>
      </c>
      <c r="HI56" s="7">
        <v>44530</v>
      </c>
      <c r="HJ56" s="7">
        <v>44561</v>
      </c>
      <c r="HK56" s="7">
        <v>44592</v>
      </c>
      <c r="HL56" s="7">
        <v>44620</v>
      </c>
      <c r="HM56" s="7">
        <v>44651</v>
      </c>
      <c r="HN56" s="7">
        <v>44681</v>
      </c>
      <c r="HO56" s="7">
        <v>44712</v>
      </c>
      <c r="HP56" s="7">
        <v>44742</v>
      </c>
      <c r="HQ56" s="7">
        <v>44773</v>
      </c>
      <c r="HR56" s="7">
        <v>44804</v>
      </c>
      <c r="HS56" s="7">
        <v>44834</v>
      </c>
      <c r="HT56" s="7">
        <v>44865</v>
      </c>
      <c r="HU56" s="7">
        <v>44895</v>
      </c>
      <c r="HV56" s="7">
        <v>44926</v>
      </c>
      <c r="HW56" s="7">
        <v>44957</v>
      </c>
      <c r="HX56" s="7">
        <v>44985</v>
      </c>
      <c r="HY56" s="7">
        <v>45016</v>
      </c>
      <c r="HZ56" s="7">
        <v>45046</v>
      </c>
      <c r="IA56" s="7">
        <v>45077</v>
      </c>
      <c r="IB56" s="7">
        <v>45107</v>
      </c>
      <c r="IC56" s="7">
        <v>45138</v>
      </c>
      <c r="ID56" s="7">
        <v>45169</v>
      </c>
      <c r="IE56" s="7">
        <v>45199</v>
      </c>
      <c r="IF56" s="7">
        <v>45230</v>
      </c>
      <c r="IG56" s="7">
        <v>45260</v>
      </c>
      <c r="IH56" s="7">
        <v>45291</v>
      </c>
      <c r="II56" s="7">
        <v>45322</v>
      </c>
      <c r="IJ56" s="7">
        <v>45351</v>
      </c>
      <c r="IK56" s="7">
        <v>45382</v>
      </c>
      <c r="IL56" s="7">
        <v>45412</v>
      </c>
      <c r="IM56" s="7">
        <v>45443</v>
      </c>
      <c r="IN56" s="7">
        <v>45473</v>
      </c>
      <c r="IO56" s="7">
        <v>45504</v>
      </c>
      <c r="IP56" s="7">
        <v>45535</v>
      </c>
      <c r="IQ56" s="7">
        <v>45565</v>
      </c>
      <c r="IR56" s="7">
        <v>45596</v>
      </c>
      <c r="IS56" s="7">
        <v>45626</v>
      </c>
      <c r="IT56" s="7">
        <v>45657</v>
      </c>
      <c r="IU56" s="7">
        <v>45688</v>
      </c>
      <c r="IV56" s="7">
        <v>45716</v>
      </c>
      <c r="IW56" s="7">
        <v>45747</v>
      </c>
      <c r="IX56" s="7">
        <v>45777</v>
      </c>
      <c r="IY56" s="7">
        <v>45808</v>
      </c>
      <c r="IZ56" s="7">
        <v>45838</v>
      </c>
      <c r="JA56" s="7">
        <v>45869</v>
      </c>
      <c r="JB56" s="7">
        <v>45900</v>
      </c>
      <c r="JC56" s="7">
        <v>45930</v>
      </c>
      <c r="JD56" s="7">
        <v>45961</v>
      </c>
      <c r="JE56" s="7">
        <v>45991</v>
      </c>
      <c r="JF56" s="7">
        <v>46022</v>
      </c>
      <c r="JG56" s="7">
        <v>46053</v>
      </c>
      <c r="JH56" s="7">
        <v>46081</v>
      </c>
      <c r="JI56" s="10" t="s">
        <v>2</v>
      </c>
      <c r="JJ56" s="11" t="s">
        <v>3</v>
      </c>
      <c r="JK56" s="10" t="s">
        <v>4</v>
      </c>
      <c r="JL56" s="12" t="s">
        <v>5</v>
      </c>
      <c r="JM56" s="10" t="s">
        <v>6</v>
      </c>
      <c r="JN56" s="19">
        <f>JN29</f>
        <v>1.28</v>
      </c>
      <c r="LY56" s="1"/>
    </row>
    <row r="57" spans="1:337" x14ac:dyDescent="0.25">
      <c r="A57" s="4">
        <v>1</v>
      </c>
      <c r="B57" s="9">
        <f t="shared" ref="B57:BM57" ca="1" si="19">IF(B30="","",ABS(B30))</f>
        <v>1.9246680377462688E-3</v>
      </c>
      <c r="C57" s="9">
        <f t="shared" ca="1" si="19"/>
        <v>4.6300253360540555E-3</v>
      </c>
      <c r="D57" s="9">
        <f t="shared" ca="1" si="19"/>
        <v>3.9494071376793283E-3</v>
      </c>
      <c r="E57" s="9">
        <f t="shared" ca="1" si="19"/>
        <v>4.4826351622351268E-4</v>
      </c>
      <c r="F57" s="9">
        <f t="shared" ca="1" si="19"/>
        <v>2.8431073036696564E-3</v>
      </c>
      <c r="G57" s="9">
        <f t="shared" ca="1" si="19"/>
        <v>8.6818323366100181E-3</v>
      </c>
      <c r="H57" s="9">
        <f t="shared" ca="1" si="19"/>
        <v>1.2930566807397681E-2</v>
      </c>
      <c r="I57" s="9">
        <f t="shared" ca="1" si="19"/>
        <v>1.1470821225267214E-2</v>
      </c>
      <c r="J57" s="9">
        <f t="shared" ca="1" si="19"/>
        <v>1.7972928952666445E-3</v>
      </c>
      <c r="K57" s="9">
        <f t="shared" ca="1" si="19"/>
        <v>1.0512217078906261E-4</v>
      </c>
      <c r="L57" s="9">
        <f t="shared" ca="1" si="19"/>
        <v>4.4108690869109068E-3</v>
      </c>
      <c r="M57" s="9">
        <f t="shared" ca="1" si="19"/>
        <v>1.5048312704698086E-2</v>
      </c>
      <c r="N57" s="9">
        <f t="shared" ca="1" si="19"/>
        <v>1.0238028088857876E-2</v>
      </c>
      <c r="O57" s="9">
        <f t="shared" ca="1" si="19"/>
        <v>3.7777822188447274E-3</v>
      </c>
      <c r="P57" s="9">
        <f t="shared" ca="1" si="19"/>
        <v>3.065805819557621E-5</v>
      </c>
      <c r="Q57" s="9">
        <f t="shared" ca="1" si="19"/>
        <v>6.4946067132513052E-3</v>
      </c>
      <c r="R57" s="9">
        <f t="shared" ca="1" si="19"/>
        <v>9.0335863209946021E-3</v>
      </c>
      <c r="S57" s="9">
        <f t="shared" ca="1" si="19"/>
        <v>1.4566546637292399E-2</v>
      </c>
      <c r="T57" s="9">
        <f t="shared" ca="1" si="19"/>
        <v>1.2239081497648407E-2</v>
      </c>
      <c r="U57" s="9">
        <f t="shared" ca="1" si="19"/>
        <v>3.1060676173031432E-3</v>
      </c>
      <c r="V57" s="9">
        <f t="shared" ca="1" si="19"/>
        <v>2.1509192016535561E-3</v>
      </c>
      <c r="W57" s="9">
        <f t="shared" ca="1" si="19"/>
        <v>1.4901075572085754E-3</v>
      </c>
      <c r="X57" s="9">
        <f t="shared" ca="1" si="19"/>
        <v>3.4247103816322788E-3</v>
      </c>
      <c r="Y57" s="9">
        <f t="shared" ca="1" si="19"/>
        <v>1.0904266224225467E-2</v>
      </c>
      <c r="Z57" s="9">
        <f t="shared" ca="1" si="19"/>
        <v>3.7563223724155215E-3</v>
      </c>
      <c r="AA57" s="9">
        <f t="shared" ca="1" si="19"/>
        <v>1.4378004537987099E-3</v>
      </c>
      <c r="AB57" s="9">
        <f t="shared" ca="1" si="19"/>
        <v>1.7333074464118692E-3</v>
      </c>
      <c r="AC57" s="9">
        <f t="shared" ca="1" si="19"/>
        <v>3.7952269109116088E-3</v>
      </c>
      <c r="AD57" s="9">
        <f t="shared" ca="1" si="19"/>
        <v>2.8828019067195232E-3</v>
      </c>
      <c r="AE57" s="9">
        <f t="shared" ca="1" si="19"/>
        <v>9.0512733976959581E-3</v>
      </c>
      <c r="AF57" s="9">
        <f t="shared" ca="1" si="19"/>
        <v>6.0430826093800238E-3</v>
      </c>
      <c r="AG57" s="9">
        <f t="shared" ca="1" si="19"/>
        <v>2.9220313798068442E-3</v>
      </c>
      <c r="AH57" s="9">
        <f t="shared" ca="1" si="19"/>
        <v>7.2715019606817144E-4</v>
      </c>
      <c r="AI57" s="9">
        <f t="shared" ca="1" si="19"/>
        <v>1.4016505155121095E-3</v>
      </c>
      <c r="AJ57" s="9">
        <f t="shared" ca="1" si="19"/>
        <v>1.0245351971031047E-3</v>
      </c>
      <c r="AK57" s="9">
        <f t="shared" ca="1" si="19"/>
        <v>6.0694823031691714E-3</v>
      </c>
      <c r="AL57" s="9">
        <f t="shared" ca="1" si="19"/>
        <v>2.2587835430859515E-3</v>
      </c>
      <c r="AM57" s="9">
        <f t="shared" ca="1" si="19"/>
        <v>1.4514198180466398E-3</v>
      </c>
      <c r="AN57" s="9">
        <f t="shared" ca="1" si="19"/>
        <v>2.4031869734999489E-3</v>
      </c>
      <c r="AO57" s="9">
        <f t="shared" ca="1" si="19"/>
        <v>5.1287987874681917E-4</v>
      </c>
      <c r="AP57" s="9">
        <f t="shared" ca="1" si="19"/>
        <v>9.6871229040629281E-4</v>
      </c>
      <c r="AQ57" s="9">
        <f t="shared" ca="1" si="19"/>
        <v>4.6838982499641801E-3</v>
      </c>
      <c r="AR57" s="9">
        <f t="shared" ca="1" si="19"/>
        <v>1.9999856725085863E-3</v>
      </c>
      <c r="AS57" s="9">
        <f t="shared" ca="1" si="19"/>
        <v>2.4340155493016713E-3</v>
      </c>
      <c r="AT57" s="9">
        <f t="shared" ca="1" si="19"/>
        <v>5.7243551458341368E-4</v>
      </c>
      <c r="AU57" s="9">
        <f t="shared" ca="1" si="19"/>
        <v>5.5351652969424237E-3</v>
      </c>
      <c r="AV57" s="9">
        <f t="shared" ca="1" si="19"/>
        <v>6.2409303610011513E-4</v>
      </c>
      <c r="AW57" s="9">
        <f t="shared" ca="1" si="19"/>
        <v>3.0904333695106478E-3</v>
      </c>
      <c r="AX57" s="9">
        <f t="shared" ca="1" si="19"/>
        <v>5.527107508171758E-3</v>
      </c>
      <c r="AY57" s="9">
        <f t="shared" ca="1" si="19"/>
        <v>5.4155377420177508E-3</v>
      </c>
      <c r="AZ57" s="9">
        <f t="shared" ca="1" si="19"/>
        <v>7.673155702240253E-3</v>
      </c>
      <c r="BA57" s="9">
        <f t="shared" ca="1" si="19"/>
        <v>4.1127506755582743E-3</v>
      </c>
      <c r="BB57" s="9">
        <f t="shared" ca="1" si="19"/>
        <v>7.9123514449233046E-3</v>
      </c>
      <c r="BC57" s="9">
        <f t="shared" ca="1" si="19"/>
        <v>1.0041707283726442E-2</v>
      </c>
      <c r="BD57" s="9">
        <f t="shared" ca="1" si="19"/>
        <v>7.4875092992721104E-3</v>
      </c>
      <c r="BE57" s="9">
        <f t="shared" ca="1" si="19"/>
        <v>5.5548404298160214E-3</v>
      </c>
      <c r="BF57" s="9">
        <f t="shared" ca="1" si="19"/>
        <v>9.6626647693487389E-4</v>
      </c>
      <c r="BG57" s="9">
        <f t="shared" ca="1" si="19"/>
        <v>3.5250100954290486E-3</v>
      </c>
      <c r="BH57" s="9">
        <f t="shared" ca="1" si="19"/>
        <v>2.2765771218190789E-2</v>
      </c>
      <c r="BI57" s="9">
        <f t="shared" ca="1" si="19"/>
        <v>5.7409855053860426E-3</v>
      </c>
      <c r="BJ57" s="9">
        <f t="shared" ca="1" si="19"/>
        <v>7.5324602787349981E-3</v>
      </c>
      <c r="BK57" s="9">
        <f t="shared" ca="1" si="19"/>
        <v>4.9399255695417033E-3</v>
      </c>
      <c r="BL57" s="9">
        <f t="shared" ca="1" si="19"/>
        <v>5.1486194627636817E-3</v>
      </c>
      <c r="BM57" s="9">
        <f t="shared" ca="1" si="19"/>
        <v>2.320867572880192E-3</v>
      </c>
      <c r="BN57" s="9">
        <f t="shared" ref="BN57:DY57" ca="1" si="20">IF(BN30="","",ABS(BN30))</f>
        <v>1.0229651167530607E-2</v>
      </c>
      <c r="BO57" s="9">
        <f t="shared" ca="1" si="20"/>
        <v>5.9355161361467346E-3</v>
      </c>
      <c r="BP57" s="9">
        <f t="shared" ca="1" si="20"/>
        <v>6.299637616212217E-3</v>
      </c>
      <c r="BQ57" s="9">
        <f t="shared" ca="1" si="20"/>
        <v>5.6845939362091258E-3</v>
      </c>
      <c r="BR57" s="9">
        <f t="shared" ca="1" si="20"/>
        <v>1.9899246611773891E-2</v>
      </c>
      <c r="BS57" s="9">
        <f t="shared" ca="1" si="20"/>
        <v>6.402311956205109E-3</v>
      </c>
      <c r="BT57" s="9">
        <f t="shared" ca="1" si="20"/>
        <v>5.7930473715270825E-3</v>
      </c>
      <c r="BU57" s="9">
        <f t="shared" ca="1" si="20"/>
        <v>7.5914392795464192E-3</v>
      </c>
      <c r="BV57" s="9">
        <f t="shared" ca="1" si="20"/>
        <v>5.4024261229244086E-3</v>
      </c>
      <c r="BW57" s="9">
        <f t="shared" ca="1" si="20"/>
        <v>2.3748438450261755E-3</v>
      </c>
      <c r="BX57" s="9">
        <f t="shared" ca="1" si="20"/>
        <v>1.9249140546497845E-3</v>
      </c>
      <c r="BY57" s="9">
        <f t="shared" ca="1" si="20"/>
        <v>3.58637126663508E-3</v>
      </c>
      <c r="BZ57" s="9">
        <f t="shared" ca="1" si="20"/>
        <v>7.4231722984252624E-4</v>
      </c>
      <c r="CA57" s="9">
        <f t="shared" ca="1" si="20"/>
        <v>2.7474248842263016E-3</v>
      </c>
      <c r="CB57" s="9">
        <f t="shared" ca="1" si="20"/>
        <v>2.5000286971765817E-4</v>
      </c>
      <c r="CC57" s="9">
        <f t="shared" ca="1" si="20"/>
        <v>1.4431891151311937E-4</v>
      </c>
      <c r="CD57" s="9">
        <f t="shared" ca="1" si="20"/>
        <v>1.2336819079881045E-2</v>
      </c>
      <c r="CE57" s="9">
        <f t="shared" ca="1" si="20"/>
        <v>4.9619027200796806E-3</v>
      </c>
      <c r="CF57" s="9">
        <f t="shared" ca="1" si="20"/>
        <v>1.048222087484052E-2</v>
      </c>
      <c r="CG57" s="9">
        <f t="shared" ca="1" si="20"/>
        <v>3.4065932144742295E-3</v>
      </c>
      <c r="CH57" s="9">
        <f t="shared" ca="1" si="20"/>
        <v>1.7969145941754139E-3</v>
      </c>
      <c r="CI57" s="9">
        <f t="shared" ca="1" si="20"/>
        <v>7.5730706020813443E-3</v>
      </c>
      <c r="CJ57" s="9">
        <f t="shared" ca="1" si="20"/>
        <v>4.181237934053339E-5</v>
      </c>
      <c r="CK57" s="9">
        <f t="shared" ca="1" si="20"/>
        <v>1.6946110884427101E-3</v>
      </c>
      <c r="CL57" s="9">
        <f t="shared" ca="1" si="20"/>
        <v>5.9416890483587892E-4</v>
      </c>
      <c r="CM57" s="9">
        <f t="shared" ca="1" si="20"/>
        <v>3.5873153550165515E-3</v>
      </c>
      <c r="CN57" s="9">
        <f t="shared" ca="1" si="20"/>
        <v>3.4341549642229463E-3</v>
      </c>
      <c r="CO57" s="9">
        <f t="shared" ca="1" si="20"/>
        <v>1.1038222111858786E-4</v>
      </c>
      <c r="CP57" s="9">
        <f t="shared" ca="1" si="20"/>
        <v>9.2474717984825094E-3</v>
      </c>
      <c r="CQ57" s="9">
        <f t="shared" ca="1" si="20"/>
        <v>2.2131048239697693E-2</v>
      </c>
      <c r="CR57" s="9">
        <f t="shared" ca="1" si="20"/>
        <v>9.833819000291788E-3</v>
      </c>
      <c r="CS57" s="9">
        <f t="shared" ca="1" si="20"/>
        <v>6.8413857831420843E-3</v>
      </c>
      <c r="CT57" s="9">
        <f t="shared" ca="1" si="20"/>
        <v>6.2751595397307902E-3</v>
      </c>
      <c r="CU57" s="9">
        <f t="shared" ca="1" si="20"/>
        <v>5.1278794296514274E-3</v>
      </c>
      <c r="CV57" s="9">
        <f t="shared" ca="1" si="20"/>
        <v>2.5496899238866E-3</v>
      </c>
      <c r="CW57" s="9">
        <f t="shared" ca="1" si="20"/>
        <v>4.0134774649469573E-3</v>
      </c>
      <c r="CX57" s="9">
        <f t="shared" ca="1" si="20"/>
        <v>7.5503438991142424E-4</v>
      </c>
      <c r="CY57" s="9">
        <f t="shared" ca="1" si="20"/>
        <v>7.206820207314113E-3</v>
      </c>
      <c r="CZ57" s="9">
        <f t="shared" ca="1" si="20"/>
        <v>6.4390168911625523E-3</v>
      </c>
      <c r="DA57" s="9">
        <f t="shared" ca="1" si="20"/>
        <v>5.2517731962768988E-3</v>
      </c>
      <c r="DB57" s="9">
        <f t="shared" ca="1" si="20"/>
        <v>2.1933176465952609E-2</v>
      </c>
      <c r="DC57" s="9">
        <f t="shared" ca="1" si="20"/>
        <v>1.49295113649206E-2</v>
      </c>
      <c r="DD57" s="9">
        <f t="shared" ca="1" si="20"/>
        <v>2.0996800192519371E-2</v>
      </c>
      <c r="DE57" s="9">
        <f t="shared" ca="1" si="20"/>
        <v>2.8611879590763056E-3</v>
      </c>
      <c r="DF57" s="9">
        <f t="shared" ca="1" si="20"/>
        <v>6.678768443026506E-3</v>
      </c>
      <c r="DG57" s="9">
        <f t="shared" ca="1" si="20"/>
        <v>8.3873175282139778E-3</v>
      </c>
      <c r="DH57" s="9">
        <f t="shared" ca="1" si="20"/>
        <v>6.9855452853849753E-3</v>
      </c>
      <c r="DI57" s="9">
        <f t="shared" ca="1" si="20"/>
        <v>4.6677683599254394E-3</v>
      </c>
      <c r="DJ57" s="9">
        <f t="shared" ca="1" si="20"/>
        <v>4.7246754127242552E-3</v>
      </c>
      <c r="DK57" s="9">
        <f t="shared" ca="1" si="20"/>
        <v>5.7153462569643487E-3</v>
      </c>
      <c r="DL57" s="9">
        <f t="shared" ca="1" si="20"/>
        <v>2.154453839160908E-3</v>
      </c>
      <c r="DM57" s="9">
        <f t="shared" ca="1" si="20"/>
        <v>4.7341947244857741E-3</v>
      </c>
      <c r="DN57" s="9">
        <f t="shared" ca="1" si="20"/>
        <v>1.0637578668061587E-2</v>
      </c>
      <c r="DO57" s="9">
        <f t="shared" ca="1" si="20"/>
        <v>2.7572888439824195E-2</v>
      </c>
      <c r="DP57" s="9">
        <f t="shared" ca="1" si="20"/>
        <v>1.9080789145119015E-2</v>
      </c>
      <c r="DQ57" s="9">
        <f t="shared" ca="1" si="20"/>
        <v>1.2528942802013554E-2</v>
      </c>
      <c r="DR57" s="9">
        <f t="shared" ca="1" si="20"/>
        <v>4.3045378408372859E-3</v>
      </c>
      <c r="DS57" s="9">
        <f t="shared" ca="1" si="20"/>
        <v>1.2343160534094011E-3</v>
      </c>
      <c r="DT57" s="9">
        <f t="shared" ca="1" si="20"/>
        <v>3.3829848230266801E-3</v>
      </c>
      <c r="DU57" s="9">
        <f t="shared" ca="1" si="20"/>
        <v>4.1504645829049114E-4</v>
      </c>
      <c r="DV57" s="9">
        <f t="shared" ca="1" si="20"/>
        <v>1.7241367239005934E-3</v>
      </c>
      <c r="DW57" s="9">
        <f t="shared" ca="1" si="20"/>
        <v>4.0235999800400934E-3</v>
      </c>
      <c r="DX57" s="9">
        <f t="shared" ca="1" si="20"/>
        <v>3.4980213820090533E-3</v>
      </c>
      <c r="DY57" s="9">
        <f t="shared" ca="1" si="20"/>
        <v>3.3094162619389245E-3</v>
      </c>
      <c r="DZ57" s="9">
        <f t="shared" ref="DZ57:GK57" ca="1" si="21">IF(DZ30="","",ABS(DZ30))</f>
        <v>1.4520962682489924E-2</v>
      </c>
      <c r="EA57" s="9">
        <f t="shared" ca="1" si="21"/>
        <v>2.6592599631335201E-2</v>
      </c>
      <c r="EB57" s="9">
        <f t="shared" ca="1" si="21"/>
        <v>9.2058977804433395E-3</v>
      </c>
      <c r="EC57" s="9">
        <f t="shared" ca="1" si="21"/>
        <v>4.4507188637656903E-3</v>
      </c>
      <c r="ED57" s="9">
        <f t="shared" ca="1" si="21"/>
        <v>5.0671056820195126E-3</v>
      </c>
      <c r="EE57" s="9">
        <f t="shared" ca="1" si="21"/>
        <v>6.4972400746255987E-3</v>
      </c>
      <c r="EF57" s="9">
        <f t="shared" ca="1" si="21"/>
        <v>7.8340065247201052E-3</v>
      </c>
      <c r="EG57" s="9">
        <f t="shared" ca="1" si="21"/>
        <v>7.5197729801541602E-3</v>
      </c>
      <c r="EH57" s="9">
        <f t="shared" ca="1" si="21"/>
        <v>7.3577281059973298E-3</v>
      </c>
      <c r="EI57" s="9">
        <f t="shared" ca="1" si="21"/>
        <v>1.8034923792586977E-4</v>
      </c>
      <c r="EJ57" s="9">
        <f t="shared" ca="1" si="21"/>
        <v>1.1513096157285352E-2</v>
      </c>
      <c r="EK57" s="9">
        <f t="shared" ca="1" si="21"/>
        <v>8.7506733641029566E-3</v>
      </c>
      <c r="EL57" s="9">
        <f t="shared" ca="1" si="21"/>
        <v>4.7602343888080156E-3</v>
      </c>
      <c r="EM57" s="9">
        <f t="shared" ca="1" si="21"/>
        <v>6.8674010233016336E-3</v>
      </c>
      <c r="EN57" s="9">
        <f t="shared" ca="1" si="21"/>
        <v>6.8355864317376502E-3</v>
      </c>
      <c r="EO57" s="9">
        <f t="shared" ca="1" si="21"/>
        <v>5.7310744857065332E-3</v>
      </c>
      <c r="EP57" s="9">
        <f t="shared" ca="1" si="21"/>
        <v>3.0020418358978063E-6</v>
      </c>
      <c r="EQ57" s="9">
        <f t="shared" ca="1" si="21"/>
        <v>2.897556384489075E-3</v>
      </c>
      <c r="ER57" s="9">
        <f t="shared" ca="1" si="21"/>
        <v>1.3683790927008221E-3</v>
      </c>
      <c r="ES57" s="9">
        <f t="shared" ca="1" si="21"/>
        <v>2.1850016237917602E-3</v>
      </c>
      <c r="ET57" s="9">
        <f t="shared" ca="1" si="21"/>
        <v>6.0398944471158345E-3</v>
      </c>
      <c r="EU57" s="9">
        <f t="shared" ca="1" si="21"/>
        <v>9.9863396685018202E-3</v>
      </c>
      <c r="EV57" s="9">
        <f t="shared" ca="1" si="21"/>
        <v>1.1928883126817169E-3</v>
      </c>
      <c r="EW57" s="9">
        <f t="shared" ca="1" si="21"/>
        <v>5.2367441539220572E-3</v>
      </c>
      <c r="EX57" s="9">
        <f t="shared" ca="1" si="21"/>
        <v>9.1307770164814617E-3</v>
      </c>
      <c r="EY57" s="9">
        <f t="shared" ca="1" si="21"/>
        <v>5.2694449159352841E-3</v>
      </c>
      <c r="EZ57" s="9">
        <f t="shared" ca="1" si="21"/>
        <v>9.5133116702701415E-3</v>
      </c>
      <c r="FA57" s="9">
        <f t="shared" ca="1" si="21"/>
        <v>8.0793569462001003E-4</v>
      </c>
      <c r="FB57" s="9">
        <f t="shared" ca="1" si="21"/>
        <v>5.2755489415267087E-3</v>
      </c>
      <c r="FC57" s="9">
        <f t="shared" ca="1" si="21"/>
        <v>4.9386601955792031E-4</v>
      </c>
      <c r="FD57" s="9">
        <f t="shared" ca="1" si="21"/>
        <v>1.4709706905340347E-3</v>
      </c>
      <c r="FE57" s="9">
        <f t="shared" ca="1" si="21"/>
        <v>3.5997463035843946E-3</v>
      </c>
      <c r="FF57" s="9">
        <f t="shared" ca="1" si="21"/>
        <v>6.9487552306668476E-4</v>
      </c>
      <c r="FG57" s="9">
        <f t="shared" ca="1" si="21"/>
        <v>6.1962136183808525E-3</v>
      </c>
      <c r="FH57" s="9">
        <f t="shared" ca="1" si="21"/>
        <v>4.5045691140277455E-5</v>
      </c>
      <c r="FI57" s="9">
        <f t="shared" ca="1" si="21"/>
        <v>1.7052822819925151E-3</v>
      </c>
      <c r="FJ57" s="9">
        <f t="shared" ca="1" si="21"/>
        <v>1.3049605416999288E-3</v>
      </c>
      <c r="FK57" s="9">
        <f t="shared" ca="1" si="21"/>
        <v>2.8549315690828969E-4</v>
      </c>
      <c r="FL57" s="9">
        <f t="shared" ca="1" si="21"/>
        <v>1.4341051659274906E-2</v>
      </c>
      <c r="FM57" s="9">
        <f t="shared" ca="1" si="21"/>
        <v>1.0314813952250201E-4</v>
      </c>
      <c r="FN57" s="9">
        <f t="shared" ca="1" si="21"/>
        <v>5.4730542458498732E-3</v>
      </c>
      <c r="FO57" s="9">
        <f t="shared" ca="1" si="21"/>
        <v>6.3498619481099361E-3</v>
      </c>
      <c r="FP57" s="9">
        <f t="shared" ca="1" si="21"/>
        <v>5.5577161435313993E-3</v>
      </c>
      <c r="FQ57" s="9">
        <f t="shared" ca="1" si="21"/>
        <v>5.3871989036640144E-3</v>
      </c>
      <c r="FR57" s="9">
        <f t="shared" ca="1" si="21"/>
        <v>4.4137949814770927E-4</v>
      </c>
      <c r="FS57" s="9">
        <f t="shared" ca="1" si="21"/>
        <v>2.6147283755884043E-3</v>
      </c>
      <c r="FT57" s="9">
        <f t="shared" ca="1" si="21"/>
        <v>9.8192312304035134E-3</v>
      </c>
      <c r="FU57" s="9">
        <f t="shared" ca="1" si="21"/>
        <v>2.005514134269637E-3</v>
      </c>
      <c r="FV57" s="9">
        <f t="shared" ca="1" si="21"/>
        <v>1.2692810503361462E-2</v>
      </c>
      <c r="FW57" s="9">
        <f t="shared" ca="1" si="21"/>
        <v>1.5545417814237905E-2</v>
      </c>
      <c r="FX57" s="9">
        <f t="shared" ca="1" si="21"/>
        <v>5.3720833968984305E-4</v>
      </c>
      <c r="FY57" s="9">
        <f t="shared" ca="1" si="21"/>
        <v>1.0381872296895134E-2</v>
      </c>
      <c r="FZ57" s="9">
        <f t="shared" ca="1" si="21"/>
        <v>3.2711195443255736E-3</v>
      </c>
      <c r="GA57" s="9">
        <f t="shared" ca="1" si="21"/>
        <v>3.7833868659924441E-3</v>
      </c>
      <c r="GB57" s="9">
        <f t="shared" ca="1" si="21"/>
        <v>5.3410401708047228E-3</v>
      </c>
      <c r="GC57" s="9">
        <f t="shared" ca="1" si="21"/>
        <v>6.0334996733291124E-3</v>
      </c>
      <c r="GD57" s="9">
        <f t="shared" ca="1" si="21"/>
        <v>6.0671941979890676E-3</v>
      </c>
      <c r="GE57" s="9">
        <f t="shared" ca="1" si="21"/>
        <v>2.3821293787131825E-3</v>
      </c>
      <c r="GF57" s="9">
        <f t="shared" ca="1" si="21"/>
        <v>2.684133040904424E-4</v>
      </c>
      <c r="GG57" s="9">
        <f t="shared" ca="1" si="21"/>
        <v>1.2631373996401241E-3</v>
      </c>
      <c r="GH57" s="9">
        <f t="shared" ca="1" si="21"/>
        <v>8.6153090628500184E-3</v>
      </c>
      <c r="GI57" s="9">
        <f t="shared" ca="1" si="21"/>
        <v>1.6734045705293354E-3</v>
      </c>
      <c r="GJ57" s="9">
        <f t="shared" ca="1" si="21"/>
        <v>6.0357405312840839E-3</v>
      </c>
      <c r="GK57" s="9">
        <f t="shared" ca="1" si="21"/>
        <v>1.7068680260884372E-3</v>
      </c>
      <c r="GL57" s="9">
        <f t="shared" ref="GL57:IW57" ca="1" si="22">IF(GL30="","",ABS(GL30))</f>
        <v>4.6343463900748727E-3</v>
      </c>
      <c r="GM57" s="9">
        <f t="shared" ca="1" si="22"/>
        <v>3.7163214053609339E-3</v>
      </c>
      <c r="GN57" s="9">
        <f t="shared" ca="1" si="22"/>
        <v>1.5178264553734166E-2</v>
      </c>
      <c r="GO57" s="9">
        <f t="shared" ca="1" si="22"/>
        <v>3.3898783895370821E-2</v>
      </c>
      <c r="GP57" s="9">
        <f t="shared" ca="1" si="22"/>
        <v>4.6372187280041555E-3</v>
      </c>
      <c r="GQ57" s="9">
        <f t="shared" ca="1" si="22"/>
        <v>9.3521485025170881E-3</v>
      </c>
      <c r="GR57" s="9">
        <f t="shared" ca="1" si="22"/>
        <v>9.4373557213950354E-3</v>
      </c>
      <c r="GS57" s="9">
        <f t="shared" ca="1" si="22"/>
        <v>9.8011647698225124E-3</v>
      </c>
      <c r="GT57" s="9">
        <f t="shared" ca="1" si="22"/>
        <v>1.0807086248908249E-2</v>
      </c>
      <c r="GU57" s="9">
        <f t="shared" ca="1" si="22"/>
        <v>4.4149338113608216E-3</v>
      </c>
      <c r="GV57" s="9">
        <f t="shared" ca="1" si="22"/>
        <v>4.659791987779327E-3</v>
      </c>
      <c r="GW57" s="9">
        <f t="shared" ca="1" si="22"/>
        <v>6.5410816109623404E-4</v>
      </c>
      <c r="GX57" s="9">
        <f t="shared" ca="1" si="22"/>
        <v>5.4748068291998742E-3</v>
      </c>
      <c r="GY57" s="9" t="str">
        <f t="shared" ca="1" si="22"/>
        <v/>
      </c>
      <c r="GZ57" s="9" t="str">
        <f t="shared" ca="1" si="22"/>
        <v/>
      </c>
      <c r="HA57" s="9" t="str">
        <f t="shared" ca="1" si="22"/>
        <v/>
      </c>
      <c r="HB57" s="9" t="str">
        <f t="shared" ca="1" si="22"/>
        <v/>
      </c>
      <c r="HC57" s="9" t="str">
        <f t="shared" ca="1" si="22"/>
        <v/>
      </c>
      <c r="HD57" s="9" t="str">
        <f t="shared" ca="1" si="22"/>
        <v/>
      </c>
      <c r="HE57" s="9" t="str">
        <f t="shared" ca="1" si="22"/>
        <v/>
      </c>
      <c r="HF57" s="9" t="str">
        <f t="shared" ca="1" si="22"/>
        <v/>
      </c>
      <c r="HG57" s="9" t="str">
        <f t="shared" ca="1" si="22"/>
        <v/>
      </c>
      <c r="HH57" s="9" t="str">
        <f t="shared" ca="1" si="22"/>
        <v/>
      </c>
      <c r="HI57" s="9" t="str">
        <f t="shared" ca="1" si="22"/>
        <v/>
      </c>
      <c r="HJ57" s="9" t="str">
        <f t="shared" ca="1" si="22"/>
        <v/>
      </c>
      <c r="HK57" s="9" t="str">
        <f t="shared" ca="1" si="22"/>
        <v/>
      </c>
      <c r="HL57" s="9" t="str">
        <f t="shared" ca="1" si="22"/>
        <v/>
      </c>
      <c r="HM57" s="9" t="str">
        <f t="shared" ca="1" si="22"/>
        <v/>
      </c>
      <c r="HN57" s="9" t="str">
        <f t="shared" ca="1" si="22"/>
        <v/>
      </c>
      <c r="HO57" s="9" t="str">
        <f t="shared" ca="1" si="22"/>
        <v/>
      </c>
      <c r="HP57" s="9" t="str">
        <f t="shared" ca="1" si="22"/>
        <v/>
      </c>
      <c r="HQ57" s="9" t="str">
        <f t="shared" ca="1" si="22"/>
        <v/>
      </c>
      <c r="HR57" s="9" t="str">
        <f t="shared" ca="1" si="22"/>
        <v/>
      </c>
      <c r="HS57" s="9" t="str">
        <f t="shared" ca="1" si="22"/>
        <v/>
      </c>
      <c r="HT57" s="9" t="str">
        <f t="shared" ca="1" si="22"/>
        <v/>
      </c>
      <c r="HU57" s="9" t="str">
        <f t="shared" ca="1" si="22"/>
        <v/>
      </c>
      <c r="HV57" s="9" t="str">
        <f t="shared" ca="1" si="22"/>
        <v/>
      </c>
      <c r="HW57" s="9" t="str">
        <f t="shared" ca="1" si="22"/>
        <v/>
      </c>
      <c r="HX57" s="9" t="str">
        <f t="shared" ca="1" si="22"/>
        <v/>
      </c>
      <c r="HY57" s="9" t="str">
        <f t="shared" ca="1" si="22"/>
        <v/>
      </c>
      <c r="HZ57" s="9" t="str">
        <f t="shared" ca="1" si="22"/>
        <v/>
      </c>
      <c r="IA57" s="9" t="str">
        <f t="shared" ca="1" si="22"/>
        <v/>
      </c>
      <c r="IB57" s="9" t="str">
        <f t="shared" ca="1" si="22"/>
        <v/>
      </c>
      <c r="IC57" s="9" t="str">
        <f t="shared" ca="1" si="22"/>
        <v/>
      </c>
      <c r="ID57" s="9" t="str">
        <f t="shared" ca="1" si="22"/>
        <v/>
      </c>
      <c r="IE57" s="9" t="str">
        <f t="shared" ca="1" si="22"/>
        <v/>
      </c>
      <c r="IF57" s="9" t="str">
        <f t="shared" ca="1" si="22"/>
        <v/>
      </c>
      <c r="IG57" s="9" t="str">
        <f t="shared" ca="1" si="22"/>
        <v/>
      </c>
      <c r="IH57" s="9" t="str">
        <f t="shared" ca="1" si="22"/>
        <v/>
      </c>
      <c r="II57" s="9" t="str">
        <f t="shared" ca="1" si="22"/>
        <v/>
      </c>
      <c r="IJ57" s="9" t="str">
        <f t="shared" ca="1" si="22"/>
        <v/>
      </c>
      <c r="IK57" s="9" t="str">
        <f t="shared" ca="1" si="22"/>
        <v/>
      </c>
      <c r="IL57" s="9" t="str">
        <f t="shared" ca="1" si="22"/>
        <v/>
      </c>
      <c r="IM57" s="9" t="str">
        <f t="shared" ca="1" si="22"/>
        <v/>
      </c>
      <c r="IN57" s="9" t="str">
        <f t="shared" ca="1" si="22"/>
        <v/>
      </c>
      <c r="IO57" s="9" t="str">
        <f t="shared" ca="1" si="22"/>
        <v/>
      </c>
      <c r="IP57" s="9" t="str">
        <f t="shared" ca="1" si="22"/>
        <v/>
      </c>
      <c r="IQ57" s="9" t="str">
        <f t="shared" ca="1" si="22"/>
        <v/>
      </c>
      <c r="IR57" s="9" t="str">
        <f t="shared" ca="1" si="22"/>
        <v/>
      </c>
      <c r="IS57" s="9" t="str">
        <f t="shared" ca="1" si="22"/>
        <v/>
      </c>
      <c r="IT57" s="9" t="str">
        <f t="shared" ca="1" si="22"/>
        <v/>
      </c>
      <c r="IU57" s="9" t="str">
        <f t="shared" ca="1" si="22"/>
        <v/>
      </c>
      <c r="IV57" s="9" t="str">
        <f t="shared" ca="1" si="22"/>
        <v/>
      </c>
      <c r="IW57" s="9" t="str">
        <f t="shared" ca="1" si="22"/>
        <v/>
      </c>
      <c r="IX57" s="9" t="str">
        <f t="shared" ref="IX57:JH57" ca="1" si="23">IF(IX30="","",ABS(IX30))</f>
        <v/>
      </c>
      <c r="IY57" s="9" t="str">
        <f t="shared" ca="1" si="23"/>
        <v/>
      </c>
      <c r="IZ57" s="9" t="str">
        <f t="shared" ca="1" si="23"/>
        <v/>
      </c>
      <c r="JA57" s="9" t="str">
        <f t="shared" ca="1" si="23"/>
        <v/>
      </c>
      <c r="JB57" s="9" t="str">
        <f t="shared" ca="1" si="23"/>
        <v/>
      </c>
      <c r="JC57" s="9" t="str">
        <f t="shared" ca="1" si="23"/>
        <v/>
      </c>
      <c r="JD57" s="9" t="str">
        <f t="shared" ca="1" si="23"/>
        <v/>
      </c>
      <c r="JE57" s="9" t="str">
        <f t="shared" ca="1" si="23"/>
        <v/>
      </c>
      <c r="JF57" s="9" t="str">
        <f t="shared" ca="1" si="23"/>
        <v/>
      </c>
      <c r="JG57" s="9" t="str">
        <f t="shared" ca="1" si="23"/>
        <v/>
      </c>
      <c r="JH57" s="9" t="str">
        <f t="shared" ca="1" si="23"/>
        <v/>
      </c>
      <c r="JI57" s="13">
        <f t="shared" ref="JI57:JI68" ca="1" si="24">AVERAGE(OFFSET($B57,0,Inicio-1,1,Amplitud))</f>
        <v>6.5450863184270073E-3</v>
      </c>
      <c r="JJ57" s="13">
        <f t="shared" ref="JJ57:JJ68" ca="1" si="25">MEDIAN(OFFSET($B57,0,Inicio-1,1,Amplitud))</f>
        <v>5.0004160792920249E-3</v>
      </c>
      <c r="JK57" s="14">
        <f t="shared" ref="JK57:JK68" ca="1" si="26">VARP(OFFSET($B57,0,Inicio-1,1,Amplitud))</f>
        <v>3.9370224545158642E-5</v>
      </c>
      <c r="JL57" s="17">
        <f ca="1">SQRT(JK57)</f>
        <v>6.2745696701175168E-3</v>
      </c>
      <c r="JM57" s="15" t="str">
        <f t="shared" ref="JM57:JM68" ca="1" si="27">CONCATENATE("[ ",TEXT(JI57-2*JL57,"0,00%")," ; ",TEXT(JI57+2*JL57,"0,00%")," ]")</f>
        <v>[ -0,60% ; 1,91% ]</v>
      </c>
      <c r="JN57" s="17">
        <f t="shared" ref="JN57:JN68" ca="1" si="28">JL57*JN$29</f>
        <v>8.0314491777504216E-3</v>
      </c>
      <c r="LY57" s="1"/>
    </row>
    <row r="58" spans="1:337" x14ac:dyDescent="0.25">
      <c r="A58" s="4">
        <v>2</v>
      </c>
      <c r="B58" s="9">
        <f t="shared" ref="B58:BM58" ca="1" si="29">IF(B31="","",ABS(B31))</f>
        <v>3.6311880149350051E-3</v>
      </c>
      <c r="C58" s="9">
        <f t="shared" ca="1" si="29"/>
        <v>4.4361833185810884E-3</v>
      </c>
      <c r="D58" s="9">
        <f t="shared" ca="1" si="29"/>
        <v>5.2026233930724253E-4</v>
      </c>
      <c r="E58" s="9">
        <f t="shared" ca="1" si="29"/>
        <v>2.8005370241107608E-3</v>
      </c>
      <c r="F58" s="9">
        <f t="shared" ca="1" si="29"/>
        <v>8.7622781623427626E-3</v>
      </c>
      <c r="G58" s="9">
        <f t="shared" ca="1" si="29"/>
        <v>1.4427151245041236E-2</v>
      </c>
      <c r="H58" s="9">
        <f t="shared" ca="1" si="29"/>
        <v>1.5716957126869047E-2</v>
      </c>
      <c r="I58" s="9">
        <f t="shared" ca="1" si="29"/>
        <v>8.3508436615176151E-3</v>
      </c>
      <c r="J58" s="9">
        <f t="shared" ca="1" si="29"/>
        <v>5.2804383688909162E-4</v>
      </c>
      <c r="K58" s="9">
        <f t="shared" ca="1" si="29"/>
        <v>4.3510025326072288E-3</v>
      </c>
      <c r="L58" s="9">
        <f t="shared" ca="1" si="29"/>
        <v>1.2624481365625329E-2</v>
      </c>
      <c r="M58" s="9">
        <f t="shared" ca="1" si="29"/>
        <v>1.218355152599937E-3</v>
      </c>
      <c r="N58" s="9">
        <f t="shared" ca="1" si="29"/>
        <v>9.4226942315727147E-3</v>
      </c>
      <c r="O58" s="9">
        <f t="shared" ca="1" si="29"/>
        <v>5.8038068970756029E-6</v>
      </c>
      <c r="P58" s="9">
        <f t="shared" ca="1" si="29"/>
        <v>5.8451687777372197E-3</v>
      </c>
      <c r="Q58" s="9">
        <f t="shared" ca="1" si="29"/>
        <v>1.1995772381737102E-2</v>
      </c>
      <c r="R58" s="9">
        <f t="shared" ca="1" si="29"/>
        <v>1.9007216904731838E-2</v>
      </c>
      <c r="S58" s="9">
        <f t="shared" ca="1" si="29"/>
        <v>2.1767288007309316E-2</v>
      </c>
      <c r="T58" s="9">
        <f t="shared" ca="1" si="29"/>
        <v>1.4272346658019797E-2</v>
      </c>
      <c r="U58" s="9">
        <f t="shared" ca="1" si="29"/>
        <v>1.2219168182172613E-3</v>
      </c>
      <c r="V58" s="9">
        <f t="shared" ca="1" si="29"/>
        <v>2.5395768370943816E-3</v>
      </c>
      <c r="W58" s="9">
        <f t="shared" ca="1" si="29"/>
        <v>5.0392736268337623E-3</v>
      </c>
      <c r="X58" s="9">
        <f t="shared" ca="1" si="29"/>
        <v>1.3163679803048223E-2</v>
      </c>
      <c r="Y58" s="9">
        <f t="shared" ca="1" si="29"/>
        <v>1.0208250467194091E-3</v>
      </c>
      <c r="Z58" s="9">
        <f t="shared" ca="1" si="29"/>
        <v>4.8139156604869449E-3</v>
      </c>
      <c r="AA58" s="9">
        <f t="shared" ca="1" si="29"/>
        <v>8.9568821519891983E-5</v>
      </c>
      <c r="AB58" s="9">
        <f t="shared" ca="1" si="29"/>
        <v>2.6206872067724429E-3</v>
      </c>
      <c r="AC58" s="9">
        <f t="shared" ca="1" si="29"/>
        <v>7.9828217860431483E-3</v>
      </c>
      <c r="AD58" s="9">
        <f t="shared" ca="1" si="29"/>
        <v>9.986877638999303E-3</v>
      </c>
      <c r="AE58" s="9">
        <f t="shared" ca="1" si="29"/>
        <v>1.6454401403796171E-2</v>
      </c>
      <c r="AF58" s="9">
        <f t="shared" ca="1" si="29"/>
        <v>1.0289417948675883E-2</v>
      </c>
      <c r="AG58" s="9">
        <f t="shared" ca="1" si="29"/>
        <v>3.3917269220229418E-3</v>
      </c>
      <c r="AH58" s="9">
        <f t="shared" ca="1" si="29"/>
        <v>8.3665272323141249E-4</v>
      </c>
      <c r="AI58" s="9">
        <f t="shared" ca="1" si="29"/>
        <v>2.0204088641549989E-3</v>
      </c>
      <c r="AJ58" s="9">
        <f t="shared" ca="1" si="29"/>
        <v>8.3205214808181882E-3</v>
      </c>
      <c r="AK58" s="9">
        <f t="shared" ca="1" si="29"/>
        <v>6.9518459256132648E-3</v>
      </c>
      <c r="AL58" s="9">
        <f t="shared" ca="1" si="29"/>
        <v>3.6803868710361121E-3</v>
      </c>
      <c r="AM58" s="9">
        <f t="shared" ca="1" si="29"/>
        <v>3.6634123282254238E-3</v>
      </c>
      <c r="AN58" s="9">
        <f t="shared" ca="1" si="29"/>
        <v>2.060202703440206E-3</v>
      </c>
      <c r="AO58" s="9">
        <f t="shared" ca="1" si="29"/>
        <v>1.1092632393996382E-3</v>
      </c>
      <c r="AP58" s="9">
        <f t="shared" ca="1" si="29"/>
        <v>4.8934714497586018E-3</v>
      </c>
      <c r="AQ58" s="9">
        <f t="shared" ca="1" si="29"/>
        <v>5.3936885102912058E-3</v>
      </c>
      <c r="AR58" s="9">
        <f t="shared" ca="1" si="29"/>
        <v>4.4024243489408921E-3</v>
      </c>
      <c r="AS58" s="9">
        <f t="shared" ca="1" si="29"/>
        <v>1.2829350978955656E-3</v>
      </c>
      <c r="AT58" s="9">
        <f t="shared" ca="1" si="29"/>
        <v>6.6741978090919529E-3</v>
      </c>
      <c r="AU58" s="9">
        <f t="shared" ca="1" si="29"/>
        <v>3.5694478096129911E-3</v>
      </c>
      <c r="AV58" s="9">
        <f t="shared" ca="1" si="29"/>
        <v>3.4656658105912674E-3</v>
      </c>
      <c r="AW58" s="9">
        <f t="shared" ca="1" si="29"/>
        <v>3.71531356663235E-3</v>
      </c>
      <c r="AX58" s="9">
        <f t="shared" ca="1" si="29"/>
        <v>1.0065899386925592E-2</v>
      </c>
      <c r="AY58" s="9">
        <f t="shared" ca="1" si="29"/>
        <v>1.2722934762925631E-2</v>
      </c>
      <c r="AZ58" s="9">
        <f t="shared" ca="1" si="29"/>
        <v>1.0613648685158239E-2</v>
      </c>
      <c r="BA58" s="9">
        <f t="shared" ca="1" si="29"/>
        <v>1.1427072409414762E-2</v>
      </c>
      <c r="BB58" s="9">
        <f t="shared" ca="1" si="29"/>
        <v>1.7332684020597844E-2</v>
      </c>
      <c r="BC58" s="9">
        <f t="shared" ca="1" si="29"/>
        <v>1.7217481214770736E-2</v>
      </c>
      <c r="BD58" s="9">
        <f t="shared" ca="1" si="29"/>
        <v>1.4672954412918049E-2</v>
      </c>
      <c r="BE58" s="9">
        <f t="shared" ca="1" si="29"/>
        <v>6.9882057898045247E-3</v>
      </c>
      <c r="BF58" s="9">
        <f t="shared" ca="1" si="29"/>
        <v>5.8353055764676087E-3</v>
      </c>
      <c r="BG58" s="9">
        <f t="shared" ca="1" si="29"/>
        <v>1.9214507199238895E-2</v>
      </c>
      <c r="BH58" s="9">
        <f t="shared" ca="1" si="29"/>
        <v>2.6315127599604526E-2</v>
      </c>
      <c r="BI58" s="9">
        <f t="shared" ca="1" si="29"/>
        <v>1.2462198039782546E-2</v>
      </c>
      <c r="BJ58" s="9">
        <f t="shared" ca="1" si="29"/>
        <v>1.1877591468789195E-2</v>
      </c>
      <c r="BK58" s="9">
        <f t="shared" ca="1" si="29"/>
        <v>1.0194341036299015E-2</v>
      </c>
      <c r="BL58" s="9">
        <f t="shared" ca="1" si="29"/>
        <v>2.3408543863336906E-3</v>
      </c>
      <c r="BM58" s="9">
        <f t="shared" ca="1" si="29"/>
        <v>1.3785387546865313E-2</v>
      </c>
      <c r="BN58" s="9">
        <f t="shared" ref="BN58:DY58" ca="1" si="30">IF(BN31="","",ABS(BN31))</f>
        <v>1.5382267642239711E-2</v>
      </c>
      <c r="BO58" s="9">
        <f t="shared" ca="1" si="30"/>
        <v>1.1884650922763806E-2</v>
      </c>
      <c r="BP58" s="9">
        <f t="shared" ca="1" si="30"/>
        <v>1.1215599487448324E-2</v>
      </c>
      <c r="BQ58" s="9">
        <f t="shared" ca="1" si="30"/>
        <v>2.6177738153132735E-2</v>
      </c>
      <c r="BR58" s="9">
        <f t="shared" ca="1" si="30"/>
        <v>1.2705227232619243E-2</v>
      </c>
      <c r="BS58" s="9">
        <f t="shared" ca="1" si="30"/>
        <v>1.3263748284364718E-2</v>
      </c>
      <c r="BT58" s="9">
        <f t="shared" ca="1" si="30"/>
        <v>2.3579562438047486E-4</v>
      </c>
      <c r="BU58" s="9">
        <f t="shared" ca="1" si="30"/>
        <v>2.5702621610192988E-3</v>
      </c>
      <c r="BV58" s="9">
        <f t="shared" ca="1" si="30"/>
        <v>7.6228178056576557E-3</v>
      </c>
      <c r="BW58" s="9">
        <f t="shared" ca="1" si="30"/>
        <v>4.6439517896967875E-3</v>
      </c>
      <c r="BX58" s="9">
        <f t="shared" ca="1" si="30"/>
        <v>5.0850205939272364E-3</v>
      </c>
      <c r="BY58" s="9">
        <f t="shared" ca="1" si="30"/>
        <v>3.6106394017276777E-3</v>
      </c>
      <c r="BZ58" s="9">
        <f t="shared" ca="1" si="30"/>
        <v>1.2192112900581975E-3</v>
      </c>
      <c r="CA58" s="9">
        <f t="shared" ca="1" si="30"/>
        <v>2.3013421370683407E-3</v>
      </c>
      <c r="CB58" s="9">
        <f t="shared" ca="1" si="30"/>
        <v>2.5149389449552473E-4</v>
      </c>
      <c r="CC58" s="9">
        <f t="shared" ca="1" si="30"/>
        <v>9.6674011319475284E-3</v>
      </c>
      <c r="CD58" s="9">
        <f t="shared" ca="1" si="30"/>
        <v>1.27714807596917E-2</v>
      </c>
      <c r="CE58" s="9">
        <f t="shared" ca="1" si="30"/>
        <v>8.5671170373879946E-3</v>
      </c>
      <c r="CF58" s="9">
        <f t="shared" ca="1" si="30"/>
        <v>9.6867450525992549E-3</v>
      </c>
      <c r="CG58" s="9">
        <f t="shared" ca="1" si="30"/>
        <v>2.6014981171916807E-3</v>
      </c>
      <c r="CH58" s="9">
        <f t="shared" ca="1" si="30"/>
        <v>5.8985490886691583E-3</v>
      </c>
      <c r="CI58" s="9">
        <f t="shared" ca="1" si="30"/>
        <v>7.2036939255342158E-3</v>
      </c>
      <c r="CJ58" s="9">
        <f t="shared" ca="1" si="30"/>
        <v>1.7311164140363378E-3</v>
      </c>
      <c r="CK58" s="9">
        <f t="shared" ca="1" si="30"/>
        <v>1.0202378689301295E-3</v>
      </c>
      <c r="CL58" s="9">
        <f t="shared" ca="1" si="30"/>
        <v>3.9090955822294049E-3</v>
      </c>
      <c r="CM58" s="9">
        <f t="shared" ca="1" si="30"/>
        <v>6.47663947395416E-3</v>
      </c>
      <c r="CN58" s="9">
        <f t="shared" ca="1" si="30"/>
        <v>3.8207593985295496E-3</v>
      </c>
      <c r="CO58" s="9">
        <f t="shared" ca="1" si="30"/>
        <v>4.7837914978875462E-3</v>
      </c>
      <c r="CP58" s="9">
        <f t="shared" ca="1" si="30"/>
        <v>1.2720058119322308E-2</v>
      </c>
      <c r="CQ58" s="9">
        <f t="shared" ca="1" si="30"/>
        <v>2.5290441829565857E-2</v>
      </c>
      <c r="CR58" s="9">
        <f t="shared" ca="1" si="30"/>
        <v>1.3180748362517924E-3</v>
      </c>
      <c r="CS58" s="9">
        <f t="shared" ca="1" si="30"/>
        <v>8.3400299400326894E-4</v>
      </c>
      <c r="CT58" s="9">
        <f t="shared" ca="1" si="30"/>
        <v>1.3796693250973879E-2</v>
      </c>
      <c r="CU58" s="9">
        <f t="shared" ca="1" si="30"/>
        <v>7.7403456455673592E-3</v>
      </c>
      <c r="CV58" s="9">
        <f t="shared" ca="1" si="30"/>
        <v>5.5123755160793042E-3</v>
      </c>
      <c r="CW58" s="9">
        <f t="shared" ca="1" si="30"/>
        <v>3.2803698810994764E-3</v>
      </c>
      <c r="CX58" s="9">
        <f t="shared" ca="1" si="30"/>
        <v>5.6270497307648881E-3</v>
      </c>
      <c r="CY58" s="9">
        <f t="shared" ca="1" si="30"/>
        <v>9.3844302037726646E-4</v>
      </c>
      <c r="CZ58" s="9">
        <f t="shared" ca="1" si="30"/>
        <v>1.2036664540654884E-2</v>
      </c>
      <c r="DA58" s="9">
        <f t="shared" ca="1" si="30"/>
        <v>1.2603973795792145E-2</v>
      </c>
      <c r="DB58" s="9">
        <f t="shared" ca="1" si="30"/>
        <v>1.1408005695274115E-2</v>
      </c>
      <c r="DC58" s="9">
        <f t="shared" ca="1" si="30"/>
        <v>3.9279324172824204E-2</v>
      </c>
      <c r="DD58" s="9">
        <f t="shared" ca="1" si="30"/>
        <v>2.9053730808846767E-2</v>
      </c>
      <c r="DE58" s="9">
        <f t="shared" ca="1" si="30"/>
        <v>1.4383109454675358E-3</v>
      </c>
      <c r="DF58" s="9">
        <f t="shared" ca="1" si="30"/>
        <v>1.6196732338090825E-2</v>
      </c>
      <c r="DG58" s="9">
        <f t="shared" ca="1" si="30"/>
        <v>1.5646646150226151E-2</v>
      </c>
      <c r="DH58" s="9">
        <f t="shared" ca="1" si="30"/>
        <v>1.1510404850379019E-2</v>
      </c>
      <c r="DI58" s="9">
        <f t="shared" ca="1" si="30"/>
        <v>1.043578257545108E-2</v>
      </c>
      <c r="DJ58" s="9">
        <f t="shared" ca="1" si="30"/>
        <v>8.8778365011278337E-3</v>
      </c>
      <c r="DK58" s="9">
        <f t="shared" ca="1" si="30"/>
        <v>8.211304743830472E-3</v>
      </c>
      <c r="DL58" s="9">
        <f t="shared" ca="1" si="30"/>
        <v>3.5954852432532602E-3</v>
      </c>
      <c r="DM58" s="9">
        <f t="shared" ca="1" si="30"/>
        <v>6.4350672844655232E-3</v>
      </c>
      <c r="DN58" s="9">
        <f t="shared" ca="1" si="30"/>
        <v>3.0230817730898862E-2</v>
      </c>
      <c r="DO58" s="9">
        <f t="shared" ca="1" si="30"/>
        <v>8.2039768793422674E-3</v>
      </c>
      <c r="DP58" s="9">
        <f t="shared" ca="1" si="30"/>
        <v>9.7534452584397968E-3</v>
      </c>
      <c r="DQ58" s="9">
        <f t="shared" ca="1" si="30"/>
        <v>1.9673664459341045E-2</v>
      </c>
      <c r="DR58" s="9">
        <f t="shared" ca="1" si="30"/>
        <v>4.7910156789313652E-3</v>
      </c>
      <c r="DS58" s="9">
        <f t="shared" ca="1" si="30"/>
        <v>4.2879557751405173E-3</v>
      </c>
      <c r="DT58" s="9">
        <f t="shared" ca="1" si="30"/>
        <v>2.0401140489090253E-3</v>
      </c>
      <c r="DU58" s="9">
        <f t="shared" ca="1" si="30"/>
        <v>2.3598028558379225E-3</v>
      </c>
      <c r="DV58" s="9">
        <f t="shared" ca="1" si="30"/>
        <v>5.6395469455026159E-3</v>
      </c>
      <c r="DW58" s="9">
        <f t="shared" ca="1" si="30"/>
        <v>1.5516149836836135E-4</v>
      </c>
      <c r="DX58" s="9">
        <f t="shared" ca="1" si="30"/>
        <v>7.15286376815083E-3</v>
      </c>
      <c r="DY58" s="9">
        <f t="shared" ca="1" si="30"/>
        <v>1.1214774891340484E-2</v>
      </c>
      <c r="DZ58" s="9">
        <f t="shared" ref="DZ58:GK58" ca="1" si="31">IF(DZ31="","",ABS(DZ31))</f>
        <v>9.8876506771896633E-3</v>
      </c>
      <c r="EA58" s="9">
        <f t="shared" ca="1" si="31"/>
        <v>1.3396688881154084E-2</v>
      </c>
      <c r="EB58" s="9">
        <f t="shared" ca="1" si="31"/>
        <v>1.2704760056309494E-2</v>
      </c>
      <c r="EC58" s="9">
        <f t="shared" ca="1" si="31"/>
        <v>4.6634994623295789E-4</v>
      </c>
      <c r="ED58" s="9">
        <f t="shared" ca="1" si="31"/>
        <v>1.0495285533945742E-3</v>
      </c>
      <c r="EE58" s="9">
        <f t="shared" ca="1" si="31"/>
        <v>1.3780126830607586E-2</v>
      </c>
      <c r="EF58" s="9">
        <f t="shared" ca="1" si="31"/>
        <v>1.4008282681700401E-2</v>
      </c>
      <c r="EG58" s="9">
        <f t="shared" ca="1" si="31"/>
        <v>1.3902338694824379E-2</v>
      </c>
      <c r="EH58" s="9">
        <f t="shared" ca="1" si="31"/>
        <v>5.7743625939116194E-3</v>
      </c>
      <c r="EI58" s="9">
        <f t="shared" ca="1" si="31"/>
        <v>1.2869387990085634E-2</v>
      </c>
      <c r="EJ58" s="9">
        <f t="shared" ca="1" si="31"/>
        <v>1.7618563260471509E-2</v>
      </c>
      <c r="EK58" s="9">
        <f t="shared" ca="1" si="31"/>
        <v>1.0182436983552368E-2</v>
      </c>
      <c r="EL58" s="9">
        <f t="shared" ca="1" si="31"/>
        <v>6.4588188879008968E-3</v>
      </c>
      <c r="EM58" s="9">
        <f t="shared" ca="1" si="31"/>
        <v>3.1390100182104863E-3</v>
      </c>
      <c r="EN58" s="9">
        <f t="shared" ca="1" si="31"/>
        <v>1.3420471927654276E-2</v>
      </c>
      <c r="EO58" s="9">
        <f t="shared" ca="1" si="31"/>
        <v>4.8904570852748019E-3</v>
      </c>
      <c r="EP58" s="9">
        <f t="shared" ca="1" si="31"/>
        <v>2.7163784358748E-3</v>
      </c>
      <c r="EQ58" s="9">
        <f t="shared" ca="1" si="31"/>
        <v>4.3759557515361536E-3</v>
      </c>
      <c r="ER58" s="9">
        <f t="shared" ca="1" si="31"/>
        <v>1.241488850681649E-3</v>
      </c>
      <c r="ES58" s="9">
        <f t="shared" ca="1" si="31"/>
        <v>8.833851446834462E-3</v>
      </c>
      <c r="ET58" s="9">
        <f t="shared" ca="1" si="31"/>
        <v>1.4950039412304883E-2</v>
      </c>
      <c r="EU58" s="9">
        <f t="shared" ca="1" si="31"/>
        <v>9.3470432087129351E-3</v>
      </c>
      <c r="EV58" s="9">
        <f t="shared" ca="1" si="31"/>
        <v>3.0254924123018778E-3</v>
      </c>
      <c r="EW58" s="9">
        <f t="shared" ca="1" si="31"/>
        <v>1.188866281789358E-2</v>
      </c>
      <c r="EX58" s="9">
        <f t="shared" ca="1" si="31"/>
        <v>1.5386403342428912E-3</v>
      </c>
      <c r="EY58" s="9">
        <f t="shared" ca="1" si="31"/>
        <v>3.1463450330044829E-3</v>
      </c>
      <c r="EZ58" s="9">
        <f t="shared" ca="1" si="31"/>
        <v>7.2924628562953675E-3</v>
      </c>
      <c r="FA58" s="9">
        <f t="shared" ca="1" si="31"/>
        <v>4.3411719576323948E-3</v>
      </c>
      <c r="FB58" s="9">
        <f t="shared" ca="1" si="31"/>
        <v>4.2063334883523096E-3</v>
      </c>
      <c r="FC58" s="9">
        <f t="shared" ca="1" si="31"/>
        <v>1.6193195171823049E-3</v>
      </c>
      <c r="FD58" s="9">
        <f t="shared" ca="1" si="31"/>
        <v>4.7434425247134815E-3</v>
      </c>
      <c r="FE58" s="9">
        <f t="shared" ca="1" si="31"/>
        <v>3.181771942637468E-3</v>
      </c>
      <c r="FF58" s="9">
        <f t="shared" ca="1" si="31"/>
        <v>5.7014728413715687E-3</v>
      </c>
      <c r="FG58" s="9">
        <f t="shared" ca="1" si="31"/>
        <v>5.1530375001772599E-3</v>
      </c>
      <c r="FH58" s="9">
        <f t="shared" ca="1" si="31"/>
        <v>2.1138552752569817E-3</v>
      </c>
      <c r="FI58" s="9">
        <f t="shared" ca="1" si="31"/>
        <v>2.8929446332481845E-3</v>
      </c>
      <c r="FJ58" s="9">
        <f t="shared" ca="1" si="31"/>
        <v>2.74632551789733E-3</v>
      </c>
      <c r="FK58" s="9">
        <f t="shared" ca="1" si="31"/>
        <v>1.487943866716368E-2</v>
      </c>
      <c r="FL58" s="9">
        <f t="shared" ca="1" si="31"/>
        <v>1.2094407079003555E-2</v>
      </c>
      <c r="FM58" s="9">
        <f t="shared" ca="1" si="31"/>
        <v>5.0129473559969995E-3</v>
      </c>
      <c r="FN58" s="9">
        <f t="shared" ca="1" si="31"/>
        <v>1.1046191076322653E-2</v>
      </c>
      <c r="FO58" s="9">
        <f t="shared" ca="1" si="31"/>
        <v>1.1329086032549451E-2</v>
      </c>
      <c r="FP58" s="9">
        <f t="shared" ca="1" si="31"/>
        <v>9.9679606665743492E-3</v>
      </c>
      <c r="FQ58" s="9">
        <f t="shared" ca="1" si="31"/>
        <v>6.0561270599406303E-3</v>
      </c>
      <c r="FR58" s="9">
        <f t="shared" ca="1" si="31"/>
        <v>7.7967060466610505E-4</v>
      </c>
      <c r="FS58" s="9">
        <f t="shared" ca="1" si="31"/>
        <v>1.2805243012540046E-2</v>
      </c>
      <c r="FT58" s="9">
        <f t="shared" ca="1" si="31"/>
        <v>8.7944191803340788E-3</v>
      </c>
      <c r="FU58" s="9">
        <f t="shared" ca="1" si="31"/>
        <v>1.3495536131916452E-2</v>
      </c>
      <c r="FV58" s="9">
        <f t="shared" ca="1" si="31"/>
        <v>6.4514575346510394E-3</v>
      </c>
      <c r="FW58" s="9">
        <f t="shared" ca="1" si="31"/>
        <v>1.4905868449865745E-2</v>
      </c>
      <c r="FX58" s="9">
        <f t="shared" ca="1" si="31"/>
        <v>9.7236639744049391E-3</v>
      </c>
      <c r="FY58" s="9">
        <f t="shared" ca="1" si="31"/>
        <v>1.4317913404320648E-2</v>
      </c>
      <c r="FZ58" s="9">
        <f t="shared" ca="1" si="31"/>
        <v>9.1897865291001857E-4</v>
      </c>
      <c r="GA58" s="9">
        <f t="shared" ca="1" si="31"/>
        <v>9.4213642722082991E-3</v>
      </c>
      <c r="GB58" s="9">
        <f t="shared" ca="1" si="31"/>
        <v>1.0863724375438144E-2</v>
      </c>
      <c r="GC58" s="9">
        <f t="shared" ca="1" si="31"/>
        <v>1.1707457138819377E-2</v>
      </c>
      <c r="GD58" s="9">
        <f t="shared" ca="1" si="31"/>
        <v>8.4916375409049838E-3</v>
      </c>
      <c r="GE58" s="9">
        <f t="shared" ca="1" si="31"/>
        <v>1.5946211361912432E-3</v>
      </c>
      <c r="GF58" s="9">
        <f t="shared" ca="1" si="31"/>
        <v>1.4351167706208035E-3</v>
      </c>
      <c r="GG58" s="9">
        <f t="shared" ca="1" si="31"/>
        <v>1.0342747383307316E-2</v>
      </c>
      <c r="GH58" s="9">
        <f t="shared" ca="1" si="31"/>
        <v>4.6323078398193829E-3</v>
      </c>
      <c r="GI58" s="9">
        <f t="shared" ca="1" si="31"/>
        <v>5.1771517061010019E-3</v>
      </c>
      <c r="GJ58" s="9">
        <f t="shared" ca="1" si="31"/>
        <v>9.6075654277033573E-3</v>
      </c>
      <c r="GK58" s="9">
        <f t="shared" ca="1" si="31"/>
        <v>3.1464354935362149E-3</v>
      </c>
      <c r="GL58" s="9">
        <f t="shared" ref="GL58:IW58" ca="1" si="32">IF(GL31="","",ABS(GL31))</f>
        <v>1.0982039432649859E-3</v>
      </c>
      <c r="GM58" s="9">
        <f t="shared" ca="1" si="32"/>
        <v>1.0075239031186234E-2</v>
      </c>
      <c r="GN58" s="9">
        <f t="shared" ca="1" si="32"/>
        <v>4.7287986230576173E-2</v>
      </c>
      <c r="GO58" s="9">
        <f t="shared" ca="1" si="32"/>
        <v>2.7235621060960113E-2</v>
      </c>
      <c r="GP58" s="9">
        <f t="shared" ca="1" si="32"/>
        <v>7.016993103448832E-3</v>
      </c>
      <c r="GQ58" s="9">
        <f t="shared" ca="1" si="32"/>
        <v>1.920665912410402E-2</v>
      </c>
      <c r="GR58" s="9">
        <f t="shared" ca="1" si="32"/>
        <v>1.4246741786432038E-2</v>
      </c>
      <c r="GS58" s="9">
        <f t="shared" ca="1" si="32"/>
        <v>2.1039178296720529E-2</v>
      </c>
      <c r="GT58" s="9">
        <f t="shared" ca="1" si="32"/>
        <v>7.8824252122895455E-3</v>
      </c>
      <c r="GU58" s="9">
        <f t="shared" ca="1" si="32"/>
        <v>6.2684754413699917E-4</v>
      </c>
      <c r="GV58" s="9">
        <f t="shared" ca="1" si="32"/>
        <v>6.5130381075364507E-3</v>
      </c>
      <c r="GW58" s="9">
        <f t="shared" ca="1" si="32"/>
        <v>6.1522639429889558E-3</v>
      </c>
      <c r="GX58" s="9" t="str">
        <f t="shared" ca="1" si="32"/>
        <v/>
      </c>
      <c r="GY58" s="9" t="str">
        <f t="shared" ca="1" si="32"/>
        <v/>
      </c>
      <c r="GZ58" s="9" t="str">
        <f t="shared" ca="1" si="32"/>
        <v/>
      </c>
      <c r="HA58" s="9" t="str">
        <f t="shared" ca="1" si="32"/>
        <v/>
      </c>
      <c r="HB58" s="9" t="str">
        <f t="shared" ca="1" si="32"/>
        <v/>
      </c>
      <c r="HC58" s="9" t="str">
        <f t="shared" ca="1" si="32"/>
        <v/>
      </c>
      <c r="HD58" s="9" t="str">
        <f t="shared" ca="1" si="32"/>
        <v/>
      </c>
      <c r="HE58" s="9" t="str">
        <f t="shared" ca="1" si="32"/>
        <v/>
      </c>
      <c r="HF58" s="9" t="str">
        <f t="shared" ca="1" si="32"/>
        <v/>
      </c>
      <c r="HG58" s="9" t="str">
        <f t="shared" ca="1" si="32"/>
        <v/>
      </c>
      <c r="HH58" s="9" t="str">
        <f t="shared" ca="1" si="32"/>
        <v/>
      </c>
      <c r="HI58" s="9" t="str">
        <f t="shared" ca="1" si="32"/>
        <v/>
      </c>
      <c r="HJ58" s="9" t="str">
        <f t="shared" ca="1" si="32"/>
        <v/>
      </c>
      <c r="HK58" s="9" t="str">
        <f t="shared" ca="1" si="32"/>
        <v/>
      </c>
      <c r="HL58" s="9" t="str">
        <f t="shared" ca="1" si="32"/>
        <v/>
      </c>
      <c r="HM58" s="9" t="str">
        <f t="shared" ca="1" si="32"/>
        <v/>
      </c>
      <c r="HN58" s="9" t="str">
        <f t="shared" ca="1" si="32"/>
        <v/>
      </c>
      <c r="HO58" s="9" t="str">
        <f t="shared" ca="1" si="32"/>
        <v/>
      </c>
      <c r="HP58" s="9" t="str">
        <f t="shared" ca="1" si="32"/>
        <v/>
      </c>
      <c r="HQ58" s="9" t="str">
        <f t="shared" ca="1" si="32"/>
        <v/>
      </c>
      <c r="HR58" s="9" t="str">
        <f t="shared" ca="1" si="32"/>
        <v/>
      </c>
      <c r="HS58" s="9" t="str">
        <f t="shared" ca="1" si="32"/>
        <v/>
      </c>
      <c r="HT58" s="9" t="str">
        <f t="shared" ca="1" si="32"/>
        <v/>
      </c>
      <c r="HU58" s="9" t="str">
        <f t="shared" ca="1" si="32"/>
        <v/>
      </c>
      <c r="HV58" s="9" t="str">
        <f t="shared" ca="1" si="32"/>
        <v/>
      </c>
      <c r="HW58" s="9" t="str">
        <f t="shared" ca="1" si="32"/>
        <v/>
      </c>
      <c r="HX58" s="9" t="str">
        <f t="shared" ca="1" si="32"/>
        <v/>
      </c>
      <c r="HY58" s="9" t="str">
        <f t="shared" ca="1" si="32"/>
        <v/>
      </c>
      <c r="HZ58" s="9" t="str">
        <f t="shared" ca="1" si="32"/>
        <v/>
      </c>
      <c r="IA58" s="9" t="str">
        <f t="shared" ca="1" si="32"/>
        <v/>
      </c>
      <c r="IB58" s="9" t="str">
        <f t="shared" ca="1" si="32"/>
        <v/>
      </c>
      <c r="IC58" s="9" t="str">
        <f t="shared" ca="1" si="32"/>
        <v/>
      </c>
      <c r="ID58" s="9" t="str">
        <f t="shared" ca="1" si="32"/>
        <v/>
      </c>
      <c r="IE58" s="9" t="str">
        <f t="shared" ca="1" si="32"/>
        <v/>
      </c>
      <c r="IF58" s="9" t="str">
        <f t="shared" ca="1" si="32"/>
        <v/>
      </c>
      <c r="IG58" s="9" t="str">
        <f t="shared" ca="1" si="32"/>
        <v/>
      </c>
      <c r="IH58" s="9" t="str">
        <f t="shared" ca="1" si="32"/>
        <v/>
      </c>
      <c r="II58" s="9" t="str">
        <f t="shared" ca="1" si="32"/>
        <v/>
      </c>
      <c r="IJ58" s="9" t="str">
        <f t="shared" ca="1" si="32"/>
        <v/>
      </c>
      <c r="IK58" s="9" t="str">
        <f t="shared" ca="1" si="32"/>
        <v/>
      </c>
      <c r="IL58" s="9" t="str">
        <f t="shared" ca="1" si="32"/>
        <v/>
      </c>
      <c r="IM58" s="9" t="str">
        <f t="shared" ca="1" si="32"/>
        <v/>
      </c>
      <c r="IN58" s="9" t="str">
        <f t="shared" ca="1" si="32"/>
        <v/>
      </c>
      <c r="IO58" s="9" t="str">
        <f t="shared" ca="1" si="32"/>
        <v/>
      </c>
      <c r="IP58" s="9" t="str">
        <f t="shared" ca="1" si="32"/>
        <v/>
      </c>
      <c r="IQ58" s="9" t="str">
        <f t="shared" ca="1" si="32"/>
        <v/>
      </c>
      <c r="IR58" s="9" t="str">
        <f t="shared" ca="1" si="32"/>
        <v/>
      </c>
      <c r="IS58" s="9" t="str">
        <f t="shared" ca="1" si="32"/>
        <v/>
      </c>
      <c r="IT58" s="9" t="str">
        <f t="shared" ca="1" si="32"/>
        <v/>
      </c>
      <c r="IU58" s="9" t="str">
        <f t="shared" ca="1" si="32"/>
        <v/>
      </c>
      <c r="IV58" s="9" t="str">
        <f t="shared" ca="1" si="32"/>
        <v/>
      </c>
      <c r="IW58" s="9" t="str">
        <f t="shared" ca="1" si="32"/>
        <v/>
      </c>
      <c r="IX58" s="9" t="str">
        <f t="shared" ref="IX58:JH58" ca="1" si="33">IF(IX31="","",ABS(IX31))</f>
        <v/>
      </c>
      <c r="IY58" s="9" t="str">
        <f t="shared" ca="1" si="33"/>
        <v/>
      </c>
      <c r="IZ58" s="9" t="str">
        <f t="shared" ca="1" si="33"/>
        <v/>
      </c>
      <c r="JA58" s="9" t="str">
        <f t="shared" ca="1" si="33"/>
        <v/>
      </c>
      <c r="JB58" s="9" t="str">
        <f t="shared" ca="1" si="33"/>
        <v/>
      </c>
      <c r="JC58" s="9" t="str">
        <f t="shared" ca="1" si="33"/>
        <v/>
      </c>
      <c r="JD58" s="9" t="str">
        <f t="shared" ca="1" si="33"/>
        <v/>
      </c>
      <c r="JE58" s="9" t="str">
        <f t="shared" ca="1" si="33"/>
        <v/>
      </c>
      <c r="JF58" s="9" t="str">
        <f t="shared" ca="1" si="33"/>
        <v/>
      </c>
      <c r="JG58" s="9" t="str">
        <f t="shared" ca="1" si="33"/>
        <v/>
      </c>
      <c r="JH58" s="9" t="str">
        <f t="shared" ca="1" si="33"/>
        <v/>
      </c>
      <c r="JI58" s="13">
        <f t="shared" ca="1" si="24"/>
        <v>1.0092430438601354E-2</v>
      </c>
      <c r="JJ58" s="13">
        <f t="shared" ca="1" si="25"/>
        <v>8.7944191803340788E-3</v>
      </c>
      <c r="JK58" s="14">
        <f t="shared" ca="1" si="26"/>
        <v>7.9661785777207403E-5</v>
      </c>
      <c r="JL58" s="17">
        <f t="shared" ref="JL58:JL68" ca="1" si="34">SQRT(JK58)</f>
        <v>8.9253451349069635E-3</v>
      </c>
      <c r="JM58" s="15" t="str">
        <f t="shared" ca="1" si="27"/>
        <v>[ -0,78% ; 2,79% ]</v>
      </c>
      <c r="JN58" s="17">
        <f t="shared" ca="1" si="28"/>
        <v>1.1424441772680913E-2</v>
      </c>
      <c r="LY58" s="1"/>
    </row>
    <row r="59" spans="1:337" x14ac:dyDescent="0.25">
      <c r="A59" s="4">
        <v>3</v>
      </c>
      <c r="B59" s="9">
        <f t="shared" ref="B59:BM59" ca="1" si="35">IF(B32="","",ABS(B32))</f>
        <v>4.4657384323742999E-3</v>
      </c>
      <c r="C59" s="9">
        <f t="shared" ca="1" si="35"/>
        <v>6.2713392582491867E-4</v>
      </c>
      <c r="D59" s="9">
        <f t="shared" ca="1" si="35"/>
        <v>2.8318684499892832E-3</v>
      </c>
      <c r="E59" s="9">
        <f t="shared" ca="1" si="35"/>
        <v>8.5949948337719073E-3</v>
      </c>
      <c r="F59" s="9">
        <f t="shared" ca="1" si="35"/>
        <v>1.4714861442168381E-2</v>
      </c>
      <c r="G59" s="9">
        <f t="shared" ca="1" si="35"/>
        <v>1.7830229880464565E-2</v>
      </c>
      <c r="H59" s="9">
        <f t="shared" ca="1" si="35"/>
        <v>1.3334759113408867E-2</v>
      </c>
      <c r="I59" s="9">
        <f t="shared" ca="1" si="35"/>
        <v>8.2095020305152921E-3</v>
      </c>
      <c r="J59" s="9">
        <f t="shared" ca="1" si="35"/>
        <v>3.0556168500084357E-3</v>
      </c>
      <c r="K59" s="9">
        <f t="shared" ca="1" si="35"/>
        <v>1.4264199413587364E-2</v>
      </c>
      <c r="L59" s="9">
        <f t="shared" ca="1" si="35"/>
        <v>4.930210646198141E-3</v>
      </c>
      <c r="M59" s="9">
        <f t="shared" ca="1" si="35"/>
        <v>2.0553944834187377E-3</v>
      </c>
      <c r="N59" s="9">
        <f t="shared" ca="1" si="35"/>
        <v>6.8508611722783996E-3</v>
      </c>
      <c r="O59" s="9">
        <f t="shared" ca="1" si="35"/>
        <v>4.0146773002560643E-3</v>
      </c>
      <c r="P59" s="9">
        <f t="shared" ca="1" si="35"/>
        <v>1.1878492550626896E-2</v>
      </c>
      <c r="Q59" s="9">
        <f t="shared" ca="1" si="35"/>
        <v>2.1658525282929775E-2</v>
      </c>
      <c r="R59" s="9">
        <f t="shared" ca="1" si="35"/>
        <v>2.5577192919338909E-2</v>
      </c>
      <c r="S59" s="9">
        <f t="shared" ca="1" si="35"/>
        <v>2.3912939970689884E-2</v>
      </c>
      <c r="T59" s="9">
        <f t="shared" ca="1" si="35"/>
        <v>1.0285912540059394E-2</v>
      </c>
      <c r="U59" s="9">
        <f t="shared" ca="1" si="35"/>
        <v>5.7294711099586948E-4</v>
      </c>
      <c r="V59" s="9">
        <f t="shared" ca="1" si="35"/>
        <v>4.1101078295247007E-5</v>
      </c>
      <c r="W59" s="9">
        <f t="shared" ca="1" si="35"/>
        <v>1.1927725265409195E-2</v>
      </c>
      <c r="X59" s="9">
        <f t="shared" ca="1" si="35"/>
        <v>5.8861543839137109E-3</v>
      </c>
      <c r="Y59" s="9">
        <f t="shared" ca="1" si="35"/>
        <v>1.063565036364178E-3</v>
      </c>
      <c r="Z59" s="9">
        <f t="shared" ca="1" si="35"/>
        <v>3.4096557593596977E-3</v>
      </c>
      <c r="AA59" s="9">
        <f t="shared" ca="1" si="35"/>
        <v>3.3604391261063959E-3</v>
      </c>
      <c r="AB59" s="9">
        <f t="shared" ca="1" si="35"/>
        <v>5.5937392667064767E-3</v>
      </c>
      <c r="AC59" s="9">
        <f t="shared" ca="1" si="35"/>
        <v>1.6801820907101916E-2</v>
      </c>
      <c r="AD59" s="9">
        <f t="shared" ca="1" si="35"/>
        <v>1.5160060801736597E-2</v>
      </c>
      <c r="AE59" s="9">
        <f t="shared" ca="1" si="35"/>
        <v>2.063219493112034E-2</v>
      </c>
      <c r="AF59" s="9">
        <f t="shared" ca="1" si="35"/>
        <v>9.6383075746080404E-3</v>
      </c>
      <c r="AG59" s="9">
        <f t="shared" ca="1" si="35"/>
        <v>1.9283316663611938E-3</v>
      </c>
      <c r="AH59" s="9">
        <f t="shared" ca="1" si="35"/>
        <v>1.3929997531133553E-3</v>
      </c>
      <c r="AI59" s="9">
        <f t="shared" ca="1" si="35"/>
        <v>9.2462976338912872E-3</v>
      </c>
      <c r="AJ59" s="9">
        <f t="shared" ca="1" si="35"/>
        <v>7.8445217831488723E-3</v>
      </c>
      <c r="AK59" s="9">
        <f t="shared" ca="1" si="35"/>
        <v>8.2610416083669369E-3</v>
      </c>
      <c r="AL59" s="9">
        <f t="shared" ca="1" si="35"/>
        <v>6.0400810355167867E-3</v>
      </c>
      <c r="AM59" s="9">
        <f t="shared" ca="1" si="35"/>
        <v>3.6998702335474531E-3</v>
      </c>
      <c r="AN59" s="9">
        <f t="shared" ca="1" si="35"/>
        <v>3.124212880453836E-3</v>
      </c>
      <c r="AO59" s="9">
        <f t="shared" ca="1" si="35"/>
        <v>4.4980732735431239E-3</v>
      </c>
      <c r="AP59" s="9">
        <f t="shared" ca="1" si="35"/>
        <v>4.8033673903340457E-3</v>
      </c>
      <c r="AQ59" s="9">
        <f t="shared" ca="1" si="35"/>
        <v>9.1858960387496413E-3</v>
      </c>
      <c r="AR59" s="9">
        <f t="shared" ca="1" si="35"/>
        <v>3.7361031287486135E-3</v>
      </c>
      <c r="AS59" s="9">
        <f t="shared" ca="1" si="35"/>
        <v>3.7664083723508712E-3</v>
      </c>
      <c r="AT59" s="9">
        <f t="shared" ca="1" si="35"/>
        <v>4.5261061235116751E-3</v>
      </c>
      <c r="AU59" s="9">
        <f t="shared" ca="1" si="35"/>
        <v>6.7847744290731038E-3</v>
      </c>
      <c r="AV59" s="9">
        <f t="shared" ca="1" si="35"/>
        <v>4.2399349270056952E-3</v>
      </c>
      <c r="AW59" s="9">
        <f t="shared" ca="1" si="35"/>
        <v>7.2994117672036118E-3</v>
      </c>
      <c r="AX59" s="9">
        <f t="shared" ca="1" si="35"/>
        <v>1.7908629648144991E-2</v>
      </c>
      <c r="AY59" s="9">
        <f t="shared" ca="1" si="35"/>
        <v>1.5615980062745782E-2</v>
      </c>
      <c r="AZ59" s="9">
        <f t="shared" ca="1" si="35"/>
        <v>1.8343499952746756E-2</v>
      </c>
      <c r="BA59" s="9">
        <f t="shared" ca="1" si="35"/>
        <v>2.1387463898621117E-2</v>
      </c>
      <c r="BB59" s="9">
        <f t="shared" ca="1" si="35"/>
        <v>2.4663003256895744E-2</v>
      </c>
      <c r="BC59" s="9">
        <f t="shared" ca="1" si="35"/>
        <v>2.4186175655895203E-2</v>
      </c>
      <c r="BD59" s="9">
        <f t="shared" ca="1" si="35"/>
        <v>1.8005037769980747E-2</v>
      </c>
      <c r="BE59" s="9">
        <f t="shared" ca="1" si="35"/>
        <v>8.5038059906017427E-3</v>
      </c>
      <c r="BF59" s="9">
        <f t="shared" ca="1" si="35"/>
        <v>1.6498706701867816E-2</v>
      </c>
      <c r="BG59" s="9">
        <f t="shared" ca="1" si="35"/>
        <v>2.1478470899585655E-2</v>
      </c>
      <c r="BH59" s="9">
        <f t="shared" ca="1" si="35"/>
        <v>3.5802876109230164E-2</v>
      </c>
      <c r="BI59" s="9">
        <f t="shared" ca="1" si="35"/>
        <v>1.7869283070196751E-2</v>
      </c>
      <c r="BJ59" s="9">
        <f t="shared" ca="1" si="35"/>
        <v>1.8920309718057915E-2</v>
      </c>
      <c r="BK59" s="9">
        <f t="shared" ca="1" si="35"/>
        <v>8.9279930649255324E-3</v>
      </c>
      <c r="BL59" s="9">
        <f t="shared" ca="1" si="35"/>
        <v>7.9261274582126395E-3</v>
      </c>
      <c r="BM59" s="9">
        <f t="shared" ca="1" si="35"/>
        <v>2.1129521600715351E-2</v>
      </c>
      <c r="BN59" s="9">
        <f t="shared" ref="BN59:DY59" ca="1" si="36">IF(BN32="","",ABS(BN32))</f>
        <v>2.5328176507596112E-2</v>
      </c>
      <c r="BO59" s="9">
        <f t="shared" ca="1" si="36"/>
        <v>2.0174291828661151E-2</v>
      </c>
      <c r="BP59" s="9">
        <f t="shared" ca="1" si="36"/>
        <v>3.1947287389199053E-2</v>
      </c>
      <c r="BQ59" s="9">
        <f t="shared" ca="1" si="36"/>
        <v>2.053368638299502E-2</v>
      </c>
      <c r="BR59" s="9">
        <f t="shared" ca="1" si="36"/>
        <v>1.2624181264362377E-2</v>
      </c>
      <c r="BS59" s="9">
        <f t="shared" ca="1" si="36"/>
        <v>9.7391792978309688E-3</v>
      </c>
      <c r="BT59" s="9">
        <f t="shared" ca="1" si="36"/>
        <v>7.1323914629988217E-3</v>
      </c>
      <c r="BU59" s="9">
        <f t="shared" ca="1" si="36"/>
        <v>1.2138105017868162E-3</v>
      </c>
      <c r="BV59" s="9">
        <f t="shared" ca="1" si="36"/>
        <v>1.1540855736291267E-2</v>
      </c>
      <c r="BW59" s="9">
        <f t="shared" ca="1" si="36"/>
        <v>9.0275971243318764E-3</v>
      </c>
      <c r="BX59" s="9">
        <f t="shared" ca="1" si="36"/>
        <v>4.3260317475317667E-3</v>
      </c>
      <c r="BY59" s="9">
        <f t="shared" ca="1" si="36"/>
        <v>6.9563330802768775E-3</v>
      </c>
      <c r="BZ59" s="9">
        <f t="shared" ca="1" si="36"/>
        <v>1.1558613562452358E-3</v>
      </c>
      <c r="CA59" s="9">
        <f t="shared" ca="1" si="36"/>
        <v>2.3646758907793775E-3</v>
      </c>
      <c r="CB59" s="9">
        <f t="shared" ca="1" si="36"/>
        <v>1.3165395319211903E-2</v>
      </c>
      <c r="CC59" s="9">
        <f t="shared" ca="1" si="36"/>
        <v>1.1954227879082069E-2</v>
      </c>
      <c r="CD59" s="9">
        <f t="shared" ca="1" si="36"/>
        <v>2.4762732956212785E-3</v>
      </c>
      <c r="CE59" s="9">
        <f t="shared" ca="1" si="36"/>
        <v>5.3683857577699889E-3</v>
      </c>
      <c r="CF59" s="9">
        <f t="shared" ca="1" si="36"/>
        <v>1.4039335002300701E-2</v>
      </c>
      <c r="CG59" s="9">
        <f t="shared" ca="1" si="36"/>
        <v>5.5211664838770158E-3</v>
      </c>
      <c r="CH59" s="9">
        <f t="shared" ca="1" si="36"/>
        <v>5.8273960434993555E-3</v>
      </c>
      <c r="CI59" s="9">
        <f t="shared" ca="1" si="36"/>
        <v>5.2563952481896603E-3</v>
      </c>
      <c r="CJ59" s="9">
        <f t="shared" ca="1" si="36"/>
        <v>1.2597632622043387E-3</v>
      </c>
      <c r="CK59" s="9">
        <f t="shared" ca="1" si="36"/>
        <v>1.523840648467667E-3</v>
      </c>
      <c r="CL59" s="9">
        <f t="shared" ca="1" si="36"/>
        <v>7.0017988913151363E-3</v>
      </c>
      <c r="CM59" s="9">
        <f t="shared" ca="1" si="36"/>
        <v>6.4350907584613815E-3</v>
      </c>
      <c r="CN59" s="9">
        <f t="shared" ca="1" si="36"/>
        <v>1.124028266263899E-5</v>
      </c>
      <c r="CO59" s="9">
        <f t="shared" ca="1" si="36"/>
        <v>1.7210075546981285E-2</v>
      </c>
      <c r="CP59" s="9">
        <f t="shared" ca="1" si="36"/>
        <v>1.3950722403982985E-2</v>
      </c>
      <c r="CQ59" s="9">
        <f t="shared" ca="1" si="36"/>
        <v>2.1358118238645085E-2</v>
      </c>
      <c r="CR59" s="9">
        <f t="shared" ca="1" si="36"/>
        <v>9.8126891188503595E-3</v>
      </c>
      <c r="CS59" s="9">
        <f t="shared" ca="1" si="36"/>
        <v>5.3196873690333213E-3</v>
      </c>
      <c r="CT59" s="9">
        <f t="shared" ca="1" si="36"/>
        <v>1.7690202791103893E-2</v>
      </c>
      <c r="CU59" s="9">
        <f t="shared" ca="1" si="36"/>
        <v>1.2777433533735616E-2</v>
      </c>
      <c r="CV59" s="9">
        <f t="shared" ca="1" si="36"/>
        <v>5.4807794694811118E-3</v>
      </c>
      <c r="CW59" s="9">
        <f t="shared" ca="1" si="36"/>
        <v>2.0963151579315165E-3</v>
      </c>
      <c r="CX59" s="9">
        <f t="shared" ca="1" si="36"/>
        <v>3.396166058866612E-5</v>
      </c>
      <c r="CY59" s="9">
        <f t="shared" ca="1" si="36"/>
        <v>1.3889614287472263E-3</v>
      </c>
      <c r="CZ59" s="9">
        <f t="shared" ca="1" si="36"/>
        <v>5.7287655096687207E-3</v>
      </c>
      <c r="DA59" s="9">
        <f t="shared" ca="1" si="36"/>
        <v>2.9816892946765705E-3</v>
      </c>
      <c r="DB59" s="9">
        <f t="shared" ca="1" si="36"/>
        <v>9.02320827027836E-3</v>
      </c>
      <c r="DC59" s="9">
        <f t="shared" ca="1" si="36"/>
        <v>4.4401197628902933E-2</v>
      </c>
      <c r="DD59" s="9">
        <f t="shared" ca="1" si="36"/>
        <v>2.5724269285851253E-2</v>
      </c>
      <c r="DE59" s="9">
        <f t="shared" ca="1" si="36"/>
        <v>1.0507462900355424E-2</v>
      </c>
      <c r="DF59" s="9">
        <f t="shared" ca="1" si="36"/>
        <v>2.5168495539664049E-2</v>
      </c>
      <c r="DG59" s="9">
        <f t="shared" ca="1" si="36"/>
        <v>1.9266280564913418E-2</v>
      </c>
      <c r="DH59" s="9">
        <f t="shared" ca="1" si="36"/>
        <v>1.6152451210582619E-2</v>
      </c>
      <c r="DI59" s="9">
        <f t="shared" ca="1" si="36"/>
        <v>1.4295167161703426E-2</v>
      </c>
      <c r="DJ59" s="9">
        <f t="shared" ca="1" si="36"/>
        <v>1.3839753755993001E-2</v>
      </c>
      <c r="DK59" s="9">
        <f t="shared" ca="1" si="36"/>
        <v>1.12091892141164E-2</v>
      </c>
      <c r="DL59" s="9">
        <f t="shared" ca="1" si="36"/>
        <v>1.1383071516427479E-2</v>
      </c>
      <c r="DM59" s="9">
        <f t="shared" ca="1" si="36"/>
        <v>3.239176171556124E-2</v>
      </c>
      <c r="DN59" s="9">
        <f t="shared" ca="1" si="36"/>
        <v>9.6911652313603769E-3</v>
      </c>
      <c r="DO59" s="9">
        <f t="shared" ca="1" si="36"/>
        <v>1.9818911454153376E-2</v>
      </c>
      <c r="DP59" s="9">
        <f t="shared" ca="1" si="36"/>
        <v>6.8678482425019727E-3</v>
      </c>
      <c r="DQ59" s="9">
        <f t="shared" ca="1" si="36"/>
        <v>1.972381922075428E-2</v>
      </c>
      <c r="DR59" s="9">
        <f t="shared" ca="1" si="36"/>
        <v>3.8489712792869613E-3</v>
      </c>
      <c r="DS59" s="9">
        <f t="shared" ca="1" si="36"/>
        <v>2.9506556063698675E-3</v>
      </c>
      <c r="DT59" s="9">
        <f t="shared" ca="1" si="36"/>
        <v>2.1328644945484143E-4</v>
      </c>
      <c r="DU59" s="9">
        <f t="shared" ca="1" si="36"/>
        <v>6.4974183299754129E-3</v>
      </c>
      <c r="DV59" s="9">
        <f t="shared" ca="1" si="36"/>
        <v>2.6213956618583723E-3</v>
      </c>
      <c r="DW59" s="9">
        <f t="shared" ca="1" si="36"/>
        <v>3.4219288305887829E-3</v>
      </c>
      <c r="DX59" s="9">
        <f t="shared" ca="1" si="36"/>
        <v>9.529301554942804E-3</v>
      </c>
      <c r="DY59" s="9">
        <f t="shared" ca="1" si="36"/>
        <v>1.3555353454675956E-2</v>
      </c>
      <c r="DZ59" s="9">
        <f t="shared" ref="DZ59:GK59" ca="1" si="37">IF(DZ32="","",ABS(DZ32))</f>
        <v>6.8194936577613552E-3</v>
      </c>
      <c r="EA59" s="9">
        <f t="shared" ca="1" si="37"/>
        <v>1.4149870005395249E-2</v>
      </c>
      <c r="EB59" s="9">
        <f t="shared" ca="1" si="37"/>
        <v>1.0133074916955809E-2</v>
      </c>
      <c r="EC59" s="9">
        <f t="shared" ca="1" si="37"/>
        <v>6.7819851544245191E-3</v>
      </c>
      <c r="ED59" s="9">
        <f t="shared" ca="1" si="37"/>
        <v>6.9597375245343818E-3</v>
      </c>
      <c r="EE59" s="9">
        <f t="shared" ca="1" si="37"/>
        <v>2.0218721397713191E-2</v>
      </c>
      <c r="EF59" s="9">
        <f t="shared" ca="1" si="37"/>
        <v>2.1404018883942721E-2</v>
      </c>
      <c r="EG59" s="9">
        <f t="shared" ca="1" si="37"/>
        <v>1.3640736729709002E-2</v>
      </c>
      <c r="EH59" s="9">
        <f t="shared" ca="1" si="37"/>
        <v>5.2708832759902347E-3</v>
      </c>
      <c r="EI59" s="9">
        <f t="shared" ca="1" si="37"/>
        <v>2.2167669000188406E-2</v>
      </c>
      <c r="EJ59" s="9">
        <f t="shared" ca="1" si="37"/>
        <v>2.2372542827917119E-2</v>
      </c>
      <c r="EK59" s="9">
        <f t="shared" ca="1" si="37"/>
        <v>1.9970184624265697E-2</v>
      </c>
      <c r="EL59" s="9">
        <f t="shared" ca="1" si="37"/>
        <v>2.5360824006529503E-3</v>
      </c>
      <c r="EM59" s="9">
        <f t="shared" ca="1" si="37"/>
        <v>2.4344388944435025E-3</v>
      </c>
      <c r="EN59" s="9">
        <f t="shared" ca="1" si="37"/>
        <v>1.0609199755081011E-2</v>
      </c>
      <c r="EO59" s="9">
        <f t="shared" ca="1" si="37"/>
        <v>2.7522898619402048E-3</v>
      </c>
      <c r="EP59" s="9">
        <f t="shared" ca="1" si="37"/>
        <v>4.2077175941905853E-3</v>
      </c>
      <c r="EQ59" s="9">
        <f t="shared" ca="1" si="37"/>
        <v>1.4020004475323589E-3</v>
      </c>
      <c r="ER59" s="9">
        <f t="shared" ca="1" si="37"/>
        <v>7.0122119615741996E-3</v>
      </c>
      <c r="ES59" s="9">
        <f t="shared" ca="1" si="37"/>
        <v>1.8415742614023678E-2</v>
      </c>
      <c r="ET59" s="9">
        <f t="shared" ca="1" si="37"/>
        <v>1.4302520710311573E-2</v>
      </c>
      <c r="EU59" s="9">
        <f t="shared" ca="1" si="37"/>
        <v>7.454177184048727E-3</v>
      </c>
      <c r="EV59" s="9">
        <f t="shared" ca="1" si="37"/>
        <v>1.0973968440403992E-2</v>
      </c>
      <c r="EW59" s="9">
        <f t="shared" ca="1" si="37"/>
        <v>7.0620411860258248E-3</v>
      </c>
      <c r="EX59" s="9">
        <f t="shared" ca="1" si="37"/>
        <v>1.1480931572385611E-2</v>
      </c>
      <c r="EY59" s="9">
        <f t="shared" ca="1" si="37"/>
        <v>2.8951643106700509E-3</v>
      </c>
      <c r="EZ59" s="9">
        <f t="shared" ca="1" si="37"/>
        <v>5.0620478695997395E-3</v>
      </c>
      <c r="FA59" s="9">
        <f t="shared" ca="1" si="37"/>
        <v>3.2307473796262531E-3</v>
      </c>
      <c r="FB59" s="9">
        <f t="shared" ca="1" si="37"/>
        <v>3.0684946794545809E-3</v>
      </c>
      <c r="FC59" s="9">
        <f t="shared" ca="1" si="37"/>
        <v>4.2831974650883176E-3</v>
      </c>
      <c r="FD59" s="9">
        <f t="shared" ca="1" si="37"/>
        <v>4.704076932258161E-3</v>
      </c>
      <c r="FE59" s="9">
        <f t="shared" ca="1" si="37"/>
        <v>2.7977116598503216E-3</v>
      </c>
      <c r="FF59" s="9">
        <f t="shared" ca="1" si="37"/>
        <v>4.7634606930945234E-3</v>
      </c>
      <c r="FG59" s="9">
        <f t="shared" ca="1" si="37"/>
        <v>7.5774089841287307E-3</v>
      </c>
      <c r="FH59" s="9">
        <f t="shared" ca="1" si="37"/>
        <v>3.6775439015555023E-3</v>
      </c>
      <c r="FI59" s="9">
        <f t="shared" ca="1" si="37"/>
        <v>2.4830317527315682E-3</v>
      </c>
      <c r="FJ59" s="9">
        <f t="shared" ca="1" si="37"/>
        <v>1.7519461125966029E-2</v>
      </c>
      <c r="FK59" s="9">
        <f t="shared" ca="1" si="37"/>
        <v>1.3857049331126636E-2</v>
      </c>
      <c r="FL59" s="9">
        <f t="shared" ca="1" si="37"/>
        <v>9.0338655947825863E-3</v>
      </c>
      <c r="FM59" s="9">
        <f t="shared" ca="1" si="37"/>
        <v>1.1157414496216767E-2</v>
      </c>
      <c r="FN59" s="9">
        <f t="shared" ca="1" si="37"/>
        <v>1.6854960185923806E-2</v>
      </c>
      <c r="FO59" s="9">
        <f t="shared" ca="1" si="37"/>
        <v>1.709721546449483E-2</v>
      </c>
      <c r="FP59" s="9">
        <f t="shared" ca="1" si="37"/>
        <v>1.1357858432278212E-2</v>
      </c>
      <c r="FQ59" s="9">
        <f t="shared" ca="1" si="37"/>
        <v>5.9668583164351752E-3</v>
      </c>
      <c r="FR59" s="9">
        <f t="shared" ca="1" si="37"/>
        <v>1.2498305004448818E-2</v>
      </c>
      <c r="FS59" s="9">
        <f t="shared" ca="1" si="37"/>
        <v>1.1467202530430876E-2</v>
      </c>
      <c r="FT59" s="9">
        <f t="shared" ca="1" si="37"/>
        <v>7.7589259027188717E-4</v>
      </c>
      <c r="FU59" s="9">
        <f t="shared" ca="1" si="37"/>
        <v>4.3931957009657463E-3</v>
      </c>
      <c r="FV59" s="9">
        <f t="shared" ca="1" si="37"/>
        <v>9.0328686733531782E-5</v>
      </c>
      <c r="FW59" s="9">
        <f t="shared" ca="1" si="37"/>
        <v>2.613950630794637E-2</v>
      </c>
      <c r="FX59" s="9">
        <f t="shared" ca="1" si="37"/>
        <v>1.305245253314169E-2</v>
      </c>
      <c r="FY59" s="9">
        <f t="shared" ca="1" si="37"/>
        <v>1.1915952914425487E-2</v>
      </c>
      <c r="FZ59" s="9">
        <f t="shared" ca="1" si="37"/>
        <v>5.6702327509090544E-3</v>
      </c>
      <c r="GA59" s="9">
        <f t="shared" ca="1" si="37"/>
        <v>1.6561722739933726E-2</v>
      </c>
      <c r="GB59" s="9">
        <f t="shared" ca="1" si="37"/>
        <v>1.738578286011494E-2</v>
      </c>
      <c r="GC59" s="9">
        <f t="shared" ca="1" si="37"/>
        <v>1.3816218905879918E-2</v>
      </c>
      <c r="GD59" s="9">
        <f t="shared" ca="1" si="37"/>
        <v>1.0496114302695814E-2</v>
      </c>
      <c r="GE59" s="9">
        <f t="shared" ca="1" si="37"/>
        <v>4.4833170317977178E-3</v>
      </c>
      <c r="GF59" s="9">
        <f t="shared" ca="1" si="37"/>
        <v>9.3261273188069982E-3</v>
      </c>
      <c r="GG59" s="9">
        <f t="shared" ca="1" si="37"/>
        <v>6.2901363900775831E-3</v>
      </c>
      <c r="GH59" s="9">
        <f t="shared" ca="1" si="37"/>
        <v>4.0220552614321781E-3</v>
      </c>
      <c r="GI59" s="9">
        <f t="shared" ca="1" si="37"/>
        <v>8.4334202235472056E-3</v>
      </c>
      <c r="GJ59" s="9">
        <f t="shared" ca="1" si="37"/>
        <v>4.8752546652155448E-3</v>
      </c>
      <c r="GK59" s="9">
        <f t="shared" ca="1" si="37"/>
        <v>1.1786254089044546E-3</v>
      </c>
      <c r="GL59" s="9">
        <f t="shared" ref="GL59:IW59" ca="1" si="38">IF(GL32="","",ABS(GL32))</f>
        <v>1.7443497366339766E-2</v>
      </c>
      <c r="GM59" s="9">
        <f t="shared" ca="1" si="38"/>
        <v>4.2746933180871194E-2</v>
      </c>
      <c r="GN59" s="9">
        <f t="shared" ca="1" si="38"/>
        <v>4.1376091836751616E-2</v>
      </c>
      <c r="GO59" s="9">
        <f t="shared" ca="1" si="38"/>
        <v>1.5487428803488967E-2</v>
      </c>
      <c r="GP59" s="9">
        <f t="shared" ca="1" si="38"/>
        <v>1.6581265889996311E-2</v>
      </c>
      <c r="GQ59" s="9">
        <f t="shared" ca="1" si="38"/>
        <v>2.8824007023117382E-2</v>
      </c>
      <c r="GR59" s="9">
        <f t="shared" ca="1" si="38"/>
        <v>2.8654073758214049E-2</v>
      </c>
      <c r="GS59" s="9">
        <f t="shared" ca="1" si="38"/>
        <v>1.8151661462323165E-2</v>
      </c>
      <c r="GT59" s="9">
        <f t="shared" ca="1" si="38"/>
        <v>1.710363957188743E-2</v>
      </c>
      <c r="GU59" s="9">
        <f t="shared" ca="1" si="38"/>
        <v>3.2180225055555844E-3</v>
      </c>
      <c r="GV59" s="9">
        <f t="shared" ca="1" si="38"/>
        <v>6.7890448703100681E-4</v>
      </c>
      <c r="GW59" s="9" t="str">
        <f t="shared" ca="1" si="38"/>
        <v/>
      </c>
      <c r="GX59" s="9" t="str">
        <f t="shared" ca="1" si="38"/>
        <v/>
      </c>
      <c r="GY59" s="9" t="str">
        <f t="shared" ca="1" si="38"/>
        <v/>
      </c>
      <c r="GZ59" s="9" t="str">
        <f t="shared" ca="1" si="38"/>
        <v/>
      </c>
      <c r="HA59" s="9" t="str">
        <f t="shared" ca="1" si="38"/>
        <v/>
      </c>
      <c r="HB59" s="9" t="str">
        <f t="shared" ca="1" si="38"/>
        <v/>
      </c>
      <c r="HC59" s="9" t="str">
        <f t="shared" ca="1" si="38"/>
        <v/>
      </c>
      <c r="HD59" s="9" t="str">
        <f t="shared" ca="1" si="38"/>
        <v/>
      </c>
      <c r="HE59" s="9" t="str">
        <f t="shared" ca="1" si="38"/>
        <v/>
      </c>
      <c r="HF59" s="9" t="str">
        <f t="shared" ca="1" si="38"/>
        <v/>
      </c>
      <c r="HG59" s="9" t="str">
        <f t="shared" ca="1" si="38"/>
        <v/>
      </c>
      <c r="HH59" s="9" t="str">
        <f t="shared" ca="1" si="38"/>
        <v/>
      </c>
      <c r="HI59" s="9" t="str">
        <f t="shared" ca="1" si="38"/>
        <v/>
      </c>
      <c r="HJ59" s="9" t="str">
        <f t="shared" ca="1" si="38"/>
        <v/>
      </c>
      <c r="HK59" s="9" t="str">
        <f t="shared" ca="1" si="38"/>
        <v/>
      </c>
      <c r="HL59" s="9" t="str">
        <f t="shared" ca="1" si="38"/>
        <v/>
      </c>
      <c r="HM59" s="9" t="str">
        <f t="shared" ca="1" si="38"/>
        <v/>
      </c>
      <c r="HN59" s="9" t="str">
        <f t="shared" ca="1" si="38"/>
        <v/>
      </c>
      <c r="HO59" s="9" t="str">
        <f t="shared" ca="1" si="38"/>
        <v/>
      </c>
      <c r="HP59" s="9" t="str">
        <f t="shared" ca="1" si="38"/>
        <v/>
      </c>
      <c r="HQ59" s="9" t="str">
        <f t="shared" ca="1" si="38"/>
        <v/>
      </c>
      <c r="HR59" s="9" t="str">
        <f t="shared" ca="1" si="38"/>
        <v/>
      </c>
      <c r="HS59" s="9" t="str">
        <f t="shared" ca="1" si="38"/>
        <v/>
      </c>
      <c r="HT59" s="9" t="str">
        <f t="shared" ca="1" si="38"/>
        <v/>
      </c>
      <c r="HU59" s="9" t="str">
        <f t="shared" ca="1" si="38"/>
        <v/>
      </c>
      <c r="HV59" s="9" t="str">
        <f t="shared" ca="1" si="38"/>
        <v/>
      </c>
      <c r="HW59" s="9" t="str">
        <f t="shared" ca="1" si="38"/>
        <v/>
      </c>
      <c r="HX59" s="9" t="str">
        <f t="shared" ca="1" si="38"/>
        <v/>
      </c>
      <c r="HY59" s="9" t="str">
        <f t="shared" ca="1" si="38"/>
        <v/>
      </c>
      <c r="HZ59" s="9" t="str">
        <f t="shared" ca="1" si="38"/>
        <v/>
      </c>
      <c r="IA59" s="9" t="str">
        <f t="shared" ca="1" si="38"/>
        <v/>
      </c>
      <c r="IB59" s="9" t="str">
        <f t="shared" ca="1" si="38"/>
        <v/>
      </c>
      <c r="IC59" s="9" t="str">
        <f t="shared" ca="1" si="38"/>
        <v/>
      </c>
      <c r="ID59" s="9" t="str">
        <f t="shared" ca="1" si="38"/>
        <v/>
      </c>
      <c r="IE59" s="9" t="str">
        <f t="shared" ca="1" si="38"/>
        <v/>
      </c>
      <c r="IF59" s="9" t="str">
        <f t="shared" ca="1" si="38"/>
        <v/>
      </c>
      <c r="IG59" s="9" t="str">
        <f t="shared" ca="1" si="38"/>
        <v/>
      </c>
      <c r="IH59" s="9" t="str">
        <f t="shared" ca="1" si="38"/>
        <v/>
      </c>
      <c r="II59" s="9" t="str">
        <f t="shared" ca="1" si="38"/>
        <v/>
      </c>
      <c r="IJ59" s="9" t="str">
        <f t="shared" ca="1" si="38"/>
        <v/>
      </c>
      <c r="IK59" s="9" t="str">
        <f t="shared" ca="1" si="38"/>
        <v/>
      </c>
      <c r="IL59" s="9" t="str">
        <f t="shared" ca="1" si="38"/>
        <v/>
      </c>
      <c r="IM59" s="9" t="str">
        <f t="shared" ca="1" si="38"/>
        <v/>
      </c>
      <c r="IN59" s="9" t="str">
        <f t="shared" ca="1" si="38"/>
        <v/>
      </c>
      <c r="IO59" s="9" t="str">
        <f t="shared" ca="1" si="38"/>
        <v/>
      </c>
      <c r="IP59" s="9" t="str">
        <f t="shared" ca="1" si="38"/>
        <v/>
      </c>
      <c r="IQ59" s="9" t="str">
        <f t="shared" ca="1" si="38"/>
        <v/>
      </c>
      <c r="IR59" s="9" t="str">
        <f t="shared" ca="1" si="38"/>
        <v/>
      </c>
      <c r="IS59" s="9" t="str">
        <f t="shared" ca="1" si="38"/>
        <v/>
      </c>
      <c r="IT59" s="9" t="str">
        <f t="shared" ca="1" si="38"/>
        <v/>
      </c>
      <c r="IU59" s="9" t="str">
        <f t="shared" ca="1" si="38"/>
        <v/>
      </c>
      <c r="IV59" s="9" t="str">
        <f t="shared" ca="1" si="38"/>
        <v/>
      </c>
      <c r="IW59" s="9" t="str">
        <f t="shared" ca="1" si="38"/>
        <v/>
      </c>
      <c r="IX59" s="9" t="str">
        <f t="shared" ref="IX59:JH59" ca="1" si="39">IF(IX32="","",ABS(IX32))</f>
        <v/>
      </c>
      <c r="IY59" s="9" t="str">
        <f t="shared" ca="1" si="39"/>
        <v/>
      </c>
      <c r="IZ59" s="9" t="str">
        <f t="shared" ca="1" si="39"/>
        <v/>
      </c>
      <c r="JA59" s="9" t="str">
        <f t="shared" ca="1" si="39"/>
        <v/>
      </c>
      <c r="JB59" s="9" t="str">
        <f t="shared" ca="1" si="39"/>
        <v/>
      </c>
      <c r="JC59" s="9" t="str">
        <f t="shared" ca="1" si="39"/>
        <v/>
      </c>
      <c r="JD59" s="9" t="str">
        <f t="shared" ca="1" si="39"/>
        <v/>
      </c>
      <c r="JE59" s="9" t="str">
        <f t="shared" ca="1" si="39"/>
        <v/>
      </c>
      <c r="JF59" s="9" t="str">
        <f t="shared" ca="1" si="39"/>
        <v/>
      </c>
      <c r="JG59" s="9" t="str">
        <f t="shared" ca="1" si="39"/>
        <v/>
      </c>
      <c r="JH59" s="9" t="str">
        <f t="shared" ca="1" si="39"/>
        <v/>
      </c>
      <c r="JI59" s="13">
        <f t="shared" ca="1" si="24"/>
        <v>1.309700713530285E-2</v>
      </c>
      <c r="JJ59" s="13">
        <f t="shared" ca="1" si="25"/>
        <v>1.1691577722428181E-2</v>
      </c>
      <c r="JK59" s="14">
        <f t="shared" ca="1" si="26"/>
        <v>1.1443029719743135E-4</v>
      </c>
      <c r="JL59" s="17">
        <f t="shared" ca="1" si="34"/>
        <v>1.0697209785613787E-2</v>
      </c>
      <c r="JM59" s="15" t="str">
        <f t="shared" ca="1" si="27"/>
        <v>[ -0,83% ; 3,45% ]</v>
      </c>
      <c r="JN59" s="17">
        <f t="shared" ca="1" si="28"/>
        <v>1.3692428525585647E-2</v>
      </c>
      <c r="LY59" s="1"/>
    </row>
    <row r="60" spans="1:337" x14ac:dyDescent="0.25">
      <c r="A60" s="4">
        <v>4</v>
      </c>
      <c r="B60" s="9">
        <f t="shared" ref="B60:BM60" ca="1" si="40">IF(B33="","",ABS(B33))</f>
        <v>6.9887897498954743E-4</v>
      </c>
      <c r="C60" s="9">
        <f t="shared" ca="1" si="40"/>
        <v>3.5348857565035141E-3</v>
      </c>
      <c r="D60" s="9">
        <f t="shared" ca="1" si="40"/>
        <v>8.4291757357163322E-3</v>
      </c>
      <c r="E60" s="9">
        <f t="shared" ca="1" si="40"/>
        <v>1.4576769694479297E-2</v>
      </c>
      <c r="F60" s="9">
        <f t="shared" ca="1" si="40"/>
        <v>1.8333773681728394E-2</v>
      </c>
      <c r="G60" s="9">
        <f t="shared" ca="1" si="40"/>
        <v>1.4462249819041428E-2</v>
      </c>
      <c r="H60" s="9">
        <f t="shared" ca="1" si="40"/>
        <v>1.2748241622112744E-2</v>
      </c>
      <c r="I60" s="9">
        <f t="shared" ca="1" si="40"/>
        <v>3.8787104989037591E-3</v>
      </c>
      <c r="J60" s="9">
        <f t="shared" ca="1" si="40"/>
        <v>1.2702757147512456E-2</v>
      </c>
      <c r="K60" s="9">
        <f t="shared" ca="1" si="40"/>
        <v>5.7111493129304858E-3</v>
      </c>
      <c r="L60" s="9">
        <f t="shared" ca="1" si="40"/>
        <v>4.8448916742720449E-3</v>
      </c>
      <c r="M60" s="9">
        <f t="shared" ca="1" si="40"/>
        <v>3.4515985076088995E-4</v>
      </c>
      <c r="N60" s="9">
        <f t="shared" ca="1" si="40"/>
        <v>1.2376516077279298E-3</v>
      </c>
      <c r="O60" s="9">
        <f t="shared" ca="1" si="40"/>
        <v>1.0963355091668903E-2</v>
      </c>
      <c r="P60" s="9">
        <f t="shared" ca="1" si="40"/>
        <v>2.1709259625307786E-2</v>
      </c>
      <c r="Q60" s="9">
        <f t="shared" ca="1" si="40"/>
        <v>2.8749260314999914E-2</v>
      </c>
      <c r="R60" s="9">
        <f t="shared" ca="1" si="40"/>
        <v>2.8297472745241192E-2</v>
      </c>
      <c r="S60" s="9">
        <f t="shared" ca="1" si="40"/>
        <v>1.9998846304166373E-2</v>
      </c>
      <c r="T60" s="9">
        <f t="shared" ca="1" si="40"/>
        <v>1.1037320181047083E-2</v>
      </c>
      <c r="U60" s="9">
        <f t="shared" ca="1" si="40"/>
        <v>1.2769335534327242E-3</v>
      </c>
      <c r="V60" s="9">
        <f t="shared" ca="1" si="40"/>
        <v>8.6910411737243232E-3</v>
      </c>
      <c r="W60" s="9">
        <f t="shared" ca="1" si="40"/>
        <v>6.6285504869419976E-3</v>
      </c>
      <c r="X60" s="9">
        <f t="shared" ca="1" si="40"/>
        <v>5.505308731147962E-3</v>
      </c>
      <c r="Y60" s="9">
        <f t="shared" ca="1" si="40"/>
        <v>2.4440495064651513E-3</v>
      </c>
      <c r="Z60" s="9">
        <f t="shared" ca="1" si="40"/>
        <v>6.9822275252005017E-3</v>
      </c>
      <c r="AA60" s="9">
        <f t="shared" ca="1" si="40"/>
        <v>6.5784640214792134E-3</v>
      </c>
      <c r="AB60" s="9">
        <f t="shared" ca="1" si="40"/>
        <v>1.4293975591021857E-2</v>
      </c>
      <c r="AC60" s="9">
        <f t="shared" ca="1" si="40"/>
        <v>2.3883144026008774E-2</v>
      </c>
      <c r="AD60" s="9">
        <f t="shared" ca="1" si="40"/>
        <v>1.9853310327781371E-2</v>
      </c>
      <c r="AE60" s="9">
        <f t="shared" ca="1" si="40"/>
        <v>1.9933449495388222E-2</v>
      </c>
      <c r="AF60" s="9">
        <f t="shared" ca="1" si="40"/>
        <v>8.8456708088588965E-3</v>
      </c>
      <c r="AG60" s="9">
        <f t="shared" ca="1" si="40"/>
        <v>1.7669703520484248E-3</v>
      </c>
      <c r="AH60" s="9">
        <f t="shared" ca="1" si="40"/>
        <v>8.3640564705145248E-3</v>
      </c>
      <c r="AI60" s="9">
        <f t="shared" ca="1" si="40"/>
        <v>8.5760501685732127E-3</v>
      </c>
      <c r="AJ60" s="9">
        <f t="shared" ca="1" si="40"/>
        <v>9.1041283125620209E-3</v>
      </c>
      <c r="AK60" s="9">
        <f t="shared" ca="1" si="40"/>
        <v>1.1319088923557596E-2</v>
      </c>
      <c r="AL60" s="9">
        <f t="shared" ca="1" si="40"/>
        <v>5.4147380339963913E-3</v>
      </c>
      <c r="AM60" s="9">
        <f t="shared" ca="1" si="40"/>
        <v>3.8707090678078426E-3</v>
      </c>
      <c r="AN60" s="9">
        <f t="shared" ca="1" si="40"/>
        <v>2.7660356294270105E-3</v>
      </c>
      <c r="AO60" s="9">
        <f t="shared" ca="1" si="40"/>
        <v>4.7418744869747176E-3</v>
      </c>
      <c r="AP60" s="9">
        <f t="shared" ca="1" si="40"/>
        <v>8.2919514815420481E-3</v>
      </c>
      <c r="AQ60" s="9">
        <f t="shared" ca="1" si="40"/>
        <v>8.4028131137396933E-3</v>
      </c>
      <c r="AR60" s="9">
        <f t="shared" ca="1" si="40"/>
        <v>1.423906978213263E-3</v>
      </c>
      <c r="AS60" s="9">
        <f t="shared" ca="1" si="40"/>
        <v>1.3189001050142313E-3</v>
      </c>
      <c r="AT60" s="9">
        <f t="shared" ca="1" si="40"/>
        <v>7.8383691674117628E-3</v>
      </c>
      <c r="AU60" s="9">
        <f t="shared" ca="1" si="40"/>
        <v>1.0673683036909187E-3</v>
      </c>
      <c r="AV60" s="9">
        <f t="shared" ca="1" si="40"/>
        <v>8.5541910539308486E-3</v>
      </c>
      <c r="AW60" s="9">
        <f t="shared" ca="1" si="40"/>
        <v>1.4274661562255542E-2</v>
      </c>
      <c r="AX60" s="9">
        <f t="shared" ca="1" si="40"/>
        <v>2.0851240486300382E-2</v>
      </c>
      <c r="AY60" s="9">
        <f t="shared" ca="1" si="40"/>
        <v>2.353864111511017E-2</v>
      </c>
      <c r="AZ60" s="9">
        <f t="shared" ca="1" si="40"/>
        <v>2.8081893450791151E-2</v>
      </c>
      <c r="BA60" s="9">
        <f t="shared" ca="1" si="40"/>
        <v>2.8645602481561783E-2</v>
      </c>
      <c r="BB60" s="9">
        <f t="shared" ca="1" si="40"/>
        <v>3.2375019677823635E-2</v>
      </c>
      <c r="BC60" s="9">
        <f t="shared" ca="1" si="40"/>
        <v>2.7734912791185229E-2</v>
      </c>
      <c r="BD60" s="9">
        <f t="shared" ca="1" si="40"/>
        <v>1.9392376500091624E-2</v>
      </c>
      <c r="BE60" s="9">
        <f t="shared" ca="1" si="40"/>
        <v>3.2768023352114151E-2</v>
      </c>
      <c r="BF60" s="9">
        <f t="shared" ca="1" si="40"/>
        <v>1.8033155878126816E-2</v>
      </c>
      <c r="BG60" s="9">
        <f t="shared" ca="1" si="40"/>
        <v>3.074584957250881E-2</v>
      </c>
      <c r="BH60" s="9">
        <f t="shared" ca="1" si="40"/>
        <v>4.3787705648256514E-2</v>
      </c>
      <c r="BI60" s="9">
        <f t="shared" ca="1" si="40"/>
        <v>2.6339702651982488E-2</v>
      </c>
      <c r="BJ60" s="9">
        <f t="shared" ca="1" si="40"/>
        <v>1.7818042024656311E-2</v>
      </c>
      <c r="BK60" s="9">
        <f t="shared" ca="1" si="40"/>
        <v>1.2784549528579436E-3</v>
      </c>
      <c r="BL60" s="9">
        <f t="shared" ca="1" si="40"/>
        <v>1.3305871917099643E-2</v>
      </c>
      <c r="BM60" s="9">
        <f t="shared" ca="1" si="40"/>
        <v>3.1920741084110693E-2</v>
      </c>
      <c r="BN60" s="9">
        <f t="shared" ref="BN60:DY60" ca="1" si="41">IF(BN33="","",ABS(BN33))</f>
        <v>3.2287080495847498E-2</v>
      </c>
      <c r="BO60" s="9">
        <f t="shared" ca="1" si="41"/>
        <v>4.2226115904561712E-2</v>
      </c>
      <c r="BP60" s="9">
        <f t="shared" ca="1" si="41"/>
        <v>2.7325371150039302E-2</v>
      </c>
      <c r="BQ60" s="9">
        <f t="shared" ca="1" si="41"/>
        <v>2.0125350634600192E-2</v>
      </c>
      <c r="BR60" s="9">
        <f t="shared" ca="1" si="41"/>
        <v>2.2248470256832631E-2</v>
      </c>
      <c r="BS60" s="9">
        <f t="shared" ca="1" si="41"/>
        <v>2.1654738003596075E-2</v>
      </c>
      <c r="BT60" s="9">
        <f t="shared" ca="1" si="41"/>
        <v>9.1602777611259345E-3</v>
      </c>
      <c r="BU60" s="9">
        <f t="shared" ca="1" si="41"/>
        <v>1.0166802589994806E-3</v>
      </c>
      <c r="BV60" s="9">
        <f t="shared" ca="1" si="41"/>
        <v>1.7325237824612483E-2</v>
      </c>
      <c r="BW60" s="9">
        <f t="shared" ca="1" si="41"/>
        <v>7.8674914409155861E-3</v>
      </c>
      <c r="BX60" s="9">
        <f t="shared" ca="1" si="41"/>
        <v>9.4945126562893112E-3</v>
      </c>
      <c r="BY60" s="9">
        <f t="shared" ca="1" si="41"/>
        <v>7.7981028830771404E-3</v>
      </c>
      <c r="BZ60" s="9">
        <f t="shared" ca="1" si="41"/>
        <v>1.4337551256280445E-3</v>
      </c>
      <c r="CA60" s="9">
        <f t="shared" ca="1" si="41"/>
        <v>1.0394485342862136E-2</v>
      </c>
      <c r="CB60" s="9">
        <f t="shared" ca="1" si="41"/>
        <v>1.2822500793237546E-2</v>
      </c>
      <c r="CC60" s="9">
        <f t="shared" ca="1" si="41"/>
        <v>1.8985029281309851E-3</v>
      </c>
      <c r="CD60" s="9">
        <f t="shared" ca="1" si="41"/>
        <v>4.9029589925881911E-3</v>
      </c>
      <c r="CE60" s="9">
        <f t="shared" ca="1" si="41"/>
        <v>9.518248245805383E-3</v>
      </c>
      <c r="CF60" s="9">
        <f t="shared" ca="1" si="41"/>
        <v>2.382336002600316E-2</v>
      </c>
      <c r="CG60" s="9">
        <f t="shared" ca="1" si="41"/>
        <v>5.5082041645526658E-3</v>
      </c>
      <c r="CH60" s="9">
        <f t="shared" ca="1" si="41"/>
        <v>4.918739161279051E-3</v>
      </c>
      <c r="CI60" s="9">
        <f t="shared" ca="1" si="41"/>
        <v>7.6759722826502674E-3</v>
      </c>
      <c r="CJ60" s="9">
        <f t="shared" ca="1" si="41"/>
        <v>1.2341241458562191E-3</v>
      </c>
      <c r="CK60" s="9">
        <f t="shared" ca="1" si="41"/>
        <v>4.8650468254947121E-3</v>
      </c>
      <c r="CL60" s="9">
        <f t="shared" ca="1" si="41"/>
        <v>8.2817272041622036E-3</v>
      </c>
      <c r="CM60" s="9">
        <f t="shared" ca="1" si="41"/>
        <v>2.2793585269607064E-3</v>
      </c>
      <c r="CN60" s="9">
        <f t="shared" ca="1" si="41"/>
        <v>2.0927742575312935E-2</v>
      </c>
      <c r="CO60" s="9">
        <f t="shared" ca="1" si="41"/>
        <v>1.5404239098434358E-2</v>
      </c>
      <c r="CP60" s="9">
        <f t="shared" ca="1" si="41"/>
        <v>6.373773022099849E-3</v>
      </c>
      <c r="CQ60" s="9">
        <f t="shared" ca="1" si="41"/>
        <v>3.1238462910477605E-2</v>
      </c>
      <c r="CR60" s="9">
        <f t="shared" ca="1" si="41"/>
        <v>1.7069426721897818E-2</v>
      </c>
      <c r="CS60" s="9">
        <f t="shared" ca="1" si="41"/>
        <v>7.983094865358753E-3</v>
      </c>
      <c r="CT60" s="9">
        <f t="shared" ca="1" si="41"/>
        <v>2.4954064289291589E-2</v>
      </c>
      <c r="CU60" s="9">
        <f t="shared" ca="1" si="41"/>
        <v>1.586051124874821E-2</v>
      </c>
      <c r="CV60" s="9">
        <f t="shared" ca="1" si="41"/>
        <v>1.5131401568635461E-4</v>
      </c>
      <c r="CW60" s="9">
        <f t="shared" ca="1" si="41"/>
        <v>3.9417484936645764E-3</v>
      </c>
      <c r="CX60" s="9">
        <f t="shared" ca="1" si="41"/>
        <v>3.00845597199495E-3</v>
      </c>
      <c r="CY60" s="9">
        <f t="shared" ca="1" si="41"/>
        <v>1.6103283183888428E-2</v>
      </c>
      <c r="CZ60" s="9">
        <f t="shared" ca="1" si="41"/>
        <v>9.2505956622894736E-3</v>
      </c>
      <c r="DA60" s="9">
        <f t="shared" ca="1" si="41"/>
        <v>1.6187691970179108E-2</v>
      </c>
      <c r="DB60" s="9">
        <f t="shared" ca="1" si="41"/>
        <v>5.8517263128374797E-3</v>
      </c>
      <c r="DC60" s="9">
        <f t="shared" ca="1" si="41"/>
        <v>4.7801719389957587E-2</v>
      </c>
      <c r="DD60" s="9">
        <f t="shared" ca="1" si="41"/>
        <v>2.0438828035034939E-2</v>
      </c>
      <c r="DE60" s="9">
        <f t="shared" ca="1" si="41"/>
        <v>2.0450348451688583E-2</v>
      </c>
      <c r="DF60" s="9">
        <f t="shared" ca="1" si="41"/>
        <v>3.2865595234076728E-2</v>
      </c>
      <c r="DG60" s="9">
        <f t="shared" ca="1" si="41"/>
        <v>2.6851294030366457E-2</v>
      </c>
      <c r="DH60" s="9">
        <f t="shared" ca="1" si="41"/>
        <v>2.0819588005731693E-2</v>
      </c>
      <c r="DI60" s="9">
        <f t="shared" ca="1" si="41"/>
        <v>1.960787234293293E-2</v>
      </c>
      <c r="DJ60" s="9">
        <f t="shared" ca="1" si="41"/>
        <v>1.6024728194943716E-2</v>
      </c>
      <c r="DK60" s="9">
        <f t="shared" ca="1" si="41"/>
        <v>1.827837235427876E-2</v>
      </c>
      <c r="DL60" s="9">
        <f t="shared" ca="1" si="41"/>
        <v>3.3433469047303044E-2</v>
      </c>
      <c r="DM60" s="9">
        <f t="shared" ca="1" si="41"/>
        <v>1.4961003948619545E-2</v>
      </c>
      <c r="DN60" s="9">
        <f t="shared" ca="1" si="41"/>
        <v>2.8650157152179334E-2</v>
      </c>
      <c r="DO60" s="9">
        <f t="shared" ca="1" si="41"/>
        <v>2.9032594420410396E-2</v>
      </c>
      <c r="DP60" s="9">
        <f t="shared" ca="1" si="41"/>
        <v>9.548493683982473E-3</v>
      </c>
      <c r="DQ60" s="9">
        <f t="shared" ca="1" si="41"/>
        <v>2.0505848683849082E-2</v>
      </c>
      <c r="DR60" s="9">
        <f t="shared" ca="1" si="41"/>
        <v>4.7832803995682127E-3</v>
      </c>
      <c r="DS60" s="9">
        <f t="shared" ca="1" si="41"/>
        <v>1.5448344258386371E-3</v>
      </c>
      <c r="DT60" s="9">
        <f t="shared" ca="1" si="41"/>
        <v>3.5721116710369927E-3</v>
      </c>
      <c r="DU60" s="9">
        <f t="shared" ca="1" si="41"/>
        <v>3.1053695408219673E-3</v>
      </c>
      <c r="DV60" s="9">
        <f t="shared" ca="1" si="41"/>
        <v>2.0789294952687776E-3</v>
      </c>
      <c r="DW60" s="9">
        <f t="shared" ca="1" si="41"/>
        <v>1.4948045871730709E-2</v>
      </c>
      <c r="DX60" s="9">
        <f t="shared" ca="1" si="41"/>
        <v>1.9167096615391621E-2</v>
      </c>
      <c r="DY60" s="9">
        <f t="shared" ca="1" si="41"/>
        <v>5.0896471001049548E-4</v>
      </c>
      <c r="DZ60" s="9">
        <f t="shared" ref="DZ60:GK60" ca="1" si="42">IF(DZ33="","",ABS(DZ33))</f>
        <v>7.2734968912100406E-3</v>
      </c>
      <c r="EA60" s="9">
        <f t="shared" ca="1" si="42"/>
        <v>2.5125333309518938E-2</v>
      </c>
      <c r="EB60" s="9">
        <f t="shared" ca="1" si="42"/>
        <v>1.7490411492450453E-2</v>
      </c>
      <c r="EC60" s="9">
        <f t="shared" ca="1" si="42"/>
        <v>1.362867075202856E-2</v>
      </c>
      <c r="ED60" s="9">
        <f t="shared" ca="1" si="42"/>
        <v>1.356089470680566E-2</v>
      </c>
      <c r="EE60" s="9">
        <f t="shared" ca="1" si="42"/>
        <v>2.9236811110863958E-2</v>
      </c>
      <c r="EF60" s="9">
        <f t="shared" ca="1" si="42"/>
        <v>2.2068497968493861E-2</v>
      </c>
      <c r="EG60" s="9">
        <f t="shared" ca="1" si="42"/>
        <v>4.3304671045417686E-3</v>
      </c>
      <c r="EH60" s="9">
        <f t="shared" ca="1" si="42"/>
        <v>1.4374881993228117E-2</v>
      </c>
      <c r="EI60" s="9">
        <f t="shared" ca="1" si="42"/>
        <v>2.3314429152093474E-2</v>
      </c>
      <c r="EJ60" s="9">
        <f t="shared" ca="1" si="42"/>
        <v>3.1609604877393283E-2</v>
      </c>
      <c r="EK60" s="9">
        <f t="shared" ca="1" si="42"/>
        <v>8.875447461006658E-3</v>
      </c>
      <c r="EL60" s="9">
        <f t="shared" ca="1" si="42"/>
        <v>2.5715271981119336E-3</v>
      </c>
      <c r="EM60" s="9">
        <f t="shared" ca="1" si="42"/>
        <v>2.3432412952660853E-3</v>
      </c>
      <c r="EN60" s="9">
        <f t="shared" ca="1" si="42"/>
        <v>1.1877406683811098E-2</v>
      </c>
      <c r="EO60" s="9">
        <f t="shared" ca="1" si="42"/>
        <v>2.0855069542767835E-3</v>
      </c>
      <c r="EP60" s="9">
        <f t="shared" ca="1" si="42"/>
        <v>1.2524101466169224E-3</v>
      </c>
      <c r="EQ60" s="9">
        <f t="shared" ca="1" si="42"/>
        <v>3.5335073290201358E-3</v>
      </c>
      <c r="ER60" s="9">
        <f t="shared" ca="1" si="42"/>
        <v>1.6594258812514529E-2</v>
      </c>
      <c r="ES60" s="9">
        <f t="shared" ca="1" si="42"/>
        <v>1.8184842345192465E-2</v>
      </c>
      <c r="ET60" s="9">
        <f t="shared" ca="1" si="42"/>
        <v>1.1854304678377225E-2</v>
      </c>
      <c r="EU60" s="9">
        <f t="shared" ca="1" si="42"/>
        <v>1.0083290131601697E-3</v>
      </c>
      <c r="EV60" s="9">
        <f t="shared" ca="1" si="42"/>
        <v>5.2598629458315838E-3</v>
      </c>
      <c r="EW60" s="9">
        <f t="shared" ca="1" si="42"/>
        <v>1.8514910169877385E-2</v>
      </c>
      <c r="EX60" s="9">
        <f t="shared" ca="1" si="42"/>
        <v>1.3331981408949867E-2</v>
      </c>
      <c r="EY60" s="9">
        <f t="shared" ca="1" si="42"/>
        <v>2.3856408861177014E-3</v>
      </c>
      <c r="EZ60" s="9">
        <f t="shared" ca="1" si="42"/>
        <v>5.9785871559410175E-3</v>
      </c>
      <c r="FA60" s="9">
        <f t="shared" ca="1" si="42"/>
        <v>2.0944294783693529E-3</v>
      </c>
      <c r="FB60" s="9">
        <f t="shared" ca="1" si="42"/>
        <v>4.2940407879343834E-4</v>
      </c>
      <c r="FC60" s="9">
        <f t="shared" ca="1" si="42"/>
        <v>4.4590546800482578E-3</v>
      </c>
      <c r="FD60" s="9">
        <f t="shared" ca="1" si="42"/>
        <v>1.112547004809894E-3</v>
      </c>
      <c r="FE60" s="9">
        <f t="shared" ca="1" si="42"/>
        <v>2.1102430917558923E-3</v>
      </c>
      <c r="FF60" s="9">
        <f t="shared" ca="1" si="42"/>
        <v>4.6774750709680513E-3</v>
      </c>
      <c r="FG60" s="9">
        <f t="shared" ca="1" si="42"/>
        <v>1.0786951047827453E-2</v>
      </c>
      <c r="FH60" s="9">
        <f t="shared" ca="1" si="42"/>
        <v>4.6030319439213097E-3</v>
      </c>
      <c r="FI60" s="9">
        <f t="shared" ca="1" si="42"/>
        <v>1.558575696348441E-2</v>
      </c>
      <c r="FJ60" s="9">
        <f t="shared" ca="1" si="42"/>
        <v>1.5476350826796992E-2</v>
      </c>
      <c r="FK60" s="9">
        <f t="shared" ca="1" si="42"/>
        <v>1.0319692127593982E-2</v>
      </c>
      <c r="FL60" s="9">
        <f t="shared" ca="1" si="42"/>
        <v>5.5361760193433085E-3</v>
      </c>
      <c r="FM60" s="9">
        <f t="shared" ca="1" si="42"/>
        <v>1.7072047328543283E-2</v>
      </c>
      <c r="FN60" s="9">
        <f t="shared" ca="1" si="42"/>
        <v>2.4199712544585639E-2</v>
      </c>
      <c r="FO60" s="9">
        <f t="shared" ca="1" si="42"/>
        <v>1.9408130588620676E-2</v>
      </c>
      <c r="FP60" s="9">
        <f t="shared" ca="1" si="42"/>
        <v>1.097302325672489E-2</v>
      </c>
      <c r="FQ60" s="9">
        <f t="shared" ca="1" si="42"/>
        <v>4.8513445013965706E-3</v>
      </c>
      <c r="FR60" s="9">
        <f t="shared" ca="1" si="42"/>
        <v>9.468009831348545E-3</v>
      </c>
      <c r="FS60" s="9">
        <f t="shared" ca="1" si="42"/>
        <v>1.0815089009007517E-3</v>
      </c>
      <c r="FT60" s="9">
        <f t="shared" ca="1" si="42"/>
        <v>1.5778996991058891E-2</v>
      </c>
      <c r="FU60" s="9">
        <f t="shared" ca="1" si="42"/>
        <v>1.1010686132724157E-3</v>
      </c>
      <c r="FV60" s="9">
        <f t="shared" ca="1" si="42"/>
        <v>9.4897350820426496E-3</v>
      </c>
      <c r="FW60" s="9">
        <f t="shared" ca="1" si="42"/>
        <v>3.0718709761518914E-2</v>
      </c>
      <c r="FX60" s="9">
        <f t="shared" ca="1" si="42"/>
        <v>9.5927337684302838E-3</v>
      </c>
      <c r="FY60" s="9">
        <f t="shared" ca="1" si="42"/>
        <v>8.8581847378329526E-3</v>
      </c>
      <c r="FZ60" s="9">
        <f t="shared" ca="1" si="42"/>
        <v>1.3002674265968572E-2</v>
      </c>
      <c r="GA60" s="9">
        <f t="shared" ca="1" si="42"/>
        <v>2.2824699196231535E-2</v>
      </c>
      <c r="GB60" s="9">
        <f t="shared" ca="1" si="42"/>
        <v>1.9115457535887392E-2</v>
      </c>
      <c r="GC60" s="9">
        <f t="shared" ca="1" si="42"/>
        <v>1.6195762922696533E-2</v>
      </c>
      <c r="GD60" s="9">
        <f t="shared" ca="1" si="42"/>
        <v>1.333897814436269E-2</v>
      </c>
      <c r="GE60" s="9">
        <f t="shared" ca="1" si="42"/>
        <v>8.670436262715242E-3</v>
      </c>
      <c r="GF60" s="9">
        <f t="shared" ca="1" si="42"/>
        <v>5.8154542267558895E-3</v>
      </c>
      <c r="GG60" s="9">
        <f t="shared" ca="1" si="42"/>
        <v>1.1221531163180254E-3</v>
      </c>
      <c r="GH60" s="9">
        <f t="shared" ca="1" si="42"/>
        <v>3.7281495651524388E-3</v>
      </c>
      <c r="GI60" s="9">
        <f t="shared" ca="1" si="42"/>
        <v>3.6999369114666392E-3</v>
      </c>
      <c r="GJ60" s="9">
        <f t="shared" ca="1" si="42"/>
        <v>1.0672553916616589E-2</v>
      </c>
      <c r="GK60" s="9">
        <f t="shared" ca="1" si="42"/>
        <v>1.4477106773400639E-2</v>
      </c>
      <c r="GL60" s="9">
        <f t="shared" ref="GL60:IW60" ca="1" si="43">IF(GL33="","",ABS(GL33))</f>
        <v>4.8733941201078101E-2</v>
      </c>
      <c r="GM60" s="9">
        <f t="shared" ca="1" si="43"/>
        <v>3.7597219502996104E-2</v>
      </c>
      <c r="GN60" s="9">
        <f t="shared" ca="1" si="43"/>
        <v>3.398895604653096E-2</v>
      </c>
      <c r="GO60" s="9">
        <f t="shared" ca="1" si="43"/>
        <v>1.2020592398141794E-2</v>
      </c>
      <c r="GP60" s="9">
        <f t="shared" ca="1" si="43"/>
        <v>2.3933574340228581E-2</v>
      </c>
      <c r="GQ60" s="9">
        <f t="shared" ca="1" si="43"/>
        <v>4.5565239861945273E-2</v>
      </c>
      <c r="GR60" s="9">
        <f t="shared" ca="1" si="43"/>
        <v>2.7993366128659547E-2</v>
      </c>
      <c r="GS60" s="9">
        <f t="shared" ca="1" si="43"/>
        <v>2.6177092399390145E-2</v>
      </c>
      <c r="GT60" s="9">
        <f t="shared" ca="1" si="43"/>
        <v>1.7393505521746344E-2</v>
      </c>
      <c r="GU60" s="9">
        <f t="shared" ca="1" si="43"/>
        <v>4.659180493402415E-3</v>
      </c>
      <c r="GV60" s="9" t="str">
        <f t="shared" ca="1" si="43"/>
        <v/>
      </c>
      <c r="GW60" s="9" t="str">
        <f t="shared" ca="1" si="43"/>
        <v/>
      </c>
      <c r="GX60" s="9" t="str">
        <f t="shared" ca="1" si="43"/>
        <v/>
      </c>
      <c r="GY60" s="9" t="str">
        <f t="shared" ca="1" si="43"/>
        <v/>
      </c>
      <c r="GZ60" s="9" t="str">
        <f t="shared" ca="1" si="43"/>
        <v/>
      </c>
      <c r="HA60" s="9" t="str">
        <f t="shared" ca="1" si="43"/>
        <v/>
      </c>
      <c r="HB60" s="9" t="str">
        <f t="shared" ca="1" si="43"/>
        <v/>
      </c>
      <c r="HC60" s="9" t="str">
        <f t="shared" ca="1" si="43"/>
        <v/>
      </c>
      <c r="HD60" s="9" t="str">
        <f t="shared" ca="1" si="43"/>
        <v/>
      </c>
      <c r="HE60" s="9" t="str">
        <f t="shared" ca="1" si="43"/>
        <v/>
      </c>
      <c r="HF60" s="9" t="str">
        <f t="shared" ca="1" si="43"/>
        <v/>
      </c>
      <c r="HG60" s="9" t="str">
        <f t="shared" ca="1" si="43"/>
        <v/>
      </c>
      <c r="HH60" s="9" t="str">
        <f t="shared" ca="1" si="43"/>
        <v/>
      </c>
      <c r="HI60" s="9" t="str">
        <f t="shared" ca="1" si="43"/>
        <v/>
      </c>
      <c r="HJ60" s="9" t="str">
        <f t="shared" ca="1" si="43"/>
        <v/>
      </c>
      <c r="HK60" s="9" t="str">
        <f t="shared" ca="1" si="43"/>
        <v/>
      </c>
      <c r="HL60" s="9" t="str">
        <f t="shared" ca="1" si="43"/>
        <v/>
      </c>
      <c r="HM60" s="9" t="str">
        <f t="shared" ca="1" si="43"/>
        <v/>
      </c>
      <c r="HN60" s="9" t="str">
        <f t="shared" ca="1" si="43"/>
        <v/>
      </c>
      <c r="HO60" s="9" t="str">
        <f t="shared" ca="1" si="43"/>
        <v/>
      </c>
      <c r="HP60" s="9" t="str">
        <f t="shared" ca="1" si="43"/>
        <v/>
      </c>
      <c r="HQ60" s="9" t="str">
        <f t="shared" ca="1" si="43"/>
        <v/>
      </c>
      <c r="HR60" s="9" t="str">
        <f t="shared" ca="1" si="43"/>
        <v/>
      </c>
      <c r="HS60" s="9" t="str">
        <f t="shared" ca="1" si="43"/>
        <v/>
      </c>
      <c r="HT60" s="9" t="str">
        <f t="shared" ca="1" si="43"/>
        <v/>
      </c>
      <c r="HU60" s="9" t="str">
        <f t="shared" ca="1" si="43"/>
        <v/>
      </c>
      <c r="HV60" s="9" t="str">
        <f t="shared" ca="1" si="43"/>
        <v/>
      </c>
      <c r="HW60" s="9" t="str">
        <f t="shared" ca="1" si="43"/>
        <v/>
      </c>
      <c r="HX60" s="9" t="str">
        <f t="shared" ca="1" si="43"/>
        <v/>
      </c>
      <c r="HY60" s="9" t="str">
        <f t="shared" ca="1" si="43"/>
        <v/>
      </c>
      <c r="HZ60" s="9" t="str">
        <f t="shared" ca="1" si="43"/>
        <v/>
      </c>
      <c r="IA60" s="9" t="str">
        <f t="shared" ca="1" si="43"/>
        <v/>
      </c>
      <c r="IB60" s="9" t="str">
        <f t="shared" ca="1" si="43"/>
        <v/>
      </c>
      <c r="IC60" s="9" t="str">
        <f t="shared" ca="1" si="43"/>
        <v/>
      </c>
      <c r="ID60" s="9" t="str">
        <f t="shared" ca="1" si="43"/>
        <v/>
      </c>
      <c r="IE60" s="9" t="str">
        <f t="shared" ca="1" si="43"/>
        <v/>
      </c>
      <c r="IF60" s="9" t="str">
        <f t="shared" ca="1" si="43"/>
        <v/>
      </c>
      <c r="IG60" s="9" t="str">
        <f t="shared" ca="1" si="43"/>
        <v/>
      </c>
      <c r="IH60" s="9" t="str">
        <f t="shared" ca="1" si="43"/>
        <v/>
      </c>
      <c r="II60" s="9" t="str">
        <f t="shared" ca="1" si="43"/>
        <v/>
      </c>
      <c r="IJ60" s="9" t="str">
        <f t="shared" ca="1" si="43"/>
        <v/>
      </c>
      <c r="IK60" s="9" t="str">
        <f t="shared" ca="1" si="43"/>
        <v/>
      </c>
      <c r="IL60" s="9" t="str">
        <f t="shared" ca="1" si="43"/>
        <v/>
      </c>
      <c r="IM60" s="9" t="str">
        <f t="shared" ca="1" si="43"/>
        <v/>
      </c>
      <c r="IN60" s="9" t="str">
        <f t="shared" ca="1" si="43"/>
        <v/>
      </c>
      <c r="IO60" s="9" t="str">
        <f t="shared" ca="1" si="43"/>
        <v/>
      </c>
      <c r="IP60" s="9" t="str">
        <f t="shared" ca="1" si="43"/>
        <v/>
      </c>
      <c r="IQ60" s="9" t="str">
        <f t="shared" ca="1" si="43"/>
        <v/>
      </c>
      <c r="IR60" s="9" t="str">
        <f t="shared" ca="1" si="43"/>
        <v/>
      </c>
      <c r="IS60" s="9" t="str">
        <f t="shared" ca="1" si="43"/>
        <v/>
      </c>
      <c r="IT60" s="9" t="str">
        <f t="shared" ca="1" si="43"/>
        <v/>
      </c>
      <c r="IU60" s="9" t="str">
        <f t="shared" ca="1" si="43"/>
        <v/>
      </c>
      <c r="IV60" s="9" t="str">
        <f t="shared" ca="1" si="43"/>
        <v/>
      </c>
      <c r="IW60" s="9" t="str">
        <f t="shared" ca="1" si="43"/>
        <v/>
      </c>
      <c r="IX60" s="9" t="str">
        <f t="shared" ref="IX60:JH60" ca="1" si="44">IF(IX33="","",ABS(IX33))</f>
        <v/>
      </c>
      <c r="IY60" s="9" t="str">
        <f t="shared" ca="1" si="44"/>
        <v/>
      </c>
      <c r="IZ60" s="9" t="str">
        <f t="shared" ca="1" si="44"/>
        <v/>
      </c>
      <c r="JA60" s="9" t="str">
        <f t="shared" ca="1" si="44"/>
        <v/>
      </c>
      <c r="JB60" s="9" t="str">
        <f t="shared" ca="1" si="44"/>
        <v/>
      </c>
      <c r="JC60" s="9" t="str">
        <f t="shared" ca="1" si="44"/>
        <v/>
      </c>
      <c r="JD60" s="9" t="str">
        <f t="shared" ca="1" si="44"/>
        <v/>
      </c>
      <c r="JE60" s="9" t="str">
        <f t="shared" ca="1" si="44"/>
        <v/>
      </c>
      <c r="JF60" s="9" t="str">
        <f t="shared" ca="1" si="44"/>
        <v/>
      </c>
      <c r="JG60" s="9" t="str">
        <f t="shared" ca="1" si="44"/>
        <v/>
      </c>
      <c r="JH60" s="9" t="str">
        <f t="shared" ca="1" si="44"/>
        <v/>
      </c>
      <c r="JI60" s="13">
        <f t="shared" ca="1" si="24"/>
        <v>1.6182784610306238E-2</v>
      </c>
      <c r="JJ60" s="13">
        <f t="shared" ca="1" si="25"/>
        <v>1.3002674265968572E-2</v>
      </c>
      <c r="JK60" s="14">
        <f t="shared" ca="1" si="26"/>
        <v>1.5928300694227277E-4</v>
      </c>
      <c r="JL60" s="17">
        <f t="shared" ca="1" si="34"/>
        <v>1.2620737179034858E-2</v>
      </c>
      <c r="JM60" s="15" t="str">
        <f t="shared" ca="1" si="27"/>
        <v>[ -0,91% ; 4,14% ]</v>
      </c>
      <c r="JN60" s="17">
        <f t="shared" ca="1" si="28"/>
        <v>1.615454358916462E-2</v>
      </c>
      <c r="LY60" s="1"/>
    </row>
    <row r="61" spans="1:337" x14ac:dyDescent="0.25">
      <c r="A61" s="4">
        <v>5</v>
      </c>
      <c r="B61" s="9">
        <f t="shared" ref="B61:BM61" ca="1" si="45">IF(B34="","",ABS(B34))</f>
        <v>3.3244298997411326E-3</v>
      </c>
      <c r="C61" s="9">
        <f t="shared" ca="1" si="45"/>
        <v>9.4136302232968871E-3</v>
      </c>
      <c r="D61" s="9">
        <f t="shared" ca="1" si="45"/>
        <v>1.537841211158697E-2</v>
      </c>
      <c r="E61" s="9">
        <f t="shared" ca="1" si="45"/>
        <v>1.816173402865362E-2</v>
      </c>
      <c r="F61" s="9">
        <f t="shared" ca="1" si="45"/>
        <v>1.4796251686850503E-2</v>
      </c>
      <c r="G61" s="9">
        <f t="shared" ca="1" si="45"/>
        <v>1.4528596679370231E-2</v>
      </c>
      <c r="H61" s="9">
        <f t="shared" ca="1" si="45"/>
        <v>8.9811794314703652E-3</v>
      </c>
      <c r="I61" s="9">
        <f t="shared" ca="1" si="45"/>
        <v>2.0603568729759991E-2</v>
      </c>
      <c r="J61" s="9">
        <f t="shared" ca="1" si="45"/>
        <v>5.9302177403490752E-3</v>
      </c>
      <c r="K61" s="9">
        <f t="shared" ca="1" si="45"/>
        <v>4.7630943844214624E-3</v>
      </c>
      <c r="L61" s="9">
        <f t="shared" ca="1" si="45"/>
        <v>2.3139827977560756E-3</v>
      </c>
      <c r="M61" s="9">
        <f t="shared" ca="1" si="45"/>
        <v>8.2076911908633976E-3</v>
      </c>
      <c r="N61" s="9">
        <f t="shared" ca="1" si="45"/>
        <v>4.3065177114021136E-3</v>
      </c>
      <c r="O61" s="9">
        <f t="shared" ca="1" si="45"/>
        <v>2.005606565018514E-2</v>
      </c>
      <c r="P61" s="9">
        <f t="shared" ca="1" si="45"/>
        <v>2.7195941404642099E-2</v>
      </c>
      <c r="Q61" s="9">
        <f t="shared" ca="1" si="45"/>
        <v>3.1384979719304318E-2</v>
      </c>
      <c r="R61" s="9">
        <f t="shared" ca="1" si="45"/>
        <v>2.4541054259090034E-2</v>
      </c>
      <c r="S61" s="9">
        <f t="shared" ca="1" si="45"/>
        <v>2.0475945292941056E-2</v>
      </c>
      <c r="T61" s="9">
        <f t="shared" ca="1" si="45"/>
        <v>1.2265074581992552E-2</v>
      </c>
      <c r="U61" s="9">
        <f t="shared" ca="1" si="45"/>
        <v>8.8038890292295724E-3</v>
      </c>
      <c r="V61" s="9">
        <f t="shared" ca="1" si="45"/>
        <v>2.9763574695740314E-4</v>
      </c>
      <c r="W61" s="9">
        <f t="shared" ca="1" si="45"/>
        <v>6.7748388887216571E-3</v>
      </c>
      <c r="X61" s="9">
        <f t="shared" ca="1" si="45"/>
        <v>7.4699832481970319E-3</v>
      </c>
      <c r="Y61" s="9">
        <f t="shared" ca="1" si="45"/>
        <v>9.5387413711156555E-4</v>
      </c>
      <c r="Z61" s="9">
        <f t="shared" ca="1" si="45"/>
        <v>1.0163329083365813E-2</v>
      </c>
      <c r="AA61" s="9">
        <f t="shared" ca="1" si="45"/>
        <v>1.5695937752452815E-2</v>
      </c>
      <c r="AB61" s="9">
        <f t="shared" ca="1" si="45"/>
        <v>2.0024293074209831E-2</v>
      </c>
      <c r="AC61" s="9">
        <f t="shared" ca="1" si="45"/>
        <v>2.9111039503894487E-2</v>
      </c>
      <c r="AD61" s="9">
        <f t="shared" ca="1" si="45"/>
        <v>1.8577946866400241E-2</v>
      </c>
      <c r="AE61" s="9">
        <f t="shared" ca="1" si="45"/>
        <v>1.920175113883249E-2</v>
      </c>
      <c r="AF61" s="9">
        <f t="shared" ca="1" si="45"/>
        <v>7.5875075754576748E-3</v>
      </c>
      <c r="AG61" s="9">
        <f t="shared" ca="1" si="45"/>
        <v>4.3829303715513523E-3</v>
      </c>
      <c r="AH61" s="9">
        <f t="shared" ca="1" si="45"/>
        <v>7.279758265841263E-3</v>
      </c>
      <c r="AI61" s="9">
        <f t="shared" ca="1" si="45"/>
        <v>1.0140920505874229E-2</v>
      </c>
      <c r="AJ61" s="9">
        <f t="shared" ca="1" si="45"/>
        <v>1.1974628390514663E-2</v>
      </c>
      <c r="AK61" s="9">
        <f t="shared" ca="1" si="45"/>
        <v>1.0932860618426132E-2</v>
      </c>
      <c r="AL61" s="9">
        <f t="shared" ca="1" si="45"/>
        <v>5.5961855966348839E-3</v>
      </c>
      <c r="AM61" s="9">
        <f t="shared" ca="1" si="45"/>
        <v>8.2893337057399208E-4</v>
      </c>
      <c r="AN61" s="9">
        <f t="shared" ca="1" si="45"/>
        <v>2.3264093281729625E-3</v>
      </c>
      <c r="AO61" s="9">
        <f t="shared" ca="1" si="45"/>
        <v>7.8887897421888731E-3</v>
      </c>
      <c r="AP61" s="9">
        <f t="shared" ca="1" si="45"/>
        <v>8.1085836364163111E-3</v>
      </c>
      <c r="AQ61" s="9">
        <f t="shared" ca="1" si="45"/>
        <v>3.0344287289618688E-3</v>
      </c>
      <c r="AR61" s="9">
        <f t="shared" ca="1" si="45"/>
        <v>3.6948412730897218E-4</v>
      </c>
      <c r="AS61" s="9">
        <f t="shared" ca="1" si="45"/>
        <v>5.2864017710766431E-3</v>
      </c>
      <c r="AT61" s="9">
        <f t="shared" ca="1" si="45"/>
        <v>1.6568356099735393E-3</v>
      </c>
      <c r="AU61" s="9">
        <f t="shared" ca="1" si="45"/>
        <v>2.6709317150295231E-3</v>
      </c>
      <c r="AV61" s="9">
        <f t="shared" ca="1" si="45"/>
        <v>1.5157188560766421E-2</v>
      </c>
      <c r="AW61" s="9">
        <f t="shared" ca="1" si="45"/>
        <v>1.7473526510071613E-2</v>
      </c>
      <c r="AX61" s="9">
        <f t="shared" ca="1" si="45"/>
        <v>2.9027258684794166E-2</v>
      </c>
      <c r="AY61" s="9">
        <f t="shared" ca="1" si="45"/>
        <v>3.3670966525033208E-2</v>
      </c>
      <c r="AZ61" s="9">
        <f t="shared" ca="1" si="45"/>
        <v>3.6136933763168511E-2</v>
      </c>
      <c r="BA61" s="9">
        <f t="shared" ca="1" si="45"/>
        <v>3.651255742363424E-2</v>
      </c>
      <c r="BB61" s="9">
        <f t="shared" ca="1" si="45"/>
        <v>3.5385211482330758E-2</v>
      </c>
      <c r="BC61" s="9">
        <f t="shared" ca="1" si="45"/>
        <v>3.0089461783819216E-2</v>
      </c>
      <c r="BD61" s="9">
        <f t="shared" ca="1" si="45"/>
        <v>4.5466304555896508E-2</v>
      </c>
      <c r="BE61" s="9">
        <f t="shared" ca="1" si="45"/>
        <v>4.2099194285313724E-2</v>
      </c>
      <c r="BF61" s="9">
        <f t="shared" ca="1" si="45"/>
        <v>2.7551873661183501E-2</v>
      </c>
      <c r="BG61" s="9">
        <f t="shared" ca="1" si="45"/>
        <v>3.9124693841051883E-2</v>
      </c>
      <c r="BH61" s="9">
        <f t="shared" ca="1" si="45"/>
        <v>5.6129696533006257E-2</v>
      </c>
      <c r="BI61" s="9">
        <f t="shared" ca="1" si="45"/>
        <v>2.6322619082640664E-2</v>
      </c>
      <c r="BJ61" s="9">
        <f t="shared" ca="1" si="45"/>
        <v>9.8184895860264909E-3</v>
      </c>
      <c r="BK61" s="9">
        <f t="shared" ca="1" si="45"/>
        <v>2.8749197080052413E-3</v>
      </c>
      <c r="BL61" s="9">
        <f t="shared" ca="1" si="45"/>
        <v>2.2081901030622797E-2</v>
      </c>
      <c r="BM61" s="9">
        <f t="shared" ca="1" si="45"/>
        <v>4.1879480075590947E-2</v>
      </c>
      <c r="BN61" s="9">
        <f t="shared" ref="BN61:DY61" ca="1" si="46">IF(BN34="","",ABS(BN34))</f>
        <v>5.6824509251178545E-2</v>
      </c>
      <c r="BO61" s="9">
        <f t="shared" ca="1" si="46"/>
        <v>3.6512692554059867E-2</v>
      </c>
      <c r="BP61" s="9">
        <f t="shared" ca="1" si="46"/>
        <v>2.6495691156888657E-2</v>
      </c>
      <c r="BQ61" s="9">
        <f t="shared" ca="1" si="46"/>
        <v>3.0656476980430614E-2</v>
      </c>
      <c r="BR61" s="9">
        <f t="shared" ca="1" si="46"/>
        <v>1.4823109413883206E-2</v>
      </c>
      <c r="BS61" s="9">
        <f t="shared" ca="1" si="46"/>
        <v>2.5573293519357332E-2</v>
      </c>
      <c r="BT61" s="9">
        <f t="shared" ca="1" si="46"/>
        <v>1.1972257212169213E-2</v>
      </c>
      <c r="BU61" s="9">
        <f t="shared" ca="1" si="46"/>
        <v>5.2213942230363575E-3</v>
      </c>
      <c r="BV61" s="9">
        <f t="shared" ca="1" si="46"/>
        <v>1.7898504415540861E-2</v>
      </c>
      <c r="BW61" s="9">
        <f t="shared" ca="1" si="46"/>
        <v>1.3815129649578095E-2</v>
      </c>
      <c r="BX61" s="9">
        <f t="shared" ca="1" si="46"/>
        <v>9.9956059637309469E-3</v>
      </c>
      <c r="BY61" s="9">
        <f t="shared" ca="1" si="46"/>
        <v>6.9350496330571332E-3</v>
      </c>
      <c r="BZ61" s="9">
        <f t="shared" ca="1" si="46"/>
        <v>1.1732839428463149E-2</v>
      </c>
      <c r="CA61" s="9">
        <f t="shared" ca="1" si="46"/>
        <v>7.0169416883619773E-3</v>
      </c>
      <c r="CB61" s="9">
        <f t="shared" ca="1" si="46"/>
        <v>3.5492858664182281E-3</v>
      </c>
      <c r="CC61" s="9">
        <f t="shared" ca="1" si="46"/>
        <v>4.7263883863463141E-3</v>
      </c>
      <c r="CD61" s="9">
        <f t="shared" ca="1" si="46"/>
        <v>6.1755514510943854E-3</v>
      </c>
      <c r="CE61" s="9">
        <f t="shared" ca="1" si="46"/>
        <v>2.0604804598869153E-2</v>
      </c>
      <c r="CF61" s="9">
        <f t="shared" ca="1" si="46"/>
        <v>2.5816419292143067E-2</v>
      </c>
      <c r="CG61" s="9">
        <f t="shared" ca="1" si="46"/>
        <v>3.9712927502404405E-3</v>
      </c>
      <c r="CH61" s="9">
        <f t="shared" ca="1" si="46"/>
        <v>6.5660139636418702E-3</v>
      </c>
      <c r="CI61" s="9">
        <f t="shared" ca="1" si="46"/>
        <v>1.0229774770240896E-2</v>
      </c>
      <c r="CJ61" s="9">
        <f t="shared" ca="1" si="46"/>
        <v>4.6092673581781263E-3</v>
      </c>
      <c r="CK61" s="9">
        <f t="shared" ca="1" si="46"/>
        <v>4.68612320031081E-3</v>
      </c>
      <c r="CL61" s="9">
        <f t="shared" ca="1" si="46"/>
        <v>3.4640747137255623E-3</v>
      </c>
      <c r="CM61" s="9">
        <f t="shared" ca="1" si="46"/>
        <v>2.5808593728268603E-2</v>
      </c>
      <c r="CN61" s="9">
        <f t="shared" ca="1" si="46"/>
        <v>2.2383684862032682E-2</v>
      </c>
      <c r="CO61" s="9">
        <f t="shared" ca="1" si="46"/>
        <v>1.0436555200835418E-2</v>
      </c>
      <c r="CP61" s="9">
        <f t="shared" ca="1" si="46"/>
        <v>1.3719215974603793E-2</v>
      </c>
      <c r="CQ61" s="9">
        <f t="shared" ca="1" si="46"/>
        <v>3.8136921532730073E-2</v>
      </c>
      <c r="CR61" s="9">
        <f t="shared" ca="1" si="46"/>
        <v>2.0072232648422617E-2</v>
      </c>
      <c r="CS61" s="9">
        <f t="shared" ca="1" si="46"/>
        <v>1.404761673522481E-2</v>
      </c>
      <c r="CT61" s="9">
        <f t="shared" ca="1" si="46"/>
        <v>2.7618664383317171E-2</v>
      </c>
      <c r="CU61" s="9">
        <f t="shared" ca="1" si="46"/>
        <v>1.0075771726962612E-2</v>
      </c>
      <c r="CV61" s="9">
        <f t="shared" ca="1" si="46"/>
        <v>6.2690185504536977E-3</v>
      </c>
      <c r="CW61" s="9">
        <f t="shared" ca="1" si="46"/>
        <v>1.1259559461946456E-2</v>
      </c>
      <c r="CX61" s="9">
        <f t="shared" ca="1" si="46"/>
        <v>1.8034660214721332E-2</v>
      </c>
      <c r="CY61" s="9">
        <f t="shared" ca="1" si="46"/>
        <v>1.4083615672683125E-3</v>
      </c>
      <c r="CZ61" s="9">
        <f t="shared" ca="1" si="46"/>
        <v>3.0626572054295753E-2</v>
      </c>
      <c r="DA61" s="9">
        <f t="shared" ca="1" si="46"/>
        <v>2.1814967254452311E-2</v>
      </c>
      <c r="DB61" s="9">
        <f t="shared" ca="1" si="46"/>
        <v>2.9264112316562674E-3</v>
      </c>
      <c r="DC61" s="9">
        <f t="shared" ca="1" si="46"/>
        <v>4.4287575606909213E-2</v>
      </c>
      <c r="DD61" s="9">
        <f t="shared" ca="1" si="46"/>
        <v>1.5505563499707664E-2</v>
      </c>
      <c r="DE61" s="9">
        <f t="shared" ca="1" si="46"/>
        <v>2.6930810025949548E-2</v>
      </c>
      <c r="DF61" s="9">
        <f t="shared" ca="1" si="46"/>
        <v>4.1129980673162203E-2</v>
      </c>
      <c r="DG61" s="9">
        <f t="shared" ca="1" si="46"/>
        <v>3.366154424475698E-2</v>
      </c>
      <c r="DH61" s="9">
        <f t="shared" ca="1" si="46"/>
        <v>2.7009441690014846E-2</v>
      </c>
      <c r="DI61" s="9">
        <f t="shared" ca="1" si="46"/>
        <v>2.2942947688971982E-2</v>
      </c>
      <c r="DJ61" s="9">
        <f t="shared" ca="1" si="46"/>
        <v>2.061327066730545E-2</v>
      </c>
      <c r="DK61" s="9">
        <f t="shared" ca="1" si="46"/>
        <v>4.5135336759310807E-2</v>
      </c>
      <c r="DL61" s="9">
        <f t="shared" ca="1" si="46"/>
        <v>1.5320743842625717E-2</v>
      </c>
      <c r="DM61" s="9">
        <f t="shared" ca="1" si="46"/>
        <v>3.2299756930431855E-2</v>
      </c>
      <c r="DN61" s="9">
        <f t="shared" ca="1" si="46"/>
        <v>3.4651153385549138E-2</v>
      </c>
      <c r="DO61" s="9">
        <f t="shared" ca="1" si="46"/>
        <v>3.0981607823877044E-2</v>
      </c>
      <c r="DP61" s="9">
        <f t="shared" ca="1" si="46"/>
        <v>1.1767530452697184E-2</v>
      </c>
      <c r="DQ61" s="9">
        <f t="shared" ca="1" si="46"/>
        <v>2.3774120606065985E-2</v>
      </c>
      <c r="DR61" s="9">
        <f t="shared" ca="1" si="46"/>
        <v>7.538072317903044E-3</v>
      </c>
      <c r="DS61" s="9">
        <f t="shared" ca="1" si="46"/>
        <v>2.5597674169586249E-3</v>
      </c>
      <c r="DT61" s="9">
        <f t="shared" ca="1" si="46"/>
        <v>1.0060483720738533E-3</v>
      </c>
      <c r="DU61" s="9">
        <f t="shared" ca="1" si="46"/>
        <v>8.2615470831659543E-4</v>
      </c>
      <c r="DV61" s="9">
        <f t="shared" ca="1" si="46"/>
        <v>1.6511163070625168E-2</v>
      </c>
      <c r="DW61" s="9">
        <f t="shared" ca="1" si="46"/>
        <v>1.4099389366499127E-2</v>
      </c>
      <c r="DX61" s="9">
        <f t="shared" ca="1" si="46"/>
        <v>7.2404071684701865E-3</v>
      </c>
      <c r="DY61" s="9">
        <f t="shared" ca="1" si="46"/>
        <v>3.4222307785362061E-3</v>
      </c>
      <c r="DZ61" s="9">
        <f t="shared" ref="DZ61:GK61" ca="1" si="47">IF(DZ34="","",ABS(DZ34))</f>
        <v>3.7167678370676471E-3</v>
      </c>
      <c r="EA61" s="9">
        <f t="shared" ca="1" si="47"/>
        <v>2.0341252430949863E-2</v>
      </c>
      <c r="EB61" s="9">
        <f t="shared" ca="1" si="47"/>
        <v>2.5840492084364897E-2</v>
      </c>
      <c r="EC61" s="9">
        <f t="shared" ca="1" si="47"/>
        <v>2.0990048554771712E-2</v>
      </c>
      <c r="ED61" s="9">
        <f t="shared" ca="1" si="47"/>
        <v>2.0829308741258545E-2</v>
      </c>
      <c r="EE61" s="9">
        <f t="shared" ca="1" si="47"/>
        <v>3.228013932541296E-2</v>
      </c>
      <c r="EF61" s="9">
        <f t="shared" ca="1" si="47"/>
        <v>1.440010314095197E-2</v>
      </c>
      <c r="EG61" s="9">
        <f t="shared" ca="1" si="47"/>
        <v>4.4106629775650941E-3</v>
      </c>
      <c r="EH61" s="9">
        <f t="shared" ca="1" si="47"/>
        <v>1.2978748884093783E-2</v>
      </c>
      <c r="EI61" s="9">
        <f t="shared" ca="1" si="47"/>
        <v>3.6811557003618489E-2</v>
      </c>
      <c r="EJ61" s="9">
        <f t="shared" ca="1" si="47"/>
        <v>2.9085414812422661E-2</v>
      </c>
      <c r="EK61" s="9">
        <f t="shared" ca="1" si="47"/>
        <v>7.0603696271422933E-3</v>
      </c>
      <c r="EL61" s="9">
        <f t="shared" ca="1" si="47"/>
        <v>2.9235818213592113E-3</v>
      </c>
      <c r="EM61" s="9">
        <f t="shared" ca="1" si="47"/>
        <v>3.8677403797549026E-4</v>
      </c>
      <c r="EN61" s="9">
        <f t="shared" ca="1" si="47"/>
        <v>1.3254171291819272E-2</v>
      </c>
      <c r="EO61" s="9">
        <f t="shared" ca="1" si="47"/>
        <v>5.7251344176912911E-3</v>
      </c>
      <c r="EP61" s="9">
        <f t="shared" ca="1" si="47"/>
        <v>3.669297084192169E-3</v>
      </c>
      <c r="EQ61" s="9">
        <f t="shared" ca="1" si="47"/>
        <v>1.2759014601599894E-2</v>
      </c>
      <c r="ER61" s="9">
        <f t="shared" ca="1" si="47"/>
        <v>1.6629075587105357E-2</v>
      </c>
      <c r="ES61" s="9">
        <f t="shared" ca="1" si="47"/>
        <v>1.481373130016983E-2</v>
      </c>
      <c r="ET61" s="9">
        <f t="shared" ca="1" si="47"/>
        <v>7.038492731417656E-3</v>
      </c>
      <c r="EU61" s="9">
        <f t="shared" ca="1" si="47"/>
        <v>7.8720796295195239E-3</v>
      </c>
      <c r="EV61" s="9">
        <f t="shared" ca="1" si="47"/>
        <v>1.7368072563109571E-2</v>
      </c>
      <c r="EW61" s="9">
        <f t="shared" ca="1" si="47"/>
        <v>2.0720140626068861E-2</v>
      </c>
      <c r="EX61" s="9">
        <f t="shared" ca="1" si="47"/>
        <v>9.4580842256404285E-3</v>
      </c>
      <c r="EY61" s="9">
        <f t="shared" ca="1" si="47"/>
        <v>3.722323835831931E-4</v>
      </c>
      <c r="EZ61" s="9">
        <f t="shared" ca="1" si="47"/>
        <v>7.906345229729439E-3</v>
      </c>
      <c r="FA61" s="9">
        <f t="shared" ca="1" si="47"/>
        <v>1.3023884305074507E-4</v>
      </c>
      <c r="FB61" s="9">
        <f t="shared" ca="1" si="47"/>
        <v>3.9509562678796684E-4</v>
      </c>
      <c r="FC61" s="9">
        <f t="shared" ca="1" si="47"/>
        <v>1.3972353463019838E-3</v>
      </c>
      <c r="FD61" s="9">
        <f t="shared" ca="1" si="47"/>
        <v>4.273558079886941E-4</v>
      </c>
      <c r="FE61" s="9">
        <f t="shared" ca="1" si="47"/>
        <v>1.6670095944568697E-3</v>
      </c>
      <c r="FF61" s="9">
        <f t="shared" ca="1" si="47"/>
        <v>7.939894090070565E-3</v>
      </c>
      <c r="FG61" s="9">
        <f t="shared" ca="1" si="47"/>
        <v>1.2216462949948048E-2</v>
      </c>
      <c r="FH61" s="9">
        <f t="shared" ca="1" si="47"/>
        <v>1.9281075814702398E-2</v>
      </c>
      <c r="FI61" s="9">
        <f t="shared" ca="1" si="47"/>
        <v>1.8098367833572993E-2</v>
      </c>
      <c r="FJ61" s="9">
        <f t="shared" ca="1" si="47"/>
        <v>1.2145635215527695E-2</v>
      </c>
      <c r="FK61" s="9">
        <f t="shared" ca="1" si="47"/>
        <v>6.4203095690019696E-3</v>
      </c>
      <c r="FL61" s="9">
        <f t="shared" ca="1" si="47"/>
        <v>1.3650400715381483E-3</v>
      </c>
      <c r="FM61" s="9">
        <f t="shared" ca="1" si="47"/>
        <v>2.4535175422700117E-2</v>
      </c>
      <c r="FN61" s="9">
        <f t="shared" ca="1" si="47"/>
        <v>2.6332058714143347E-2</v>
      </c>
      <c r="FO61" s="9">
        <f t="shared" ca="1" si="47"/>
        <v>1.9738204856682318E-2</v>
      </c>
      <c r="FP61" s="9">
        <f t="shared" ca="1" si="47"/>
        <v>2.2224441550868779E-3</v>
      </c>
      <c r="FQ61" s="9">
        <f t="shared" ca="1" si="47"/>
        <v>1.9264091313000442E-3</v>
      </c>
      <c r="FR61" s="9">
        <f t="shared" ca="1" si="47"/>
        <v>7.5637947196349753E-4</v>
      </c>
      <c r="FS61" s="9">
        <f t="shared" ca="1" si="47"/>
        <v>2.0278954539535876E-2</v>
      </c>
      <c r="FT61" s="9">
        <f t="shared" ca="1" si="47"/>
        <v>1.4254358745921292E-2</v>
      </c>
      <c r="FU61" s="9">
        <f t="shared" ca="1" si="47"/>
        <v>9.9687808379774756E-3</v>
      </c>
      <c r="FV61" s="9">
        <f t="shared" ca="1" si="47"/>
        <v>1.3685644902770688E-2</v>
      </c>
      <c r="FW61" s="9">
        <f t="shared" ca="1" si="47"/>
        <v>2.9608842236300337E-2</v>
      </c>
      <c r="FX61" s="9">
        <f t="shared" ca="1" si="47"/>
        <v>6.4430498496366173E-3</v>
      </c>
      <c r="FY61" s="9">
        <f t="shared" ca="1" si="47"/>
        <v>2.2290474133722649E-3</v>
      </c>
      <c r="FZ61" s="9">
        <f t="shared" ca="1" si="47"/>
        <v>1.9084132051558678E-2</v>
      </c>
      <c r="GA61" s="9">
        <f t="shared" ca="1" si="47"/>
        <v>2.6181722962445253E-2</v>
      </c>
      <c r="GB61" s="9">
        <f t="shared" ca="1" si="47"/>
        <v>2.1437527133356227E-2</v>
      </c>
      <c r="GC61" s="9">
        <f t="shared" ca="1" si="47"/>
        <v>2.1167051649256141E-2</v>
      </c>
      <c r="GD61" s="9">
        <f t="shared" ca="1" si="47"/>
        <v>1.8332900221179615E-2</v>
      </c>
      <c r="GE61" s="9">
        <f t="shared" ca="1" si="47"/>
        <v>8.6583859829072463E-3</v>
      </c>
      <c r="GF61" s="9">
        <f t="shared" ca="1" si="47"/>
        <v>2.5681445758563015E-4</v>
      </c>
      <c r="GG61" s="9">
        <f t="shared" ca="1" si="47"/>
        <v>5.519782766847392E-4</v>
      </c>
      <c r="GH61" s="9">
        <f t="shared" ca="1" si="47"/>
        <v>2.834428055057403E-4</v>
      </c>
      <c r="GI61" s="9">
        <f t="shared" ca="1" si="47"/>
        <v>9.3892654398902708E-3</v>
      </c>
      <c r="GJ61" s="9">
        <f t="shared" ca="1" si="47"/>
        <v>4.1358828190707353E-3</v>
      </c>
      <c r="GK61" s="9">
        <f t="shared" ca="1" si="47"/>
        <v>4.6121171760305613E-2</v>
      </c>
      <c r="GL61" s="9">
        <f t="shared" ref="GL61:IW61" ca="1" si="48">IF(GL34="","",ABS(GL34))</f>
        <v>4.4052244851008115E-2</v>
      </c>
      <c r="GM61" s="9">
        <f t="shared" ca="1" si="48"/>
        <v>2.6841352806039831E-2</v>
      </c>
      <c r="GN61" s="9">
        <f t="shared" ca="1" si="48"/>
        <v>3.2416217541149095E-2</v>
      </c>
      <c r="GO61" s="9">
        <f t="shared" ca="1" si="48"/>
        <v>2.9941511717264113E-3</v>
      </c>
      <c r="GP61" s="9">
        <f t="shared" ca="1" si="48"/>
        <v>4.1999014610548668E-2</v>
      </c>
      <c r="GQ61" s="9">
        <f t="shared" ca="1" si="48"/>
        <v>4.4051047597180593E-2</v>
      </c>
      <c r="GR61" s="9">
        <f t="shared" ca="1" si="48"/>
        <v>3.6684165209093123E-2</v>
      </c>
      <c r="GS61" s="9">
        <f t="shared" ca="1" si="48"/>
        <v>3.2137061670641898E-2</v>
      </c>
      <c r="GT61" s="9">
        <f t="shared" ca="1" si="48"/>
        <v>1.1892886931781366E-2</v>
      </c>
      <c r="GU61" s="9" t="str">
        <f t="shared" ca="1" si="48"/>
        <v/>
      </c>
      <c r="GV61" s="9" t="str">
        <f t="shared" ca="1" si="48"/>
        <v/>
      </c>
      <c r="GW61" s="9" t="str">
        <f t="shared" ca="1" si="48"/>
        <v/>
      </c>
      <c r="GX61" s="9" t="str">
        <f t="shared" ca="1" si="48"/>
        <v/>
      </c>
      <c r="GY61" s="9" t="str">
        <f t="shared" ca="1" si="48"/>
        <v/>
      </c>
      <c r="GZ61" s="9" t="str">
        <f t="shared" ca="1" si="48"/>
        <v/>
      </c>
      <c r="HA61" s="9" t="str">
        <f t="shared" ca="1" si="48"/>
        <v/>
      </c>
      <c r="HB61" s="9" t="str">
        <f t="shared" ca="1" si="48"/>
        <v/>
      </c>
      <c r="HC61" s="9" t="str">
        <f t="shared" ca="1" si="48"/>
        <v/>
      </c>
      <c r="HD61" s="9" t="str">
        <f t="shared" ca="1" si="48"/>
        <v/>
      </c>
      <c r="HE61" s="9" t="str">
        <f t="shared" ca="1" si="48"/>
        <v/>
      </c>
      <c r="HF61" s="9" t="str">
        <f t="shared" ca="1" si="48"/>
        <v/>
      </c>
      <c r="HG61" s="9" t="str">
        <f t="shared" ca="1" si="48"/>
        <v/>
      </c>
      <c r="HH61" s="9" t="str">
        <f t="shared" ca="1" si="48"/>
        <v/>
      </c>
      <c r="HI61" s="9" t="str">
        <f t="shared" ca="1" si="48"/>
        <v/>
      </c>
      <c r="HJ61" s="9" t="str">
        <f t="shared" ca="1" si="48"/>
        <v/>
      </c>
      <c r="HK61" s="9" t="str">
        <f t="shared" ca="1" si="48"/>
        <v/>
      </c>
      <c r="HL61" s="9" t="str">
        <f t="shared" ca="1" si="48"/>
        <v/>
      </c>
      <c r="HM61" s="9" t="str">
        <f t="shared" ca="1" si="48"/>
        <v/>
      </c>
      <c r="HN61" s="9" t="str">
        <f t="shared" ca="1" si="48"/>
        <v/>
      </c>
      <c r="HO61" s="9" t="str">
        <f t="shared" ca="1" si="48"/>
        <v/>
      </c>
      <c r="HP61" s="9" t="str">
        <f t="shared" ca="1" si="48"/>
        <v/>
      </c>
      <c r="HQ61" s="9" t="str">
        <f t="shared" ca="1" si="48"/>
        <v/>
      </c>
      <c r="HR61" s="9" t="str">
        <f t="shared" ca="1" si="48"/>
        <v/>
      </c>
      <c r="HS61" s="9" t="str">
        <f t="shared" ca="1" si="48"/>
        <v/>
      </c>
      <c r="HT61" s="9" t="str">
        <f t="shared" ca="1" si="48"/>
        <v/>
      </c>
      <c r="HU61" s="9" t="str">
        <f t="shared" ca="1" si="48"/>
        <v/>
      </c>
      <c r="HV61" s="9" t="str">
        <f t="shared" ca="1" si="48"/>
        <v/>
      </c>
      <c r="HW61" s="9" t="str">
        <f t="shared" ca="1" si="48"/>
        <v/>
      </c>
      <c r="HX61" s="9" t="str">
        <f t="shared" ca="1" si="48"/>
        <v/>
      </c>
      <c r="HY61" s="9" t="str">
        <f t="shared" ca="1" si="48"/>
        <v/>
      </c>
      <c r="HZ61" s="9" t="str">
        <f t="shared" ca="1" si="48"/>
        <v/>
      </c>
      <c r="IA61" s="9" t="str">
        <f t="shared" ca="1" si="48"/>
        <v/>
      </c>
      <c r="IB61" s="9" t="str">
        <f t="shared" ca="1" si="48"/>
        <v/>
      </c>
      <c r="IC61" s="9" t="str">
        <f t="shared" ca="1" si="48"/>
        <v/>
      </c>
      <c r="ID61" s="9" t="str">
        <f t="shared" ca="1" si="48"/>
        <v/>
      </c>
      <c r="IE61" s="9" t="str">
        <f t="shared" ca="1" si="48"/>
        <v/>
      </c>
      <c r="IF61" s="9" t="str">
        <f t="shared" ca="1" si="48"/>
        <v/>
      </c>
      <c r="IG61" s="9" t="str">
        <f t="shared" ca="1" si="48"/>
        <v/>
      </c>
      <c r="IH61" s="9" t="str">
        <f t="shared" ca="1" si="48"/>
        <v/>
      </c>
      <c r="II61" s="9" t="str">
        <f t="shared" ca="1" si="48"/>
        <v/>
      </c>
      <c r="IJ61" s="9" t="str">
        <f t="shared" ca="1" si="48"/>
        <v/>
      </c>
      <c r="IK61" s="9" t="str">
        <f t="shared" ca="1" si="48"/>
        <v/>
      </c>
      <c r="IL61" s="9" t="str">
        <f t="shared" ca="1" si="48"/>
        <v/>
      </c>
      <c r="IM61" s="9" t="str">
        <f t="shared" ca="1" si="48"/>
        <v/>
      </c>
      <c r="IN61" s="9" t="str">
        <f t="shared" ca="1" si="48"/>
        <v/>
      </c>
      <c r="IO61" s="9" t="str">
        <f t="shared" ca="1" si="48"/>
        <v/>
      </c>
      <c r="IP61" s="9" t="str">
        <f t="shared" ca="1" si="48"/>
        <v/>
      </c>
      <c r="IQ61" s="9" t="str">
        <f t="shared" ca="1" si="48"/>
        <v/>
      </c>
      <c r="IR61" s="9" t="str">
        <f t="shared" ca="1" si="48"/>
        <v/>
      </c>
      <c r="IS61" s="9" t="str">
        <f t="shared" ca="1" si="48"/>
        <v/>
      </c>
      <c r="IT61" s="9" t="str">
        <f t="shared" ca="1" si="48"/>
        <v/>
      </c>
      <c r="IU61" s="9" t="str">
        <f t="shared" ca="1" si="48"/>
        <v/>
      </c>
      <c r="IV61" s="9" t="str">
        <f t="shared" ca="1" si="48"/>
        <v/>
      </c>
      <c r="IW61" s="9" t="str">
        <f t="shared" ca="1" si="48"/>
        <v/>
      </c>
      <c r="IX61" s="9" t="str">
        <f t="shared" ref="IX61:JH61" ca="1" si="49">IF(IX34="","",ABS(IX34))</f>
        <v/>
      </c>
      <c r="IY61" s="9" t="str">
        <f t="shared" ca="1" si="49"/>
        <v/>
      </c>
      <c r="IZ61" s="9" t="str">
        <f t="shared" ca="1" si="49"/>
        <v/>
      </c>
      <c r="JA61" s="9" t="str">
        <f t="shared" ca="1" si="49"/>
        <v/>
      </c>
      <c r="JB61" s="9" t="str">
        <f t="shared" ca="1" si="49"/>
        <v/>
      </c>
      <c r="JC61" s="9" t="str">
        <f t="shared" ca="1" si="49"/>
        <v/>
      </c>
      <c r="JD61" s="9" t="str">
        <f t="shared" ca="1" si="49"/>
        <v/>
      </c>
      <c r="JE61" s="9" t="str">
        <f t="shared" ca="1" si="49"/>
        <v/>
      </c>
      <c r="JF61" s="9" t="str">
        <f t="shared" ca="1" si="49"/>
        <v/>
      </c>
      <c r="JG61" s="9" t="str">
        <f t="shared" ca="1" si="49"/>
        <v/>
      </c>
      <c r="JH61" s="9" t="str">
        <f t="shared" ca="1" si="49"/>
        <v/>
      </c>
      <c r="JI61" s="13">
        <f t="shared" ca="1" si="24"/>
        <v>1.8260662835923102E-2</v>
      </c>
      <c r="JJ61" s="13">
        <f t="shared" ca="1" si="25"/>
        <v>1.6293629483550454E-2</v>
      </c>
      <c r="JK61" s="14">
        <f t="shared" ca="1" si="26"/>
        <v>2.1238116178336393E-4</v>
      </c>
      <c r="JL61" s="17">
        <f t="shared" ca="1" si="34"/>
        <v>1.457330304987047E-2</v>
      </c>
      <c r="JM61" s="15" t="str">
        <f t="shared" ca="1" si="27"/>
        <v>[ -1,09% ; 4,74% ]</v>
      </c>
      <c r="JN61" s="17">
        <f t="shared" ca="1" si="28"/>
        <v>1.8653827903834203E-2</v>
      </c>
      <c r="LY61" s="1"/>
    </row>
    <row r="62" spans="1:337" x14ac:dyDescent="0.25">
      <c r="A62" s="4">
        <v>6</v>
      </c>
      <c r="B62" s="9">
        <f t="shared" ref="B62:BM62" ca="1" si="50">IF(B35="","",ABS(B35))</f>
        <v>9.1641906748217705E-3</v>
      </c>
      <c r="C62" s="9">
        <f t="shared" ca="1" si="50"/>
        <v>1.6287187704525086E-2</v>
      </c>
      <c r="D62" s="9">
        <f t="shared" ca="1" si="50"/>
        <v>1.8446011692198061E-2</v>
      </c>
      <c r="E62" s="9">
        <f t="shared" ca="1" si="50"/>
        <v>1.4631658975180817E-2</v>
      </c>
      <c r="F62" s="9">
        <f t="shared" ca="1" si="50"/>
        <v>1.4781789799452771E-2</v>
      </c>
      <c r="G62" s="9">
        <f t="shared" ca="1" si="50"/>
        <v>1.0353849916402202E-2</v>
      </c>
      <c r="H62" s="9">
        <f t="shared" ca="1" si="50"/>
        <v>2.7418534581689302E-2</v>
      </c>
      <c r="I62" s="9">
        <f t="shared" ca="1" si="50"/>
        <v>4.0411005220389873E-3</v>
      </c>
      <c r="J62" s="9">
        <f t="shared" ca="1" si="50"/>
        <v>5.8576855152170371E-3</v>
      </c>
      <c r="K62" s="9">
        <f t="shared" ca="1" si="50"/>
        <v>2.6965191663570476E-3</v>
      </c>
      <c r="L62" s="9">
        <f t="shared" ca="1" si="50"/>
        <v>4.3248755599482047E-3</v>
      </c>
      <c r="M62" s="9">
        <f t="shared" ca="1" si="50"/>
        <v>1.2861746116882511E-2</v>
      </c>
      <c r="N62" s="9">
        <f t="shared" ca="1" si="50"/>
        <v>1.4239808753152672E-2</v>
      </c>
      <c r="O62" s="9">
        <f t="shared" ca="1" si="50"/>
        <v>2.600342541765277E-2</v>
      </c>
      <c r="P62" s="9">
        <f t="shared" ca="1" si="50"/>
        <v>2.9750406699514675E-2</v>
      </c>
      <c r="Q62" s="9">
        <f t="shared" ca="1" si="50"/>
        <v>2.7901024290381882E-2</v>
      </c>
      <c r="R62" s="9">
        <f t="shared" ca="1" si="50"/>
        <v>2.6033506102040693E-2</v>
      </c>
      <c r="S62" s="9">
        <f t="shared" ca="1" si="50"/>
        <v>2.1396160473474923E-2</v>
      </c>
      <c r="T62" s="9">
        <f t="shared" ca="1" si="50"/>
        <v>2.0956986389090382E-2</v>
      </c>
      <c r="U62" s="9">
        <f t="shared" ca="1" si="50"/>
        <v>7.613324971893487E-4</v>
      </c>
      <c r="V62" s="9">
        <f t="shared" ca="1" si="50"/>
        <v>9.5265740437611157E-5</v>
      </c>
      <c r="W62" s="9">
        <f t="shared" ca="1" si="50"/>
        <v>8.146297621294929E-3</v>
      </c>
      <c r="X62" s="9">
        <f t="shared" ca="1" si="50"/>
        <v>2.5242035207929669E-3</v>
      </c>
      <c r="Y62" s="9">
        <f t="shared" ca="1" si="50"/>
        <v>4.9490316394125156E-3</v>
      </c>
      <c r="Z62" s="9">
        <f t="shared" ca="1" si="50"/>
        <v>1.8903936759964601E-2</v>
      </c>
      <c r="AA62" s="9">
        <f t="shared" ca="1" si="50"/>
        <v>2.1650564187084553E-2</v>
      </c>
      <c r="AB62" s="9">
        <f t="shared" ca="1" si="50"/>
        <v>2.4784479074513754E-2</v>
      </c>
      <c r="AC62" s="9">
        <f t="shared" ca="1" si="50"/>
        <v>2.7415478060164533E-2</v>
      </c>
      <c r="AD62" s="9">
        <f t="shared" ca="1" si="50"/>
        <v>1.8498579192735232E-2</v>
      </c>
      <c r="AE62" s="9">
        <f t="shared" ca="1" si="50"/>
        <v>1.9477584344632204E-2</v>
      </c>
      <c r="AF62" s="9">
        <f t="shared" ca="1" si="50"/>
        <v>1.3568038977758157E-3</v>
      </c>
      <c r="AG62" s="9">
        <f t="shared" ca="1" si="50"/>
        <v>3.9295116649703532E-3</v>
      </c>
      <c r="AH62" s="9">
        <f t="shared" ca="1" si="50"/>
        <v>9.0038545668554848E-3</v>
      </c>
      <c r="AI62" s="9">
        <f t="shared" ca="1" si="50"/>
        <v>1.2578584773273893E-2</v>
      </c>
      <c r="AJ62" s="9">
        <f t="shared" ca="1" si="50"/>
        <v>1.15718592832742E-2</v>
      </c>
      <c r="AK62" s="9">
        <f t="shared" ca="1" si="50"/>
        <v>1.0748343654250259E-2</v>
      </c>
      <c r="AL62" s="9">
        <f t="shared" ca="1" si="50"/>
        <v>2.5217723065118491E-4</v>
      </c>
      <c r="AM62" s="9">
        <f t="shared" ca="1" si="50"/>
        <v>1.2875547046977687E-3</v>
      </c>
      <c r="AN62" s="9">
        <f t="shared" ca="1" si="50"/>
        <v>5.9015915939562014E-3</v>
      </c>
      <c r="AO62" s="9">
        <f t="shared" ca="1" si="50"/>
        <v>7.7676487965641083E-3</v>
      </c>
      <c r="AP62" s="9">
        <f t="shared" ca="1" si="50"/>
        <v>3.1820070270740519E-3</v>
      </c>
      <c r="AQ62" s="9">
        <f t="shared" ca="1" si="50"/>
        <v>5.6727557240612292E-3</v>
      </c>
      <c r="AR62" s="9">
        <f t="shared" ca="1" si="50"/>
        <v>4.1364988942695913E-3</v>
      </c>
      <c r="AS62" s="9">
        <f t="shared" ca="1" si="50"/>
        <v>1.3919373581710026E-3</v>
      </c>
      <c r="AT62" s="9">
        <f t="shared" ca="1" si="50"/>
        <v>3.0523156238984051E-3</v>
      </c>
      <c r="AU62" s="9">
        <f t="shared" ca="1" si="50"/>
        <v>1.0091651747949681E-2</v>
      </c>
      <c r="AV62" s="9">
        <f t="shared" ca="1" si="50"/>
        <v>1.8103547312260826E-2</v>
      </c>
      <c r="AW62" s="9">
        <f t="shared" ca="1" si="50"/>
        <v>2.5301620492333088E-2</v>
      </c>
      <c r="AX62" s="9">
        <f t="shared" ca="1" si="50"/>
        <v>4.0704752627137353E-2</v>
      </c>
      <c r="AY62" s="9">
        <f t="shared" ca="1" si="50"/>
        <v>4.1370701176668856E-2</v>
      </c>
      <c r="AZ62" s="9">
        <f t="shared" ca="1" si="50"/>
        <v>4.3804142704769733E-2</v>
      </c>
      <c r="BA62" s="9">
        <f t="shared" ca="1" si="50"/>
        <v>3.9797334117473104E-2</v>
      </c>
      <c r="BB62" s="9">
        <f t="shared" ca="1" si="50"/>
        <v>3.6523503155743153E-2</v>
      </c>
      <c r="BC62" s="9">
        <f t="shared" ca="1" si="50"/>
        <v>5.7609907811357219E-2</v>
      </c>
      <c r="BD62" s="9">
        <f t="shared" ca="1" si="50"/>
        <v>5.4705514903023111E-2</v>
      </c>
      <c r="BE62" s="9">
        <f t="shared" ca="1" si="50"/>
        <v>5.2954523385225549E-2</v>
      </c>
      <c r="BF62" s="9">
        <f t="shared" ca="1" si="50"/>
        <v>3.5470453309593308E-2</v>
      </c>
      <c r="BG62" s="9">
        <f t="shared" ca="1" si="50"/>
        <v>4.8884632243084924E-2</v>
      </c>
      <c r="BH62" s="9">
        <f t="shared" ca="1" si="50"/>
        <v>6.0550876575693469E-2</v>
      </c>
      <c r="BI62" s="9">
        <f t="shared" ca="1" si="50"/>
        <v>1.9131092443678277E-2</v>
      </c>
      <c r="BJ62" s="9">
        <f t="shared" ca="1" si="50"/>
        <v>8.6442915934457076E-3</v>
      </c>
      <c r="BK62" s="9">
        <f t="shared" ca="1" si="50"/>
        <v>9.5603862956360475E-3</v>
      </c>
      <c r="BL62" s="9">
        <f t="shared" ca="1" si="50"/>
        <v>3.2818361656222761E-2</v>
      </c>
      <c r="BM62" s="9">
        <f t="shared" ca="1" si="50"/>
        <v>6.8511782076911776E-2</v>
      </c>
      <c r="BN62" s="9">
        <f t="shared" ref="BN62:DY62" ca="1" si="51">IF(BN35="","",ABS(BN35))</f>
        <v>5.5968462848621336E-2</v>
      </c>
      <c r="BO62" s="9">
        <f t="shared" ca="1" si="51"/>
        <v>3.7337213946603276E-2</v>
      </c>
      <c r="BP62" s="9">
        <f t="shared" ca="1" si="51"/>
        <v>3.739986516724636E-2</v>
      </c>
      <c r="BQ62" s="9">
        <f t="shared" ca="1" si="51"/>
        <v>2.4888454197044996E-2</v>
      </c>
      <c r="BR62" s="9">
        <f t="shared" ca="1" si="51"/>
        <v>1.3702084269421877E-2</v>
      </c>
      <c r="BS62" s="9">
        <f t="shared" ca="1" si="51"/>
        <v>3.0576773376606692E-2</v>
      </c>
      <c r="BT62" s="9">
        <f t="shared" ca="1" si="51"/>
        <v>1.8072857098325512E-2</v>
      </c>
      <c r="BU62" s="9">
        <f t="shared" ca="1" si="51"/>
        <v>4.2049099868863848E-3</v>
      </c>
      <c r="BV62" s="9">
        <f t="shared" ca="1" si="51"/>
        <v>2.2740537470508526E-2</v>
      </c>
      <c r="BW62" s="9">
        <f t="shared" ca="1" si="51"/>
        <v>1.3594598625383147E-2</v>
      </c>
      <c r="BX62" s="9">
        <f t="shared" ca="1" si="51"/>
        <v>1.0250788920968645E-2</v>
      </c>
      <c r="BY62" s="9">
        <f t="shared" ca="1" si="51"/>
        <v>6.0798138361771725E-3</v>
      </c>
      <c r="BZ62" s="9">
        <f t="shared" ca="1" si="51"/>
        <v>1.1656452688960761E-2</v>
      </c>
      <c r="CA62" s="9">
        <f t="shared" ca="1" si="51"/>
        <v>1.6088520028059161E-3</v>
      </c>
      <c r="CB62" s="9">
        <f t="shared" ca="1" si="51"/>
        <v>7.515572385974334E-3</v>
      </c>
      <c r="CC62" s="9">
        <f t="shared" ca="1" si="51"/>
        <v>2.7987367562556376E-3</v>
      </c>
      <c r="CD62" s="9">
        <f t="shared" ca="1" si="51"/>
        <v>1.6328078383234246E-3</v>
      </c>
      <c r="CE62" s="9">
        <f t="shared" ca="1" si="51"/>
        <v>2.2736842407945268E-2</v>
      </c>
      <c r="CF62" s="9">
        <f t="shared" ca="1" si="51"/>
        <v>2.6519397854137594E-2</v>
      </c>
      <c r="CG62" s="9">
        <f t="shared" ca="1" si="51"/>
        <v>4.4758182464750274E-3</v>
      </c>
      <c r="CH62" s="9">
        <f t="shared" ca="1" si="51"/>
        <v>1.0184462972925079E-2</v>
      </c>
      <c r="CI62" s="9">
        <f t="shared" ca="1" si="51"/>
        <v>1.4454823856711263E-2</v>
      </c>
      <c r="CJ62" s="9">
        <f t="shared" ca="1" si="51"/>
        <v>4.4484135088964649E-3</v>
      </c>
      <c r="CK62" s="9">
        <f t="shared" ca="1" si="51"/>
        <v>1.6344564329698885E-3</v>
      </c>
      <c r="CL62" s="9">
        <f t="shared" ca="1" si="51"/>
        <v>2.5119295477508352E-2</v>
      </c>
      <c r="CM62" s="9">
        <f t="shared" ca="1" si="51"/>
        <v>2.6745090616121736E-2</v>
      </c>
      <c r="CN62" s="9">
        <f t="shared" ca="1" si="51"/>
        <v>1.7444187309137327E-2</v>
      </c>
      <c r="CO62" s="9">
        <f t="shared" ca="1" si="51"/>
        <v>1.7104669121676075E-2</v>
      </c>
      <c r="CP62" s="9">
        <f t="shared" ca="1" si="51"/>
        <v>2.285684108973518E-2</v>
      </c>
      <c r="CQ62" s="9">
        <f t="shared" ca="1" si="51"/>
        <v>4.2557696062497596E-2</v>
      </c>
      <c r="CR62" s="9">
        <f t="shared" ca="1" si="51"/>
        <v>2.6365169634936958E-2</v>
      </c>
      <c r="CS62" s="9">
        <f t="shared" ca="1" si="51"/>
        <v>1.6095534466657346E-2</v>
      </c>
      <c r="CT62" s="9">
        <f t="shared" ca="1" si="51"/>
        <v>2.3261470873631618E-2</v>
      </c>
      <c r="CU62" s="9">
        <f t="shared" ca="1" si="51"/>
        <v>1.801269678860673E-2</v>
      </c>
      <c r="CV62" s="9">
        <f t="shared" ca="1" si="51"/>
        <v>1.7129787570002497E-2</v>
      </c>
      <c r="CW62" s="9">
        <f t="shared" ca="1" si="51"/>
        <v>7.4050474010278755E-3</v>
      </c>
      <c r="CX62" s="9">
        <f t="shared" ca="1" si="51"/>
        <v>4.6437595249004815E-4</v>
      </c>
      <c r="CY62" s="9">
        <f t="shared" ca="1" si="51"/>
        <v>1.5253453909693793E-2</v>
      </c>
      <c r="CZ62" s="9">
        <f t="shared" ca="1" si="51"/>
        <v>3.4144105476448638E-2</v>
      </c>
      <c r="DA62" s="9">
        <f t="shared" ca="1" si="51"/>
        <v>1.6857048358097648E-2</v>
      </c>
      <c r="DB62" s="9">
        <f t="shared" ca="1" si="51"/>
        <v>1.2516923612080344E-3</v>
      </c>
      <c r="DC62" s="9">
        <f t="shared" ca="1" si="51"/>
        <v>3.937869271455674E-2</v>
      </c>
      <c r="DD62" s="9">
        <f t="shared" ca="1" si="51"/>
        <v>1.157190819802878E-2</v>
      </c>
      <c r="DE62" s="9">
        <f t="shared" ca="1" si="51"/>
        <v>3.360534692153605E-2</v>
      </c>
      <c r="DF62" s="9">
        <f t="shared" ca="1" si="51"/>
        <v>5.0125304751547417E-2</v>
      </c>
      <c r="DG62" s="9">
        <f t="shared" ca="1" si="51"/>
        <v>3.8657681257747822E-2</v>
      </c>
      <c r="DH62" s="9">
        <f t="shared" ca="1" si="51"/>
        <v>3.1410870395783386E-2</v>
      </c>
      <c r="DI62" s="9">
        <f t="shared" ca="1" si="51"/>
        <v>2.644292508771251E-2</v>
      </c>
      <c r="DJ62" s="9">
        <f t="shared" ca="1" si="51"/>
        <v>4.8897457100222974E-2</v>
      </c>
      <c r="DK62" s="9">
        <f t="shared" ca="1" si="51"/>
        <v>2.2143779529581353E-2</v>
      </c>
      <c r="DL62" s="9">
        <f t="shared" ca="1" si="51"/>
        <v>2.8182895111161899E-2</v>
      </c>
      <c r="DM62" s="9">
        <f t="shared" ca="1" si="51"/>
        <v>4.3361356975509135E-2</v>
      </c>
      <c r="DN62" s="9">
        <f t="shared" ca="1" si="51"/>
        <v>3.689671302814157E-2</v>
      </c>
      <c r="DO62" s="9">
        <f t="shared" ca="1" si="51"/>
        <v>3.1725832066292536E-2</v>
      </c>
      <c r="DP62" s="9">
        <f t="shared" ca="1" si="51"/>
        <v>1.1058400601475338E-2</v>
      </c>
      <c r="DQ62" s="9">
        <f t="shared" ca="1" si="51"/>
        <v>2.7343748801108569E-2</v>
      </c>
      <c r="DR62" s="9">
        <f t="shared" ca="1" si="51"/>
        <v>1.1963003106168268E-2</v>
      </c>
      <c r="DS62" s="9">
        <f t="shared" ca="1" si="51"/>
        <v>4.0579051402378497E-4</v>
      </c>
      <c r="DT62" s="9">
        <f t="shared" ca="1" si="51"/>
        <v>6.2606399065809892E-3</v>
      </c>
      <c r="DU62" s="9">
        <f t="shared" ca="1" si="51"/>
        <v>1.8913929848954125E-2</v>
      </c>
      <c r="DV62" s="9">
        <f t="shared" ca="1" si="51"/>
        <v>1.2765299953193088E-2</v>
      </c>
      <c r="DW62" s="9">
        <f t="shared" ca="1" si="51"/>
        <v>2.5761869282694416E-3</v>
      </c>
      <c r="DX62" s="9">
        <f t="shared" ca="1" si="51"/>
        <v>1.7684686161874019E-3</v>
      </c>
      <c r="DY62" s="9">
        <f t="shared" ca="1" si="51"/>
        <v>1.8999774466956776E-3</v>
      </c>
      <c r="DZ62" s="9">
        <f t="shared" ref="DZ62:GK62" ca="1" si="52">IF(DZ35="","",ABS(DZ35))</f>
        <v>1.004083063450778E-2</v>
      </c>
      <c r="EA62" s="9">
        <f t="shared" ca="1" si="52"/>
        <v>1.5089033102639648E-2</v>
      </c>
      <c r="EB62" s="9">
        <f t="shared" ca="1" si="52"/>
        <v>3.4772503658815679E-2</v>
      </c>
      <c r="EC62" s="9">
        <f t="shared" ca="1" si="52"/>
        <v>2.8824372998029979E-2</v>
      </c>
      <c r="ED62" s="9">
        <f t="shared" ca="1" si="52"/>
        <v>2.164356352728336E-2</v>
      </c>
      <c r="EE62" s="9">
        <f t="shared" ca="1" si="52"/>
        <v>2.3243995998417866E-2</v>
      </c>
      <c r="EF62" s="9">
        <f t="shared" ca="1" si="52"/>
        <v>9.3248587407578354E-3</v>
      </c>
      <c r="EG62" s="9">
        <f t="shared" ca="1" si="52"/>
        <v>2.3593291061736466E-3</v>
      </c>
      <c r="EH62" s="9">
        <f t="shared" ca="1" si="52"/>
        <v>2.6142714913327092E-2</v>
      </c>
      <c r="EI62" s="9">
        <f t="shared" ca="1" si="52"/>
        <v>2.8565068668204407E-2</v>
      </c>
      <c r="EJ62" s="9">
        <f t="shared" ca="1" si="52"/>
        <v>2.6596901796411609E-2</v>
      </c>
      <c r="EK62" s="9">
        <f t="shared" ca="1" si="52"/>
        <v>9.5447615036927669E-3</v>
      </c>
      <c r="EL62" s="9">
        <f t="shared" ca="1" si="52"/>
        <v>1.8353682667826554E-3</v>
      </c>
      <c r="EM62" s="9">
        <f t="shared" ca="1" si="52"/>
        <v>2.3723736681651175E-3</v>
      </c>
      <c r="EN62" s="9">
        <f t="shared" ca="1" si="52"/>
        <v>1.7882311811610152E-2</v>
      </c>
      <c r="EO62" s="9">
        <f t="shared" ca="1" si="52"/>
        <v>1.1186485580854999E-2</v>
      </c>
      <c r="EP62" s="9">
        <f t="shared" ca="1" si="52"/>
        <v>1.2887632847044195E-2</v>
      </c>
      <c r="EQ62" s="9">
        <f t="shared" ca="1" si="52"/>
        <v>1.3946214079070374E-2</v>
      </c>
      <c r="ER62" s="9">
        <f t="shared" ca="1" si="52"/>
        <v>1.1594960571308488E-2</v>
      </c>
      <c r="ES62" s="9">
        <f t="shared" ca="1" si="52"/>
        <v>1.118932495183067E-2</v>
      </c>
      <c r="ET62" s="9">
        <f t="shared" ca="1" si="52"/>
        <v>1.6543193818572943E-2</v>
      </c>
      <c r="EU62" s="9">
        <f t="shared" ca="1" si="52"/>
        <v>3.152778264220224E-3</v>
      </c>
      <c r="EV62" s="9">
        <f t="shared" ca="1" si="52"/>
        <v>1.821204211641958E-2</v>
      </c>
      <c r="EW62" s="9">
        <f t="shared" ca="1" si="52"/>
        <v>1.7653421406862657E-2</v>
      </c>
      <c r="EX62" s="9">
        <f t="shared" ca="1" si="52"/>
        <v>1.2414263415170268E-2</v>
      </c>
      <c r="EY62" s="9">
        <f t="shared" ca="1" si="52"/>
        <v>1.4004343452920232E-3</v>
      </c>
      <c r="EZ62" s="9">
        <f t="shared" ca="1" si="52"/>
        <v>1.1379251562429138E-2</v>
      </c>
      <c r="FA62" s="9">
        <f t="shared" ca="1" si="52"/>
        <v>1.0779084430068142E-4</v>
      </c>
      <c r="FB62" s="9">
        <f t="shared" ca="1" si="52"/>
        <v>7.230525071416305E-3</v>
      </c>
      <c r="FC62" s="9">
        <f t="shared" ca="1" si="52"/>
        <v>1.0468167715920185E-3</v>
      </c>
      <c r="FD62" s="9">
        <f t="shared" ca="1" si="52"/>
        <v>4.1882459201436628E-3</v>
      </c>
      <c r="FE62" s="9">
        <f t="shared" ca="1" si="52"/>
        <v>4.9827055255746711E-3</v>
      </c>
      <c r="FF62" s="9">
        <f t="shared" ca="1" si="52"/>
        <v>1.0977813461035213E-2</v>
      </c>
      <c r="FG62" s="9">
        <f t="shared" ca="1" si="52"/>
        <v>2.7924804638384537E-2</v>
      </c>
      <c r="FH62" s="9">
        <f t="shared" ca="1" si="52"/>
        <v>1.9042033184882068E-2</v>
      </c>
      <c r="FI62" s="9">
        <f t="shared" ca="1" si="52"/>
        <v>1.4193932159130895E-2</v>
      </c>
      <c r="FJ62" s="9">
        <f t="shared" ca="1" si="52"/>
        <v>8.434060419792222E-3</v>
      </c>
      <c r="FK62" s="9">
        <f t="shared" ca="1" si="52"/>
        <v>2.7662698114524487E-3</v>
      </c>
      <c r="FL62" s="9">
        <f t="shared" ca="1" si="52"/>
        <v>5.0608181049625056E-3</v>
      </c>
      <c r="FM62" s="9">
        <f t="shared" ca="1" si="52"/>
        <v>2.7842916325176326E-2</v>
      </c>
      <c r="FN62" s="9">
        <f t="shared" ca="1" si="52"/>
        <v>2.6870062813774798E-2</v>
      </c>
      <c r="FO62" s="9">
        <f t="shared" ca="1" si="52"/>
        <v>1.0970962929643724E-2</v>
      </c>
      <c r="FP62" s="9">
        <f t="shared" ca="1" si="52"/>
        <v>4.1745500100418553E-3</v>
      </c>
      <c r="FQ62" s="9">
        <f t="shared" ca="1" si="52"/>
        <v>8.3921316345683117E-3</v>
      </c>
      <c r="FR62" s="9">
        <f t="shared" ca="1" si="52"/>
        <v>1.9486611775356821E-2</v>
      </c>
      <c r="FS62" s="9">
        <f t="shared" ca="1" si="52"/>
        <v>1.8400783817194011E-2</v>
      </c>
      <c r="FT62" s="9">
        <f t="shared" ca="1" si="52"/>
        <v>2.5106194141912064E-2</v>
      </c>
      <c r="FU62" s="9">
        <f t="shared" ca="1" si="52"/>
        <v>1.3231173470470203E-2</v>
      </c>
      <c r="FV62" s="9">
        <f t="shared" ca="1" si="52"/>
        <v>1.1444746220647062E-2</v>
      </c>
      <c r="FW62" s="9">
        <f t="shared" ca="1" si="52"/>
        <v>2.8380760996186027E-2</v>
      </c>
      <c r="FX62" s="9">
        <f t="shared" ca="1" si="52"/>
        <v>1.6075575975250667E-3</v>
      </c>
      <c r="FY62" s="9">
        <f t="shared" ca="1" si="52"/>
        <v>2.613974701885402E-3</v>
      </c>
      <c r="FZ62" s="9">
        <f t="shared" ca="1" si="52"/>
        <v>2.1030473261703708E-2</v>
      </c>
      <c r="GA62" s="9">
        <f t="shared" ca="1" si="52"/>
        <v>2.9819992981382715E-2</v>
      </c>
      <c r="GB62" s="9">
        <f t="shared" ca="1" si="52"/>
        <v>2.7333746840894513E-2</v>
      </c>
      <c r="GC62" s="9">
        <f t="shared" ca="1" si="52"/>
        <v>2.9678176718534344E-2</v>
      </c>
      <c r="GD62" s="9">
        <f t="shared" ca="1" si="52"/>
        <v>1.9658964833050518E-2</v>
      </c>
      <c r="GE62" s="9">
        <f t="shared" ca="1" si="52"/>
        <v>3.6429437452083491E-3</v>
      </c>
      <c r="GF62" s="9">
        <f t="shared" ca="1" si="52"/>
        <v>2.6317007462062225E-4</v>
      </c>
      <c r="GG62" s="9">
        <f t="shared" ca="1" si="52"/>
        <v>5.7707630582908287E-3</v>
      </c>
      <c r="GH62" s="9">
        <f t="shared" ca="1" si="52"/>
        <v>5.4755810311676312E-3</v>
      </c>
      <c r="GI62" s="9">
        <f t="shared" ca="1" si="52"/>
        <v>5.5238421102010715E-3</v>
      </c>
      <c r="GJ62" s="9">
        <f t="shared" ca="1" si="52"/>
        <v>3.6001058274433007E-2</v>
      </c>
      <c r="GK62" s="9">
        <f t="shared" ca="1" si="52"/>
        <v>4.1309043191421813E-2</v>
      </c>
      <c r="GL62" s="9">
        <f t="shared" ref="GL62:IW62" ca="1" si="53">IF(GL35="","",ABS(GL35))</f>
        <v>3.5845610216040491E-2</v>
      </c>
      <c r="GM62" s="9">
        <f t="shared" ca="1" si="53"/>
        <v>2.4144356355098262E-2</v>
      </c>
      <c r="GN62" s="9">
        <f t="shared" ca="1" si="53"/>
        <v>2.5458143568908742E-2</v>
      </c>
      <c r="GO62" s="9">
        <f t="shared" ca="1" si="53"/>
        <v>8.9657133861440474E-3</v>
      </c>
      <c r="GP62" s="9">
        <f t="shared" ca="1" si="53"/>
        <v>3.8713644941898329E-2</v>
      </c>
      <c r="GQ62" s="9">
        <f t="shared" ca="1" si="53"/>
        <v>5.5732617075442192E-2</v>
      </c>
      <c r="GR62" s="9">
        <f t="shared" ca="1" si="53"/>
        <v>4.3245220112864136E-2</v>
      </c>
      <c r="GS62" s="9">
        <f t="shared" ca="1" si="53"/>
        <v>2.5428389740414947E-2</v>
      </c>
      <c r="GT62" s="9" t="str">
        <f t="shared" ca="1" si="53"/>
        <v/>
      </c>
      <c r="GU62" s="9" t="str">
        <f t="shared" ca="1" si="53"/>
        <v/>
      </c>
      <c r="GV62" s="9" t="str">
        <f t="shared" ca="1" si="53"/>
        <v/>
      </c>
      <c r="GW62" s="9" t="str">
        <f t="shared" ca="1" si="53"/>
        <v/>
      </c>
      <c r="GX62" s="9" t="str">
        <f t="shared" ca="1" si="53"/>
        <v/>
      </c>
      <c r="GY62" s="9" t="str">
        <f t="shared" ca="1" si="53"/>
        <v/>
      </c>
      <c r="GZ62" s="9" t="str">
        <f t="shared" ca="1" si="53"/>
        <v/>
      </c>
      <c r="HA62" s="9" t="str">
        <f t="shared" ca="1" si="53"/>
        <v/>
      </c>
      <c r="HB62" s="9" t="str">
        <f t="shared" ca="1" si="53"/>
        <v/>
      </c>
      <c r="HC62" s="9" t="str">
        <f t="shared" ca="1" si="53"/>
        <v/>
      </c>
      <c r="HD62" s="9" t="str">
        <f t="shared" ca="1" si="53"/>
        <v/>
      </c>
      <c r="HE62" s="9" t="str">
        <f t="shared" ca="1" si="53"/>
        <v/>
      </c>
      <c r="HF62" s="9" t="str">
        <f t="shared" ca="1" si="53"/>
        <v/>
      </c>
      <c r="HG62" s="9" t="str">
        <f t="shared" ca="1" si="53"/>
        <v/>
      </c>
      <c r="HH62" s="9" t="str">
        <f t="shared" ca="1" si="53"/>
        <v/>
      </c>
      <c r="HI62" s="9" t="str">
        <f t="shared" ca="1" si="53"/>
        <v/>
      </c>
      <c r="HJ62" s="9" t="str">
        <f t="shared" ca="1" si="53"/>
        <v/>
      </c>
      <c r="HK62" s="9" t="str">
        <f t="shared" ca="1" si="53"/>
        <v/>
      </c>
      <c r="HL62" s="9" t="str">
        <f t="shared" ca="1" si="53"/>
        <v/>
      </c>
      <c r="HM62" s="9" t="str">
        <f t="shared" ca="1" si="53"/>
        <v/>
      </c>
      <c r="HN62" s="9" t="str">
        <f t="shared" ca="1" si="53"/>
        <v/>
      </c>
      <c r="HO62" s="9" t="str">
        <f t="shared" ca="1" si="53"/>
        <v/>
      </c>
      <c r="HP62" s="9" t="str">
        <f t="shared" ca="1" si="53"/>
        <v/>
      </c>
      <c r="HQ62" s="9" t="str">
        <f t="shared" ca="1" si="53"/>
        <v/>
      </c>
      <c r="HR62" s="9" t="str">
        <f t="shared" ca="1" si="53"/>
        <v/>
      </c>
      <c r="HS62" s="9" t="str">
        <f t="shared" ca="1" si="53"/>
        <v/>
      </c>
      <c r="HT62" s="9" t="str">
        <f t="shared" ca="1" si="53"/>
        <v/>
      </c>
      <c r="HU62" s="9" t="str">
        <f t="shared" ca="1" si="53"/>
        <v/>
      </c>
      <c r="HV62" s="9" t="str">
        <f t="shared" ca="1" si="53"/>
        <v/>
      </c>
      <c r="HW62" s="9" t="str">
        <f t="shared" ca="1" si="53"/>
        <v/>
      </c>
      <c r="HX62" s="9" t="str">
        <f t="shared" ca="1" si="53"/>
        <v/>
      </c>
      <c r="HY62" s="9" t="str">
        <f t="shared" ca="1" si="53"/>
        <v/>
      </c>
      <c r="HZ62" s="9" t="str">
        <f t="shared" ca="1" si="53"/>
        <v/>
      </c>
      <c r="IA62" s="9" t="str">
        <f t="shared" ca="1" si="53"/>
        <v/>
      </c>
      <c r="IB62" s="9" t="str">
        <f t="shared" ca="1" si="53"/>
        <v/>
      </c>
      <c r="IC62" s="9" t="str">
        <f t="shared" ca="1" si="53"/>
        <v/>
      </c>
      <c r="ID62" s="9" t="str">
        <f t="shared" ca="1" si="53"/>
        <v/>
      </c>
      <c r="IE62" s="9" t="str">
        <f t="shared" ca="1" si="53"/>
        <v/>
      </c>
      <c r="IF62" s="9" t="str">
        <f t="shared" ca="1" si="53"/>
        <v/>
      </c>
      <c r="IG62" s="9" t="str">
        <f t="shared" ca="1" si="53"/>
        <v/>
      </c>
      <c r="IH62" s="9" t="str">
        <f t="shared" ca="1" si="53"/>
        <v/>
      </c>
      <c r="II62" s="9" t="str">
        <f t="shared" ca="1" si="53"/>
        <v/>
      </c>
      <c r="IJ62" s="9" t="str">
        <f t="shared" ca="1" si="53"/>
        <v/>
      </c>
      <c r="IK62" s="9" t="str">
        <f t="shared" ca="1" si="53"/>
        <v/>
      </c>
      <c r="IL62" s="9" t="str">
        <f t="shared" ca="1" si="53"/>
        <v/>
      </c>
      <c r="IM62" s="9" t="str">
        <f t="shared" ca="1" si="53"/>
        <v/>
      </c>
      <c r="IN62" s="9" t="str">
        <f t="shared" ca="1" si="53"/>
        <v/>
      </c>
      <c r="IO62" s="9" t="str">
        <f t="shared" ca="1" si="53"/>
        <v/>
      </c>
      <c r="IP62" s="9" t="str">
        <f t="shared" ca="1" si="53"/>
        <v/>
      </c>
      <c r="IQ62" s="9" t="str">
        <f t="shared" ca="1" si="53"/>
        <v/>
      </c>
      <c r="IR62" s="9" t="str">
        <f t="shared" ca="1" si="53"/>
        <v/>
      </c>
      <c r="IS62" s="9" t="str">
        <f t="shared" ca="1" si="53"/>
        <v/>
      </c>
      <c r="IT62" s="9" t="str">
        <f t="shared" ca="1" si="53"/>
        <v/>
      </c>
      <c r="IU62" s="9" t="str">
        <f t="shared" ca="1" si="53"/>
        <v/>
      </c>
      <c r="IV62" s="9" t="str">
        <f t="shared" ca="1" si="53"/>
        <v/>
      </c>
      <c r="IW62" s="9" t="str">
        <f t="shared" ca="1" si="53"/>
        <v/>
      </c>
      <c r="IX62" s="9" t="str">
        <f t="shared" ref="IX62:JH62" ca="1" si="54">IF(IX35="","",ABS(IX35))</f>
        <v/>
      </c>
      <c r="IY62" s="9" t="str">
        <f t="shared" ca="1" si="54"/>
        <v/>
      </c>
      <c r="IZ62" s="9" t="str">
        <f t="shared" ca="1" si="54"/>
        <v/>
      </c>
      <c r="JA62" s="9" t="str">
        <f t="shared" ca="1" si="54"/>
        <v/>
      </c>
      <c r="JB62" s="9" t="str">
        <f t="shared" ca="1" si="54"/>
        <v/>
      </c>
      <c r="JC62" s="9" t="str">
        <f t="shared" ca="1" si="54"/>
        <v/>
      </c>
      <c r="JD62" s="9" t="str">
        <f t="shared" ca="1" si="54"/>
        <v/>
      </c>
      <c r="JE62" s="9" t="str">
        <f t="shared" ca="1" si="54"/>
        <v/>
      </c>
      <c r="JF62" s="9" t="str">
        <f t="shared" ca="1" si="54"/>
        <v/>
      </c>
      <c r="JG62" s="9" t="str">
        <f t="shared" ca="1" si="54"/>
        <v/>
      </c>
      <c r="JH62" s="9" t="str">
        <f t="shared" ca="1" si="54"/>
        <v/>
      </c>
      <c r="JI62" s="13">
        <f t="shared" ca="1" si="24"/>
        <v>2.1093289168050526E-2</v>
      </c>
      <c r="JJ62" s="13">
        <f t="shared" ca="1" si="25"/>
        <v>2.1030473261703708E-2</v>
      </c>
      <c r="JK62" s="14">
        <f t="shared" ca="1" si="26"/>
        <v>2.0036777404859311E-4</v>
      </c>
      <c r="JL62" s="17">
        <f t="shared" ca="1" si="34"/>
        <v>1.4155132427801342E-2</v>
      </c>
      <c r="JM62" s="15" t="str">
        <f t="shared" ca="1" si="27"/>
        <v>[ -0,72% ; 4,94% ]</v>
      </c>
      <c r="JN62" s="17">
        <f t="shared" ca="1" si="28"/>
        <v>1.8118569507585718E-2</v>
      </c>
      <c r="LY62" s="1"/>
    </row>
    <row r="63" spans="1:337" x14ac:dyDescent="0.25">
      <c r="A63" s="4">
        <v>7</v>
      </c>
      <c r="B63" s="9">
        <f t="shared" ref="B63:BM63" ca="1" si="55">IF(B36="","",ABS(B36))</f>
        <v>1.4810224409923411E-2</v>
      </c>
      <c r="C63" s="9">
        <f t="shared" ca="1" si="55"/>
        <v>1.9641909638747235E-2</v>
      </c>
      <c r="D63" s="9">
        <f t="shared" ca="1" si="55"/>
        <v>1.5510593575133513E-2</v>
      </c>
      <c r="E63" s="9">
        <f t="shared" ca="1" si="55"/>
        <v>1.4508792276010873E-2</v>
      </c>
      <c r="F63" s="9">
        <f t="shared" ca="1" si="55"/>
        <v>1.0722185552452745E-2</v>
      </c>
      <c r="G63" s="9">
        <f t="shared" ca="1" si="55"/>
        <v>3.1273943524867454E-2</v>
      </c>
      <c r="H63" s="9">
        <f t="shared" ca="1" si="55"/>
        <v>9.5946822662394959E-3</v>
      </c>
      <c r="I63" s="9">
        <f t="shared" ca="1" si="55"/>
        <v>3.2539046959122464E-3</v>
      </c>
      <c r="J63" s="9">
        <f t="shared" ca="1" si="55"/>
        <v>4.0989670818696311E-3</v>
      </c>
      <c r="K63" s="9">
        <f t="shared" ca="1" si="55"/>
        <v>3.6067328002292731E-3</v>
      </c>
      <c r="L63" s="9">
        <f t="shared" ca="1" si="55"/>
        <v>1.0217829248243548E-2</v>
      </c>
      <c r="M63" s="9">
        <f t="shared" ca="1" si="55"/>
        <v>2.1558398788637967E-2</v>
      </c>
      <c r="N63" s="9">
        <f t="shared" ca="1" si="55"/>
        <v>1.9699889844310037E-2</v>
      </c>
      <c r="O63" s="9">
        <f t="shared" ca="1" si="55"/>
        <v>2.9138564655197041E-2</v>
      </c>
      <c r="P63" s="9">
        <f t="shared" ca="1" si="55"/>
        <v>2.6453044012294424E-2</v>
      </c>
      <c r="Q63" s="9">
        <f t="shared" ca="1" si="55"/>
        <v>2.896730178347684E-2</v>
      </c>
      <c r="R63" s="9">
        <f t="shared" ca="1" si="55"/>
        <v>2.6665917595089961E-2</v>
      </c>
      <c r="S63" s="9">
        <f t="shared" ca="1" si="55"/>
        <v>3.1326620440897623E-2</v>
      </c>
      <c r="T63" s="9">
        <f t="shared" ca="1" si="55"/>
        <v>1.1210811701424128E-2</v>
      </c>
      <c r="U63" s="9">
        <f t="shared" ca="1" si="55"/>
        <v>1.3942749044917324E-3</v>
      </c>
      <c r="V63" s="9">
        <f t="shared" ca="1" si="55"/>
        <v>1.0445008396073874E-3</v>
      </c>
      <c r="W63" s="9">
        <f t="shared" ca="1" si="55"/>
        <v>3.0882450814910811E-3</v>
      </c>
      <c r="X63" s="9">
        <f t="shared" ca="1" si="55"/>
        <v>1.7388531815731856E-3</v>
      </c>
      <c r="Y63" s="9">
        <f t="shared" ca="1" si="55"/>
        <v>1.3508282156124984E-2</v>
      </c>
      <c r="Z63" s="9">
        <f t="shared" ca="1" si="55"/>
        <v>2.5074289829528862E-2</v>
      </c>
      <c r="AA63" s="9">
        <f t="shared" ca="1" si="55"/>
        <v>2.6612331077719098E-2</v>
      </c>
      <c r="AB63" s="9">
        <f t="shared" ca="1" si="55"/>
        <v>2.2979950332239651E-2</v>
      </c>
      <c r="AC63" s="9">
        <f t="shared" ca="1" si="55"/>
        <v>2.78095047647684E-2</v>
      </c>
      <c r="AD63" s="9">
        <f t="shared" ca="1" si="55"/>
        <v>1.8620521569621129E-2</v>
      </c>
      <c r="AE63" s="9">
        <f t="shared" ca="1" si="55"/>
        <v>1.5573804405051961E-2</v>
      </c>
      <c r="AF63" s="9">
        <f t="shared" ca="1" si="55"/>
        <v>3.2755528871464268E-3</v>
      </c>
      <c r="AG63" s="9">
        <f t="shared" ca="1" si="55"/>
        <v>5.7057163841476299E-3</v>
      </c>
      <c r="AH63" s="9">
        <f t="shared" ca="1" si="55"/>
        <v>1.1321166050375253E-2</v>
      </c>
      <c r="AI63" s="9">
        <f t="shared" ca="1" si="55"/>
        <v>1.2504532650798428E-2</v>
      </c>
      <c r="AJ63" s="9">
        <f t="shared" ca="1" si="55"/>
        <v>1.2226830067538441E-2</v>
      </c>
      <c r="AK63" s="9">
        <f t="shared" ca="1" si="55"/>
        <v>5.5715756245556802E-3</v>
      </c>
      <c r="AL63" s="9">
        <f t="shared" ca="1" si="55"/>
        <v>3.7585766943570853E-4</v>
      </c>
      <c r="AM63" s="9">
        <f t="shared" ca="1" si="55"/>
        <v>4.0984645338273396E-3</v>
      </c>
      <c r="AN63" s="9">
        <f t="shared" ca="1" si="55"/>
        <v>5.9903524983893064E-3</v>
      </c>
      <c r="AO63" s="9">
        <f t="shared" ca="1" si="55"/>
        <v>3.009635878846284E-3</v>
      </c>
      <c r="AP63" s="9">
        <f t="shared" ca="1" si="55"/>
        <v>5.479611684171326E-3</v>
      </c>
      <c r="AQ63" s="9">
        <f t="shared" ca="1" si="55"/>
        <v>1.3321702017887738E-3</v>
      </c>
      <c r="AR63" s="9">
        <f t="shared" ca="1" si="55"/>
        <v>3.6035709929531645E-3</v>
      </c>
      <c r="AS63" s="9">
        <f t="shared" ca="1" si="55"/>
        <v>5.8972428608026206E-3</v>
      </c>
      <c r="AT63" s="9">
        <f t="shared" ca="1" si="55"/>
        <v>1.0337025821388623E-2</v>
      </c>
      <c r="AU63" s="9">
        <f t="shared" ca="1" si="55"/>
        <v>1.2764975646670118E-2</v>
      </c>
      <c r="AV63" s="9">
        <f t="shared" ca="1" si="55"/>
        <v>2.5656644879236579E-2</v>
      </c>
      <c r="AW63" s="9">
        <f t="shared" ca="1" si="55"/>
        <v>3.6806937320316369E-2</v>
      </c>
      <c r="AX63" s="9">
        <f t="shared" ca="1" si="55"/>
        <v>4.8302635531087823E-2</v>
      </c>
      <c r="AY63" s="9">
        <f t="shared" ca="1" si="55"/>
        <v>4.9952531090745378E-2</v>
      </c>
      <c r="AZ63" s="9">
        <f t="shared" ca="1" si="55"/>
        <v>4.7825478577005809E-2</v>
      </c>
      <c r="BA63" s="9">
        <f t="shared" ca="1" si="55"/>
        <v>4.0720965450932622E-2</v>
      </c>
      <c r="BB63" s="9">
        <f t="shared" ca="1" si="55"/>
        <v>6.5069167555721341E-2</v>
      </c>
      <c r="BC63" s="9">
        <f t="shared" ca="1" si="55"/>
        <v>6.7025361410621986E-2</v>
      </c>
      <c r="BD63" s="9">
        <f t="shared" ca="1" si="55"/>
        <v>6.7916256214540782E-2</v>
      </c>
      <c r="BE63" s="9">
        <f t="shared" ca="1" si="55"/>
        <v>6.2850280388549562E-2</v>
      </c>
      <c r="BF63" s="9">
        <f t="shared" ca="1" si="55"/>
        <v>4.6696904709274456E-2</v>
      </c>
      <c r="BG63" s="9">
        <f t="shared" ca="1" si="55"/>
        <v>5.2809633474150353E-2</v>
      </c>
      <c r="BH63" s="9">
        <f t="shared" ca="1" si="55"/>
        <v>5.6941663886190153E-2</v>
      </c>
      <c r="BI63" s="9">
        <f t="shared" ca="1" si="55"/>
        <v>1.8654981526048386E-2</v>
      </c>
      <c r="BJ63" s="9">
        <f t="shared" ca="1" si="55"/>
        <v>1.9462339579132681E-3</v>
      </c>
      <c r="BK63" s="9">
        <f t="shared" ca="1" si="55"/>
        <v>1.6922376157420427E-2</v>
      </c>
      <c r="BL63" s="9">
        <f t="shared" ca="1" si="55"/>
        <v>5.7989775099744456E-2</v>
      </c>
      <c r="BM63" s="9">
        <f t="shared" ca="1" si="55"/>
        <v>7.0866197150796784E-2</v>
      </c>
      <c r="BN63" s="9">
        <f t="shared" ref="BN63:DY63" ca="1" si="56">IF(BN36="","",ABS(BN36))</f>
        <v>5.9877304698786826E-2</v>
      </c>
      <c r="BO63" s="9">
        <f t="shared" ca="1" si="56"/>
        <v>5.0418785177350323E-2</v>
      </c>
      <c r="BP63" s="9">
        <f t="shared" ca="1" si="56"/>
        <v>3.108624282403627E-2</v>
      </c>
      <c r="BQ63" s="9">
        <f t="shared" ca="1" si="56"/>
        <v>2.4458707499256604E-2</v>
      </c>
      <c r="BR63" s="9">
        <f t="shared" ca="1" si="56"/>
        <v>1.2170585659653788E-2</v>
      </c>
      <c r="BS63" s="9">
        <f t="shared" ca="1" si="56"/>
        <v>3.5475613616445134E-2</v>
      </c>
      <c r="BT63" s="9">
        <f t="shared" ca="1" si="56"/>
        <v>2.1453881955318721E-2</v>
      </c>
      <c r="BU63" s="9">
        <f t="shared" ca="1" si="56"/>
        <v>8.2641651235648705E-3</v>
      </c>
      <c r="BV63" s="9">
        <f t="shared" ca="1" si="56"/>
        <v>2.523181352068149E-2</v>
      </c>
      <c r="BW63" s="9">
        <f t="shared" ca="1" si="56"/>
        <v>1.5443086212608481E-2</v>
      </c>
      <c r="BX63" s="9">
        <f t="shared" ca="1" si="56"/>
        <v>2.5437822357866624E-3</v>
      </c>
      <c r="BY63" s="9">
        <f t="shared" ca="1" si="56"/>
        <v>4.9472854466573457E-3</v>
      </c>
      <c r="BZ63" s="9">
        <f t="shared" ca="1" si="56"/>
        <v>2.8259456245844916E-3</v>
      </c>
      <c r="CA63" s="9">
        <f t="shared" ca="1" si="56"/>
        <v>2.6822997895179501E-3</v>
      </c>
      <c r="CB63" s="9">
        <f t="shared" ca="1" si="56"/>
        <v>7.1891711579251671E-3</v>
      </c>
      <c r="CC63" s="9">
        <f t="shared" ca="1" si="56"/>
        <v>3.585698094754397E-3</v>
      </c>
      <c r="CD63" s="9">
        <f t="shared" ca="1" si="56"/>
        <v>1.7006083463231292E-3</v>
      </c>
      <c r="CE63" s="9">
        <f t="shared" ca="1" si="56"/>
        <v>2.3344599633375651E-2</v>
      </c>
      <c r="CF63" s="9">
        <f t="shared" ca="1" si="56"/>
        <v>2.800591628557747E-2</v>
      </c>
      <c r="CG63" s="9">
        <f t="shared" ca="1" si="56"/>
        <v>7.2314482516422363E-3</v>
      </c>
      <c r="CH63" s="9">
        <f t="shared" ca="1" si="56"/>
        <v>1.457752285329339E-2</v>
      </c>
      <c r="CI63" s="9">
        <f t="shared" ca="1" si="56"/>
        <v>1.9009063154588945E-2</v>
      </c>
      <c r="CJ63" s="9">
        <f t="shared" ca="1" si="56"/>
        <v>6.3923428310596053E-3</v>
      </c>
      <c r="CK63" s="9">
        <f t="shared" ca="1" si="56"/>
        <v>2.2145816726242273E-2</v>
      </c>
      <c r="CL63" s="9">
        <f t="shared" ca="1" si="56"/>
        <v>2.8516630497683382E-2</v>
      </c>
      <c r="CM63" s="9">
        <f t="shared" ca="1" si="56"/>
        <v>2.3006888269617498E-2</v>
      </c>
      <c r="CN63" s="9">
        <f t="shared" ca="1" si="56"/>
        <v>2.5138603659306424E-2</v>
      </c>
      <c r="CO63" s="9">
        <f t="shared" ca="1" si="56"/>
        <v>2.2587773678686807E-2</v>
      </c>
      <c r="CP63" s="9">
        <f t="shared" ca="1" si="56"/>
        <v>2.6422558961553877E-2</v>
      </c>
      <c r="CQ63" s="9">
        <f t="shared" ca="1" si="56"/>
        <v>4.9638930611189513E-2</v>
      </c>
      <c r="CR63" s="9">
        <f t="shared" ca="1" si="56"/>
        <v>2.8185577801206341E-2</v>
      </c>
      <c r="CS63" s="9">
        <f t="shared" ca="1" si="56"/>
        <v>1.2403627344693469E-2</v>
      </c>
      <c r="CT63" s="9">
        <f t="shared" ca="1" si="56"/>
        <v>2.9990538842627812E-2</v>
      </c>
      <c r="CU63" s="9">
        <f t="shared" ca="1" si="56"/>
        <v>2.628434790614631E-2</v>
      </c>
      <c r="CV63" s="9">
        <f t="shared" ca="1" si="56"/>
        <v>4.4954147543467826E-3</v>
      </c>
      <c r="CW63" s="9">
        <f t="shared" ca="1" si="56"/>
        <v>9.104155068118791E-3</v>
      </c>
      <c r="CX63" s="9">
        <f t="shared" ca="1" si="56"/>
        <v>1.7286622404829366E-2</v>
      </c>
      <c r="CY63" s="9">
        <f t="shared" ca="1" si="56"/>
        <v>2.0528219032547534E-2</v>
      </c>
      <c r="CZ63" s="9">
        <f t="shared" ca="1" si="56"/>
        <v>3.5249852053012676E-2</v>
      </c>
      <c r="DA63" s="9">
        <f t="shared" ca="1" si="56"/>
        <v>1.304549703480995E-2</v>
      </c>
      <c r="DB63" s="9">
        <f t="shared" ca="1" si="56"/>
        <v>8.3246236562812825E-3</v>
      </c>
      <c r="DC63" s="9">
        <f t="shared" ca="1" si="56"/>
        <v>3.660740884094027E-2</v>
      </c>
      <c r="DD63" s="9">
        <f t="shared" ca="1" si="56"/>
        <v>7.1185625712495426E-3</v>
      </c>
      <c r="DE63" s="9">
        <f t="shared" ca="1" si="56"/>
        <v>4.1062926668590904E-2</v>
      </c>
      <c r="DF63" s="9">
        <f t="shared" ca="1" si="56"/>
        <v>5.4697435545153383E-2</v>
      </c>
      <c r="DG63" s="9">
        <f t="shared" ca="1" si="56"/>
        <v>4.4837719100713658E-2</v>
      </c>
      <c r="DH63" s="9">
        <f t="shared" ca="1" si="56"/>
        <v>3.4535245512959389E-2</v>
      </c>
      <c r="DI63" s="9">
        <f t="shared" ca="1" si="56"/>
        <v>5.5131915862237646E-2</v>
      </c>
      <c r="DJ63" s="9">
        <f t="shared" ca="1" si="56"/>
        <v>2.779303209046724E-2</v>
      </c>
      <c r="DK63" s="9">
        <f t="shared" ca="1" si="56"/>
        <v>3.6371475590965652E-2</v>
      </c>
      <c r="DL63" s="9">
        <f t="shared" ca="1" si="56"/>
        <v>3.8114728279168952E-2</v>
      </c>
      <c r="DM63" s="9">
        <f t="shared" ca="1" si="56"/>
        <v>4.3580442724230228E-2</v>
      </c>
      <c r="DN63" s="9">
        <f t="shared" ca="1" si="56"/>
        <v>3.6079493534498353E-2</v>
      </c>
      <c r="DO63" s="9">
        <f t="shared" ca="1" si="56"/>
        <v>3.6565002663330626E-2</v>
      </c>
      <c r="DP63" s="9">
        <f t="shared" ca="1" si="56"/>
        <v>8.6243783250390393E-3</v>
      </c>
      <c r="DQ63" s="9">
        <f t="shared" ca="1" si="56"/>
        <v>3.3707391504650852E-2</v>
      </c>
      <c r="DR63" s="9">
        <f t="shared" ca="1" si="56"/>
        <v>9.8912573809821769E-3</v>
      </c>
      <c r="DS63" s="9">
        <f t="shared" ca="1" si="56"/>
        <v>4.5106883806573794E-3</v>
      </c>
      <c r="DT63" s="9">
        <f t="shared" ca="1" si="56"/>
        <v>1.5120250607422614E-2</v>
      </c>
      <c r="DU63" s="9">
        <f t="shared" ca="1" si="56"/>
        <v>1.0733300350318054E-2</v>
      </c>
      <c r="DV63" s="9">
        <f t="shared" ca="1" si="56"/>
        <v>2.6022947256698625E-4</v>
      </c>
      <c r="DW63" s="9">
        <f t="shared" ca="1" si="56"/>
        <v>5.7818685853286977E-3</v>
      </c>
      <c r="DX63" s="9">
        <f t="shared" ca="1" si="56"/>
        <v>7.5995727979480954E-3</v>
      </c>
      <c r="DY63" s="9">
        <f t="shared" ca="1" si="56"/>
        <v>5.0699832316646321E-3</v>
      </c>
      <c r="DZ63" s="9">
        <f t="shared" ref="DZ63:GK63" ca="1" si="57">IF(DZ36="","",ABS(DZ36))</f>
        <v>1.7650513960564052E-2</v>
      </c>
      <c r="EA63" s="9">
        <f t="shared" ca="1" si="57"/>
        <v>9.9157153044766577E-3</v>
      </c>
      <c r="EB63" s="9">
        <f t="shared" ca="1" si="57"/>
        <v>4.357087455081543E-2</v>
      </c>
      <c r="EC63" s="9">
        <f t="shared" ca="1" si="57"/>
        <v>3.0136265353150726E-2</v>
      </c>
      <c r="ED63" s="9">
        <f t="shared" ca="1" si="57"/>
        <v>1.4849879900015961E-2</v>
      </c>
      <c r="EE63" s="9">
        <f t="shared" ca="1" si="57"/>
        <v>1.9276288241737993E-2</v>
      </c>
      <c r="EF63" s="9">
        <f t="shared" ca="1" si="57"/>
        <v>8.6765659492173963E-3</v>
      </c>
      <c r="EG63" s="9">
        <f t="shared" ca="1" si="57"/>
        <v>1.2906616926773751E-2</v>
      </c>
      <c r="EH63" s="9">
        <f t="shared" ca="1" si="57"/>
        <v>1.5867336356948147E-2</v>
      </c>
      <c r="EI63" s="9">
        <f t="shared" ca="1" si="57"/>
        <v>2.6951933241904369E-2</v>
      </c>
      <c r="EJ63" s="9">
        <f t="shared" ca="1" si="57"/>
        <v>3.2038595460944785E-2</v>
      </c>
      <c r="EK63" s="9">
        <f t="shared" ca="1" si="57"/>
        <v>1.153434609459536E-2</v>
      </c>
      <c r="EL63" s="9">
        <f t="shared" ca="1" si="57"/>
        <v>2.1784594073817054E-3</v>
      </c>
      <c r="EM63" s="9">
        <f t="shared" ca="1" si="57"/>
        <v>1.1584535324477008E-3</v>
      </c>
      <c r="EN63" s="9">
        <f t="shared" ca="1" si="57"/>
        <v>2.6890522559602781E-2</v>
      </c>
      <c r="EO63" s="9">
        <f t="shared" ca="1" si="57"/>
        <v>2.0831894671435758E-2</v>
      </c>
      <c r="EP63" s="9">
        <f t="shared" ca="1" si="57"/>
        <v>1.43029078502378E-2</v>
      </c>
      <c r="EQ63" s="9">
        <f t="shared" ca="1" si="57"/>
        <v>7.3447835844555609E-3</v>
      </c>
      <c r="ER63" s="9">
        <f t="shared" ca="1" si="57"/>
        <v>8.742757941841317E-3</v>
      </c>
      <c r="ES63" s="9">
        <f t="shared" ca="1" si="57"/>
        <v>2.0383379174820138E-2</v>
      </c>
      <c r="ET63" s="9">
        <f t="shared" ca="1" si="57"/>
        <v>6.0546924520054057E-3</v>
      </c>
      <c r="EU63" s="9">
        <f t="shared" ca="1" si="57"/>
        <v>1.9899392025093388E-3</v>
      </c>
      <c r="EV63" s="9">
        <f t="shared" ca="1" si="57"/>
        <v>1.5177532644378156E-2</v>
      </c>
      <c r="EW63" s="9">
        <f t="shared" ca="1" si="57"/>
        <v>2.2144209498528244E-2</v>
      </c>
      <c r="EX63" s="9">
        <f t="shared" ca="1" si="57"/>
        <v>1.5094091403457854E-2</v>
      </c>
      <c r="EY63" s="9">
        <f t="shared" ca="1" si="57"/>
        <v>2.7378564458853116E-3</v>
      </c>
      <c r="EZ63" s="9">
        <f t="shared" ca="1" si="57"/>
        <v>1.0582738261017743E-2</v>
      </c>
      <c r="FA63" s="9">
        <f t="shared" ca="1" si="57"/>
        <v>6.3277810057659201E-3</v>
      </c>
      <c r="FB63" s="9">
        <f t="shared" ca="1" si="57"/>
        <v>5.0930941367514082E-3</v>
      </c>
      <c r="FC63" s="9">
        <f t="shared" ca="1" si="57"/>
        <v>3.8669488917202344E-3</v>
      </c>
      <c r="FD63" s="9">
        <f t="shared" ca="1" si="57"/>
        <v>2.8840248868743368E-3</v>
      </c>
      <c r="FE63" s="9">
        <f t="shared" ca="1" si="57"/>
        <v>6.3824499133802171E-3</v>
      </c>
      <c r="FF63" s="9">
        <f t="shared" ca="1" si="57"/>
        <v>2.471777347292814E-2</v>
      </c>
      <c r="FG63" s="9">
        <f t="shared" ca="1" si="57"/>
        <v>2.8061993499109095E-2</v>
      </c>
      <c r="FH63" s="9">
        <f t="shared" ca="1" si="57"/>
        <v>1.4572204808663169E-2</v>
      </c>
      <c r="FI63" s="9">
        <f t="shared" ca="1" si="57"/>
        <v>1.1300182079338583E-2</v>
      </c>
      <c r="FJ63" s="9">
        <f t="shared" ca="1" si="57"/>
        <v>5.0208682882880717E-3</v>
      </c>
      <c r="FK63" s="9">
        <f t="shared" ca="1" si="57"/>
        <v>2.5757840671092325E-3</v>
      </c>
      <c r="FL63" s="9">
        <f t="shared" ca="1" si="57"/>
        <v>6.1783414934895031E-3</v>
      </c>
      <c r="FM63" s="9">
        <f t="shared" ca="1" si="57"/>
        <v>2.7703957955965253E-2</v>
      </c>
      <c r="FN63" s="9">
        <f t="shared" ca="1" si="57"/>
        <v>1.976213106411806E-2</v>
      </c>
      <c r="FO63" s="9">
        <f t="shared" ca="1" si="57"/>
        <v>1.5446539599907716E-2</v>
      </c>
      <c r="FP63" s="9">
        <f t="shared" ca="1" si="57"/>
        <v>1.6634020833298679E-2</v>
      </c>
      <c r="FQ63" s="9">
        <f t="shared" ca="1" si="57"/>
        <v>1.0291943869181419E-2</v>
      </c>
      <c r="FR63" s="9">
        <f t="shared" ca="1" si="57"/>
        <v>1.7833357054133026E-2</v>
      </c>
      <c r="FS63" s="9">
        <f t="shared" ca="1" si="57"/>
        <v>3.0085948345370928E-2</v>
      </c>
      <c r="FT63" s="9">
        <f t="shared" ca="1" si="57"/>
        <v>2.8616409297453793E-2</v>
      </c>
      <c r="FU63" s="9">
        <f t="shared" ca="1" si="57"/>
        <v>1.0184553616177094E-2</v>
      </c>
      <c r="FV63" s="9">
        <f t="shared" ca="1" si="57"/>
        <v>9.5931834440627917E-3</v>
      </c>
      <c r="FW63" s="9">
        <f t="shared" ca="1" si="57"/>
        <v>2.6200617994679765E-2</v>
      </c>
      <c r="FX63" s="9">
        <f t="shared" ca="1" si="57"/>
        <v>5.6132775362336407E-3</v>
      </c>
      <c r="FY63" s="9">
        <f t="shared" ca="1" si="57"/>
        <v>4.5110171130542387E-3</v>
      </c>
      <c r="FZ63" s="9">
        <f t="shared" ca="1" si="57"/>
        <v>2.4031134557689127E-2</v>
      </c>
      <c r="GA63" s="9">
        <f t="shared" ca="1" si="57"/>
        <v>3.5870466130590861E-2</v>
      </c>
      <c r="GB63" s="9">
        <f t="shared" ca="1" si="57"/>
        <v>3.7574298474362111E-2</v>
      </c>
      <c r="GC63" s="9">
        <f t="shared" ca="1" si="57"/>
        <v>2.8090783247923135E-2</v>
      </c>
      <c r="GD63" s="9">
        <f t="shared" ca="1" si="57"/>
        <v>1.2656284777996962E-2</v>
      </c>
      <c r="GE63" s="9">
        <f t="shared" ca="1" si="57"/>
        <v>4.978303361732328E-4</v>
      </c>
      <c r="GF63" s="9">
        <f t="shared" ca="1" si="57"/>
        <v>6.833283122535283E-3</v>
      </c>
      <c r="GG63" s="9">
        <f t="shared" ca="1" si="57"/>
        <v>7.8422271143629985E-5</v>
      </c>
      <c r="GH63" s="9">
        <f t="shared" ca="1" si="57"/>
        <v>9.1314868882363953E-3</v>
      </c>
      <c r="GI63" s="9">
        <f t="shared" ca="1" si="57"/>
        <v>3.7497715755470784E-2</v>
      </c>
      <c r="GJ63" s="9">
        <f t="shared" ca="1" si="57"/>
        <v>2.9823215680152115E-2</v>
      </c>
      <c r="GK63" s="9">
        <f t="shared" ca="1" si="57"/>
        <v>3.5488469415307478E-2</v>
      </c>
      <c r="GL63" s="9">
        <f t="shared" ref="GL63:IW63" ca="1" si="58">IF(GL36="","",ABS(GL36))</f>
        <v>3.3054282513007571E-2</v>
      </c>
      <c r="GM63" s="9">
        <f t="shared" ca="1" si="58"/>
        <v>1.9774357888145522E-2</v>
      </c>
      <c r="GN63" s="9">
        <f t="shared" ca="1" si="58"/>
        <v>1.1250840304446896E-2</v>
      </c>
      <c r="GO63" s="9">
        <f t="shared" ca="1" si="58"/>
        <v>6.0585974051369229E-3</v>
      </c>
      <c r="GP63" s="9">
        <f t="shared" ca="1" si="58"/>
        <v>4.9925679333960082E-2</v>
      </c>
      <c r="GQ63" s="9">
        <f t="shared" ca="1" si="58"/>
        <v>6.2933722881544529E-2</v>
      </c>
      <c r="GR63" s="9">
        <f t="shared" ca="1" si="58"/>
        <v>3.7326535258907723E-2</v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9" t="str">
        <f t="shared" ca="1" si="58"/>
        <v/>
      </c>
      <c r="GX63" s="9" t="str">
        <f t="shared" ca="1" si="58"/>
        <v/>
      </c>
      <c r="GY63" s="9" t="str">
        <f t="shared" ca="1" si="58"/>
        <v/>
      </c>
      <c r="GZ63" s="9" t="str">
        <f t="shared" ca="1" si="58"/>
        <v/>
      </c>
      <c r="HA63" s="9" t="str">
        <f t="shared" ca="1" si="58"/>
        <v/>
      </c>
      <c r="HB63" s="9" t="str">
        <f t="shared" ca="1" si="58"/>
        <v/>
      </c>
      <c r="HC63" s="9" t="str">
        <f t="shared" ca="1" si="58"/>
        <v/>
      </c>
      <c r="HD63" s="9" t="str">
        <f t="shared" ca="1" si="58"/>
        <v/>
      </c>
      <c r="HE63" s="9" t="str">
        <f t="shared" ca="1" si="58"/>
        <v/>
      </c>
      <c r="HF63" s="9" t="str">
        <f t="shared" ca="1" si="58"/>
        <v/>
      </c>
      <c r="HG63" s="9" t="str">
        <f t="shared" ca="1" si="58"/>
        <v/>
      </c>
      <c r="HH63" s="9" t="str">
        <f t="shared" ca="1" si="58"/>
        <v/>
      </c>
      <c r="HI63" s="9" t="str">
        <f t="shared" ca="1" si="58"/>
        <v/>
      </c>
      <c r="HJ63" s="9" t="str">
        <f t="shared" ca="1" si="58"/>
        <v/>
      </c>
      <c r="HK63" s="9" t="str">
        <f t="shared" ca="1" si="58"/>
        <v/>
      </c>
      <c r="HL63" s="9" t="str">
        <f t="shared" ca="1" si="58"/>
        <v/>
      </c>
      <c r="HM63" s="9" t="str">
        <f t="shared" ca="1" si="58"/>
        <v/>
      </c>
      <c r="HN63" s="9" t="str">
        <f t="shared" ca="1" si="58"/>
        <v/>
      </c>
      <c r="HO63" s="9" t="str">
        <f t="shared" ca="1" si="58"/>
        <v/>
      </c>
      <c r="HP63" s="9" t="str">
        <f t="shared" ca="1" si="58"/>
        <v/>
      </c>
      <c r="HQ63" s="9" t="str">
        <f t="shared" ca="1" si="58"/>
        <v/>
      </c>
      <c r="HR63" s="9" t="str">
        <f t="shared" ca="1" si="58"/>
        <v/>
      </c>
      <c r="HS63" s="9" t="str">
        <f t="shared" ca="1" si="58"/>
        <v/>
      </c>
      <c r="HT63" s="9" t="str">
        <f t="shared" ca="1" si="58"/>
        <v/>
      </c>
      <c r="HU63" s="9" t="str">
        <f t="shared" ca="1" si="58"/>
        <v/>
      </c>
      <c r="HV63" s="9" t="str">
        <f t="shared" ca="1" si="58"/>
        <v/>
      </c>
      <c r="HW63" s="9" t="str">
        <f t="shared" ca="1" si="58"/>
        <v/>
      </c>
      <c r="HX63" s="9" t="str">
        <f t="shared" ca="1" si="58"/>
        <v/>
      </c>
      <c r="HY63" s="9" t="str">
        <f t="shared" ca="1" si="58"/>
        <v/>
      </c>
      <c r="HZ63" s="9" t="str">
        <f t="shared" ca="1" si="58"/>
        <v/>
      </c>
      <c r="IA63" s="9" t="str">
        <f t="shared" ca="1" si="58"/>
        <v/>
      </c>
      <c r="IB63" s="9" t="str">
        <f t="shared" ca="1" si="58"/>
        <v/>
      </c>
      <c r="IC63" s="9" t="str">
        <f t="shared" ca="1" si="58"/>
        <v/>
      </c>
      <c r="ID63" s="9" t="str">
        <f t="shared" ca="1" si="58"/>
        <v/>
      </c>
      <c r="IE63" s="9" t="str">
        <f t="shared" ca="1" si="58"/>
        <v/>
      </c>
      <c r="IF63" s="9" t="str">
        <f t="shared" ca="1" si="58"/>
        <v/>
      </c>
      <c r="IG63" s="9" t="str">
        <f t="shared" ca="1" si="58"/>
        <v/>
      </c>
      <c r="IH63" s="9" t="str">
        <f t="shared" ca="1" si="58"/>
        <v/>
      </c>
      <c r="II63" s="9" t="str">
        <f t="shared" ca="1" si="58"/>
        <v/>
      </c>
      <c r="IJ63" s="9" t="str">
        <f t="shared" ca="1" si="58"/>
        <v/>
      </c>
      <c r="IK63" s="9" t="str">
        <f t="shared" ca="1" si="58"/>
        <v/>
      </c>
      <c r="IL63" s="9" t="str">
        <f t="shared" ca="1" si="58"/>
        <v/>
      </c>
      <c r="IM63" s="9" t="str">
        <f t="shared" ca="1" si="58"/>
        <v/>
      </c>
      <c r="IN63" s="9" t="str">
        <f t="shared" ca="1" si="58"/>
        <v/>
      </c>
      <c r="IO63" s="9" t="str">
        <f t="shared" ca="1" si="58"/>
        <v/>
      </c>
      <c r="IP63" s="9" t="str">
        <f t="shared" ca="1" si="58"/>
        <v/>
      </c>
      <c r="IQ63" s="9" t="str">
        <f t="shared" ca="1" si="58"/>
        <v/>
      </c>
      <c r="IR63" s="9" t="str">
        <f t="shared" ca="1" si="58"/>
        <v/>
      </c>
      <c r="IS63" s="9" t="str">
        <f t="shared" ca="1" si="58"/>
        <v/>
      </c>
      <c r="IT63" s="9" t="str">
        <f t="shared" ca="1" si="58"/>
        <v/>
      </c>
      <c r="IU63" s="9" t="str">
        <f t="shared" ca="1" si="58"/>
        <v/>
      </c>
      <c r="IV63" s="9" t="str">
        <f t="shared" ca="1" si="58"/>
        <v/>
      </c>
      <c r="IW63" s="9" t="str">
        <f t="shared" ca="1" si="58"/>
        <v/>
      </c>
      <c r="IX63" s="9" t="str">
        <f t="shared" ref="IX63:JH63" ca="1" si="59">IF(IX36="","",ABS(IX36))</f>
        <v/>
      </c>
      <c r="IY63" s="9" t="str">
        <f t="shared" ca="1" si="59"/>
        <v/>
      </c>
      <c r="IZ63" s="9" t="str">
        <f t="shared" ca="1" si="59"/>
        <v/>
      </c>
      <c r="JA63" s="9" t="str">
        <f t="shared" ca="1" si="59"/>
        <v/>
      </c>
      <c r="JB63" s="9" t="str">
        <f t="shared" ca="1" si="59"/>
        <v/>
      </c>
      <c r="JC63" s="9" t="str">
        <f t="shared" ca="1" si="59"/>
        <v/>
      </c>
      <c r="JD63" s="9" t="str">
        <f t="shared" ca="1" si="59"/>
        <v/>
      </c>
      <c r="JE63" s="9" t="str">
        <f t="shared" ca="1" si="59"/>
        <v/>
      </c>
      <c r="JF63" s="9" t="str">
        <f t="shared" ca="1" si="59"/>
        <v/>
      </c>
      <c r="JG63" s="9" t="str">
        <f t="shared" ca="1" si="59"/>
        <v/>
      </c>
      <c r="JH63" s="9" t="str">
        <f t="shared" ca="1" si="59"/>
        <v/>
      </c>
      <c r="JI63" s="13">
        <f t="shared" ca="1" si="24"/>
        <v>2.2172418375467039E-2</v>
      </c>
      <c r="JJ63" s="13">
        <f t="shared" ca="1" si="25"/>
        <v>2.1902746222917324E-2</v>
      </c>
      <c r="JK63" s="14">
        <f t="shared" ca="1" si="26"/>
        <v>2.400285135772629E-4</v>
      </c>
      <c r="JL63" s="17">
        <f t="shared" ca="1" si="34"/>
        <v>1.5492853629246708E-2</v>
      </c>
      <c r="JM63" s="15" t="str">
        <f t="shared" ca="1" si="27"/>
        <v>[ -0,88% ; 5,32% ]</v>
      </c>
      <c r="JN63" s="17">
        <f t="shared" ca="1" si="28"/>
        <v>1.9830852645435788E-2</v>
      </c>
      <c r="LY63" s="1"/>
    </row>
    <row r="64" spans="1:337" x14ac:dyDescent="0.25">
      <c r="A64" s="4">
        <v>8</v>
      </c>
      <c r="B64" s="9">
        <f t="shared" ref="B64:BM64" ca="1" si="60">IF(B37="","",ABS(B37))</f>
        <v>1.9121287018614153E-2</v>
      </c>
      <c r="C64" s="9">
        <f t="shared" ca="1" si="60"/>
        <v>1.6260374924305987E-2</v>
      </c>
      <c r="D64" s="9">
        <f t="shared" ca="1" si="60"/>
        <v>1.5398583401623145E-2</v>
      </c>
      <c r="E64" s="9">
        <f t="shared" ca="1" si="60"/>
        <v>1.0520686471742757E-2</v>
      </c>
      <c r="F64" s="9">
        <f t="shared" ca="1" si="60"/>
        <v>3.1328541470526994E-2</v>
      </c>
      <c r="G64" s="9">
        <f t="shared" ca="1" si="60"/>
        <v>1.1545892465184338E-2</v>
      </c>
      <c r="H64" s="9">
        <f t="shared" ca="1" si="60"/>
        <v>8.5340830499539555E-3</v>
      </c>
      <c r="I64" s="9">
        <f t="shared" ca="1" si="60"/>
        <v>5.4478027051249045E-3</v>
      </c>
      <c r="J64" s="9">
        <f t="shared" ca="1" si="60"/>
        <v>2.4233000122758641E-3</v>
      </c>
      <c r="K64" s="9">
        <f t="shared" ca="1" si="60"/>
        <v>8.562096504901473E-3</v>
      </c>
      <c r="L64" s="9">
        <f t="shared" ca="1" si="60"/>
        <v>1.8516330800823488E-2</v>
      </c>
      <c r="M64" s="9">
        <f t="shared" ca="1" si="60"/>
        <v>2.4335398439988665E-2</v>
      </c>
      <c r="N64" s="9">
        <f t="shared" ca="1" si="60"/>
        <v>2.2711205675669421E-2</v>
      </c>
      <c r="O64" s="9">
        <f t="shared" ca="1" si="60"/>
        <v>2.5333187683512226E-2</v>
      </c>
      <c r="P64" s="9">
        <f t="shared" ca="1" si="60"/>
        <v>2.8282369964966803E-2</v>
      </c>
      <c r="Q64" s="9">
        <f t="shared" ca="1" si="60"/>
        <v>3.0336079300813834E-2</v>
      </c>
      <c r="R64" s="9">
        <f t="shared" ca="1" si="60"/>
        <v>3.6758554259549769E-2</v>
      </c>
      <c r="S64" s="9">
        <f t="shared" ca="1" si="60"/>
        <v>1.9832641136378837E-2</v>
      </c>
      <c r="T64" s="9">
        <f t="shared" ca="1" si="60"/>
        <v>1.1339031337806227E-2</v>
      </c>
      <c r="U64" s="9">
        <f t="shared" ca="1" si="60"/>
        <v>1.4155975009499944E-4</v>
      </c>
      <c r="V64" s="9">
        <f t="shared" ca="1" si="60"/>
        <v>3.2529885013390381E-3</v>
      </c>
      <c r="W64" s="9">
        <f t="shared" ca="1" si="60"/>
        <v>1.8380960359778431E-3</v>
      </c>
      <c r="X64" s="9">
        <f t="shared" ca="1" si="60"/>
        <v>9.7314144275033598E-3</v>
      </c>
      <c r="Y64" s="9">
        <f t="shared" ca="1" si="60"/>
        <v>1.9921186771469257E-2</v>
      </c>
      <c r="Z64" s="9">
        <f t="shared" ca="1" si="60"/>
        <v>2.9099475655211204E-2</v>
      </c>
      <c r="AA64" s="9">
        <f t="shared" ca="1" si="60"/>
        <v>2.481565098241334E-2</v>
      </c>
      <c r="AB64" s="9">
        <f t="shared" ca="1" si="60"/>
        <v>2.2542212513516846E-2</v>
      </c>
      <c r="AC64" s="9">
        <f t="shared" ca="1" si="60"/>
        <v>2.7507641969414021E-2</v>
      </c>
      <c r="AD64" s="9">
        <f t="shared" ca="1" si="60"/>
        <v>1.4717638914718334E-2</v>
      </c>
      <c r="AE64" s="9">
        <f t="shared" ca="1" si="60"/>
        <v>1.2707054789205197E-2</v>
      </c>
      <c r="AF64" s="9">
        <f t="shared" ca="1" si="60"/>
        <v>2.200716840102368E-3</v>
      </c>
      <c r="AG64" s="9">
        <f t="shared" ca="1" si="60"/>
        <v>8.1294422126317878E-3</v>
      </c>
      <c r="AH64" s="9">
        <f t="shared" ca="1" si="60"/>
        <v>1.0784064798977977E-2</v>
      </c>
      <c r="AI64" s="9">
        <f t="shared" ca="1" si="60"/>
        <v>1.2956881739560444E-2</v>
      </c>
      <c r="AJ64" s="9">
        <f t="shared" ca="1" si="60"/>
        <v>8.1283787189340151E-3</v>
      </c>
      <c r="AK64" s="9">
        <f t="shared" ca="1" si="60"/>
        <v>5.5054008171312452E-3</v>
      </c>
      <c r="AL64" s="9">
        <f t="shared" ca="1" si="60"/>
        <v>4.0555144366312135E-3</v>
      </c>
      <c r="AM64" s="9">
        <f t="shared" ca="1" si="60"/>
        <v>3.6777995968415578E-3</v>
      </c>
      <c r="AN64" s="9">
        <f t="shared" ca="1" si="60"/>
        <v>8.544454636467691E-4</v>
      </c>
      <c r="AO64" s="9">
        <f t="shared" ca="1" si="60"/>
        <v>5.4798617398017502E-3</v>
      </c>
      <c r="AP64" s="9">
        <f t="shared" ca="1" si="60"/>
        <v>2.2401174123243273E-4</v>
      </c>
      <c r="AQ64" s="9">
        <f t="shared" ca="1" si="60"/>
        <v>8.6282189318245273E-3</v>
      </c>
      <c r="AR64" s="9">
        <f t="shared" ca="1" si="60"/>
        <v>7.0868743994136896E-3</v>
      </c>
      <c r="AS64" s="9">
        <f t="shared" ca="1" si="60"/>
        <v>1.2805426817845023E-2</v>
      </c>
      <c r="AT64" s="9">
        <f t="shared" ca="1" si="60"/>
        <v>1.2908338046973888E-2</v>
      </c>
      <c r="AU64" s="9">
        <f t="shared" ca="1" si="60"/>
        <v>2.0793346169060811E-2</v>
      </c>
      <c r="AV64" s="9">
        <f t="shared" ca="1" si="60"/>
        <v>3.6652378667992869E-2</v>
      </c>
      <c r="AW64" s="9">
        <f t="shared" ca="1" si="60"/>
        <v>4.3445619573518668E-2</v>
      </c>
      <c r="AX64" s="9">
        <f t="shared" ca="1" si="60"/>
        <v>5.7457372819488928E-2</v>
      </c>
      <c r="AY64" s="9">
        <f t="shared" ca="1" si="60"/>
        <v>5.3520733451130509E-2</v>
      </c>
      <c r="AZ64" s="9">
        <f t="shared" ca="1" si="60"/>
        <v>5.0704646490555838E-2</v>
      </c>
      <c r="BA64" s="9">
        <f t="shared" ca="1" si="60"/>
        <v>6.9975147938747595E-2</v>
      </c>
      <c r="BB64" s="9">
        <f t="shared" ca="1" si="60"/>
        <v>7.3373993884062516E-2</v>
      </c>
      <c r="BC64" s="9">
        <f t="shared" ca="1" si="60"/>
        <v>8.0430349356138242E-2</v>
      </c>
      <c r="BD64" s="9">
        <f t="shared" ca="1" si="60"/>
        <v>7.9258118915891407E-2</v>
      </c>
      <c r="BE64" s="9">
        <f t="shared" ca="1" si="60"/>
        <v>7.6350312231710626E-2</v>
      </c>
      <c r="BF64" s="9">
        <f t="shared" ca="1" si="60"/>
        <v>4.9074278449143804E-2</v>
      </c>
      <c r="BG64" s="9">
        <f t="shared" ca="1" si="60"/>
        <v>4.9689322562165072E-2</v>
      </c>
      <c r="BH64" s="9">
        <f t="shared" ca="1" si="60"/>
        <v>5.9774779268779943E-2</v>
      </c>
      <c r="BI64" s="9">
        <f t="shared" ca="1" si="60"/>
        <v>1.2653088952420122E-2</v>
      </c>
      <c r="BJ64" s="9">
        <f t="shared" ca="1" si="60"/>
        <v>3.8138332685255794E-3</v>
      </c>
      <c r="BK64" s="9">
        <f t="shared" ca="1" si="60"/>
        <v>4.0846529310751167E-2</v>
      </c>
      <c r="BL64" s="9">
        <f t="shared" ca="1" si="60"/>
        <v>5.5754781915865359E-2</v>
      </c>
      <c r="BM64" s="9">
        <f t="shared" ca="1" si="60"/>
        <v>7.4853437847554494E-2</v>
      </c>
      <c r="BN64" s="9">
        <f t="shared" ref="BN64:DY64" ca="1" si="61">IF(BN37="","",ABS(BN37))</f>
        <v>7.412315242612022E-2</v>
      </c>
      <c r="BO64" s="9">
        <f t="shared" ca="1" si="61"/>
        <v>5.305990518240844E-2</v>
      </c>
      <c r="BP64" s="9">
        <f t="shared" ca="1" si="61"/>
        <v>3.0730902330141419E-2</v>
      </c>
      <c r="BQ64" s="9">
        <f t="shared" ca="1" si="61"/>
        <v>2.6331903090260234E-2</v>
      </c>
      <c r="BR64" s="9">
        <f t="shared" ca="1" si="61"/>
        <v>1.0177999810663252E-2</v>
      </c>
      <c r="BS64" s="9">
        <f t="shared" ca="1" si="61"/>
        <v>3.9101817204915346E-2</v>
      </c>
      <c r="BT64" s="9">
        <f t="shared" ca="1" si="61"/>
        <v>2.6779270323420423E-2</v>
      </c>
      <c r="BU64" s="9">
        <f t="shared" ca="1" si="61"/>
        <v>8.7089357904561737E-3</v>
      </c>
      <c r="BV64" s="9">
        <f t="shared" ca="1" si="61"/>
        <v>2.5278609738742297E-2</v>
      </c>
      <c r="BW64" s="9">
        <f t="shared" ca="1" si="61"/>
        <v>2.5786888317465007E-3</v>
      </c>
      <c r="BX64" s="9">
        <f t="shared" ca="1" si="61"/>
        <v>8.401539799676172E-4</v>
      </c>
      <c r="BY64" s="9">
        <f t="shared" ca="1" si="61"/>
        <v>5.7330430634383589E-3</v>
      </c>
      <c r="BZ64" s="9">
        <f t="shared" ca="1" si="61"/>
        <v>7.8678702470431627E-3</v>
      </c>
      <c r="CA64" s="9">
        <f t="shared" ca="1" si="61"/>
        <v>2.9186956212257087E-4</v>
      </c>
      <c r="CB64" s="9">
        <f t="shared" ca="1" si="61"/>
        <v>1.4335362824213771E-3</v>
      </c>
      <c r="CC64" s="9">
        <f t="shared" ca="1" si="61"/>
        <v>4.3919525818783001E-3</v>
      </c>
      <c r="CD64" s="9">
        <f t="shared" ca="1" si="61"/>
        <v>1.6094741138994451E-4</v>
      </c>
      <c r="CE64" s="9">
        <f t="shared" ca="1" si="61"/>
        <v>2.5597322572250558E-2</v>
      </c>
      <c r="CF64" s="9">
        <f t="shared" ca="1" si="61"/>
        <v>3.4378391390389007E-2</v>
      </c>
      <c r="CG64" s="9">
        <f t="shared" ca="1" si="61"/>
        <v>1.1367091758723191E-2</v>
      </c>
      <c r="CH64" s="9">
        <f t="shared" ca="1" si="61"/>
        <v>1.5522285766789157E-2</v>
      </c>
      <c r="CI64" s="9">
        <f t="shared" ca="1" si="61"/>
        <v>1.0577965522129196E-2</v>
      </c>
      <c r="CJ64" s="9">
        <f t="shared" ca="1" si="61"/>
        <v>1.6678393333624308E-2</v>
      </c>
      <c r="CK64" s="9">
        <f t="shared" ca="1" si="61"/>
        <v>2.2308810527643219E-2</v>
      </c>
      <c r="CL64" s="9">
        <f t="shared" ca="1" si="61"/>
        <v>2.403363609719289E-2</v>
      </c>
      <c r="CM64" s="9">
        <f t="shared" ca="1" si="61"/>
        <v>3.0508998455883063E-2</v>
      </c>
      <c r="CN64" s="9">
        <f t="shared" ca="1" si="61"/>
        <v>3.1538315396621996E-2</v>
      </c>
      <c r="CO64" s="9">
        <f t="shared" ca="1" si="61"/>
        <v>2.5598493605852868E-2</v>
      </c>
      <c r="CP64" s="9">
        <f t="shared" ca="1" si="61"/>
        <v>3.2132176541600943E-2</v>
      </c>
      <c r="CQ64" s="9">
        <f t="shared" ca="1" si="61"/>
        <v>5.2528155634898877E-2</v>
      </c>
      <c r="CR64" s="9">
        <f t="shared" ca="1" si="61"/>
        <v>2.5791843447532381E-2</v>
      </c>
      <c r="CS64" s="9">
        <f t="shared" ca="1" si="61"/>
        <v>2.0705826221227408E-2</v>
      </c>
      <c r="CT64" s="9">
        <f t="shared" ca="1" si="61"/>
        <v>4.1704317047898787E-2</v>
      </c>
      <c r="CU64" s="9">
        <f t="shared" ca="1" si="61"/>
        <v>3.5670379377006345E-3</v>
      </c>
      <c r="CV64" s="9">
        <f t="shared" ca="1" si="61"/>
        <v>1.0158503601288338E-2</v>
      </c>
      <c r="CW64" s="9">
        <f t="shared" ca="1" si="61"/>
        <v>2.970226656562569E-2</v>
      </c>
      <c r="CX64" s="9">
        <f t="shared" ca="1" si="61"/>
        <v>2.1574653780978004E-2</v>
      </c>
      <c r="CY64" s="9">
        <f t="shared" ca="1" si="61"/>
        <v>1.4246123412294143E-2</v>
      </c>
      <c r="CZ64" s="9">
        <f t="shared" ca="1" si="61"/>
        <v>3.0479973911785807E-2</v>
      </c>
      <c r="DA64" s="9">
        <f t="shared" ca="1" si="61"/>
        <v>9.1371065279468588E-3</v>
      </c>
      <c r="DB64" s="9">
        <f t="shared" ca="1" si="61"/>
        <v>1.2474020091476468E-2</v>
      </c>
      <c r="DC64" s="9">
        <f t="shared" ca="1" si="61"/>
        <v>3.0832930022359317E-2</v>
      </c>
      <c r="DD64" s="9">
        <f t="shared" ca="1" si="61"/>
        <v>2.7847481786344996E-3</v>
      </c>
      <c r="DE64" s="9">
        <f t="shared" ca="1" si="61"/>
        <v>4.651590088595059E-2</v>
      </c>
      <c r="DF64" s="9">
        <f t="shared" ca="1" si="61"/>
        <v>6.2653286369522054E-2</v>
      </c>
      <c r="DG64" s="9">
        <f t="shared" ca="1" si="61"/>
        <v>5.7315972076005806E-2</v>
      </c>
      <c r="DH64" s="9">
        <f t="shared" ca="1" si="61"/>
        <v>6.38229024682192E-2</v>
      </c>
      <c r="DI64" s="9">
        <f t="shared" ca="1" si="61"/>
        <v>3.6322213391387193E-2</v>
      </c>
      <c r="DJ64" s="9">
        <f t="shared" ca="1" si="61"/>
        <v>4.3940930219354635E-2</v>
      </c>
      <c r="DK64" s="9">
        <f t="shared" ca="1" si="61"/>
        <v>4.8897181492913888E-2</v>
      </c>
      <c r="DL64" s="9">
        <f t="shared" ca="1" si="61"/>
        <v>4.0578912536681E-2</v>
      </c>
      <c r="DM64" s="9">
        <f t="shared" ca="1" si="61"/>
        <v>4.3775082372811802E-2</v>
      </c>
      <c r="DN64" s="9">
        <f t="shared" ca="1" si="61"/>
        <v>3.9807311845524551E-2</v>
      </c>
      <c r="DO64" s="9">
        <f t="shared" ca="1" si="61"/>
        <v>3.9978715296782208E-2</v>
      </c>
      <c r="DP64" s="9">
        <f t="shared" ca="1" si="61"/>
        <v>4.4405174752997212E-3</v>
      </c>
      <c r="DQ64" s="9">
        <f t="shared" ca="1" si="61"/>
        <v>3.1612573601726535E-2</v>
      </c>
      <c r="DR64" s="9">
        <f t="shared" ca="1" si="61"/>
        <v>2.7047414643136536E-3</v>
      </c>
      <c r="DS64" s="9">
        <f t="shared" ca="1" si="61"/>
        <v>1.4943260812876336E-2</v>
      </c>
      <c r="DT64" s="9">
        <f t="shared" ca="1" si="61"/>
        <v>1.45099658075869E-2</v>
      </c>
      <c r="DU64" s="9">
        <f t="shared" ca="1" si="61"/>
        <v>9.1229975461959434E-4</v>
      </c>
      <c r="DV64" s="9">
        <f t="shared" ca="1" si="61"/>
        <v>9.6102246653591017E-3</v>
      </c>
      <c r="DW64" s="9">
        <f t="shared" ca="1" si="61"/>
        <v>5.6972898073037737E-4</v>
      </c>
      <c r="DX64" s="9">
        <f t="shared" ca="1" si="61"/>
        <v>1.0021645751525643E-3</v>
      </c>
      <c r="DY64" s="9">
        <f t="shared" ca="1" si="61"/>
        <v>1.2154459636021353E-2</v>
      </c>
      <c r="DZ64" s="9">
        <f t="shared" ref="DZ64:GK64" ca="1" si="62">IF(DZ37="","",ABS(DZ37))</f>
        <v>2.5507703397866677E-2</v>
      </c>
      <c r="EA64" s="9">
        <f t="shared" ca="1" si="62"/>
        <v>1.8192139089168169E-3</v>
      </c>
      <c r="EB64" s="9">
        <f t="shared" ca="1" si="62"/>
        <v>4.5322581359034109E-2</v>
      </c>
      <c r="EC64" s="9">
        <f t="shared" ca="1" si="62"/>
        <v>2.3874435925179016E-2</v>
      </c>
      <c r="ED64" s="9">
        <f t="shared" ca="1" si="62"/>
        <v>8.0211570518979869E-3</v>
      </c>
      <c r="EE64" s="9">
        <f t="shared" ca="1" si="62"/>
        <v>2.1285173276923586E-2</v>
      </c>
      <c r="EF64" s="9">
        <f t="shared" ca="1" si="62"/>
        <v>1.7533200638208957E-3</v>
      </c>
      <c r="EG64" s="9">
        <f t="shared" ca="1" si="62"/>
        <v>4.0872939122074126E-3</v>
      </c>
      <c r="EH64" s="9">
        <f t="shared" ca="1" si="62"/>
        <v>1.359848947698894E-2</v>
      </c>
      <c r="EI64" s="9">
        <f t="shared" ca="1" si="62"/>
        <v>2.9356884343216816E-2</v>
      </c>
      <c r="EJ64" s="9">
        <f t="shared" ca="1" si="62"/>
        <v>3.3156923238704339E-2</v>
      </c>
      <c r="EK64" s="9">
        <f t="shared" ca="1" si="62"/>
        <v>1.0991666372258457E-2</v>
      </c>
      <c r="EL64" s="9">
        <f t="shared" ca="1" si="62"/>
        <v>7.8221985397507465E-3</v>
      </c>
      <c r="EM64" s="9">
        <f t="shared" ca="1" si="62"/>
        <v>7.3494996877901952E-3</v>
      </c>
      <c r="EN64" s="9">
        <f t="shared" ca="1" si="62"/>
        <v>3.8633466782979853E-2</v>
      </c>
      <c r="EO64" s="9">
        <f t="shared" ca="1" si="62"/>
        <v>2.3460969563383616E-2</v>
      </c>
      <c r="EP64" s="9">
        <f t="shared" ca="1" si="62"/>
        <v>6.2894913742289615E-3</v>
      </c>
      <c r="EQ64" s="9">
        <f t="shared" ca="1" si="62"/>
        <v>4.0779664866176235E-3</v>
      </c>
      <c r="ER64" s="9">
        <f t="shared" ca="1" si="62"/>
        <v>1.7393508419555892E-2</v>
      </c>
      <c r="ES64" s="9">
        <f t="shared" ca="1" si="62"/>
        <v>9.4586396555300656E-3</v>
      </c>
      <c r="ET64" s="9">
        <f t="shared" ca="1" si="62"/>
        <v>6.6963577297267651E-3</v>
      </c>
      <c r="EU64" s="9">
        <f t="shared" ca="1" si="62"/>
        <v>2.1292371085080974E-3</v>
      </c>
      <c r="EV64" s="9">
        <f t="shared" ca="1" si="62"/>
        <v>1.8855180193360077E-2</v>
      </c>
      <c r="EW64" s="9">
        <f t="shared" ca="1" si="62"/>
        <v>2.5029317703995968E-2</v>
      </c>
      <c r="EX64" s="9">
        <f t="shared" ca="1" si="62"/>
        <v>1.9697621695634604E-2</v>
      </c>
      <c r="EY64" s="9">
        <f t="shared" ca="1" si="62"/>
        <v>3.2787460163812288E-3</v>
      </c>
      <c r="EZ64" s="9">
        <f t="shared" ca="1" si="62"/>
        <v>4.9553754624878099E-3</v>
      </c>
      <c r="FA64" s="9">
        <f t="shared" ca="1" si="62"/>
        <v>6.8263795515345338E-3</v>
      </c>
      <c r="FB64" s="9">
        <f t="shared" ca="1" si="62"/>
        <v>4.3792387380306996E-3</v>
      </c>
      <c r="FC64" s="9">
        <f t="shared" ca="1" si="62"/>
        <v>3.2099193489179001E-3</v>
      </c>
      <c r="FD64" s="9">
        <f t="shared" ca="1" si="62"/>
        <v>5.6161911002066134E-3</v>
      </c>
      <c r="FE64" s="9">
        <f t="shared" ca="1" si="62"/>
        <v>2.0011842678877123E-2</v>
      </c>
      <c r="FF64" s="9">
        <f t="shared" ca="1" si="62"/>
        <v>2.36155588096012E-2</v>
      </c>
      <c r="FG64" s="9">
        <f t="shared" ca="1" si="62"/>
        <v>2.6091573518352118E-2</v>
      </c>
      <c r="FH64" s="9">
        <f t="shared" ca="1" si="62"/>
        <v>1.1196897927150951E-2</v>
      </c>
      <c r="FI64" s="9">
        <f t="shared" ca="1" si="62"/>
        <v>7.3363379386878202E-3</v>
      </c>
      <c r="FJ64" s="9">
        <f t="shared" ca="1" si="62"/>
        <v>7.8958745219359638E-4</v>
      </c>
      <c r="FK64" s="9">
        <f t="shared" ca="1" si="62"/>
        <v>4.8756987797875517E-3</v>
      </c>
      <c r="FL64" s="9">
        <f t="shared" ca="1" si="62"/>
        <v>4.882005098089337E-3</v>
      </c>
      <c r="FM64" s="9">
        <f t="shared" ca="1" si="62"/>
        <v>1.804726258820688E-2</v>
      </c>
      <c r="FN64" s="9">
        <f t="shared" ca="1" si="62"/>
        <v>2.719707239822533E-2</v>
      </c>
      <c r="FO64" s="9">
        <f t="shared" ca="1" si="62"/>
        <v>2.691318692117628E-2</v>
      </c>
      <c r="FP64" s="9">
        <f t="shared" ca="1" si="62"/>
        <v>2.3355589774743946E-3</v>
      </c>
      <c r="FQ64" s="9">
        <f t="shared" ca="1" si="62"/>
        <v>7.5666076900173795E-3</v>
      </c>
      <c r="FR64" s="9">
        <f t="shared" ca="1" si="62"/>
        <v>2.9839164898945447E-2</v>
      </c>
      <c r="FS64" s="9">
        <f t="shared" ca="1" si="62"/>
        <v>3.5228556382859821E-2</v>
      </c>
      <c r="FT64" s="9">
        <f t="shared" ca="1" si="62"/>
        <v>2.6753273861166438E-2</v>
      </c>
      <c r="FU64" s="9">
        <f t="shared" ca="1" si="62"/>
        <v>7.5406348643594079E-3</v>
      </c>
      <c r="FV64" s="9">
        <f t="shared" ca="1" si="62"/>
        <v>6.4457999115044018E-3</v>
      </c>
      <c r="FW64" s="9">
        <f t="shared" ca="1" si="62"/>
        <v>2.0744296451424726E-2</v>
      </c>
      <c r="FX64" s="9">
        <f t="shared" ca="1" si="62"/>
        <v>8.475894941179396E-3</v>
      </c>
      <c r="FY64" s="9">
        <f t="shared" ca="1" si="62"/>
        <v>5.7381555255440198E-3</v>
      </c>
      <c r="FZ64" s="9">
        <f t="shared" ca="1" si="62"/>
        <v>2.8643922876081529E-2</v>
      </c>
      <c r="GA64" s="9">
        <f t="shared" ca="1" si="62"/>
        <v>4.6459684910881593E-2</v>
      </c>
      <c r="GB64" s="9">
        <f t="shared" ca="1" si="62"/>
        <v>3.4593289935053395E-2</v>
      </c>
      <c r="GC64" s="9">
        <f t="shared" ca="1" si="62"/>
        <v>2.3959306039287753E-2</v>
      </c>
      <c r="GD64" s="9">
        <f t="shared" ca="1" si="62"/>
        <v>1.3204997687666475E-2</v>
      </c>
      <c r="GE64" s="9">
        <f t="shared" ca="1" si="62"/>
        <v>6.8276523455712557E-3</v>
      </c>
      <c r="GF64" s="9">
        <f t="shared" ca="1" si="62"/>
        <v>1.0660724629063534E-3</v>
      </c>
      <c r="GG64" s="9">
        <f t="shared" ca="1" si="62"/>
        <v>1.4252792891173094E-2</v>
      </c>
      <c r="GH64" s="9">
        <f t="shared" ca="1" si="62"/>
        <v>3.9826136597330697E-2</v>
      </c>
      <c r="GI64" s="9">
        <f t="shared" ca="1" si="62"/>
        <v>3.0618513037685036E-2</v>
      </c>
      <c r="GJ64" s="9">
        <f t="shared" ca="1" si="62"/>
        <v>2.2530179423729368E-2</v>
      </c>
      <c r="GK64" s="9">
        <f t="shared" ca="1" si="62"/>
        <v>3.2436500911199095E-2</v>
      </c>
      <c r="GL64" s="9">
        <f t="shared" ref="GL64:IW64" ca="1" si="63">IF(GL37="","",ABS(GL37))</f>
        <v>2.5938343495867988E-2</v>
      </c>
      <c r="GM64" s="9">
        <f t="shared" ca="1" si="63"/>
        <v>5.3936925509510125E-3</v>
      </c>
      <c r="GN64" s="9">
        <f t="shared" ca="1" si="63"/>
        <v>1.7732936182305536E-2</v>
      </c>
      <c r="GO64" s="9">
        <f t="shared" ca="1" si="63"/>
        <v>1.3942790959325602E-2</v>
      </c>
      <c r="GP64" s="9">
        <f t="shared" ca="1" si="63"/>
        <v>6.0086909252686893E-2</v>
      </c>
      <c r="GQ64" s="9">
        <f t="shared" ca="1" si="63"/>
        <v>5.8233673361145044E-2</v>
      </c>
      <c r="GR64" s="9" t="str">
        <f t="shared" ca="1" si="63"/>
        <v/>
      </c>
      <c r="GS64" s="9" t="str">
        <f t="shared" ca="1" si="63"/>
        <v/>
      </c>
      <c r="GT64" s="9" t="str">
        <f t="shared" ca="1" si="63"/>
        <v/>
      </c>
      <c r="GU64" s="9" t="str">
        <f t="shared" ca="1" si="63"/>
        <v/>
      </c>
      <c r="GV64" s="9" t="str">
        <f t="shared" ca="1" si="63"/>
        <v/>
      </c>
      <c r="GW64" s="9" t="str">
        <f t="shared" ca="1" si="63"/>
        <v/>
      </c>
      <c r="GX64" s="9" t="str">
        <f t="shared" ca="1" si="63"/>
        <v/>
      </c>
      <c r="GY64" s="9" t="str">
        <f t="shared" ca="1" si="63"/>
        <v/>
      </c>
      <c r="GZ64" s="9" t="str">
        <f t="shared" ca="1" si="63"/>
        <v/>
      </c>
      <c r="HA64" s="9" t="str">
        <f t="shared" ca="1" si="63"/>
        <v/>
      </c>
      <c r="HB64" s="9" t="str">
        <f t="shared" ca="1" si="63"/>
        <v/>
      </c>
      <c r="HC64" s="9" t="str">
        <f t="shared" ca="1" si="63"/>
        <v/>
      </c>
      <c r="HD64" s="9" t="str">
        <f t="shared" ca="1" si="63"/>
        <v/>
      </c>
      <c r="HE64" s="9" t="str">
        <f t="shared" ca="1" si="63"/>
        <v/>
      </c>
      <c r="HF64" s="9" t="str">
        <f t="shared" ca="1" si="63"/>
        <v/>
      </c>
      <c r="HG64" s="9" t="str">
        <f t="shared" ca="1" si="63"/>
        <v/>
      </c>
      <c r="HH64" s="9" t="str">
        <f t="shared" ca="1" si="63"/>
        <v/>
      </c>
      <c r="HI64" s="9" t="str">
        <f t="shared" ca="1" si="63"/>
        <v/>
      </c>
      <c r="HJ64" s="9" t="str">
        <f t="shared" ca="1" si="63"/>
        <v/>
      </c>
      <c r="HK64" s="9" t="str">
        <f t="shared" ca="1" si="63"/>
        <v/>
      </c>
      <c r="HL64" s="9" t="str">
        <f t="shared" ca="1" si="63"/>
        <v/>
      </c>
      <c r="HM64" s="9" t="str">
        <f t="shared" ca="1" si="63"/>
        <v/>
      </c>
      <c r="HN64" s="9" t="str">
        <f t="shared" ca="1" si="63"/>
        <v/>
      </c>
      <c r="HO64" s="9" t="str">
        <f t="shared" ca="1" si="63"/>
        <v/>
      </c>
      <c r="HP64" s="9" t="str">
        <f t="shared" ca="1" si="63"/>
        <v/>
      </c>
      <c r="HQ64" s="9" t="str">
        <f t="shared" ca="1" si="63"/>
        <v/>
      </c>
      <c r="HR64" s="9" t="str">
        <f t="shared" ca="1" si="63"/>
        <v/>
      </c>
      <c r="HS64" s="9" t="str">
        <f t="shared" ca="1" si="63"/>
        <v/>
      </c>
      <c r="HT64" s="9" t="str">
        <f t="shared" ca="1" si="63"/>
        <v/>
      </c>
      <c r="HU64" s="9" t="str">
        <f t="shared" ca="1" si="63"/>
        <v/>
      </c>
      <c r="HV64" s="9" t="str">
        <f t="shared" ca="1" si="63"/>
        <v/>
      </c>
      <c r="HW64" s="9" t="str">
        <f t="shared" ca="1" si="63"/>
        <v/>
      </c>
      <c r="HX64" s="9" t="str">
        <f t="shared" ca="1" si="63"/>
        <v/>
      </c>
      <c r="HY64" s="9" t="str">
        <f t="shared" ca="1" si="63"/>
        <v/>
      </c>
      <c r="HZ64" s="9" t="str">
        <f t="shared" ca="1" si="63"/>
        <v/>
      </c>
      <c r="IA64" s="9" t="str">
        <f t="shared" ca="1" si="63"/>
        <v/>
      </c>
      <c r="IB64" s="9" t="str">
        <f t="shared" ca="1" si="63"/>
        <v/>
      </c>
      <c r="IC64" s="9" t="str">
        <f t="shared" ca="1" si="63"/>
        <v/>
      </c>
      <c r="ID64" s="9" t="str">
        <f t="shared" ca="1" si="63"/>
        <v/>
      </c>
      <c r="IE64" s="9" t="str">
        <f t="shared" ca="1" si="63"/>
        <v/>
      </c>
      <c r="IF64" s="9" t="str">
        <f t="shared" ca="1" si="63"/>
        <v/>
      </c>
      <c r="IG64" s="9" t="str">
        <f t="shared" ca="1" si="63"/>
        <v/>
      </c>
      <c r="IH64" s="9" t="str">
        <f t="shared" ca="1" si="63"/>
        <v/>
      </c>
      <c r="II64" s="9" t="str">
        <f t="shared" ca="1" si="63"/>
        <v/>
      </c>
      <c r="IJ64" s="9" t="str">
        <f t="shared" ca="1" si="63"/>
        <v/>
      </c>
      <c r="IK64" s="9" t="str">
        <f t="shared" ca="1" si="63"/>
        <v/>
      </c>
      <c r="IL64" s="9" t="str">
        <f t="shared" ca="1" si="63"/>
        <v/>
      </c>
      <c r="IM64" s="9" t="str">
        <f t="shared" ca="1" si="63"/>
        <v/>
      </c>
      <c r="IN64" s="9" t="str">
        <f t="shared" ca="1" si="63"/>
        <v/>
      </c>
      <c r="IO64" s="9" t="str">
        <f t="shared" ca="1" si="63"/>
        <v/>
      </c>
      <c r="IP64" s="9" t="str">
        <f t="shared" ca="1" si="63"/>
        <v/>
      </c>
      <c r="IQ64" s="9" t="str">
        <f t="shared" ca="1" si="63"/>
        <v/>
      </c>
      <c r="IR64" s="9" t="str">
        <f t="shared" ca="1" si="63"/>
        <v/>
      </c>
      <c r="IS64" s="9" t="str">
        <f t="shared" ca="1" si="63"/>
        <v/>
      </c>
      <c r="IT64" s="9" t="str">
        <f t="shared" ca="1" si="63"/>
        <v/>
      </c>
      <c r="IU64" s="9" t="str">
        <f t="shared" ca="1" si="63"/>
        <v/>
      </c>
      <c r="IV64" s="9" t="str">
        <f t="shared" ca="1" si="63"/>
        <v/>
      </c>
      <c r="IW64" s="9" t="str">
        <f t="shared" ca="1" si="63"/>
        <v/>
      </c>
      <c r="IX64" s="9" t="str">
        <f t="shared" ref="IX64:JH64" ca="1" si="64">IF(IX37="","",ABS(IX37))</f>
        <v/>
      </c>
      <c r="IY64" s="9" t="str">
        <f t="shared" ca="1" si="64"/>
        <v/>
      </c>
      <c r="IZ64" s="9" t="str">
        <f t="shared" ca="1" si="64"/>
        <v/>
      </c>
      <c r="JA64" s="9" t="str">
        <f t="shared" ca="1" si="64"/>
        <v/>
      </c>
      <c r="JB64" s="9" t="str">
        <f t="shared" ca="1" si="64"/>
        <v/>
      </c>
      <c r="JC64" s="9" t="str">
        <f t="shared" ca="1" si="64"/>
        <v/>
      </c>
      <c r="JD64" s="9" t="str">
        <f t="shared" ca="1" si="64"/>
        <v/>
      </c>
      <c r="JE64" s="9" t="str">
        <f t="shared" ca="1" si="64"/>
        <v/>
      </c>
      <c r="JF64" s="9" t="str">
        <f t="shared" ca="1" si="64"/>
        <v/>
      </c>
      <c r="JG64" s="9" t="str">
        <f t="shared" ca="1" si="64"/>
        <v/>
      </c>
      <c r="JH64" s="9" t="str">
        <f t="shared" ca="1" si="64"/>
        <v/>
      </c>
      <c r="JI64" s="13">
        <f t="shared" ca="1" si="24"/>
        <v>2.3114065905475881E-2</v>
      </c>
      <c r="JJ64" s="13">
        <f t="shared" ca="1" si="25"/>
        <v>2.2530179423729368E-2</v>
      </c>
      <c r="JK64" s="14">
        <f t="shared" ca="1" si="26"/>
        <v>2.4383641357283016E-4</v>
      </c>
      <c r="JL64" s="17">
        <f t="shared" ca="1" si="34"/>
        <v>1.5615262199938564E-2</v>
      </c>
      <c r="JM64" s="15" t="str">
        <f t="shared" ca="1" si="27"/>
        <v>[ -0,81% ; 5,43% ]</v>
      </c>
      <c r="JN64" s="17">
        <f t="shared" ca="1" si="28"/>
        <v>1.9987535615921363E-2</v>
      </c>
      <c r="LY64" s="1"/>
    </row>
    <row r="65" spans="1:337" x14ac:dyDescent="0.25">
      <c r="A65" s="4">
        <v>9</v>
      </c>
      <c r="B65" s="9">
        <f t="shared" ref="B65:BM65" ca="1" si="65">IF(B38="","",ABS(B38))</f>
        <v>1.4778858016555207E-2</v>
      </c>
      <c r="C65" s="9">
        <f t="shared" ca="1" si="65"/>
        <v>1.6658837939928839E-2</v>
      </c>
      <c r="D65" s="9">
        <f t="shared" ca="1" si="65"/>
        <v>1.1516869636404303E-2</v>
      </c>
      <c r="E65" s="9">
        <f t="shared" ca="1" si="65"/>
        <v>3.1220384718379512E-2</v>
      </c>
      <c r="F65" s="9">
        <f t="shared" ca="1" si="65"/>
        <v>1.1854108733926005E-2</v>
      </c>
      <c r="G65" s="9">
        <f t="shared" ca="1" si="65"/>
        <v>1.0230586142697784E-2</v>
      </c>
      <c r="H65" s="9">
        <f t="shared" ca="1" si="65"/>
        <v>1.0708845800431521E-2</v>
      </c>
      <c r="I65" s="9">
        <f t="shared" ca="1" si="65"/>
        <v>1.0922002694939814E-2</v>
      </c>
      <c r="J65" s="9">
        <f t="shared" ca="1" si="65"/>
        <v>7.3672984945779563E-3</v>
      </c>
      <c r="K65" s="9">
        <f t="shared" ca="1" si="65"/>
        <v>1.7440350460134146E-2</v>
      </c>
      <c r="L65" s="9">
        <f t="shared" ca="1" si="65"/>
        <v>2.3495876678497396E-2</v>
      </c>
      <c r="M65" s="9">
        <f t="shared" ca="1" si="65"/>
        <v>2.6963995806367436E-2</v>
      </c>
      <c r="N65" s="9">
        <f t="shared" ca="1" si="65"/>
        <v>1.8085508137270723E-2</v>
      </c>
      <c r="O65" s="9">
        <f t="shared" ca="1" si="65"/>
        <v>2.7105567011598053E-2</v>
      </c>
      <c r="P65" s="9">
        <f t="shared" ca="1" si="65"/>
        <v>2.9964738220037646E-2</v>
      </c>
      <c r="Q65" s="9">
        <f t="shared" ca="1" si="65"/>
        <v>4.1281361448827325E-2</v>
      </c>
      <c r="R65" s="9">
        <f t="shared" ca="1" si="65"/>
        <v>2.6436431263439197E-2</v>
      </c>
      <c r="S65" s="9">
        <f t="shared" ca="1" si="65"/>
        <v>2.0145110552152068E-2</v>
      </c>
      <c r="T65" s="9">
        <f t="shared" ca="1" si="65"/>
        <v>1.3084368372053512E-2</v>
      </c>
      <c r="U65" s="9">
        <f t="shared" ca="1" si="65"/>
        <v>3.8837541363898609E-3</v>
      </c>
      <c r="V65" s="9">
        <f t="shared" ca="1" si="65"/>
        <v>7.3414103783910889E-3</v>
      </c>
      <c r="W65" s="9">
        <f t="shared" ca="1" si="65"/>
        <v>9.8102204261583115E-3</v>
      </c>
      <c r="X65" s="9">
        <f t="shared" ca="1" si="65"/>
        <v>1.6093215983554288E-2</v>
      </c>
      <c r="Y65" s="9">
        <f t="shared" ca="1" si="65"/>
        <v>2.5173662312581113E-2</v>
      </c>
      <c r="Z65" s="9">
        <f t="shared" ca="1" si="65"/>
        <v>2.9655732588859562E-2</v>
      </c>
      <c r="AA65" s="9">
        <f t="shared" ca="1" si="65"/>
        <v>2.4317816225437827E-2</v>
      </c>
      <c r="AB65" s="9">
        <f t="shared" ca="1" si="65"/>
        <v>2.31396197360203E-2</v>
      </c>
      <c r="AC65" s="9">
        <f t="shared" ca="1" si="65"/>
        <v>2.3009495004241431E-2</v>
      </c>
      <c r="AD65" s="9">
        <f t="shared" ca="1" si="65"/>
        <v>1.3864225802971974E-2</v>
      </c>
      <c r="AE65" s="9">
        <f t="shared" ca="1" si="65"/>
        <v>1.134558694527521E-2</v>
      </c>
      <c r="AF65" s="9">
        <f t="shared" ca="1" si="65"/>
        <v>1.752281717910531E-4</v>
      </c>
      <c r="AG65" s="9">
        <f t="shared" ca="1" si="65"/>
        <v>7.5437558282144268E-3</v>
      </c>
      <c r="AH65" s="9">
        <f t="shared" ca="1" si="65"/>
        <v>1.1617065776077684E-2</v>
      </c>
      <c r="AI65" s="9">
        <f t="shared" ca="1" si="65"/>
        <v>8.8151052100279292E-3</v>
      </c>
      <c r="AJ65" s="9">
        <f t="shared" ca="1" si="65"/>
        <v>6.8790294954946818E-3</v>
      </c>
      <c r="AK65" s="9">
        <f t="shared" ca="1" si="65"/>
        <v>2.4933417437883465E-3</v>
      </c>
      <c r="AL65" s="9">
        <f t="shared" ca="1" si="65"/>
        <v>3.4144994476572599E-3</v>
      </c>
      <c r="AM65" s="9">
        <f t="shared" ca="1" si="65"/>
        <v>1.6684245053247837E-3</v>
      </c>
      <c r="AN65" s="9">
        <f t="shared" ca="1" si="65"/>
        <v>2.2678318196507341E-3</v>
      </c>
      <c r="AO65" s="9">
        <f t="shared" ca="1" si="65"/>
        <v>3.9114265511008828E-4</v>
      </c>
      <c r="AP65" s="9">
        <f t="shared" ca="1" si="65"/>
        <v>8.4014382678405664E-3</v>
      </c>
      <c r="AQ65" s="9">
        <f t="shared" ca="1" si="65"/>
        <v>1.3207328844387911E-2</v>
      </c>
      <c r="AR65" s="9">
        <f t="shared" ca="1" si="65"/>
        <v>1.4477870655895453E-2</v>
      </c>
      <c r="AS65" s="9">
        <f t="shared" ca="1" si="65"/>
        <v>1.6108747826899084E-2</v>
      </c>
      <c r="AT65" s="9">
        <f t="shared" ca="1" si="65"/>
        <v>1.9899742059053205E-2</v>
      </c>
      <c r="AU65" s="9">
        <f t="shared" ca="1" si="65"/>
        <v>3.24390872180782E-2</v>
      </c>
      <c r="AV65" s="9">
        <f t="shared" ca="1" si="65"/>
        <v>4.4294196325305402E-2</v>
      </c>
      <c r="AW65" s="9">
        <f t="shared" ca="1" si="65"/>
        <v>5.3112815621006337E-2</v>
      </c>
      <c r="AX65" s="9">
        <f t="shared" ca="1" si="65"/>
        <v>6.1041361894663693E-2</v>
      </c>
      <c r="AY65" s="9">
        <f t="shared" ca="1" si="65"/>
        <v>5.568152378393898E-2</v>
      </c>
      <c r="AZ65" s="9">
        <f t="shared" ca="1" si="65"/>
        <v>7.9715331360351582E-2</v>
      </c>
      <c r="BA65" s="9">
        <f t="shared" ca="1" si="65"/>
        <v>7.8421314291714506E-2</v>
      </c>
      <c r="BB65" s="9">
        <f t="shared" ca="1" si="65"/>
        <v>8.8300467519885073E-2</v>
      </c>
      <c r="BC65" s="9">
        <f t="shared" ca="1" si="65"/>
        <v>9.1471109100346615E-2</v>
      </c>
      <c r="BD65" s="9">
        <f t="shared" ca="1" si="65"/>
        <v>9.4319841649628255E-2</v>
      </c>
      <c r="BE65" s="9">
        <f t="shared" ca="1" si="65"/>
        <v>7.9757897405756673E-2</v>
      </c>
      <c r="BF65" s="9">
        <f t="shared" ca="1" si="65"/>
        <v>4.3720142319390698E-2</v>
      </c>
      <c r="BG65" s="9">
        <f t="shared" ca="1" si="65"/>
        <v>4.9861715414728502E-2</v>
      </c>
      <c r="BH65" s="9">
        <f t="shared" ca="1" si="65"/>
        <v>5.5941274965428001E-2</v>
      </c>
      <c r="BI65" s="9">
        <f t="shared" ca="1" si="65"/>
        <v>7.8131354057784375E-3</v>
      </c>
      <c r="BJ65" s="9">
        <f t="shared" ca="1" si="65"/>
        <v>2.7071248780635604E-2</v>
      </c>
      <c r="BK65" s="9">
        <f t="shared" ca="1" si="65"/>
        <v>3.8800879844984482E-2</v>
      </c>
      <c r="BL65" s="9">
        <f t="shared" ca="1" si="65"/>
        <v>5.7009589956717899E-2</v>
      </c>
      <c r="BM65" s="9">
        <f t="shared" ca="1" si="65"/>
        <v>9.2209522731660831E-2</v>
      </c>
      <c r="BN65" s="9">
        <f t="shared" ref="BN65:DY65" ca="1" si="66">IF(BN38="","",ABS(BN38))</f>
        <v>7.4263317710699828E-2</v>
      </c>
      <c r="BO65" s="9">
        <f t="shared" ca="1" si="66"/>
        <v>5.8902660657969008E-2</v>
      </c>
      <c r="BP65" s="9">
        <f t="shared" ca="1" si="66"/>
        <v>2.9786063372227556E-2</v>
      </c>
      <c r="BQ65" s="9">
        <f t="shared" ca="1" si="66"/>
        <v>2.5292322619086205E-2</v>
      </c>
      <c r="BR65" s="9">
        <f t="shared" ca="1" si="66"/>
        <v>1.2242406357366065E-2</v>
      </c>
      <c r="BS65" s="9">
        <f t="shared" ca="1" si="66"/>
        <v>4.5944621905408267E-2</v>
      </c>
      <c r="BT65" s="9">
        <f t="shared" ca="1" si="66"/>
        <v>2.8796038115163958E-2</v>
      </c>
      <c r="BU65" s="9">
        <f t="shared" ca="1" si="66"/>
        <v>7.127855282327733E-3</v>
      </c>
      <c r="BV65" s="9">
        <f t="shared" ca="1" si="66"/>
        <v>1.2452468845080444E-2</v>
      </c>
      <c r="BW65" s="9">
        <f t="shared" ca="1" si="66"/>
        <v>9.5734885780873746E-4</v>
      </c>
      <c r="BX65" s="9">
        <f t="shared" ca="1" si="66"/>
        <v>1.0881388460842301E-2</v>
      </c>
      <c r="BY65" s="9">
        <f t="shared" ca="1" si="66"/>
        <v>1.0267271104900111E-3</v>
      </c>
      <c r="BZ65" s="9">
        <f t="shared" ca="1" si="66"/>
        <v>6.0517169808286253E-3</v>
      </c>
      <c r="CA65" s="9">
        <f t="shared" ca="1" si="66"/>
        <v>5.9409859436965196E-3</v>
      </c>
      <c r="CB65" s="9">
        <f t="shared" ca="1" si="66"/>
        <v>1.2970918767813977E-3</v>
      </c>
      <c r="CC65" s="9">
        <f t="shared" ca="1" si="66"/>
        <v>2.3554785164794367E-3</v>
      </c>
      <c r="CD65" s="9">
        <f t="shared" ca="1" si="66"/>
        <v>1.8387811645450558E-3</v>
      </c>
      <c r="CE65" s="9">
        <f t="shared" ca="1" si="66"/>
        <v>3.0140341393025016E-2</v>
      </c>
      <c r="CF65" s="9">
        <f t="shared" ca="1" si="66"/>
        <v>3.8260901269117298E-2</v>
      </c>
      <c r="CG65" s="9">
        <f t="shared" ca="1" si="66"/>
        <v>1.2020548432645661E-2</v>
      </c>
      <c r="CH65" s="9">
        <f t="shared" ca="1" si="66"/>
        <v>7.6774288780705469E-3</v>
      </c>
      <c r="CI65" s="9">
        <f t="shared" ca="1" si="66"/>
        <v>3.455298372885407E-2</v>
      </c>
      <c r="CJ65" s="9">
        <f t="shared" ca="1" si="66"/>
        <v>2.0757201952477322E-2</v>
      </c>
      <c r="CK65" s="9">
        <f t="shared" ca="1" si="66"/>
        <v>1.8819878462539741E-2</v>
      </c>
      <c r="CL65" s="9">
        <f t="shared" ca="1" si="66"/>
        <v>3.5341371658836662E-2</v>
      </c>
      <c r="CM65" s="9">
        <f t="shared" ca="1" si="66"/>
        <v>3.7192095517309509E-2</v>
      </c>
      <c r="CN65" s="9">
        <f t="shared" ca="1" si="66"/>
        <v>3.4834058753661079E-2</v>
      </c>
      <c r="CO65" s="9">
        <f t="shared" ca="1" si="66"/>
        <v>3.1299202271972248E-2</v>
      </c>
      <c r="CP65" s="9">
        <f t="shared" ca="1" si="66"/>
        <v>3.5605617134228051E-2</v>
      </c>
      <c r="CQ65" s="9">
        <f t="shared" ca="1" si="66"/>
        <v>4.8072723970812081E-2</v>
      </c>
      <c r="CR65" s="9">
        <f t="shared" ca="1" si="66"/>
        <v>3.4676871197661052E-2</v>
      </c>
      <c r="CS65" s="9">
        <f t="shared" ca="1" si="66"/>
        <v>3.302896495956098E-2</v>
      </c>
      <c r="CT65" s="9">
        <f t="shared" ca="1" si="66"/>
        <v>1.9934209773540879E-2</v>
      </c>
      <c r="CU65" s="9">
        <f t="shared" ca="1" si="66"/>
        <v>2.2303622721433047E-2</v>
      </c>
      <c r="CV65" s="9">
        <f t="shared" ca="1" si="66"/>
        <v>3.2675991999334908E-2</v>
      </c>
      <c r="CW65" s="9">
        <f t="shared" ca="1" si="66"/>
        <v>3.2995852010994753E-2</v>
      </c>
      <c r="CX65" s="9">
        <f t="shared" ca="1" si="66"/>
        <v>1.7223268798330471E-2</v>
      </c>
      <c r="CY65" s="9">
        <f t="shared" ca="1" si="66"/>
        <v>1.0749219511647645E-2</v>
      </c>
      <c r="CZ65" s="9">
        <f t="shared" ca="1" si="66"/>
        <v>2.5746403287911113E-2</v>
      </c>
      <c r="DA65" s="9">
        <f t="shared" ca="1" si="66"/>
        <v>6.0889054663817443E-3</v>
      </c>
      <c r="DB65" s="9">
        <f t="shared" ca="1" si="66"/>
        <v>1.9934580766929555E-2</v>
      </c>
      <c r="DC65" s="9">
        <f t="shared" ca="1" si="66"/>
        <v>2.6683807069555199E-2</v>
      </c>
      <c r="DD65" s="9">
        <f t="shared" ca="1" si="66"/>
        <v>1.9788746731883577E-3</v>
      </c>
      <c r="DE65" s="9">
        <f t="shared" ca="1" si="66"/>
        <v>5.3256238577893633E-2</v>
      </c>
      <c r="DF65" s="9">
        <f t="shared" ca="1" si="66"/>
        <v>6.6258108742492716E-2</v>
      </c>
      <c r="DG65" s="9">
        <f t="shared" ca="1" si="66"/>
        <v>7.9270235374537812E-2</v>
      </c>
      <c r="DH65" s="9">
        <f t="shared" ca="1" si="66"/>
        <v>5.0448432097107365E-2</v>
      </c>
      <c r="DI65" s="9">
        <f t="shared" ca="1" si="66"/>
        <v>5.3348997609828586E-2</v>
      </c>
      <c r="DJ65" s="9">
        <f t="shared" ca="1" si="66"/>
        <v>5.5956616066449416E-2</v>
      </c>
      <c r="DK65" s="9">
        <f t="shared" ca="1" si="66"/>
        <v>5.0851443264914975E-2</v>
      </c>
      <c r="DL65" s="9">
        <f t="shared" ca="1" si="66"/>
        <v>4.1754937776103396E-2</v>
      </c>
      <c r="DM65" s="9">
        <f t="shared" ca="1" si="66"/>
        <v>5.0343446852433527E-2</v>
      </c>
      <c r="DN65" s="9">
        <f t="shared" ca="1" si="66"/>
        <v>4.2694382516545004E-2</v>
      </c>
      <c r="DO65" s="9">
        <f t="shared" ca="1" si="66"/>
        <v>4.4987321697910976E-2</v>
      </c>
      <c r="DP65" s="9">
        <f t="shared" ca="1" si="66"/>
        <v>6.370392797298452E-3</v>
      </c>
      <c r="DQ65" s="9">
        <f t="shared" ca="1" si="66"/>
        <v>3.2655977715361328E-2</v>
      </c>
      <c r="DR65" s="9">
        <f t="shared" ca="1" si="66"/>
        <v>2.7035716680336219E-2</v>
      </c>
      <c r="DS65" s="9">
        <f t="shared" ca="1" si="66"/>
        <v>1.6665602986277284E-2</v>
      </c>
      <c r="DT65" s="9">
        <f t="shared" ca="1" si="66"/>
        <v>9.0537876689356089E-4</v>
      </c>
      <c r="DU65" s="9">
        <f t="shared" ca="1" si="66"/>
        <v>1.0297441896275572E-2</v>
      </c>
      <c r="DV65" s="9">
        <f t="shared" ca="1" si="66"/>
        <v>3.9802379969955393E-3</v>
      </c>
      <c r="DW65" s="9">
        <f t="shared" ca="1" si="66"/>
        <v>7.6302902706260056E-3</v>
      </c>
      <c r="DX65" s="9">
        <f t="shared" ca="1" si="66"/>
        <v>5.7221128866211668E-3</v>
      </c>
      <c r="DY65" s="9">
        <f t="shared" ca="1" si="66"/>
        <v>1.8899198044088017E-2</v>
      </c>
      <c r="DZ65" s="9">
        <f t="shared" ref="DZ65:GK65" ca="1" si="67">IF(DZ38="","",ABS(DZ38))</f>
        <v>3.3769287816407756E-2</v>
      </c>
      <c r="EA65" s="9">
        <f t="shared" ca="1" si="67"/>
        <v>4.2837762661251944E-4</v>
      </c>
      <c r="EB65" s="9">
        <f t="shared" ca="1" si="67"/>
        <v>3.9549109153855455E-2</v>
      </c>
      <c r="EC65" s="9">
        <f t="shared" ca="1" si="67"/>
        <v>1.6298631880174885E-2</v>
      </c>
      <c r="ED65" s="9">
        <f t="shared" ca="1" si="67"/>
        <v>8.591539274317328E-3</v>
      </c>
      <c r="EE65" s="9">
        <f t="shared" ca="1" si="67"/>
        <v>1.1712522648600565E-2</v>
      </c>
      <c r="EF65" s="9">
        <f t="shared" ca="1" si="67"/>
        <v>9.2348146893621585E-3</v>
      </c>
      <c r="EG65" s="9">
        <f t="shared" ca="1" si="67"/>
        <v>1.441831416491568E-3</v>
      </c>
      <c r="EH65" s="9">
        <f t="shared" ca="1" si="67"/>
        <v>1.4995060807285521E-2</v>
      </c>
      <c r="EI65" s="9">
        <f t="shared" ca="1" si="67"/>
        <v>3.2357439775509311E-2</v>
      </c>
      <c r="EJ65" s="9">
        <f t="shared" ca="1" si="67"/>
        <v>3.4006573207346902E-2</v>
      </c>
      <c r="EK65" s="9">
        <f t="shared" ca="1" si="67"/>
        <v>8.8794788223223176E-3</v>
      </c>
      <c r="EL65" s="9">
        <f t="shared" ca="1" si="67"/>
        <v>1.3719825956474585E-2</v>
      </c>
      <c r="EM65" s="9">
        <f t="shared" ca="1" si="67"/>
        <v>1.8308511397405969E-2</v>
      </c>
      <c r="EN65" s="9">
        <f t="shared" ca="1" si="67"/>
        <v>3.890315223712848E-2</v>
      </c>
      <c r="EO65" s="9">
        <f t="shared" ca="1" si="67"/>
        <v>1.9734442813871489E-2</v>
      </c>
      <c r="EP65" s="9">
        <f t="shared" ca="1" si="67"/>
        <v>4.2601349054649518E-3</v>
      </c>
      <c r="EQ65" s="9">
        <f t="shared" ca="1" si="67"/>
        <v>1.3405528366230213E-2</v>
      </c>
      <c r="ER65" s="9">
        <f t="shared" ca="1" si="67"/>
        <v>8.5583795234929205E-3</v>
      </c>
      <c r="ES65" s="9">
        <f t="shared" ca="1" si="67"/>
        <v>1.1766147758473289E-2</v>
      </c>
      <c r="ET65" s="9">
        <f t="shared" ca="1" si="67"/>
        <v>1.2348297953475917E-2</v>
      </c>
      <c r="EU65" s="9">
        <f t="shared" ca="1" si="67"/>
        <v>7.5346348460869628E-4</v>
      </c>
      <c r="EV65" s="9">
        <f t="shared" ca="1" si="67"/>
        <v>2.2434608447577054E-2</v>
      </c>
      <c r="EW65" s="9">
        <f t="shared" ca="1" si="67"/>
        <v>2.8377376372446417E-2</v>
      </c>
      <c r="EX65" s="9">
        <f t="shared" ca="1" si="67"/>
        <v>2.0996868504486121E-2</v>
      </c>
      <c r="EY65" s="9">
        <f t="shared" ca="1" si="67"/>
        <v>5.1181997020099956E-4</v>
      </c>
      <c r="EZ65" s="9">
        <f t="shared" ca="1" si="67"/>
        <v>6.7509591167935756E-3</v>
      </c>
      <c r="FA65" s="9">
        <f t="shared" ca="1" si="67"/>
        <v>2.3084343740531477E-3</v>
      </c>
      <c r="FB65" s="9">
        <f t="shared" ca="1" si="67"/>
        <v>1.1446486556897617E-2</v>
      </c>
      <c r="FC65" s="9">
        <f t="shared" ca="1" si="67"/>
        <v>3.8882776017843401E-3</v>
      </c>
      <c r="FD65" s="9">
        <f t="shared" ca="1" si="67"/>
        <v>1.7921627435669496E-2</v>
      </c>
      <c r="FE65" s="9">
        <f t="shared" ca="1" si="67"/>
        <v>1.9473616169820462E-2</v>
      </c>
      <c r="FF65" s="9">
        <f t="shared" ca="1" si="67"/>
        <v>2.1829936937387662E-2</v>
      </c>
      <c r="FG65" s="9">
        <f t="shared" ca="1" si="67"/>
        <v>2.4147850966690587E-2</v>
      </c>
      <c r="FH65" s="9">
        <f t="shared" ca="1" si="67"/>
        <v>7.5105504500415643E-3</v>
      </c>
      <c r="FI65" s="9">
        <f t="shared" ca="1" si="67"/>
        <v>1.1500119255301033E-3</v>
      </c>
      <c r="FJ65" s="9">
        <f t="shared" ca="1" si="67"/>
        <v>1.4196844421556776E-3</v>
      </c>
      <c r="FK65" s="9">
        <f t="shared" ca="1" si="67"/>
        <v>4.490206952102449E-3</v>
      </c>
      <c r="FL65" s="9">
        <f t="shared" ca="1" si="67"/>
        <v>4.2215620474980176E-3</v>
      </c>
      <c r="FM65" s="9">
        <f t="shared" ca="1" si="67"/>
        <v>2.3416144823501295E-2</v>
      </c>
      <c r="FN65" s="9">
        <f t="shared" ca="1" si="67"/>
        <v>3.5124030221531433E-2</v>
      </c>
      <c r="FO65" s="9">
        <f t="shared" ca="1" si="67"/>
        <v>8.5430661381689088E-3</v>
      </c>
      <c r="FP65" s="9">
        <f t="shared" ca="1" si="67"/>
        <v>2.1597707211120643E-3</v>
      </c>
      <c r="FQ65" s="9">
        <f t="shared" ca="1" si="67"/>
        <v>1.9309223717494994E-2</v>
      </c>
      <c r="FR65" s="9">
        <f t="shared" ca="1" si="67"/>
        <v>3.4173567176986497E-2</v>
      </c>
      <c r="FS65" s="9">
        <f t="shared" ca="1" si="67"/>
        <v>3.4945284029541446E-2</v>
      </c>
      <c r="FT65" s="9">
        <f t="shared" ca="1" si="67"/>
        <v>2.4933671675735902E-2</v>
      </c>
      <c r="FU65" s="9">
        <f t="shared" ca="1" si="67"/>
        <v>3.426923091878642E-3</v>
      </c>
      <c r="FV65" s="9">
        <f t="shared" ca="1" si="67"/>
        <v>1.3133982653402709E-3</v>
      </c>
      <c r="FW65" s="9">
        <f t="shared" ca="1" si="67"/>
        <v>1.9455837838863843E-2</v>
      </c>
      <c r="FX65" s="9">
        <f t="shared" ca="1" si="67"/>
        <v>9.3536071517328345E-3</v>
      </c>
      <c r="FY65" s="9">
        <f t="shared" ca="1" si="67"/>
        <v>1.0425283077912351E-2</v>
      </c>
      <c r="FZ65" s="9">
        <f t="shared" ca="1" si="67"/>
        <v>3.86427539447598E-2</v>
      </c>
      <c r="GA65" s="9">
        <f t="shared" ca="1" si="67"/>
        <v>4.5449057177042951E-2</v>
      </c>
      <c r="GB65" s="9">
        <f t="shared" ca="1" si="67"/>
        <v>3.0809900641811439E-2</v>
      </c>
      <c r="GC65" s="9">
        <f t="shared" ca="1" si="67"/>
        <v>2.601562354848741E-2</v>
      </c>
      <c r="GD65" s="9">
        <f t="shared" ca="1" si="67"/>
        <v>1.6688847973680865E-2</v>
      </c>
      <c r="GE65" s="9">
        <f t="shared" ca="1" si="67"/>
        <v>1.6703742476193995E-3</v>
      </c>
      <c r="GF65" s="9">
        <f t="shared" ca="1" si="67"/>
        <v>1.5502884793541671E-2</v>
      </c>
      <c r="GG65" s="9">
        <f t="shared" ca="1" si="67"/>
        <v>4.583597941955686E-2</v>
      </c>
      <c r="GH65" s="9">
        <f t="shared" ca="1" si="67"/>
        <v>3.5738102293427776E-2</v>
      </c>
      <c r="GI65" s="9">
        <f t="shared" ca="1" si="67"/>
        <v>2.4611725998558986E-2</v>
      </c>
      <c r="GJ65" s="9">
        <f t="shared" ca="1" si="67"/>
        <v>1.854342426330069E-2</v>
      </c>
      <c r="GK65" s="9">
        <f t="shared" ca="1" si="67"/>
        <v>2.3722211289616268E-2</v>
      </c>
      <c r="GL65" s="9">
        <f t="shared" ref="GL65:IW65" ca="1" si="68">IF(GL38="","",ABS(GL38))</f>
        <v>1.3359972308514267E-2</v>
      </c>
      <c r="GM65" s="9">
        <f t="shared" ca="1" si="68"/>
        <v>1.0893414094370168E-2</v>
      </c>
      <c r="GN65" s="9">
        <f t="shared" ca="1" si="68"/>
        <v>9.0401502530035316E-3</v>
      </c>
      <c r="GO65" s="9">
        <f t="shared" ca="1" si="68"/>
        <v>1.3783917896419751E-2</v>
      </c>
      <c r="GP65" s="9">
        <f t="shared" ca="1" si="68"/>
        <v>5.7659022910377833E-2</v>
      </c>
      <c r="GQ65" s="9" t="str">
        <f t="shared" ca="1" si="68"/>
        <v/>
      </c>
      <c r="GR65" s="9" t="str">
        <f t="shared" ca="1" si="68"/>
        <v/>
      </c>
      <c r="GS65" s="9" t="str">
        <f t="shared" ca="1" si="68"/>
        <v/>
      </c>
      <c r="GT65" s="9" t="str">
        <f t="shared" ca="1" si="68"/>
        <v/>
      </c>
      <c r="GU65" s="9" t="str">
        <f t="shared" ca="1" si="68"/>
        <v/>
      </c>
      <c r="GV65" s="9" t="str">
        <f t="shared" ca="1" si="68"/>
        <v/>
      </c>
      <c r="GW65" s="9" t="str">
        <f t="shared" ca="1" si="68"/>
        <v/>
      </c>
      <c r="GX65" s="9" t="str">
        <f t="shared" ca="1" si="68"/>
        <v/>
      </c>
      <c r="GY65" s="9" t="str">
        <f t="shared" ca="1" si="68"/>
        <v/>
      </c>
      <c r="GZ65" s="9" t="str">
        <f t="shared" ca="1" si="68"/>
        <v/>
      </c>
      <c r="HA65" s="9" t="str">
        <f t="shared" ca="1" si="68"/>
        <v/>
      </c>
      <c r="HB65" s="9" t="str">
        <f t="shared" ca="1" si="68"/>
        <v/>
      </c>
      <c r="HC65" s="9" t="str">
        <f t="shared" ca="1" si="68"/>
        <v/>
      </c>
      <c r="HD65" s="9" t="str">
        <f t="shared" ca="1" si="68"/>
        <v/>
      </c>
      <c r="HE65" s="9" t="str">
        <f t="shared" ca="1" si="68"/>
        <v/>
      </c>
      <c r="HF65" s="9" t="str">
        <f t="shared" ca="1" si="68"/>
        <v/>
      </c>
      <c r="HG65" s="9" t="str">
        <f t="shared" ca="1" si="68"/>
        <v/>
      </c>
      <c r="HH65" s="9" t="str">
        <f t="shared" ca="1" si="68"/>
        <v/>
      </c>
      <c r="HI65" s="9" t="str">
        <f t="shared" ca="1" si="68"/>
        <v/>
      </c>
      <c r="HJ65" s="9" t="str">
        <f t="shared" ca="1" si="68"/>
        <v/>
      </c>
      <c r="HK65" s="9" t="str">
        <f t="shared" ca="1" si="68"/>
        <v/>
      </c>
      <c r="HL65" s="9" t="str">
        <f t="shared" ca="1" si="68"/>
        <v/>
      </c>
      <c r="HM65" s="9" t="str">
        <f t="shared" ca="1" si="68"/>
        <v/>
      </c>
      <c r="HN65" s="9" t="str">
        <f t="shared" ca="1" si="68"/>
        <v/>
      </c>
      <c r="HO65" s="9" t="str">
        <f t="shared" ca="1" si="68"/>
        <v/>
      </c>
      <c r="HP65" s="9" t="str">
        <f t="shared" ca="1" si="68"/>
        <v/>
      </c>
      <c r="HQ65" s="9" t="str">
        <f t="shared" ca="1" si="68"/>
        <v/>
      </c>
      <c r="HR65" s="9" t="str">
        <f t="shared" ca="1" si="68"/>
        <v/>
      </c>
      <c r="HS65" s="9" t="str">
        <f t="shared" ca="1" si="68"/>
        <v/>
      </c>
      <c r="HT65" s="9" t="str">
        <f t="shared" ca="1" si="68"/>
        <v/>
      </c>
      <c r="HU65" s="9" t="str">
        <f t="shared" ca="1" si="68"/>
        <v/>
      </c>
      <c r="HV65" s="9" t="str">
        <f t="shared" ca="1" si="68"/>
        <v/>
      </c>
      <c r="HW65" s="9" t="str">
        <f t="shared" ca="1" si="68"/>
        <v/>
      </c>
      <c r="HX65" s="9" t="str">
        <f t="shared" ca="1" si="68"/>
        <v/>
      </c>
      <c r="HY65" s="9" t="str">
        <f t="shared" ca="1" si="68"/>
        <v/>
      </c>
      <c r="HZ65" s="9" t="str">
        <f t="shared" ca="1" si="68"/>
        <v/>
      </c>
      <c r="IA65" s="9" t="str">
        <f t="shared" ca="1" si="68"/>
        <v/>
      </c>
      <c r="IB65" s="9" t="str">
        <f t="shared" ca="1" si="68"/>
        <v/>
      </c>
      <c r="IC65" s="9" t="str">
        <f t="shared" ca="1" si="68"/>
        <v/>
      </c>
      <c r="ID65" s="9" t="str">
        <f t="shared" ca="1" si="68"/>
        <v/>
      </c>
      <c r="IE65" s="9" t="str">
        <f t="shared" ca="1" si="68"/>
        <v/>
      </c>
      <c r="IF65" s="9" t="str">
        <f t="shared" ca="1" si="68"/>
        <v/>
      </c>
      <c r="IG65" s="9" t="str">
        <f t="shared" ca="1" si="68"/>
        <v/>
      </c>
      <c r="IH65" s="9" t="str">
        <f t="shared" ca="1" si="68"/>
        <v/>
      </c>
      <c r="II65" s="9" t="str">
        <f t="shared" ca="1" si="68"/>
        <v/>
      </c>
      <c r="IJ65" s="9" t="str">
        <f t="shared" ca="1" si="68"/>
        <v/>
      </c>
      <c r="IK65" s="9" t="str">
        <f t="shared" ca="1" si="68"/>
        <v/>
      </c>
      <c r="IL65" s="9" t="str">
        <f t="shared" ca="1" si="68"/>
        <v/>
      </c>
      <c r="IM65" s="9" t="str">
        <f t="shared" ca="1" si="68"/>
        <v/>
      </c>
      <c r="IN65" s="9" t="str">
        <f t="shared" ca="1" si="68"/>
        <v/>
      </c>
      <c r="IO65" s="9" t="str">
        <f t="shared" ca="1" si="68"/>
        <v/>
      </c>
      <c r="IP65" s="9" t="str">
        <f t="shared" ca="1" si="68"/>
        <v/>
      </c>
      <c r="IQ65" s="9" t="str">
        <f t="shared" ca="1" si="68"/>
        <v/>
      </c>
      <c r="IR65" s="9" t="str">
        <f t="shared" ca="1" si="68"/>
        <v/>
      </c>
      <c r="IS65" s="9" t="str">
        <f t="shared" ca="1" si="68"/>
        <v/>
      </c>
      <c r="IT65" s="9" t="str">
        <f t="shared" ca="1" si="68"/>
        <v/>
      </c>
      <c r="IU65" s="9" t="str">
        <f t="shared" ca="1" si="68"/>
        <v/>
      </c>
      <c r="IV65" s="9" t="str">
        <f t="shared" ca="1" si="68"/>
        <v/>
      </c>
      <c r="IW65" s="9" t="str">
        <f t="shared" ca="1" si="68"/>
        <v/>
      </c>
      <c r="IX65" s="9" t="str">
        <f t="shared" ref="IX65:JH65" ca="1" si="69">IF(IX38="","",ABS(IX38))</f>
        <v/>
      </c>
      <c r="IY65" s="9" t="str">
        <f t="shared" ca="1" si="69"/>
        <v/>
      </c>
      <c r="IZ65" s="9" t="str">
        <f t="shared" ca="1" si="69"/>
        <v/>
      </c>
      <c r="JA65" s="9" t="str">
        <f t="shared" ca="1" si="69"/>
        <v/>
      </c>
      <c r="JB65" s="9" t="str">
        <f t="shared" ca="1" si="69"/>
        <v/>
      </c>
      <c r="JC65" s="9" t="str">
        <f t="shared" ca="1" si="69"/>
        <v/>
      </c>
      <c r="JD65" s="9" t="str">
        <f t="shared" ca="1" si="69"/>
        <v/>
      </c>
      <c r="JE65" s="9" t="str">
        <f t="shared" ca="1" si="69"/>
        <v/>
      </c>
      <c r="JF65" s="9" t="str">
        <f t="shared" ca="1" si="69"/>
        <v/>
      </c>
      <c r="JG65" s="9" t="str">
        <f t="shared" ca="1" si="69"/>
        <v/>
      </c>
      <c r="JH65" s="9" t="str">
        <f t="shared" ca="1" si="69"/>
        <v/>
      </c>
      <c r="JI65" s="13">
        <f t="shared" ca="1" si="24"/>
        <v>2.2511698426137556E-2</v>
      </c>
      <c r="JJ65" s="13">
        <f t="shared" ca="1" si="25"/>
        <v>1.9382530778179419E-2</v>
      </c>
      <c r="JK65" s="14">
        <f t="shared" ca="1" si="26"/>
        <v>2.0330922616665728E-4</v>
      </c>
      <c r="JL65" s="17">
        <f t="shared" ca="1" si="34"/>
        <v>1.4258654430438283E-2</v>
      </c>
      <c r="JM65" s="15" t="str">
        <f t="shared" ca="1" si="27"/>
        <v>[ -0,60% ; 5,10% ]</v>
      </c>
      <c r="JN65" s="17">
        <f t="shared" ca="1" si="28"/>
        <v>1.8251077670961003E-2</v>
      </c>
      <c r="LY65" s="1"/>
    </row>
    <row r="66" spans="1:337" x14ac:dyDescent="0.25">
      <c r="A66" s="4">
        <v>10</v>
      </c>
      <c r="B66" s="9">
        <f t="shared" ref="B66:BM66" ca="1" si="70">IF(B39="","",ABS(B39))</f>
        <v>1.5152661412480395E-2</v>
      </c>
      <c r="C66" s="9">
        <f t="shared" ca="1" si="70"/>
        <v>1.2269010599444852E-2</v>
      </c>
      <c r="D66" s="9">
        <f t="shared" ca="1" si="70"/>
        <v>3.1044136200926609E-2</v>
      </c>
      <c r="E66" s="9">
        <f t="shared" ca="1" si="70"/>
        <v>1.159959623828033E-2</v>
      </c>
      <c r="F66" s="9">
        <f t="shared" ca="1" si="70"/>
        <v>1.0744503794727134E-2</v>
      </c>
      <c r="G66" s="9">
        <f t="shared" ca="1" si="70"/>
        <v>1.2268992958122782E-2</v>
      </c>
      <c r="H66" s="9">
        <f t="shared" ca="1" si="70"/>
        <v>1.8082953609246277E-2</v>
      </c>
      <c r="I66" s="9">
        <f t="shared" ca="1" si="70"/>
        <v>1.6741722175649176E-2</v>
      </c>
      <c r="J66" s="9">
        <f t="shared" ca="1" si="70"/>
        <v>1.5874592837172852E-2</v>
      </c>
      <c r="K66" s="9">
        <f t="shared" ca="1" si="70"/>
        <v>2.098089846710316E-2</v>
      </c>
      <c r="L66" s="9">
        <f t="shared" ca="1" si="70"/>
        <v>2.6063116554031818E-2</v>
      </c>
      <c r="M66" s="9">
        <f t="shared" ca="1" si="70"/>
        <v>2.3807982872543931E-2</v>
      </c>
      <c r="N66" s="9">
        <f t="shared" ca="1" si="70"/>
        <v>1.9933266741842037E-2</v>
      </c>
      <c r="O66" s="9">
        <f t="shared" ca="1" si="70"/>
        <v>2.8111078227425979E-2</v>
      </c>
      <c r="P66" s="9">
        <f t="shared" ca="1" si="70"/>
        <v>4.0416455206478186E-2</v>
      </c>
      <c r="Q66" s="9">
        <f t="shared" ca="1" si="70"/>
        <v>3.1537364065003293E-2</v>
      </c>
      <c r="R66" s="9">
        <f t="shared" ca="1" si="70"/>
        <v>2.7235357607273247E-2</v>
      </c>
      <c r="S66" s="9">
        <f t="shared" ca="1" si="70"/>
        <v>2.2893875069993186E-2</v>
      </c>
      <c r="T66" s="9">
        <f t="shared" ca="1" si="70"/>
        <v>1.1440415268319404E-2</v>
      </c>
      <c r="U66" s="9">
        <f t="shared" ca="1" si="70"/>
        <v>6.923602519486538E-3</v>
      </c>
      <c r="V66" s="9">
        <f t="shared" ca="1" si="70"/>
        <v>1.535121195406175E-2</v>
      </c>
      <c r="W66" s="9">
        <f t="shared" ca="1" si="70"/>
        <v>1.6227532831783797E-2</v>
      </c>
      <c r="X66" s="9">
        <f t="shared" ca="1" si="70"/>
        <v>2.1009256744569216E-2</v>
      </c>
      <c r="Y66" s="9">
        <f t="shared" ca="1" si="70"/>
        <v>2.405913167430862E-2</v>
      </c>
      <c r="Z66" s="9">
        <f t="shared" ca="1" si="70"/>
        <v>2.9566545738427541E-2</v>
      </c>
      <c r="AA66" s="9">
        <f t="shared" ca="1" si="70"/>
        <v>2.5063094109410544E-2</v>
      </c>
      <c r="AB66" s="9">
        <f t="shared" ca="1" si="70"/>
        <v>1.9695017529350212E-2</v>
      </c>
      <c r="AC66" s="9">
        <f t="shared" ca="1" si="70"/>
        <v>2.2368049778618726E-2</v>
      </c>
      <c r="AD66" s="9">
        <f t="shared" ca="1" si="70"/>
        <v>1.1935271878191767E-2</v>
      </c>
      <c r="AE66" s="9">
        <f t="shared" ca="1" si="70"/>
        <v>1.0701065709090907E-2</v>
      </c>
      <c r="AF66" s="9">
        <f t="shared" ca="1" si="70"/>
        <v>2.25355553284734E-4</v>
      </c>
      <c r="AG66" s="9">
        <f t="shared" ca="1" si="70"/>
        <v>7.2472576450844928E-3</v>
      </c>
      <c r="AH66" s="9">
        <f t="shared" ca="1" si="70"/>
        <v>6.9499297457640274E-3</v>
      </c>
      <c r="AI66" s="9">
        <f t="shared" ca="1" si="70"/>
        <v>7.6930451009580292E-3</v>
      </c>
      <c r="AJ66" s="9">
        <f t="shared" ca="1" si="70"/>
        <v>4.4667601469847718E-3</v>
      </c>
      <c r="AK66" s="9">
        <f t="shared" ca="1" si="70"/>
        <v>3.7848112239273757E-3</v>
      </c>
      <c r="AL66" s="9">
        <f t="shared" ca="1" si="70"/>
        <v>1.5609851638828109E-3</v>
      </c>
      <c r="AM66" s="9">
        <f t="shared" ca="1" si="70"/>
        <v>6.5259604125955661E-4</v>
      </c>
      <c r="AN66" s="9">
        <f t="shared" ca="1" si="70"/>
        <v>2.3597355445057477E-3</v>
      </c>
      <c r="AO66" s="9">
        <f t="shared" ca="1" si="70"/>
        <v>7.9277564505315645E-3</v>
      </c>
      <c r="AP66" s="9">
        <f t="shared" ca="1" si="70"/>
        <v>1.2722339291033613E-2</v>
      </c>
      <c r="AQ66" s="9">
        <f t="shared" ca="1" si="70"/>
        <v>1.9388092742852026E-2</v>
      </c>
      <c r="AR66" s="9">
        <f t="shared" ca="1" si="70"/>
        <v>1.7456367983988752E-2</v>
      </c>
      <c r="AS66" s="9">
        <f t="shared" ca="1" si="70"/>
        <v>2.3059042148941167E-2</v>
      </c>
      <c r="AT66" s="9">
        <f t="shared" ca="1" si="70"/>
        <v>3.0686095476891273E-2</v>
      </c>
      <c r="AU66" s="9">
        <f t="shared" ca="1" si="70"/>
        <v>3.911297708263084E-2</v>
      </c>
      <c r="AV66" s="9">
        <f t="shared" ca="1" si="70"/>
        <v>5.323287070599303E-2</v>
      </c>
      <c r="AW66" s="9">
        <f t="shared" ca="1" si="70"/>
        <v>5.712492947373482E-2</v>
      </c>
      <c r="AX66" s="9">
        <f t="shared" ca="1" si="70"/>
        <v>6.3803348927641723E-2</v>
      </c>
      <c r="AY66" s="9">
        <f t="shared" ca="1" si="70"/>
        <v>8.5532512613011535E-2</v>
      </c>
      <c r="AZ66" s="9">
        <f t="shared" ca="1" si="70"/>
        <v>9.0834491753689628E-2</v>
      </c>
      <c r="BA66" s="9">
        <f t="shared" ca="1" si="70"/>
        <v>9.3632847391974749E-2</v>
      </c>
      <c r="BB66" s="9">
        <f t="shared" ca="1" si="70"/>
        <v>0.10162089794484275</v>
      </c>
      <c r="BC66" s="9">
        <f t="shared" ca="1" si="70"/>
        <v>0.10658880180553076</v>
      </c>
      <c r="BD66" s="9">
        <f t="shared" ca="1" si="70"/>
        <v>0.10103991835621429</v>
      </c>
      <c r="BE66" s="9">
        <f t="shared" ca="1" si="70"/>
        <v>7.532633812998113E-2</v>
      </c>
      <c r="BF66" s="9">
        <f t="shared" ca="1" si="70"/>
        <v>4.5621381544872275E-2</v>
      </c>
      <c r="BG66" s="9">
        <f t="shared" ca="1" si="70"/>
        <v>4.7530729944263994E-2</v>
      </c>
      <c r="BH66" s="9">
        <f t="shared" ca="1" si="70"/>
        <v>5.3567259090435249E-2</v>
      </c>
      <c r="BI66" s="9">
        <f t="shared" ca="1" si="70"/>
        <v>1.4803156743718571E-2</v>
      </c>
      <c r="BJ66" s="9">
        <f t="shared" ca="1" si="70"/>
        <v>2.3599940836471878E-2</v>
      </c>
      <c r="BK66" s="9">
        <f t="shared" ca="1" si="70"/>
        <v>3.8704153537652108E-2</v>
      </c>
      <c r="BL66" s="9">
        <f t="shared" ca="1" si="70"/>
        <v>7.2628800245446601E-2</v>
      </c>
      <c r="BM66" s="9">
        <f t="shared" ca="1" si="70"/>
        <v>9.3837587549779888E-2</v>
      </c>
      <c r="BN66" s="9">
        <f t="shared" ref="BN66:DY66" ca="1" si="71">IF(BN39="","",ABS(BN39))</f>
        <v>7.8322428431536584E-2</v>
      </c>
      <c r="BO66" s="9">
        <f t="shared" ca="1" si="71"/>
        <v>6.2467067301131496E-2</v>
      </c>
      <c r="BP66" s="9">
        <f t="shared" ca="1" si="71"/>
        <v>2.8779527789655868E-2</v>
      </c>
      <c r="BQ66" s="9">
        <f t="shared" ca="1" si="71"/>
        <v>2.6220112763185477E-2</v>
      </c>
      <c r="BR66" s="9">
        <f t="shared" ca="1" si="71"/>
        <v>8.9918824004137088E-3</v>
      </c>
      <c r="BS66" s="9">
        <f t="shared" ca="1" si="71"/>
        <v>4.9487066872229368E-2</v>
      </c>
      <c r="BT66" s="9">
        <f t="shared" ca="1" si="71"/>
        <v>2.9069723188784424E-2</v>
      </c>
      <c r="BU66" s="9">
        <f t="shared" ca="1" si="71"/>
        <v>6.3730974423996667E-3</v>
      </c>
      <c r="BV66" s="9">
        <f t="shared" ca="1" si="71"/>
        <v>1.2767382760931145E-2</v>
      </c>
      <c r="BW66" s="9">
        <f t="shared" ca="1" si="71"/>
        <v>1.1601146635519699E-2</v>
      </c>
      <c r="BX66" s="9">
        <f t="shared" ca="1" si="71"/>
        <v>6.6970046742700351E-3</v>
      </c>
      <c r="BY66" s="9">
        <f t="shared" ca="1" si="71"/>
        <v>2.4678779245967952E-3</v>
      </c>
      <c r="BZ66" s="9">
        <f t="shared" ca="1" si="71"/>
        <v>2.5729267586482862E-5</v>
      </c>
      <c r="CA66" s="9">
        <f t="shared" ca="1" si="71"/>
        <v>4.3045981403981859E-3</v>
      </c>
      <c r="CB66" s="9">
        <f t="shared" ca="1" si="71"/>
        <v>3.003461539819785E-3</v>
      </c>
      <c r="CC66" s="9">
        <f t="shared" ca="1" si="71"/>
        <v>2.7339972318678463E-3</v>
      </c>
      <c r="CD66" s="9">
        <f t="shared" ca="1" si="71"/>
        <v>4.6075808926444584E-3</v>
      </c>
      <c r="CE66" s="9">
        <f t="shared" ca="1" si="71"/>
        <v>3.4519023237672863E-2</v>
      </c>
      <c r="CF66" s="9">
        <f t="shared" ca="1" si="71"/>
        <v>4.5865774044715035E-2</v>
      </c>
      <c r="CG66" s="9">
        <f t="shared" ca="1" si="71"/>
        <v>3.1401455536856915E-3</v>
      </c>
      <c r="CH66" s="9">
        <f t="shared" ca="1" si="71"/>
        <v>3.1872204573873075E-2</v>
      </c>
      <c r="CI66" s="9">
        <f t="shared" ca="1" si="71"/>
        <v>3.7402349464178419E-2</v>
      </c>
      <c r="CJ66" s="9">
        <f t="shared" ca="1" si="71"/>
        <v>1.3679639212820227E-2</v>
      </c>
      <c r="CK66" s="9">
        <f t="shared" ca="1" si="71"/>
        <v>2.5977092740490537E-2</v>
      </c>
      <c r="CL66" s="9">
        <f t="shared" ca="1" si="71"/>
        <v>4.2261843594525672E-2</v>
      </c>
      <c r="CM66" s="9">
        <f t="shared" ca="1" si="71"/>
        <v>4.1018372833040884E-2</v>
      </c>
      <c r="CN66" s="9">
        <f t="shared" ca="1" si="71"/>
        <v>4.0660211209848862E-2</v>
      </c>
      <c r="CO66" s="9">
        <f t="shared" ca="1" si="71"/>
        <v>3.4668204918876455E-2</v>
      </c>
      <c r="CP66" s="9">
        <f t="shared" ca="1" si="71"/>
        <v>3.0193742657625089E-2</v>
      </c>
      <c r="CQ66" s="9">
        <f t="shared" ca="1" si="71"/>
        <v>5.5868786882088628E-2</v>
      </c>
      <c r="CR66" s="9">
        <f t="shared" ca="1" si="71"/>
        <v>4.5909690847692808E-2</v>
      </c>
      <c r="CS66" s="9">
        <f t="shared" ca="1" si="71"/>
        <v>7.6686452009637751E-3</v>
      </c>
      <c r="CT66" s="9">
        <f t="shared" ca="1" si="71"/>
        <v>3.7529897176116433E-2</v>
      </c>
      <c r="CU66" s="9">
        <f t="shared" ca="1" si="71"/>
        <v>4.417325497304514E-2</v>
      </c>
      <c r="CV66" s="9">
        <f t="shared" ca="1" si="71"/>
        <v>3.5292150693986724E-2</v>
      </c>
      <c r="CW66" s="9">
        <f t="shared" ca="1" si="71"/>
        <v>3.284284061474696E-2</v>
      </c>
      <c r="CX66" s="9">
        <f t="shared" ca="1" si="71"/>
        <v>1.4127170395682009E-2</v>
      </c>
      <c r="CY66" s="9">
        <f t="shared" ca="1" si="71"/>
        <v>7.0415218041088856E-3</v>
      </c>
      <c r="CZ66" s="9">
        <f t="shared" ca="1" si="71"/>
        <v>2.3098741008771073E-2</v>
      </c>
      <c r="DA66" s="9">
        <f t="shared" ca="1" si="71"/>
        <v>2.2784230856023324E-3</v>
      </c>
      <c r="DB66" s="9">
        <f t="shared" ca="1" si="71"/>
        <v>2.8832219816333327E-2</v>
      </c>
      <c r="DC66" s="9">
        <f t="shared" ca="1" si="71"/>
        <v>2.1194525865435354E-2</v>
      </c>
      <c r="DD66" s="9">
        <f t="shared" ca="1" si="71"/>
        <v>5.6052552026797375E-3</v>
      </c>
      <c r="DE66" s="9">
        <f t="shared" ca="1" si="71"/>
        <v>5.7432530373262014E-2</v>
      </c>
      <c r="DF66" s="9">
        <f t="shared" ca="1" si="71"/>
        <v>9.4965958308242948E-2</v>
      </c>
      <c r="DG66" s="9">
        <f t="shared" ca="1" si="71"/>
        <v>6.6590735699672665E-2</v>
      </c>
      <c r="DH66" s="9">
        <f t="shared" ca="1" si="71"/>
        <v>6.7890843568597425E-2</v>
      </c>
      <c r="DI66" s="9">
        <f t="shared" ca="1" si="71"/>
        <v>6.6944745358709312E-2</v>
      </c>
      <c r="DJ66" s="9">
        <f t="shared" ca="1" si="71"/>
        <v>5.8312272187870495E-2</v>
      </c>
      <c r="DK66" s="9">
        <f t="shared" ca="1" si="71"/>
        <v>5.3595934445577198E-2</v>
      </c>
      <c r="DL66" s="9">
        <f t="shared" ca="1" si="71"/>
        <v>4.6928989953728739E-2</v>
      </c>
      <c r="DM66" s="9">
        <f t="shared" ca="1" si="71"/>
        <v>5.3438630215543736E-2</v>
      </c>
      <c r="DN66" s="9">
        <f t="shared" ca="1" si="71"/>
        <v>4.7469180843238812E-2</v>
      </c>
      <c r="DO66" s="9">
        <f t="shared" ca="1" si="71"/>
        <v>4.5948304380943883E-2</v>
      </c>
      <c r="DP66" s="9">
        <f t="shared" ca="1" si="71"/>
        <v>7.8406873368790375E-3</v>
      </c>
      <c r="DQ66" s="9">
        <f t="shared" ca="1" si="71"/>
        <v>5.2752535204325546E-2</v>
      </c>
      <c r="DR66" s="9">
        <f t="shared" ca="1" si="71"/>
        <v>1.181730837100492E-3</v>
      </c>
      <c r="DS66" s="9">
        <f t="shared" ca="1" si="71"/>
        <v>6.0677135365916346E-4</v>
      </c>
      <c r="DT66" s="9">
        <f t="shared" ca="1" si="71"/>
        <v>8.3497731335381298E-3</v>
      </c>
      <c r="DU66" s="9">
        <f t="shared" ca="1" si="71"/>
        <v>4.5077098706206575E-3</v>
      </c>
      <c r="DV66" s="9">
        <f t="shared" ca="1" si="71"/>
        <v>1.1968808715937196E-2</v>
      </c>
      <c r="DW66" s="9">
        <f t="shared" ca="1" si="71"/>
        <v>1.4809195083682503E-2</v>
      </c>
      <c r="DX66" s="9">
        <f t="shared" ca="1" si="71"/>
        <v>1.2113735044575358E-2</v>
      </c>
      <c r="DY66" s="9">
        <f t="shared" ca="1" si="71"/>
        <v>2.8259717893392433E-2</v>
      </c>
      <c r="DZ66" s="9">
        <f t="shared" ref="DZ66:GK66" ca="1" si="72">IF(DZ39="","",ABS(DZ39))</f>
        <v>3.6290113072053098E-2</v>
      </c>
      <c r="EA66" s="9">
        <f t="shared" ca="1" si="72"/>
        <v>1.1425854651013534E-2</v>
      </c>
      <c r="EB66" s="9">
        <f t="shared" ca="1" si="72"/>
        <v>3.8287503182621863E-2</v>
      </c>
      <c r="EC66" s="9">
        <f t="shared" ca="1" si="72"/>
        <v>1.8308963896536468E-2</v>
      </c>
      <c r="ED66" s="9">
        <f t="shared" ca="1" si="72"/>
        <v>2.7494213451519922E-3</v>
      </c>
      <c r="EE66" s="9">
        <f t="shared" ca="1" si="72"/>
        <v>2.4099099351722053E-2</v>
      </c>
      <c r="EF66" s="9">
        <f t="shared" ca="1" si="72"/>
        <v>1.5955066811899621E-2</v>
      </c>
      <c r="EG66" s="9">
        <f t="shared" ca="1" si="72"/>
        <v>2.2507812672611927E-4</v>
      </c>
      <c r="EH66" s="9">
        <f t="shared" ca="1" si="72"/>
        <v>1.7238087309644712E-2</v>
      </c>
      <c r="EI66" s="9">
        <f t="shared" ca="1" si="72"/>
        <v>3.3652183394791368E-2</v>
      </c>
      <c r="EJ66" s="9">
        <f t="shared" ca="1" si="72"/>
        <v>3.1341573824472446E-2</v>
      </c>
      <c r="EK66" s="9">
        <f t="shared" ca="1" si="72"/>
        <v>3.2485068409853213E-3</v>
      </c>
      <c r="EL66" s="9">
        <f t="shared" ca="1" si="72"/>
        <v>2.3605933875239349E-2</v>
      </c>
      <c r="EM66" s="9">
        <f t="shared" ca="1" si="72"/>
        <v>1.5475574577324291E-2</v>
      </c>
      <c r="EN66" s="9">
        <f t="shared" ca="1" si="72"/>
        <v>3.0854182362932581E-2</v>
      </c>
      <c r="EO66" s="9">
        <f t="shared" ca="1" si="72"/>
        <v>1.3441057339330542E-2</v>
      </c>
      <c r="EP66" s="9">
        <f t="shared" ca="1" si="72"/>
        <v>1.314578635711483E-2</v>
      </c>
      <c r="EQ66" s="9">
        <f t="shared" ca="1" si="72"/>
        <v>4.2943887870946496E-3</v>
      </c>
      <c r="ER66" s="9">
        <f t="shared" ca="1" si="72"/>
        <v>9.7480417759506777E-3</v>
      </c>
      <c r="ES66" s="9">
        <f t="shared" ca="1" si="72"/>
        <v>1.695956493977413E-2</v>
      </c>
      <c r="ET66" s="9">
        <f t="shared" ca="1" si="72"/>
        <v>1.0406465896673045E-2</v>
      </c>
      <c r="EU66" s="9">
        <f t="shared" ca="1" si="72"/>
        <v>1.7417393308116758E-3</v>
      </c>
      <c r="EV66" s="9">
        <f t="shared" ca="1" si="72"/>
        <v>2.7486524447082328E-2</v>
      </c>
      <c r="EW66" s="9">
        <f t="shared" ca="1" si="72"/>
        <v>2.9827325834464791E-2</v>
      </c>
      <c r="EX66" s="9">
        <f t="shared" ca="1" si="72"/>
        <v>1.5853212242501691E-2</v>
      </c>
      <c r="EY66" s="9">
        <f t="shared" ca="1" si="72"/>
        <v>2.7485670771998372E-4</v>
      </c>
      <c r="EZ66" s="9">
        <f t="shared" ca="1" si="72"/>
        <v>1.2100032358163926E-2</v>
      </c>
      <c r="FA66" s="9">
        <f t="shared" ca="1" si="72"/>
        <v>9.1569184863490305E-3</v>
      </c>
      <c r="FB66" s="9">
        <f t="shared" ca="1" si="72"/>
        <v>1.2504561442243323E-2</v>
      </c>
      <c r="FC66" s="9">
        <f t="shared" ca="1" si="72"/>
        <v>1.8684955725621677E-2</v>
      </c>
      <c r="FD66" s="9">
        <f t="shared" ca="1" si="72"/>
        <v>1.8042290249750237E-2</v>
      </c>
      <c r="FE66" s="9">
        <f t="shared" ca="1" si="72"/>
        <v>1.79060914891086E-2</v>
      </c>
      <c r="FF66" s="9">
        <f t="shared" ca="1" si="72"/>
        <v>1.8982618761475223E-2</v>
      </c>
      <c r="FG66" s="9">
        <f t="shared" ca="1" si="72"/>
        <v>2.0740791415505777E-2</v>
      </c>
      <c r="FH66" s="9">
        <f t="shared" ca="1" si="72"/>
        <v>2.1785410820585049E-3</v>
      </c>
      <c r="FI66" s="9">
        <f t="shared" ca="1" si="72"/>
        <v>1.366826575857405E-3</v>
      </c>
      <c r="FJ66" s="9">
        <f t="shared" ca="1" si="72"/>
        <v>2.9957598388079543E-3</v>
      </c>
      <c r="FK66" s="9">
        <f t="shared" ca="1" si="72"/>
        <v>4.0518230577542003E-3</v>
      </c>
      <c r="FL66" s="9">
        <f t="shared" ca="1" si="72"/>
        <v>2.5755100786730711E-3</v>
      </c>
      <c r="FM66" s="9">
        <f t="shared" ca="1" si="72"/>
        <v>3.4972695202367676E-2</v>
      </c>
      <c r="FN66" s="9">
        <f t="shared" ca="1" si="72"/>
        <v>1.935161615428127E-2</v>
      </c>
      <c r="FO66" s="9">
        <f t="shared" ca="1" si="72"/>
        <v>1.3339990964006843E-2</v>
      </c>
      <c r="FP66" s="9">
        <f t="shared" ca="1" si="72"/>
        <v>9.5226220392046201E-3</v>
      </c>
      <c r="FQ66" s="9">
        <f t="shared" ca="1" si="72"/>
        <v>2.2873589971714403E-2</v>
      </c>
      <c r="FR66" s="9">
        <f t="shared" ca="1" si="72"/>
        <v>3.3363526109764674E-2</v>
      </c>
      <c r="FS66" s="9">
        <f t="shared" ca="1" si="72"/>
        <v>3.4634495537321675E-2</v>
      </c>
      <c r="FT66" s="9">
        <f t="shared" ca="1" si="72"/>
        <v>2.1665177134751024E-2</v>
      </c>
      <c r="FU66" s="9">
        <f t="shared" ca="1" si="72"/>
        <v>2.0347061477101747E-3</v>
      </c>
      <c r="FV66" s="9">
        <f t="shared" ca="1" si="72"/>
        <v>1.3426575656434458E-3</v>
      </c>
      <c r="FW66" s="9">
        <f t="shared" ca="1" si="72"/>
        <v>1.761351349258844E-2</v>
      </c>
      <c r="FX66" s="9">
        <f t="shared" ca="1" si="72"/>
        <v>1.3311509249454678E-2</v>
      </c>
      <c r="FY66" s="9">
        <f t="shared" ca="1" si="72"/>
        <v>1.8954700808984759E-2</v>
      </c>
      <c r="FZ66" s="9">
        <f t="shared" ca="1" si="72"/>
        <v>3.8226114648541198E-2</v>
      </c>
      <c r="GA66" s="9">
        <f t="shared" ca="1" si="72"/>
        <v>4.04752475286696E-2</v>
      </c>
      <c r="GB66" s="9">
        <f t="shared" ca="1" si="72"/>
        <v>3.4765115814151093E-2</v>
      </c>
      <c r="GC66" s="9">
        <f t="shared" ca="1" si="72"/>
        <v>3.0275828354297207E-2</v>
      </c>
      <c r="GD66" s="9">
        <f t="shared" ca="1" si="72"/>
        <v>1.0953273078925463E-2</v>
      </c>
      <c r="GE66" s="9">
        <f t="shared" ca="1" si="72"/>
        <v>1.7233160612594611E-2</v>
      </c>
      <c r="GF66" s="9">
        <f t="shared" ca="1" si="72"/>
        <v>4.5954916072818097E-2</v>
      </c>
      <c r="GG66" s="9">
        <f t="shared" ca="1" si="72"/>
        <v>4.1483564319589217E-2</v>
      </c>
      <c r="GH66" s="9">
        <f t="shared" ca="1" si="72"/>
        <v>2.9230851939261893E-2</v>
      </c>
      <c r="GI66" s="9">
        <f t="shared" ca="1" si="72"/>
        <v>2.0618543110510146E-2</v>
      </c>
      <c r="GJ66" s="9">
        <f t="shared" ca="1" si="72"/>
        <v>1.2927373750399207E-2</v>
      </c>
      <c r="GK66" s="9">
        <f t="shared" ca="1" si="72"/>
        <v>1.0550845067829995E-2</v>
      </c>
      <c r="GL66" s="9">
        <f t="shared" ref="GL66:IW66" ca="1" si="73">IF(GL39="","",ABS(GL39))</f>
        <v>1.9322516284502544E-2</v>
      </c>
      <c r="GM66" s="9">
        <f t="shared" ca="1" si="73"/>
        <v>3.6023606597217483E-3</v>
      </c>
      <c r="GN66" s="9">
        <f t="shared" ca="1" si="73"/>
        <v>8.7690075254194255E-3</v>
      </c>
      <c r="GO66" s="9">
        <f t="shared" ca="1" si="73"/>
        <v>8.3184748430547018E-3</v>
      </c>
      <c r="GP66" s="9" t="str">
        <f t="shared" ca="1" si="73"/>
        <v/>
      </c>
      <c r="GQ66" s="9" t="str">
        <f t="shared" ca="1" si="73"/>
        <v/>
      </c>
      <c r="GR66" s="9" t="str">
        <f t="shared" ca="1" si="73"/>
        <v/>
      </c>
      <c r="GS66" s="9" t="str">
        <f t="shared" ca="1" si="73"/>
        <v/>
      </c>
      <c r="GT66" s="9" t="str">
        <f t="shared" ca="1" si="73"/>
        <v/>
      </c>
      <c r="GU66" s="9" t="str">
        <f t="shared" ca="1" si="73"/>
        <v/>
      </c>
      <c r="GV66" s="9" t="str">
        <f t="shared" ca="1" si="73"/>
        <v/>
      </c>
      <c r="GW66" s="9" t="str">
        <f t="shared" ca="1" si="73"/>
        <v/>
      </c>
      <c r="GX66" s="9" t="str">
        <f t="shared" ca="1" si="73"/>
        <v/>
      </c>
      <c r="GY66" s="9" t="str">
        <f t="shared" ca="1" si="73"/>
        <v/>
      </c>
      <c r="GZ66" s="9" t="str">
        <f t="shared" ca="1" si="73"/>
        <v/>
      </c>
      <c r="HA66" s="9" t="str">
        <f t="shared" ca="1" si="73"/>
        <v/>
      </c>
      <c r="HB66" s="9" t="str">
        <f t="shared" ca="1" si="73"/>
        <v/>
      </c>
      <c r="HC66" s="9" t="str">
        <f t="shared" ca="1" si="73"/>
        <v/>
      </c>
      <c r="HD66" s="9" t="str">
        <f t="shared" ca="1" si="73"/>
        <v/>
      </c>
      <c r="HE66" s="9" t="str">
        <f t="shared" ca="1" si="73"/>
        <v/>
      </c>
      <c r="HF66" s="9" t="str">
        <f t="shared" ca="1" si="73"/>
        <v/>
      </c>
      <c r="HG66" s="9" t="str">
        <f t="shared" ca="1" si="73"/>
        <v/>
      </c>
      <c r="HH66" s="9" t="str">
        <f t="shared" ca="1" si="73"/>
        <v/>
      </c>
      <c r="HI66" s="9" t="str">
        <f t="shared" ca="1" si="73"/>
        <v/>
      </c>
      <c r="HJ66" s="9" t="str">
        <f t="shared" ca="1" si="73"/>
        <v/>
      </c>
      <c r="HK66" s="9" t="str">
        <f t="shared" ca="1" si="73"/>
        <v/>
      </c>
      <c r="HL66" s="9" t="str">
        <f t="shared" ca="1" si="73"/>
        <v/>
      </c>
      <c r="HM66" s="9" t="str">
        <f t="shared" ca="1" si="73"/>
        <v/>
      </c>
      <c r="HN66" s="9" t="str">
        <f t="shared" ca="1" si="73"/>
        <v/>
      </c>
      <c r="HO66" s="9" t="str">
        <f t="shared" ca="1" si="73"/>
        <v/>
      </c>
      <c r="HP66" s="9" t="str">
        <f t="shared" ca="1" si="73"/>
        <v/>
      </c>
      <c r="HQ66" s="9" t="str">
        <f t="shared" ca="1" si="73"/>
        <v/>
      </c>
      <c r="HR66" s="9" t="str">
        <f t="shared" ca="1" si="73"/>
        <v/>
      </c>
      <c r="HS66" s="9" t="str">
        <f t="shared" ca="1" si="73"/>
        <v/>
      </c>
      <c r="HT66" s="9" t="str">
        <f t="shared" ca="1" si="73"/>
        <v/>
      </c>
      <c r="HU66" s="9" t="str">
        <f t="shared" ca="1" si="73"/>
        <v/>
      </c>
      <c r="HV66" s="9" t="str">
        <f t="shared" ca="1" si="73"/>
        <v/>
      </c>
      <c r="HW66" s="9" t="str">
        <f t="shared" ca="1" si="73"/>
        <v/>
      </c>
      <c r="HX66" s="9" t="str">
        <f t="shared" ca="1" si="73"/>
        <v/>
      </c>
      <c r="HY66" s="9" t="str">
        <f t="shared" ca="1" si="73"/>
        <v/>
      </c>
      <c r="HZ66" s="9" t="str">
        <f t="shared" ca="1" si="73"/>
        <v/>
      </c>
      <c r="IA66" s="9" t="str">
        <f t="shared" ca="1" si="73"/>
        <v/>
      </c>
      <c r="IB66" s="9" t="str">
        <f t="shared" ca="1" si="73"/>
        <v/>
      </c>
      <c r="IC66" s="9" t="str">
        <f t="shared" ca="1" si="73"/>
        <v/>
      </c>
      <c r="ID66" s="9" t="str">
        <f t="shared" ca="1" si="73"/>
        <v/>
      </c>
      <c r="IE66" s="9" t="str">
        <f t="shared" ca="1" si="73"/>
        <v/>
      </c>
      <c r="IF66" s="9" t="str">
        <f t="shared" ca="1" si="73"/>
        <v/>
      </c>
      <c r="IG66" s="9" t="str">
        <f t="shared" ca="1" si="73"/>
        <v/>
      </c>
      <c r="IH66" s="9" t="str">
        <f t="shared" ca="1" si="73"/>
        <v/>
      </c>
      <c r="II66" s="9" t="str">
        <f t="shared" ca="1" si="73"/>
        <v/>
      </c>
      <c r="IJ66" s="9" t="str">
        <f t="shared" ca="1" si="73"/>
        <v/>
      </c>
      <c r="IK66" s="9" t="str">
        <f t="shared" ca="1" si="73"/>
        <v/>
      </c>
      <c r="IL66" s="9" t="str">
        <f t="shared" ca="1" si="73"/>
        <v/>
      </c>
      <c r="IM66" s="9" t="str">
        <f t="shared" ca="1" si="73"/>
        <v/>
      </c>
      <c r="IN66" s="9" t="str">
        <f t="shared" ca="1" si="73"/>
        <v/>
      </c>
      <c r="IO66" s="9" t="str">
        <f t="shared" ca="1" si="73"/>
        <v/>
      </c>
      <c r="IP66" s="9" t="str">
        <f t="shared" ca="1" si="73"/>
        <v/>
      </c>
      <c r="IQ66" s="9" t="str">
        <f t="shared" ca="1" si="73"/>
        <v/>
      </c>
      <c r="IR66" s="9" t="str">
        <f t="shared" ca="1" si="73"/>
        <v/>
      </c>
      <c r="IS66" s="9" t="str">
        <f t="shared" ca="1" si="73"/>
        <v/>
      </c>
      <c r="IT66" s="9" t="str">
        <f t="shared" ca="1" si="73"/>
        <v/>
      </c>
      <c r="IU66" s="9" t="str">
        <f t="shared" ca="1" si="73"/>
        <v/>
      </c>
      <c r="IV66" s="9" t="str">
        <f t="shared" ca="1" si="73"/>
        <v/>
      </c>
      <c r="IW66" s="9" t="str">
        <f t="shared" ca="1" si="73"/>
        <v/>
      </c>
      <c r="IX66" s="9" t="str">
        <f t="shared" ref="IX66:JH66" ca="1" si="74">IF(IX39="","",ABS(IX39))</f>
        <v/>
      </c>
      <c r="IY66" s="9" t="str">
        <f t="shared" ca="1" si="74"/>
        <v/>
      </c>
      <c r="IZ66" s="9" t="str">
        <f t="shared" ca="1" si="74"/>
        <v/>
      </c>
      <c r="JA66" s="9" t="str">
        <f t="shared" ca="1" si="74"/>
        <v/>
      </c>
      <c r="JB66" s="9" t="str">
        <f t="shared" ca="1" si="74"/>
        <v/>
      </c>
      <c r="JC66" s="9" t="str">
        <f t="shared" ca="1" si="74"/>
        <v/>
      </c>
      <c r="JD66" s="9" t="str">
        <f t="shared" ca="1" si="74"/>
        <v/>
      </c>
      <c r="JE66" s="9" t="str">
        <f t="shared" ca="1" si="74"/>
        <v/>
      </c>
      <c r="JF66" s="9" t="str">
        <f t="shared" ca="1" si="74"/>
        <v/>
      </c>
      <c r="JG66" s="9" t="str">
        <f t="shared" ca="1" si="74"/>
        <v/>
      </c>
      <c r="JH66" s="9" t="str">
        <f t="shared" ca="1" si="74"/>
        <v/>
      </c>
      <c r="JI66" s="13">
        <f t="shared" ca="1" si="24"/>
        <v>2.1540042785128777E-2</v>
      </c>
      <c r="JJ66" s="13">
        <f t="shared" ca="1" si="25"/>
        <v>1.9322516284502544E-2</v>
      </c>
      <c r="JK66" s="14">
        <f t="shared" ca="1" si="26"/>
        <v>1.6493696698429767E-4</v>
      </c>
      <c r="JL66" s="17">
        <f t="shared" ca="1" si="34"/>
        <v>1.2842778787485895E-2</v>
      </c>
      <c r="JM66" s="15" t="str">
        <f t="shared" ca="1" si="27"/>
        <v>[ -0,41% ; 4,72% ]</v>
      </c>
      <c r="JN66" s="17">
        <f t="shared" ca="1" si="28"/>
        <v>1.6438756847981947E-2</v>
      </c>
      <c r="LY66" s="1"/>
    </row>
    <row r="67" spans="1:337" x14ac:dyDescent="0.25">
      <c r="A67" s="4">
        <v>11</v>
      </c>
      <c r="B67" s="9">
        <f t="shared" ref="B67:BM67" ca="1" si="75">IF(B40="","",ABS(B40))</f>
        <v>1.0748726992634294E-2</v>
      </c>
      <c r="C67" s="9">
        <f t="shared" ca="1" si="75"/>
        <v>3.0530712708085717E-2</v>
      </c>
      <c r="D67" s="9">
        <f t="shared" ca="1" si="75"/>
        <v>1.2145417771925127E-2</v>
      </c>
      <c r="E67" s="9">
        <f t="shared" ca="1" si="75"/>
        <v>1.0584745565747844E-2</v>
      </c>
      <c r="F67" s="9">
        <f t="shared" ca="1" si="75"/>
        <v>1.2799468327077013E-2</v>
      </c>
      <c r="G67" s="9">
        <f t="shared" ca="1" si="75"/>
        <v>2.0342730496083261E-2</v>
      </c>
      <c r="H67" s="9">
        <f t="shared" ca="1" si="75"/>
        <v>2.2483437776580462E-2</v>
      </c>
      <c r="I67" s="9">
        <f t="shared" ca="1" si="75"/>
        <v>2.617560970342081E-2</v>
      </c>
      <c r="J67" s="9">
        <f t="shared" ca="1" si="75"/>
        <v>2.0948574409148324E-2</v>
      </c>
      <c r="K67" s="9">
        <f t="shared" ca="1" si="75"/>
        <v>2.3836899540224277E-2</v>
      </c>
      <c r="L67" s="9">
        <f t="shared" ca="1" si="75"/>
        <v>2.2550253598648151E-2</v>
      </c>
      <c r="M67" s="9">
        <f t="shared" ca="1" si="75"/>
        <v>2.6332835996034198E-2</v>
      </c>
      <c r="N67" s="9">
        <f t="shared" ca="1" si="75"/>
        <v>2.0735880898474668E-2</v>
      </c>
      <c r="O67" s="9">
        <f t="shared" ca="1" si="75"/>
        <v>3.9029366390798792E-2</v>
      </c>
      <c r="P67" s="9">
        <f t="shared" ca="1" si="75"/>
        <v>3.138031151346643E-2</v>
      </c>
      <c r="Q67" s="9">
        <f t="shared" ca="1" si="75"/>
        <v>3.1778923624732447E-2</v>
      </c>
      <c r="R67" s="9">
        <f t="shared" ca="1" si="75"/>
        <v>3.0373844010379125E-2</v>
      </c>
      <c r="S67" s="9">
        <f t="shared" ca="1" si="75"/>
        <v>2.2402718627310136E-2</v>
      </c>
      <c r="T67" s="9">
        <f t="shared" ca="1" si="75"/>
        <v>9.5933257548544981E-3</v>
      </c>
      <c r="U67" s="9">
        <f t="shared" ca="1" si="75"/>
        <v>1.6344557103505686E-2</v>
      </c>
      <c r="V67" s="9">
        <f t="shared" ca="1" si="75"/>
        <v>2.2393784959545471E-2</v>
      </c>
      <c r="W67" s="9">
        <f t="shared" ca="1" si="75"/>
        <v>2.0512176337932786E-2</v>
      </c>
      <c r="X67" s="9">
        <f t="shared" ca="1" si="75"/>
        <v>1.9558299781673671E-2</v>
      </c>
      <c r="Y67" s="9">
        <f t="shared" ca="1" si="75"/>
        <v>2.4448162468048151E-2</v>
      </c>
      <c r="Z67" s="9">
        <f t="shared" ca="1" si="75"/>
        <v>3.0503544742253474E-2</v>
      </c>
      <c r="AA67" s="9">
        <f t="shared" ca="1" si="75"/>
        <v>2.1622417633976987E-2</v>
      </c>
      <c r="AB67" s="9">
        <f t="shared" ca="1" si="75"/>
        <v>1.8071052182019098E-2</v>
      </c>
      <c r="AC67" s="9">
        <f t="shared" ca="1" si="75"/>
        <v>1.9860281320008832E-2</v>
      </c>
      <c r="AD67" s="9">
        <f t="shared" ca="1" si="75"/>
        <v>1.0980030325902224E-2</v>
      </c>
      <c r="AE67" s="9">
        <f t="shared" ca="1" si="75"/>
        <v>1.0632457763825487E-2</v>
      </c>
      <c r="AF67" s="9">
        <f t="shared" ca="1" si="75"/>
        <v>1.5321726986083917E-3</v>
      </c>
      <c r="AG67" s="9">
        <f t="shared" ca="1" si="75"/>
        <v>3.1082328217048039E-3</v>
      </c>
      <c r="AH67" s="9">
        <f t="shared" ca="1" si="75"/>
        <v>6.355955604279484E-3</v>
      </c>
      <c r="AI67" s="9">
        <f t="shared" ca="1" si="75"/>
        <v>5.3238614250851191E-3</v>
      </c>
      <c r="AJ67" s="9">
        <f t="shared" ca="1" si="75"/>
        <v>5.6884786099528073E-3</v>
      </c>
      <c r="AK67" s="9">
        <f t="shared" ca="1" si="75"/>
        <v>8.9485181957954518E-3</v>
      </c>
      <c r="AL67" s="9">
        <f t="shared" ca="1" si="75"/>
        <v>1.1612864728727246E-5</v>
      </c>
      <c r="AM67" s="9">
        <f t="shared" ca="1" si="75"/>
        <v>3.6274612728193212E-3</v>
      </c>
      <c r="AN67" s="9">
        <f t="shared" ca="1" si="75"/>
        <v>5.3568746992607164E-3</v>
      </c>
      <c r="AO67" s="9">
        <f t="shared" ca="1" si="75"/>
        <v>1.3090529036774878E-2</v>
      </c>
      <c r="AP67" s="9">
        <f t="shared" ca="1" si="75"/>
        <v>1.9951134237442547E-2</v>
      </c>
      <c r="AQ67" s="9">
        <f t="shared" ca="1" si="75"/>
        <v>2.3057410227139474E-2</v>
      </c>
      <c r="AR67" s="9">
        <f t="shared" ca="1" si="75"/>
        <v>2.5850804226944524E-2</v>
      </c>
      <c r="AS67" s="9">
        <f t="shared" ca="1" si="75"/>
        <v>3.5424588510755362E-2</v>
      </c>
      <c r="AT67" s="9">
        <f t="shared" ca="1" si="75"/>
        <v>3.8138754430565136E-2</v>
      </c>
      <c r="AU67" s="9">
        <f t="shared" ca="1" si="75"/>
        <v>4.7329620358340874E-2</v>
      </c>
      <c r="AV67" s="9">
        <f t="shared" ca="1" si="75"/>
        <v>5.7041811272661169E-2</v>
      </c>
      <c r="AW67" s="9">
        <f t="shared" ca="1" si="75"/>
        <v>5.8787031613200424E-2</v>
      </c>
      <c r="AX67" s="9">
        <f t="shared" ca="1" si="75"/>
        <v>9.3763924170960244E-2</v>
      </c>
      <c r="AY67" s="9">
        <f t="shared" ca="1" si="75"/>
        <v>9.5840918726776136E-2</v>
      </c>
      <c r="AZ67" s="9">
        <f t="shared" ca="1" si="75"/>
        <v>0.10338667319570449</v>
      </c>
      <c r="BA67" s="9">
        <f t="shared" ca="1" si="75"/>
        <v>0.10674361965137336</v>
      </c>
      <c r="BB67" s="9">
        <f t="shared" ca="1" si="75"/>
        <v>0.11707906230787901</v>
      </c>
      <c r="BC67" s="9">
        <f t="shared" ca="1" si="75"/>
        <v>0.11418783452955061</v>
      </c>
      <c r="BD67" s="9">
        <f t="shared" ca="1" si="75"/>
        <v>9.7765103414345633E-2</v>
      </c>
      <c r="BE67" s="9">
        <f t="shared" ca="1" si="75"/>
        <v>7.587714023654879E-2</v>
      </c>
      <c r="BF67" s="9">
        <f t="shared" ca="1" si="75"/>
        <v>4.1941274225026026E-2</v>
      </c>
      <c r="BG67" s="9">
        <f t="shared" ca="1" si="75"/>
        <v>4.3502445380167343E-2</v>
      </c>
      <c r="BH67" s="9">
        <f t="shared" ca="1" si="75"/>
        <v>3.3216150012731926E-2</v>
      </c>
      <c r="BI67" s="9">
        <f t="shared" ca="1" si="75"/>
        <v>1.0480074220049485E-2</v>
      </c>
      <c r="BJ67" s="9">
        <f t="shared" ca="1" si="75"/>
        <v>2.4261212337604143E-2</v>
      </c>
      <c r="BK67" s="9">
        <f t="shared" ca="1" si="75"/>
        <v>5.1965617870897596E-2</v>
      </c>
      <c r="BL67" s="9">
        <f t="shared" ca="1" si="75"/>
        <v>7.502094975243101E-2</v>
      </c>
      <c r="BM67" s="9">
        <f t="shared" ca="1" si="75"/>
        <v>9.9045374934857766E-2</v>
      </c>
      <c r="BN67" s="9">
        <f t="shared" ref="BN67:DY67" ca="1" si="76">IF(BN40="","",ABS(BN40))</f>
        <v>7.9883249488187258E-2</v>
      </c>
      <c r="BO67" s="9">
        <f t="shared" ca="1" si="76"/>
        <v>6.3584378439579425E-2</v>
      </c>
      <c r="BP67" s="9">
        <f t="shared" ca="1" si="76"/>
        <v>3.1252681238218893E-2</v>
      </c>
      <c r="BQ67" s="9">
        <f t="shared" ca="1" si="76"/>
        <v>2.3533845552304866E-2</v>
      </c>
      <c r="BR67" s="9">
        <f t="shared" ca="1" si="76"/>
        <v>8.7396447083478712E-3</v>
      </c>
      <c r="BS67" s="9">
        <f t="shared" ca="1" si="76"/>
        <v>5.4372848565217957E-2</v>
      </c>
      <c r="BT67" s="9">
        <f t="shared" ca="1" si="76"/>
        <v>1.6388567516167907E-2</v>
      </c>
      <c r="BU67" s="9">
        <f t="shared" ca="1" si="76"/>
        <v>8.1197168663843522E-3</v>
      </c>
      <c r="BV67" s="9">
        <f t="shared" ca="1" si="76"/>
        <v>2.5783172235700702E-2</v>
      </c>
      <c r="BW67" s="9">
        <f t="shared" ca="1" si="76"/>
        <v>8.5989724245838506E-3</v>
      </c>
      <c r="BX67" s="9">
        <f t="shared" ca="1" si="76"/>
        <v>7.5981349627844974E-3</v>
      </c>
      <c r="BY67" s="9">
        <f t="shared" ca="1" si="76"/>
        <v>8.9146056965561105E-3</v>
      </c>
      <c r="BZ67" s="9">
        <f t="shared" ca="1" si="76"/>
        <v>3.8414595549873809E-4</v>
      </c>
      <c r="CA67" s="9">
        <f t="shared" ca="1" si="76"/>
        <v>2.069347640858421E-3</v>
      </c>
      <c r="CB67" s="9">
        <f t="shared" ca="1" si="76"/>
        <v>1.835413316831902E-3</v>
      </c>
      <c r="CC67" s="9">
        <f t="shared" ca="1" si="76"/>
        <v>7.7736896937532496E-3</v>
      </c>
      <c r="CD67" s="9">
        <f t="shared" ca="1" si="76"/>
        <v>7.4381771199958369E-3</v>
      </c>
      <c r="CE67" s="9">
        <f t="shared" ca="1" si="76"/>
        <v>3.6195188038860682E-2</v>
      </c>
      <c r="CF67" s="9">
        <f t="shared" ca="1" si="76"/>
        <v>3.2629533408810696E-2</v>
      </c>
      <c r="CG67" s="9">
        <f t="shared" ca="1" si="76"/>
        <v>2.7550343037402225E-2</v>
      </c>
      <c r="CH67" s="9">
        <f t="shared" ca="1" si="76"/>
        <v>3.4933919782752509E-2</v>
      </c>
      <c r="CI67" s="9">
        <f t="shared" ca="1" si="76"/>
        <v>3.2623071017202854E-2</v>
      </c>
      <c r="CJ67" s="9">
        <f t="shared" ca="1" si="76"/>
        <v>2.4001821978126392E-2</v>
      </c>
      <c r="CK67" s="9">
        <f t="shared" ca="1" si="76"/>
        <v>3.3053773277860632E-2</v>
      </c>
      <c r="CL67" s="9">
        <f t="shared" ca="1" si="76"/>
        <v>4.6006754337599043E-2</v>
      </c>
      <c r="CM67" s="9">
        <f t="shared" ca="1" si="76"/>
        <v>4.7434675231406542E-2</v>
      </c>
      <c r="CN67" s="9">
        <f t="shared" ca="1" si="76"/>
        <v>4.4358789203034821E-2</v>
      </c>
      <c r="CO67" s="9">
        <f t="shared" ca="1" si="76"/>
        <v>3.0728692535347157E-2</v>
      </c>
      <c r="CP67" s="9">
        <f t="shared" ca="1" si="76"/>
        <v>3.8219095327589603E-2</v>
      </c>
      <c r="CQ67" s="9">
        <f t="shared" ca="1" si="76"/>
        <v>6.9831148025957912E-2</v>
      </c>
      <c r="CR67" s="9">
        <f t="shared" ca="1" si="76"/>
        <v>1.6248130129692617E-2</v>
      </c>
      <c r="CS67" s="9">
        <f t="shared" ca="1" si="76"/>
        <v>2.3097540456149535E-2</v>
      </c>
      <c r="CT67" s="9">
        <f t="shared" ca="1" si="76"/>
        <v>6.2756261901072863E-2</v>
      </c>
      <c r="CU67" s="9">
        <f t="shared" ca="1" si="76"/>
        <v>4.8129376027845394E-2</v>
      </c>
      <c r="CV67" s="9">
        <f t="shared" ca="1" si="76"/>
        <v>3.6856995309319407E-2</v>
      </c>
      <c r="CW67" s="9">
        <f t="shared" ca="1" si="76"/>
        <v>2.910567202188874E-2</v>
      </c>
      <c r="CX67" s="9">
        <f t="shared" ca="1" si="76"/>
        <v>1.0604526004883263E-2</v>
      </c>
      <c r="CY67" s="9">
        <f t="shared" ca="1" si="76"/>
        <v>4.1017153908933235E-3</v>
      </c>
      <c r="CZ67" s="9">
        <f t="shared" ca="1" si="76"/>
        <v>1.7790892035928207E-2</v>
      </c>
      <c r="DA67" s="9">
        <f t="shared" ca="1" si="76"/>
        <v>3.5126412304525845E-3</v>
      </c>
      <c r="DB67" s="9">
        <f t="shared" ca="1" si="76"/>
        <v>3.1469771597391727E-2</v>
      </c>
      <c r="DC67" s="9">
        <f t="shared" ca="1" si="76"/>
        <v>1.4297118190029989E-2</v>
      </c>
      <c r="DD67" s="9">
        <f t="shared" ca="1" si="76"/>
        <v>1.0240674373420244E-2</v>
      </c>
      <c r="DE67" s="9">
        <f t="shared" ca="1" si="76"/>
        <v>8.4564730640210417E-2</v>
      </c>
      <c r="DF67" s="9">
        <f t="shared" ca="1" si="76"/>
        <v>8.1887812933152504E-2</v>
      </c>
      <c r="DG67" s="9">
        <f t="shared" ca="1" si="76"/>
        <v>8.4237752324703541E-2</v>
      </c>
      <c r="DH67" s="9">
        <f t="shared" ca="1" si="76"/>
        <v>7.876054716722658E-2</v>
      </c>
      <c r="DI67" s="9">
        <f t="shared" ca="1" si="76"/>
        <v>6.9749081319549933E-2</v>
      </c>
      <c r="DJ67" s="9">
        <f t="shared" ca="1" si="76"/>
        <v>6.1437908517942175E-2</v>
      </c>
      <c r="DK67" s="9">
        <f t="shared" ca="1" si="76"/>
        <v>5.999156309652065E-2</v>
      </c>
      <c r="DL67" s="9">
        <f t="shared" ca="1" si="76"/>
        <v>5.1127027412624537E-2</v>
      </c>
      <c r="DM67" s="9">
        <f t="shared" ca="1" si="76"/>
        <v>5.9464400299239273E-2</v>
      </c>
      <c r="DN67" s="9">
        <f t="shared" ca="1" si="76"/>
        <v>4.6628047329795308E-2</v>
      </c>
      <c r="DO67" s="9">
        <f t="shared" ca="1" si="76"/>
        <v>4.6125577960668851E-2</v>
      </c>
      <c r="DP67" s="9">
        <f t="shared" ca="1" si="76"/>
        <v>1.0521294653633939E-2</v>
      </c>
      <c r="DQ67" s="9">
        <f t="shared" ca="1" si="76"/>
        <v>2.4296251771164679E-2</v>
      </c>
      <c r="DR67" s="9">
        <f t="shared" ca="1" si="76"/>
        <v>1.3774732555425495E-2</v>
      </c>
      <c r="DS67" s="9">
        <f t="shared" ca="1" si="76"/>
        <v>6.5725311853931379E-3</v>
      </c>
      <c r="DT67" s="9">
        <f t="shared" ca="1" si="76"/>
        <v>2.0801497119078416E-3</v>
      </c>
      <c r="DU67" s="9">
        <f t="shared" ca="1" si="76"/>
        <v>1.2706929415542745E-2</v>
      </c>
      <c r="DV67" s="9">
        <f t="shared" ca="1" si="76"/>
        <v>1.9374815831764702E-2</v>
      </c>
      <c r="DW67" s="9">
        <f t="shared" ca="1" si="76"/>
        <v>2.1640846836963767E-2</v>
      </c>
      <c r="DX67" s="9">
        <f t="shared" ca="1" si="76"/>
        <v>2.1177880355870093E-2</v>
      </c>
      <c r="DY67" s="9">
        <f t="shared" ca="1" si="76"/>
        <v>3.145138463157926E-2</v>
      </c>
      <c r="DZ67" s="9">
        <f t="shared" ref="DZ67:GK67" ca="1" si="77">IF(DZ40="","",ABS(DZ40))</f>
        <v>2.8894041167817908E-2</v>
      </c>
      <c r="EA67" s="9">
        <f t="shared" ca="1" si="77"/>
        <v>2.2541069993731844E-2</v>
      </c>
      <c r="EB67" s="9">
        <f t="shared" ca="1" si="77"/>
        <v>4.1979754836655947E-2</v>
      </c>
      <c r="EC67" s="9">
        <f t="shared" ca="1" si="77"/>
        <v>1.2560028835591708E-2</v>
      </c>
      <c r="ED67" s="9">
        <f t="shared" ca="1" si="77"/>
        <v>1.4166787078211729E-2</v>
      </c>
      <c r="EE67" s="9">
        <f t="shared" ca="1" si="77"/>
        <v>2.7998286349836699E-2</v>
      </c>
      <c r="EF67" s="9">
        <f t="shared" ca="1" si="77"/>
        <v>1.4970453592847432E-2</v>
      </c>
      <c r="EG67" s="9">
        <f t="shared" ca="1" si="77"/>
        <v>4.9023199653874805E-4</v>
      </c>
      <c r="EH67" s="9">
        <f t="shared" ca="1" si="77"/>
        <v>1.7891212549783875E-2</v>
      </c>
      <c r="EI67" s="9">
        <f t="shared" ca="1" si="77"/>
        <v>3.0314155895772243E-2</v>
      </c>
      <c r="EJ67" s="9">
        <f t="shared" ca="1" si="77"/>
        <v>2.44583457400398E-2</v>
      </c>
      <c r="EK67" s="9">
        <f t="shared" ca="1" si="77"/>
        <v>5.7781233075039351E-3</v>
      </c>
      <c r="EL67" s="9">
        <f t="shared" ca="1" si="77"/>
        <v>2.5967520258363463E-2</v>
      </c>
      <c r="EM67" s="9">
        <f t="shared" ca="1" si="77"/>
        <v>1.3626288034793155E-2</v>
      </c>
      <c r="EN67" s="9">
        <f t="shared" ca="1" si="77"/>
        <v>3.7680367505190326E-2</v>
      </c>
      <c r="EO67" s="9">
        <f t="shared" ca="1" si="77"/>
        <v>2.2761943597348622E-2</v>
      </c>
      <c r="EP67" s="9">
        <f t="shared" ca="1" si="77"/>
        <v>4.5610295623975672E-3</v>
      </c>
      <c r="EQ67" s="9">
        <f t="shared" ca="1" si="77"/>
        <v>5.0959445971172634E-3</v>
      </c>
      <c r="ER67" s="9">
        <f t="shared" ca="1" si="77"/>
        <v>1.488696775404752E-2</v>
      </c>
      <c r="ES67" s="9">
        <f t="shared" ca="1" si="77"/>
        <v>1.5985968063577549E-2</v>
      </c>
      <c r="ET67" s="9">
        <f t="shared" ca="1" si="77"/>
        <v>8.4296384113078382E-3</v>
      </c>
      <c r="EU67" s="9">
        <f t="shared" ca="1" si="77"/>
        <v>5.5335169183245991E-3</v>
      </c>
      <c r="EV67" s="9">
        <f t="shared" ca="1" si="77"/>
        <v>2.8549991715764778E-2</v>
      </c>
      <c r="EW67" s="9">
        <f t="shared" ca="1" si="77"/>
        <v>2.4864759930034008E-2</v>
      </c>
      <c r="EX67" s="9">
        <f t="shared" ca="1" si="77"/>
        <v>1.4568283522157888E-2</v>
      </c>
      <c r="EY67" s="9">
        <f t="shared" ca="1" si="77"/>
        <v>1.5857658772540084E-3</v>
      </c>
      <c r="EZ67" s="9">
        <f t="shared" ca="1" si="77"/>
        <v>3.6279218631571908E-3</v>
      </c>
      <c r="FA67" s="9">
        <f t="shared" ca="1" si="77"/>
        <v>1.1997809965097361E-2</v>
      </c>
      <c r="FB67" s="9">
        <f t="shared" ca="1" si="77"/>
        <v>2.3456009096661234E-2</v>
      </c>
      <c r="FC67" s="9">
        <f t="shared" ca="1" si="77"/>
        <v>1.8299402205786075E-2</v>
      </c>
      <c r="FD67" s="9">
        <f t="shared" ca="1" si="77"/>
        <v>1.6133747824231826E-2</v>
      </c>
      <c r="FE67" s="9">
        <f t="shared" ca="1" si="77"/>
        <v>1.4550273646918854E-2</v>
      </c>
      <c r="FF67" s="9">
        <f t="shared" ca="1" si="77"/>
        <v>1.6745612005253041E-2</v>
      </c>
      <c r="FG67" s="9">
        <f t="shared" ca="1" si="77"/>
        <v>1.5262469981311533E-2</v>
      </c>
      <c r="FH67" s="9">
        <f t="shared" ca="1" si="77"/>
        <v>9.6438284075228697E-4</v>
      </c>
      <c r="FI67" s="9">
        <f t="shared" ca="1" si="77"/>
        <v>1.7439381508974616E-3</v>
      </c>
      <c r="FJ67" s="9">
        <f t="shared" ca="1" si="77"/>
        <v>5.5105799119310461E-3</v>
      </c>
      <c r="FK67" s="9">
        <f t="shared" ca="1" si="77"/>
        <v>7.7598290359526256E-4</v>
      </c>
      <c r="FL67" s="9">
        <f t="shared" ca="1" si="77"/>
        <v>9.2979403196351562E-3</v>
      </c>
      <c r="FM67" s="9">
        <f t="shared" ca="1" si="77"/>
        <v>1.7598660659433385E-2</v>
      </c>
      <c r="FN67" s="9">
        <f t="shared" ca="1" si="77"/>
        <v>2.3607441628884507E-2</v>
      </c>
      <c r="FO67" s="9">
        <f t="shared" ca="1" si="77"/>
        <v>2.5723528198977608E-3</v>
      </c>
      <c r="FP67" s="9">
        <f t="shared" ca="1" si="77"/>
        <v>1.2134061489149084E-2</v>
      </c>
      <c r="FQ67" s="9">
        <f t="shared" ca="1" si="77"/>
        <v>2.1597983082449868E-2</v>
      </c>
      <c r="FR67" s="9">
        <f t="shared" ca="1" si="77"/>
        <v>3.1971299448853685E-2</v>
      </c>
      <c r="FS67" s="9">
        <f t="shared" ca="1" si="77"/>
        <v>3.1031258545976659E-2</v>
      </c>
      <c r="FT67" s="9">
        <f t="shared" ca="1" si="77"/>
        <v>1.6966167758689088E-2</v>
      </c>
      <c r="FU67" s="9">
        <f t="shared" ca="1" si="77"/>
        <v>3.8069137796468144E-3</v>
      </c>
      <c r="FV67" s="9">
        <f t="shared" ca="1" si="77"/>
        <v>5.0897623950389992E-3</v>
      </c>
      <c r="FW67" s="9">
        <f t="shared" ca="1" si="77"/>
        <v>1.6338822099963624E-2</v>
      </c>
      <c r="FX67" s="9">
        <f t="shared" ca="1" si="77"/>
        <v>1.8003157380025669E-2</v>
      </c>
      <c r="FY67" s="9">
        <f t="shared" ca="1" si="77"/>
        <v>1.6542250019848881E-2</v>
      </c>
      <c r="FZ67" s="9">
        <f t="shared" ca="1" si="77"/>
        <v>3.1455714065131257E-2</v>
      </c>
      <c r="GA67" s="9">
        <f t="shared" ca="1" si="77"/>
        <v>4.2332642662667119E-2</v>
      </c>
      <c r="GB67" s="9">
        <f t="shared" ca="1" si="77"/>
        <v>4.0324533533483198E-2</v>
      </c>
      <c r="GC67" s="9">
        <f t="shared" ca="1" si="77"/>
        <v>2.5141519549987557E-2</v>
      </c>
      <c r="GD67" s="9">
        <f t="shared" ca="1" si="77"/>
        <v>2.7108201018397393E-2</v>
      </c>
      <c r="GE67" s="9">
        <f t="shared" ca="1" si="77"/>
        <v>4.9940452929974288E-2</v>
      </c>
      <c r="GF67" s="9">
        <f t="shared" ca="1" si="77"/>
        <v>4.0556923350324015E-2</v>
      </c>
      <c r="GG67" s="9">
        <f t="shared" ca="1" si="77"/>
        <v>3.1419192330026657E-2</v>
      </c>
      <c r="GH67" s="9">
        <f t="shared" ca="1" si="77"/>
        <v>2.4106490832521255E-2</v>
      </c>
      <c r="GI67" s="9">
        <f t="shared" ca="1" si="77"/>
        <v>1.4652265906571094E-2</v>
      </c>
      <c r="GJ67" s="9">
        <f t="shared" ca="1" si="77"/>
        <v>4.0443743446094693E-4</v>
      </c>
      <c r="GK67" s="9">
        <f t="shared" ca="1" si="77"/>
        <v>1.712970435312644E-2</v>
      </c>
      <c r="GL67" s="9">
        <f t="shared" ref="GL67:IW67" ca="1" si="78">IF(GL40="","",ABS(GL40))</f>
        <v>1.2398461265111127E-2</v>
      </c>
      <c r="GM67" s="9">
        <f t="shared" ca="1" si="78"/>
        <v>1.228567213252818E-3</v>
      </c>
      <c r="GN67" s="9">
        <f t="shared" ca="1" si="78"/>
        <v>1.4896757594452303E-2</v>
      </c>
      <c r="GO67" s="9" t="str">
        <f t="shared" ca="1" si="78"/>
        <v/>
      </c>
      <c r="GP67" s="9" t="str">
        <f t="shared" ca="1" si="78"/>
        <v/>
      </c>
      <c r="GQ67" s="9" t="str">
        <f t="shared" ca="1" si="78"/>
        <v/>
      </c>
      <c r="GR67" s="9" t="str">
        <f t="shared" ca="1" si="78"/>
        <v/>
      </c>
      <c r="GS67" s="9" t="str">
        <f t="shared" ca="1" si="78"/>
        <v/>
      </c>
      <c r="GT67" s="9" t="str">
        <f t="shared" ca="1" si="78"/>
        <v/>
      </c>
      <c r="GU67" s="9" t="str">
        <f t="shared" ca="1" si="78"/>
        <v/>
      </c>
      <c r="GV67" s="9" t="str">
        <f t="shared" ca="1" si="78"/>
        <v/>
      </c>
      <c r="GW67" s="9" t="str">
        <f t="shared" ca="1" si="78"/>
        <v/>
      </c>
      <c r="GX67" s="9" t="str">
        <f t="shared" ca="1" si="78"/>
        <v/>
      </c>
      <c r="GY67" s="9" t="str">
        <f t="shared" ca="1" si="78"/>
        <v/>
      </c>
      <c r="GZ67" s="9" t="str">
        <f t="shared" ca="1" si="78"/>
        <v/>
      </c>
      <c r="HA67" s="9" t="str">
        <f t="shared" ca="1" si="78"/>
        <v/>
      </c>
      <c r="HB67" s="9" t="str">
        <f t="shared" ca="1" si="78"/>
        <v/>
      </c>
      <c r="HC67" s="9" t="str">
        <f t="shared" ca="1" si="78"/>
        <v/>
      </c>
      <c r="HD67" s="9" t="str">
        <f t="shared" ca="1" si="78"/>
        <v/>
      </c>
      <c r="HE67" s="9" t="str">
        <f t="shared" ca="1" si="78"/>
        <v/>
      </c>
      <c r="HF67" s="9" t="str">
        <f t="shared" ca="1" si="78"/>
        <v/>
      </c>
      <c r="HG67" s="9" t="str">
        <f t="shared" ca="1" si="78"/>
        <v/>
      </c>
      <c r="HH67" s="9" t="str">
        <f t="shared" ca="1" si="78"/>
        <v/>
      </c>
      <c r="HI67" s="9" t="str">
        <f t="shared" ca="1" si="78"/>
        <v/>
      </c>
      <c r="HJ67" s="9" t="str">
        <f t="shared" ca="1" si="78"/>
        <v/>
      </c>
      <c r="HK67" s="9" t="str">
        <f t="shared" ca="1" si="78"/>
        <v/>
      </c>
      <c r="HL67" s="9" t="str">
        <f t="shared" ca="1" si="78"/>
        <v/>
      </c>
      <c r="HM67" s="9" t="str">
        <f t="shared" ca="1" si="78"/>
        <v/>
      </c>
      <c r="HN67" s="9" t="str">
        <f t="shared" ca="1" si="78"/>
        <v/>
      </c>
      <c r="HO67" s="9" t="str">
        <f t="shared" ca="1" si="78"/>
        <v/>
      </c>
      <c r="HP67" s="9" t="str">
        <f t="shared" ca="1" si="78"/>
        <v/>
      </c>
      <c r="HQ67" s="9" t="str">
        <f t="shared" ca="1" si="78"/>
        <v/>
      </c>
      <c r="HR67" s="9" t="str">
        <f t="shared" ca="1" si="78"/>
        <v/>
      </c>
      <c r="HS67" s="9" t="str">
        <f t="shared" ca="1" si="78"/>
        <v/>
      </c>
      <c r="HT67" s="9" t="str">
        <f t="shared" ca="1" si="78"/>
        <v/>
      </c>
      <c r="HU67" s="9" t="str">
        <f t="shared" ca="1" si="78"/>
        <v/>
      </c>
      <c r="HV67" s="9" t="str">
        <f t="shared" ca="1" si="78"/>
        <v/>
      </c>
      <c r="HW67" s="9" t="str">
        <f t="shared" ca="1" si="78"/>
        <v/>
      </c>
      <c r="HX67" s="9" t="str">
        <f t="shared" ca="1" si="78"/>
        <v/>
      </c>
      <c r="HY67" s="9" t="str">
        <f t="shared" ca="1" si="78"/>
        <v/>
      </c>
      <c r="HZ67" s="9" t="str">
        <f t="shared" ca="1" si="78"/>
        <v/>
      </c>
      <c r="IA67" s="9" t="str">
        <f t="shared" ca="1" si="78"/>
        <v/>
      </c>
      <c r="IB67" s="9" t="str">
        <f t="shared" ca="1" si="78"/>
        <v/>
      </c>
      <c r="IC67" s="9" t="str">
        <f t="shared" ca="1" si="78"/>
        <v/>
      </c>
      <c r="ID67" s="9" t="str">
        <f t="shared" ca="1" si="78"/>
        <v/>
      </c>
      <c r="IE67" s="9" t="str">
        <f t="shared" ca="1" si="78"/>
        <v/>
      </c>
      <c r="IF67" s="9" t="str">
        <f t="shared" ca="1" si="78"/>
        <v/>
      </c>
      <c r="IG67" s="9" t="str">
        <f t="shared" ca="1" si="78"/>
        <v/>
      </c>
      <c r="IH67" s="9" t="str">
        <f t="shared" ca="1" si="78"/>
        <v/>
      </c>
      <c r="II67" s="9" t="str">
        <f t="shared" ca="1" si="78"/>
        <v/>
      </c>
      <c r="IJ67" s="9" t="str">
        <f t="shared" ca="1" si="78"/>
        <v/>
      </c>
      <c r="IK67" s="9" t="str">
        <f t="shared" ca="1" si="78"/>
        <v/>
      </c>
      <c r="IL67" s="9" t="str">
        <f t="shared" ca="1" si="78"/>
        <v/>
      </c>
      <c r="IM67" s="9" t="str">
        <f t="shared" ca="1" si="78"/>
        <v/>
      </c>
      <c r="IN67" s="9" t="str">
        <f t="shared" ca="1" si="78"/>
        <v/>
      </c>
      <c r="IO67" s="9" t="str">
        <f t="shared" ca="1" si="78"/>
        <v/>
      </c>
      <c r="IP67" s="9" t="str">
        <f t="shared" ca="1" si="78"/>
        <v/>
      </c>
      <c r="IQ67" s="9" t="str">
        <f t="shared" ca="1" si="78"/>
        <v/>
      </c>
      <c r="IR67" s="9" t="str">
        <f t="shared" ca="1" si="78"/>
        <v/>
      </c>
      <c r="IS67" s="9" t="str">
        <f t="shared" ca="1" si="78"/>
        <v/>
      </c>
      <c r="IT67" s="9" t="str">
        <f t="shared" ca="1" si="78"/>
        <v/>
      </c>
      <c r="IU67" s="9" t="str">
        <f t="shared" ca="1" si="78"/>
        <v/>
      </c>
      <c r="IV67" s="9" t="str">
        <f t="shared" ca="1" si="78"/>
        <v/>
      </c>
      <c r="IW67" s="9" t="str">
        <f t="shared" ca="1" si="78"/>
        <v/>
      </c>
      <c r="IX67" s="9" t="str">
        <f t="shared" ref="IX67:JH67" ca="1" si="79">IF(IX40="","",ABS(IX40))</f>
        <v/>
      </c>
      <c r="IY67" s="9" t="str">
        <f t="shared" ca="1" si="79"/>
        <v/>
      </c>
      <c r="IZ67" s="9" t="str">
        <f t="shared" ca="1" si="79"/>
        <v/>
      </c>
      <c r="JA67" s="9" t="str">
        <f t="shared" ca="1" si="79"/>
        <v/>
      </c>
      <c r="JB67" s="9" t="str">
        <f t="shared" ca="1" si="79"/>
        <v/>
      </c>
      <c r="JC67" s="9" t="str">
        <f t="shared" ca="1" si="79"/>
        <v/>
      </c>
      <c r="JD67" s="9" t="str">
        <f t="shared" ca="1" si="79"/>
        <v/>
      </c>
      <c r="JE67" s="9" t="str">
        <f t="shared" ca="1" si="79"/>
        <v/>
      </c>
      <c r="JF67" s="9" t="str">
        <f t="shared" ca="1" si="79"/>
        <v/>
      </c>
      <c r="JG67" s="9" t="str">
        <f t="shared" ca="1" si="79"/>
        <v/>
      </c>
      <c r="JH67" s="9" t="str">
        <f t="shared" ca="1" si="79"/>
        <v/>
      </c>
      <c r="JI67" s="13">
        <f t="shared" ca="1" si="24"/>
        <v>2.2268478272915865E-2</v>
      </c>
      <c r="JJ67" s="13">
        <f t="shared" ca="1" si="25"/>
        <v>1.9800570231237768E-2</v>
      </c>
      <c r="JK67" s="14">
        <f t="shared" ca="1" si="26"/>
        <v>1.7126905144297471E-4</v>
      </c>
      <c r="JL67" s="17">
        <f t="shared" ca="1" si="34"/>
        <v>1.3086980226277363E-2</v>
      </c>
      <c r="JM67" s="15" t="str">
        <f t="shared" ca="1" si="27"/>
        <v>[ -0,39% ; 4,84% ]</v>
      </c>
      <c r="JN67" s="17">
        <f t="shared" ca="1" si="28"/>
        <v>1.6751334689635026E-2</v>
      </c>
      <c r="LY67" s="1"/>
    </row>
    <row r="68" spans="1:337" x14ac:dyDescent="0.25">
      <c r="A68" s="4">
        <v>12</v>
      </c>
      <c r="B68" s="9">
        <f t="shared" ref="B68:BM68" ca="1" si="80">IF(B41="","",ABS(B41))</f>
        <v>3.1240092943339515E-2</v>
      </c>
      <c r="C68" s="9">
        <f t="shared" ca="1" si="80"/>
        <v>1.3695152874067196E-2</v>
      </c>
      <c r="D68" s="9">
        <f t="shared" ca="1" si="80"/>
        <v>1.1156616108557005E-2</v>
      </c>
      <c r="E68" s="9">
        <f t="shared" ca="1" si="80"/>
        <v>1.2617687157002955E-2</v>
      </c>
      <c r="F68" s="9">
        <f t="shared" ca="1" si="80"/>
        <v>2.0634376114958441E-2</v>
      </c>
      <c r="G68" s="9">
        <f t="shared" ca="1" si="80"/>
        <v>2.4305750533234693E-2</v>
      </c>
      <c r="H68" s="9">
        <f t="shared" ca="1" si="80"/>
        <v>3.1004234711582312E-2</v>
      </c>
      <c r="I68" s="9">
        <f t="shared" ca="1" si="80"/>
        <v>3.1012341857200032E-2</v>
      </c>
      <c r="J68" s="9">
        <f t="shared" ca="1" si="80"/>
        <v>2.3146837579645863E-2</v>
      </c>
      <c r="K68" s="9">
        <f t="shared" ca="1" si="80"/>
        <v>2.0689285396298551E-2</v>
      </c>
      <c r="L68" s="9">
        <f t="shared" ca="1" si="80"/>
        <v>2.4581722681099261E-2</v>
      </c>
      <c r="M68" s="9">
        <f t="shared" ca="1" si="80"/>
        <v>2.8931950486679847E-2</v>
      </c>
      <c r="N68" s="9">
        <f t="shared" ca="1" si="80"/>
        <v>3.0272685296222179E-2</v>
      </c>
      <c r="O68" s="9">
        <f t="shared" ca="1" si="80"/>
        <v>3.0038483467305532E-2</v>
      </c>
      <c r="P68" s="9">
        <f t="shared" ca="1" si="80"/>
        <v>3.1817798691895827E-2</v>
      </c>
      <c r="Q68" s="9">
        <f t="shared" ca="1" si="80"/>
        <v>3.4825028569319016E-2</v>
      </c>
      <c r="R68" s="9">
        <f t="shared" ca="1" si="80"/>
        <v>2.9498577158110328E-2</v>
      </c>
      <c r="S68" s="9">
        <f t="shared" ca="1" si="80"/>
        <v>2.1911632133434944E-2</v>
      </c>
      <c r="T68" s="9">
        <f t="shared" ca="1" si="80"/>
        <v>5.4641961963889374E-3</v>
      </c>
      <c r="U68" s="9">
        <f t="shared" ca="1" si="80"/>
        <v>2.2429802204025906E-2</v>
      </c>
      <c r="V68" s="9">
        <f t="shared" ca="1" si="80"/>
        <v>2.6013808284719442E-2</v>
      </c>
      <c r="W68" s="9">
        <f t="shared" ca="1" si="80"/>
        <v>1.8661934815475956E-2</v>
      </c>
      <c r="X68" s="9">
        <f t="shared" ca="1" si="80"/>
        <v>1.9268768845756457E-2</v>
      </c>
      <c r="Y68" s="9">
        <f t="shared" ca="1" si="80"/>
        <v>2.2527934230358371E-2</v>
      </c>
      <c r="Z68" s="9">
        <f t="shared" ca="1" si="80"/>
        <v>2.4370541458002659E-2</v>
      </c>
      <c r="AA68" s="9">
        <f t="shared" ca="1" si="80"/>
        <v>1.9932012405707411E-2</v>
      </c>
      <c r="AB68" s="9">
        <f t="shared" ca="1" si="80"/>
        <v>1.5923915273203582E-2</v>
      </c>
      <c r="AC68" s="9">
        <f t="shared" ca="1" si="80"/>
        <v>1.8795083559641768E-2</v>
      </c>
      <c r="AD68" s="9">
        <f t="shared" ca="1" si="80"/>
        <v>1.053930795634006E-2</v>
      </c>
      <c r="AE68" s="9">
        <f t="shared" ca="1" si="80"/>
        <v>1.0794886019186434E-2</v>
      </c>
      <c r="AF68" s="9">
        <f t="shared" ca="1" si="80"/>
        <v>3.0471253326393999E-3</v>
      </c>
      <c r="AG68" s="9">
        <f t="shared" ca="1" si="80"/>
        <v>1.7708440780405121E-3</v>
      </c>
      <c r="AH68" s="9">
        <f t="shared" ca="1" si="80"/>
        <v>3.0539232370174751E-3</v>
      </c>
      <c r="AI68" s="9">
        <f t="shared" ca="1" si="80"/>
        <v>6.4464495309026759E-3</v>
      </c>
      <c r="AJ68" s="9">
        <f t="shared" ca="1" si="80"/>
        <v>1.096736400748044E-2</v>
      </c>
      <c r="AK68" s="9">
        <f t="shared" ca="1" si="80"/>
        <v>8.0015986230761449E-3</v>
      </c>
      <c r="AL68" s="9">
        <f t="shared" ca="1" si="80"/>
        <v>4.1125506403142387E-3</v>
      </c>
      <c r="AM68" s="9">
        <f t="shared" ca="1" si="80"/>
        <v>3.3001210654823865E-3</v>
      </c>
      <c r="AN68" s="9">
        <f t="shared" ca="1" si="80"/>
        <v>9.5296606697550246E-3</v>
      </c>
      <c r="AO68" s="9">
        <f t="shared" ca="1" si="80"/>
        <v>1.9517960496167275E-2</v>
      </c>
      <c r="AP68" s="9">
        <f t="shared" ca="1" si="80"/>
        <v>2.3039710205861486E-2</v>
      </c>
      <c r="AQ68" s="9">
        <f t="shared" ca="1" si="80"/>
        <v>3.185318005000215E-2</v>
      </c>
      <c r="AR68" s="9">
        <f t="shared" ca="1" si="80"/>
        <v>3.7189926097626724E-2</v>
      </c>
      <c r="AS68" s="9">
        <f t="shared" ca="1" si="80"/>
        <v>4.2284046377746964E-2</v>
      </c>
      <c r="AT68" s="9">
        <f t="shared" ca="1" si="80"/>
        <v>4.6318026263628909E-2</v>
      </c>
      <c r="AU68" s="9">
        <f t="shared" ca="1" si="80"/>
        <v>5.0763452595329994E-2</v>
      </c>
      <c r="AV68" s="9">
        <f t="shared" ca="1" si="80"/>
        <v>5.8384956464456517E-2</v>
      </c>
      <c r="AW68" s="9">
        <f t="shared" ca="1" si="80"/>
        <v>8.8096913323561177E-2</v>
      </c>
      <c r="AX68" s="9">
        <f t="shared" ca="1" si="80"/>
        <v>0.1035297922644689</v>
      </c>
      <c r="AY68" s="9">
        <f t="shared" ca="1" si="80"/>
        <v>0.11081259731009174</v>
      </c>
      <c r="AZ68" s="9">
        <f t="shared" ca="1" si="80"/>
        <v>0.11714441686508503</v>
      </c>
      <c r="BA68" s="9">
        <f t="shared" ca="1" si="80"/>
        <v>0.12282303951612117</v>
      </c>
      <c r="BB68" s="9">
        <f t="shared" ca="1" si="80"/>
        <v>0.12587178235349961</v>
      </c>
      <c r="BC68" s="9">
        <f t="shared" ca="1" si="80"/>
        <v>0.1125552262644427</v>
      </c>
      <c r="BD68" s="9">
        <f t="shared" ca="1" si="80"/>
        <v>0.10119418615931264</v>
      </c>
      <c r="BE68" s="9">
        <f t="shared" ca="1" si="80"/>
        <v>7.1697117620747264E-2</v>
      </c>
      <c r="BF68" s="9">
        <f t="shared" ca="1" si="80"/>
        <v>3.9847688310558294E-2</v>
      </c>
      <c r="BG68" s="9">
        <f t="shared" ca="1" si="80"/>
        <v>2.2516283015432625E-2</v>
      </c>
      <c r="BH68" s="9">
        <f t="shared" ca="1" si="80"/>
        <v>4.2157196600207003E-2</v>
      </c>
      <c r="BI68" s="9">
        <f t="shared" ca="1" si="80"/>
        <v>1.0860951309657918E-2</v>
      </c>
      <c r="BJ68" s="9">
        <f t="shared" ca="1" si="80"/>
        <v>3.6654955995163663E-2</v>
      </c>
      <c r="BK68" s="9">
        <f t="shared" ca="1" si="80"/>
        <v>4.8103566414445686E-2</v>
      </c>
      <c r="BL68" s="9">
        <f t="shared" ca="1" si="80"/>
        <v>8.0832178195541893E-2</v>
      </c>
      <c r="BM68" s="9">
        <f t="shared" ca="1" si="80"/>
        <v>0.10270878344034506</v>
      </c>
      <c r="BN68" s="9">
        <f t="shared" ref="BN68:DY68" ca="1" si="81">IF(BN41="","",ABS(BN41))</f>
        <v>8.3546081262056537E-2</v>
      </c>
      <c r="BO68" s="9">
        <f t="shared" ca="1" si="81"/>
        <v>6.9468412092783871E-2</v>
      </c>
      <c r="BP68" s="9">
        <f t="shared" ca="1" si="81"/>
        <v>2.9864116786759709E-2</v>
      </c>
      <c r="BQ68" s="9">
        <f t="shared" ca="1" si="81"/>
        <v>2.3239397192752365E-2</v>
      </c>
      <c r="BR68" s="9">
        <f t="shared" ca="1" si="81"/>
        <v>8.8176665588260983E-3</v>
      </c>
      <c r="BS68" s="9">
        <f t="shared" ca="1" si="81"/>
        <v>5.0237968729066829E-2</v>
      </c>
      <c r="BT68" s="9">
        <f t="shared" ca="1" si="81"/>
        <v>1.7818228392070923E-2</v>
      </c>
      <c r="BU68" s="9">
        <f t="shared" ca="1" si="81"/>
        <v>3.0892023537427704E-3</v>
      </c>
      <c r="BV68" s="9">
        <f t="shared" ca="1" si="81"/>
        <v>2.040567813910843E-2</v>
      </c>
      <c r="BW68" s="9">
        <f t="shared" ca="1" si="81"/>
        <v>1.1027352200219553E-2</v>
      </c>
      <c r="BX68" s="9">
        <f t="shared" ca="1" si="81"/>
        <v>1.4547587789437877E-2</v>
      </c>
      <c r="BY68" s="9">
        <f t="shared" ca="1" si="81"/>
        <v>9.6936935058296037E-3</v>
      </c>
      <c r="BZ68" s="9">
        <f t="shared" ca="1" si="81"/>
        <v>1.6594814052058871E-3</v>
      </c>
      <c r="CA68" s="9">
        <f t="shared" ca="1" si="81"/>
        <v>3.419391347681433E-3</v>
      </c>
      <c r="CB68" s="9">
        <f t="shared" ca="1" si="81"/>
        <v>2.5971162648419366E-3</v>
      </c>
      <c r="CC68" s="9">
        <f t="shared" ca="1" si="81"/>
        <v>1.0131432779855398E-2</v>
      </c>
      <c r="CD68" s="9">
        <f t="shared" ca="1" si="81"/>
        <v>1.0276516179522188E-2</v>
      </c>
      <c r="CE68" s="9">
        <f t="shared" ca="1" si="81"/>
        <v>2.7276099208886517E-2</v>
      </c>
      <c r="CF68" s="9">
        <f t="shared" ca="1" si="81"/>
        <v>5.5807616163223717E-2</v>
      </c>
      <c r="CG68" s="9">
        <f t="shared" ca="1" si="81"/>
        <v>3.0674457960971457E-2</v>
      </c>
      <c r="CH68" s="9">
        <f t="shared" ca="1" si="81"/>
        <v>2.9232442053730212E-2</v>
      </c>
      <c r="CI68" s="9">
        <f t="shared" ca="1" si="81"/>
        <v>4.2933650388586653E-2</v>
      </c>
      <c r="CJ68" s="9">
        <f t="shared" ca="1" si="81"/>
        <v>3.1693305948301109E-2</v>
      </c>
      <c r="CK68" s="9">
        <f t="shared" ca="1" si="81"/>
        <v>3.6698322067855838E-2</v>
      </c>
      <c r="CL68" s="9">
        <f t="shared" ca="1" si="81"/>
        <v>5.2687059767187572E-2</v>
      </c>
      <c r="CM68" s="9">
        <f t="shared" ca="1" si="81"/>
        <v>5.1427110571321988E-2</v>
      </c>
      <c r="CN68" s="9">
        <f t="shared" ca="1" si="81"/>
        <v>4.0106945929736515E-2</v>
      </c>
      <c r="CO68" s="9">
        <f t="shared" ca="1" si="81"/>
        <v>4.0756833842500617E-2</v>
      </c>
      <c r="CP68" s="9">
        <f t="shared" ca="1" si="81"/>
        <v>4.6449347577216082E-2</v>
      </c>
      <c r="CQ68" s="9">
        <f t="shared" ca="1" si="81"/>
        <v>4.8011483858213078E-2</v>
      </c>
      <c r="CR68" s="9">
        <f t="shared" ca="1" si="81"/>
        <v>3.9241549032989154E-2</v>
      </c>
      <c r="CS68" s="9">
        <f t="shared" ca="1" si="81"/>
        <v>4.6797097082931893E-2</v>
      </c>
      <c r="CT68" s="9">
        <f t="shared" ca="1" si="81"/>
        <v>6.7590498644652941E-2</v>
      </c>
      <c r="CU68" s="9">
        <f t="shared" ca="1" si="81"/>
        <v>4.9927284514913017E-2</v>
      </c>
      <c r="CV68" s="9">
        <f t="shared" ca="1" si="81"/>
        <v>3.4168796982581906E-2</v>
      </c>
      <c r="CW68" s="9">
        <f t="shared" ca="1" si="81"/>
        <v>2.4333402898623735E-2</v>
      </c>
      <c r="CX68" s="9">
        <f t="shared" ca="1" si="81"/>
        <v>7.7968802049028785E-3</v>
      </c>
      <c r="CY68" s="9">
        <f t="shared" ca="1" si="81"/>
        <v>2.5102960033351884E-4</v>
      </c>
      <c r="CZ68" s="9">
        <f t="shared" ca="1" si="81"/>
        <v>1.209154081825381E-2</v>
      </c>
      <c r="DA68" s="9">
        <f t="shared" ca="1" si="81"/>
        <v>6.962879065849803E-3</v>
      </c>
      <c r="DB68" s="9">
        <f t="shared" ca="1" si="81"/>
        <v>3.3459846535597859E-2</v>
      </c>
      <c r="DC68" s="9">
        <f t="shared" ca="1" si="81"/>
        <v>1.4911532295743379E-2</v>
      </c>
      <c r="DD68" s="9">
        <f t="shared" ca="1" si="81"/>
        <v>3.7335382988137322E-2</v>
      </c>
      <c r="DE68" s="9">
        <f t="shared" ca="1" si="81"/>
        <v>7.2434964896994414E-2</v>
      </c>
      <c r="DF68" s="9">
        <f t="shared" ca="1" si="81"/>
        <v>9.6942236213010458E-2</v>
      </c>
      <c r="DG68" s="9">
        <f t="shared" ca="1" si="81"/>
        <v>9.3230248655416514E-2</v>
      </c>
      <c r="DH68" s="9">
        <f t="shared" ca="1" si="81"/>
        <v>8.1248295599307907E-2</v>
      </c>
      <c r="DI68" s="9">
        <f t="shared" ca="1" si="81"/>
        <v>7.1398149848491688E-2</v>
      </c>
      <c r="DJ68" s="9">
        <f t="shared" ca="1" si="81"/>
        <v>6.8175804367491599E-2</v>
      </c>
      <c r="DK68" s="9">
        <f t="shared" ca="1" si="81"/>
        <v>6.5314053475380995E-2</v>
      </c>
      <c r="DL68" s="9">
        <f t="shared" ca="1" si="81"/>
        <v>5.706193551868588E-2</v>
      </c>
      <c r="DM68" s="9">
        <f t="shared" ca="1" si="81"/>
        <v>5.8765966088178412E-2</v>
      </c>
      <c r="DN68" s="9">
        <f t="shared" ca="1" si="81"/>
        <v>4.1360907885728992E-2</v>
      </c>
      <c r="DO68" s="9">
        <f t="shared" ca="1" si="81"/>
        <v>5.9708058761662075E-2</v>
      </c>
      <c r="DP68" s="9">
        <f t="shared" ca="1" si="81"/>
        <v>2.4980243669486812E-2</v>
      </c>
      <c r="DQ68" s="9">
        <f t="shared" ca="1" si="81"/>
        <v>4.1905129227324478E-2</v>
      </c>
      <c r="DR68" s="9">
        <f t="shared" ca="1" si="81"/>
        <v>1.9352400437978479E-2</v>
      </c>
      <c r="DS68" s="9">
        <f t="shared" ca="1" si="81"/>
        <v>2.8108308301225682E-3</v>
      </c>
      <c r="DT68" s="9">
        <f t="shared" ca="1" si="81"/>
        <v>1.048944015628428E-2</v>
      </c>
      <c r="DU68" s="9">
        <f t="shared" ca="1" si="81"/>
        <v>2.0115191347685357E-2</v>
      </c>
      <c r="DV68" s="9">
        <f t="shared" ca="1" si="81"/>
        <v>2.6425306419618599E-2</v>
      </c>
      <c r="DW68" s="9">
        <f t="shared" ca="1" si="81"/>
        <v>3.1066212966466722E-2</v>
      </c>
      <c r="DX68" s="9">
        <f t="shared" ca="1" si="81"/>
        <v>2.4291357367926203E-2</v>
      </c>
      <c r="DY68" s="9">
        <f t="shared" ca="1" si="81"/>
        <v>2.2099458892474777E-2</v>
      </c>
      <c r="DZ68" s="9">
        <f t="shared" ref="DZ68:GK68" ca="1" si="82">IF(DZ41="","",ABS(DZ41))</f>
        <v>2.6120227240495675E-2</v>
      </c>
      <c r="EA68" s="9">
        <f t="shared" ca="1" si="82"/>
        <v>8.9132670144940196E-3</v>
      </c>
      <c r="EB68" s="9">
        <f t="shared" ca="1" si="82"/>
        <v>3.2380791941987397E-2</v>
      </c>
      <c r="EC68" s="9">
        <f t="shared" ca="1" si="82"/>
        <v>2.4585663334175556E-2</v>
      </c>
      <c r="ED68" s="9">
        <f t="shared" ca="1" si="82"/>
        <v>1.6753180472271589E-2</v>
      </c>
      <c r="EE68" s="9">
        <f t="shared" ca="1" si="82"/>
        <v>2.7027110117636699E-2</v>
      </c>
      <c r="EF68" s="9">
        <f t="shared" ca="1" si="82"/>
        <v>1.5076509059482768E-2</v>
      </c>
      <c r="EG68" s="9">
        <f t="shared" ca="1" si="82"/>
        <v>5.4098002763658393E-4</v>
      </c>
      <c r="EH68" s="9">
        <f t="shared" ca="1" si="82"/>
        <v>1.4082446151446382E-2</v>
      </c>
      <c r="EI68" s="9">
        <f t="shared" ca="1" si="82"/>
        <v>2.490769952062033E-2</v>
      </c>
      <c r="EJ68" s="9">
        <f t="shared" ca="1" si="82"/>
        <v>1.5137621114009736E-2</v>
      </c>
      <c r="EK68" s="9">
        <f t="shared" ca="1" si="82"/>
        <v>4.5204982414235317E-3</v>
      </c>
      <c r="EL68" s="9">
        <f t="shared" ca="1" si="82"/>
        <v>2.257687001067965E-2</v>
      </c>
      <c r="EM68" s="9">
        <f t="shared" ca="1" si="82"/>
        <v>1.7019871115150687E-2</v>
      </c>
      <c r="EN68" s="9">
        <f t="shared" ca="1" si="82"/>
        <v>3.9596402473576986E-2</v>
      </c>
      <c r="EO68" s="9">
        <f t="shared" ca="1" si="82"/>
        <v>1.4615187944934438E-2</v>
      </c>
      <c r="EP68" s="9">
        <f t="shared" ca="1" si="82"/>
        <v>5.2685789803883498E-3</v>
      </c>
      <c r="EQ68" s="9">
        <f t="shared" ca="1" si="82"/>
        <v>1.0466225429598963E-2</v>
      </c>
      <c r="ER68" s="9">
        <f t="shared" ca="1" si="82"/>
        <v>1.3887111352389292E-2</v>
      </c>
      <c r="ES68" s="9">
        <f t="shared" ca="1" si="82"/>
        <v>1.5754720533422084E-2</v>
      </c>
      <c r="ET68" s="9">
        <f t="shared" ca="1" si="82"/>
        <v>7.0961994831940656E-3</v>
      </c>
      <c r="EU68" s="9">
        <f t="shared" ca="1" si="82"/>
        <v>6.3786629022479779E-3</v>
      </c>
      <c r="EV68" s="9">
        <f t="shared" ca="1" si="82"/>
        <v>2.1195972976354449E-2</v>
      </c>
      <c r="EW68" s="9">
        <f t="shared" ca="1" si="82"/>
        <v>2.3934588403492052E-2</v>
      </c>
      <c r="EX68" s="9">
        <f t="shared" ca="1" si="82"/>
        <v>1.391863243146485E-2</v>
      </c>
      <c r="EY68" s="9">
        <f t="shared" ca="1" si="82"/>
        <v>3.902600385402355E-3</v>
      </c>
      <c r="EZ68" s="9">
        <f t="shared" ca="1" si="82"/>
        <v>3.727471961283868E-3</v>
      </c>
      <c r="FA68" s="9">
        <f t="shared" ca="1" si="82"/>
        <v>2.5990131977166153E-2</v>
      </c>
      <c r="FB68" s="9">
        <f t="shared" ca="1" si="82"/>
        <v>2.73303773040392E-2</v>
      </c>
      <c r="FC68" s="9">
        <f t="shared" ca="1" si="82"/>
        <v>1.6399226419233637E-2</v>
      </c>
      <c r="FD68" s="9">
        <f t="shared" ca="1" si="82"/>
        <v>1.2890542943169492E-2</v>
      </c>
      <c r="FE68" s="9">
        <f t="shared" ca="1" si="82"/>
        <v>1.1832471466753147E-2</v>
      </c>
      <c r="FF68" s="9">
        <f t="shared" ca="1" si="82"/>
        <v>1.3267240572046091E-2</v>
      </c>
      <c r="FG68" s="9">
        <f t="shared" ca="1" si="82"/>
        <v>1.6470924125864372E-2</v>
      </c>
      <c r="FH68" s="9">
        <f t="shared" ca="1" si="82"/>
        <v>2.4129017291756316E-3</v>
      </c>
      <c r="FI68" s="9">
        <f t="shared" ca="1" si="82"/>
        <v>9.3434531816852795E-3</v>
      </c>
      <c r="FJ68" s="9">
        <f t="shared" ca="1" si="82"/>
        <v>3.7460107775546536E-3</v>
      </c>
      <c r="FK68" s="9">
        <f t="shared" ca="1" si="82"/>
        <v>9.1140356102885622E-3</v>
      </c>
      <c r="FL68" s="9">
        <f t="shared" ca="1" si="82"/>
        <v>8.8158577441554975E-3</v>
      </c>
      <c r="FM68" s="9">
        <f t="shared" ca="1" si="82"/>
        <v>2.0803857079789712E-2</v>
      </c>
      <c r="FN68" s="9">
        <f t="shared" ca="1" si="82"/>
        <v>1.1514535163809736E-2</v>
      </c>
      <c r="FO68" s="9">
        <f t="shared" ca="1" si="82"/>
        <v>1.014920037911704E-4</v>
      </c>
      <c r="FP68" s="9">
        <f t="shared" ca="1" si="82"/>
        <v>1.0262181597616937E-2</v>
      </c>
      <c r="FQ68" s="9">
        <f t="shared" ca="1" si="82"/>
        <v>1.9407947970049411E-2</v>
      </c>
      <c r="FR68" s="9">
        <f t="shared" ca="1" si="82"/>
        <v>2.7970775498123435E-2</v>
      </c>
      <c r="FS68" s="9">
        <f t="shared" ca="1" si="82"/>
        <v>2.923019888978351E-2</v>
      </c>
      <c r="FT68" s="9">
        <f t="shared" ca="1" si="82"/>
        <v>1.9381240874132621E-2</v>
      </c>
      <c r="FU68" s="9">
        <f t="shared" ca="1" si="82"/>
        <v>3.3157193270323404E-3</v>
      </c>
      <c r="FV68" s="9">
        <f t="shared" ca="1" si="82"/>
        <v>7.1719047953195947E-3</v>
      </c>
      <c r="FW68" s="9">
        <f t="shared" ca="1" si="82"/>
        <v>1.1818915942243158E-2</v>
      </c>
      <c r="FX68" s="9">
        <f t="shared" ca="1" si="82"/>
        <v>1.9550801004664331E-2</v>
      </c>
      <c r="FY68" s="9">
        <f t="shared" ca="1" si="82"/>
        <v>9.8931260724648418E-3</v>
      </c>
      <c r="FZ68" s="9">
        <f t="shared" ca="1" si="82"/>
        <v>3.2849771262872585E-2</v>
      </c>
      <c r="GA68" s="9">
        <f t="shared" ca="1" si="82"/>
        <v>4.7385491930436396E-2</v>
      </c>
      <c r="GB68" s="9">
        <f t="shared" ca="1" si="82"/>
        <v>3.5486986362397666E-2</v>
      </c>
      <c r="GC68" s="9">
        <f t="shared" ca="1" si="82"/>
        <v>4.2188065011014686E-2</v>
      </c>
      <c r="GD68" s="9">
        <f t="shared" ca="1" si="82"/>
        <v>6.0739652093403818E-2</v>
      </c>
      <c r="GE68" s="9">
        <f t="shared" ca="1" si="82"/>
        <v>4.3017724146838798E-2</v>
      </c>
      <c r="GF68" s="9">
        <f t="shared" ca="1" si="82"/>
        <v>3.1798019718835224E-2</v>
      </c>
      <c r="GG68" s="9">
        <f t="shared" ca="1" si="82"/>
        <v>2.7969594031926448E-2</v>
      </c>
      <c r="GH68" s="9">
        <f t="shared" ca="1" si="82"/>
        <v>1.3380103802875798E-2</v>
      </c>
      <c r="GI68" s="9">
        <f t="shared" ca="1" si="82"/>
        <v>6.4996393011840237E-4</v>
      </c>
      <c r="GJ68" s="9">
        <f t="shared" ca="1" si="82"/>
        <v>9.8163469663203884E-4</v>
      </c>
      <c r="GK68" s="9">
        <f t="shared" ca="1" si="82"/>
        <v>8.2317675659122624E-3</v>
      </c>
      <c r="GL68" s="9">
        <f t="shared" ref="GL68:IW68" ca="1" si="83">IF(GL41="","",ABS(GL41))</f>
        <v>1.0179416713866019E-2</v>
      </c>
      <c r="GM68" s="9">
        <f t="shared" ca="1" si="83"/>
        <v>7.7611074710497441E-3</v>
      </c>
      <c r="GN68" s="9" t="str">
        <f t="shared" ca="1" si="83"/>
        <v/>
      </c>
      <c r="GO68" s="9" t="str">
        <f t="shared" ca="1" si="83"/>
        <v/>
      </c>
      <c r="GP68" s="9" t="str">
        <f t="shared" ca="1" si="83"/>
        <v/>
      </c>
      <c r="GQ68" s="9" t="str">
        <f t="shared" ca="1" si="83"/>
        <v/>
      </c>
      <c r="GR68" s="9" t="str">
        <f t="shared" ca="1" si="83"/>
        <v/>
      </c>
      <c r="GS68" s="9" t="str">
        <f t="shared" ca="1" si="83"/>
        <v/>
      </c>
      <c r="GT68" s="9" t="str">
        <f t="shared" ca="1" si="83"/>
        <v/>
      </c>
      <c r="GU68" s="9" t="str">
        <f t="shared" ca="1" si="83"/>
        <v/>
      </c>
      <c r="GV68" s="9" t="str">
        <f t="shared" ca="1" si="83"/>
        <v/>
      </c>
      <c r="GW68" s="9" t="str">
        <f t="shared" ca="1" si="83"/>
        <v/>
      </c>
      <c r="GX68" s="9" t="str">
        <f t="shared" ca="1" si="83"/>
        <v/>
      </c>
      <c r="GY68" s="9" t="str">
        <f t="shared" ca="1" si="83"/>
        <v/>
      </c>
      <c r="GZ68" s="9" t="str">
        <f t="shared" ca="1" si="83"/>
        <v/>
      </c>
      <c r="HA68" s="9" t="str">
        <f t="shared" ca="1" si="83"/>
        <v/>
      </c>
      <c r="HB68" s="9" t="str">
        <f t="shared" ca="1" si="83"/>
        <v/>
      </c>
      <c r="HC68" s="9" t="str">
        <f t="shared" ca="1" si="83"/>
        <v/>
      </c>
      <c r="HD68" s="9" t="str">
        <f t="shared" ca="1" si="83"/>
        <v/>
      </c>
      <c r="HE68" s="9" t="str">
        <f t="shared" ca="1" si="83"/>
        <v/>
      </c>
      <c r="HF68" s="9" t="str">
        <f t="shared" ca="1" si="83"/>
        <v/>
      </c>
      <c r="HG68" s="9" t="str">
        <f t="shared" ca="1" si="83"/>
        <v/>
      </c>
      <c r="HH68" s="9" t="str">
        <f t="shared" ca="1" si="83"/>
        <v/>
      </c>
      <c r="HI68" s="9" t="str">
        <f t="shared" ca="1" si="83"/>
        <v/>
      </c>
      <c r="HJ68" s="9" t="str">
        <f t="shared" ca="1" si="83"/>
        <v/>
      </c>
      <c r="HK68" s="9" t="str">
        <f t="shared" ca="1" si="83"/>
        <v/>
      </c>
      <c r="HL68" s="9" t="str">
        <f t="shared" ca="1" si="83"/>
        <v/>
      </c>
      <c r="HM68" s="9" t="str">
        <f t="shared" ca="1" si="83"/>
        <v/>
      </c>
      <c r="HN68" s="9" t="str">
        <f t="shared" ca="1" si="83"/>
        <v/>
      </c>
      <c r="HO68" s="9" t="str">
        <f t="shared" ca="1" si="83"/>
        <v/>
      </c>
      <c r="HP68" s="9" t="str">
        <f t="shared" ca="1" si="83"/>
        <v/>
      </c>
      <c r="HQ68" s="9" t="str">
        <f t="shared" ca="1" si="83"/>
        <v/>
      </c>
      <c r="HR68" s="9" t="str">
        <f t="shared" ca="1" si="83"/>
        <v/>
      </c>
      <c r="HS68" s="9" t="str">
        <f t="shared" ca="1" si="83"/>
        <v/>
      </c>
      <c r="HT68" s="9" t="str">
        <f t="shared" ca="1" si="83"/>
        <v/>
      </c>
      <c r="HU68" s="9" t="str">
        <f t="shared" ca="1" si="83"/>
        <v/>
      </c>
      <c r="HV68" s="9" t="str">
        <f t="shared" ca="1" si="83"/>
        <v/>
      </c>
      <c r="HW68" s="9" t="str">
        <f t="shared" ca="1" si="83"/>
        <v/>
      </c>
      <c r="HX68" s="9" t="str">
        <f t="shared" ca="1" si="83"/>
        <v/>
      </c>
      <c r="HY68" s="9" t="str">
        <f t="shared" ca="1" si="83"/>
        <v/>
      </c>
      <c r="HZ68" s="9" t="str">
        <f t="shared" ca="1" si="83"/>
        <v/>
      </c>
      <c r="IA68" s="9" t="str">
        <f t="shared" ca="1" si="83"/>
        <v/>
      </c>
      <c r="IB68" s="9" t="str">
        <f t="shared" ca="1" si="83"/>
        <v/>
      </c>
      <c r="IC68" s="9" t="str">
        <f t="shared" ca="1" si="83"/>
        <v/>
      </c>
      <c r="ID68" s="9" t="str">
        <f t="shared" ca="1" si="83"/>
        <v/>
      </c>
      <c r="IE68" s="9" t="str">
        <f t="shared" ca="1" si="83"/>
        <v/>
      </c>
      <c r="IF68" s="9" t="str">
        <f t="shared" ca="1" si="83"/>
        <v/>
      </c>
      <c r="IG68" s="9" t="str">
        <f t="shared" ca="1" si="83"/>
        <v/>
      </c>
      <c r="IH68" s="9" t="str">
        <f t="shared" ca="1" si="83"/>
        <v/>
      </c>
      <c r="II68" s="9" t="str">
        <f t="shared" ca="1" si="83"/>
        <v/>
      </c>
      <c r="IJ68" s="9" t="str">
        <f t="shared" ca="1" si="83"/>
        <v/>
      </c>
      <c r="IK68" s="9" t="str">
        <f t="shared" ca="1" si="83"/>
        <v/>
      </c>
      <c r="IL68" s="9" t="str">
        <f t="shared" ca="1" si="83"/>
        <v/>
      </c>
      <c r="IM68" s="9" t="str">
        <f t="shared" ca="1" si="83"/>
        <v/>
      </c>
      <c r="IN68" s="9" t="str">
        <f t="shared" ca="1" si="83"/>
        <v/>
      </c>
      <c r="IO68" s="9" t="str">
        <f t="shared" ca="1" si="83"/>
        <v/>
      </c>
      <c r="IP68" s="9" t="str">
        <f t="shared" ca="1" si="83"/>
        <v/>
      </c>
      <c r="IQ68" s="9" t="str">
        <f t="shared" ca="1" si="83"/>
        <v/>
      </c>
      <c r="IR68" s="9" t="str">
        <f t="shared" ca="1" si="83"/>
        <v/>
      </c>
      <c r="IS68" s="9" t="str">
        <f t="shared" ca="1" si="83"/>
        <v/>
      </c>
      <c r="IT68" s="9" t="str">
        <f t="shared" ca="1" si="83"/>
        <v/>
      </c>
      <c r="IU68" s="9" t="str">
        <f t="shared" ca="1" si="83"/>
        <v/>
      </c>
      <c r="IV68" s="9" t="str">
        <f t="shared" ca="1" si="83"/>
        <v/>
      </c>
      <c r="IW68" s="9" t="str">
        <f t="shared" ca="1" si="83"/>
        <v/>
      </c>
      <c r="IX68" s="9" t="str">
        <f t="shared" ref="IX68:JH68" ca="1" si="84">IF(IX41="","",ABS(IX41))</f>
        <v/>
      </c>
      <c r="IY68" s="9" t="str">
        <f t="shared" ca="1" si="84"/>
        <v/>
      </c>
      <c r="IZ68" s="9" t="str">
        <f t="shared" ca="1" si="84"/>
        <v/>
      </c>
      <c r="JA68" s="9" t="str">
        <f t="shared" ca="1" si="84"/>
        <v/>
      </c>
      <c r="JB68" s="9" t="str">
        <f t="shared" ca="1" si="84"/>
        <v/>
      </c>
      <c r="JC68" s="9" t="str">
        <f t="shared" ca="1" si="84"/>
        <v/>
      </c>
      <c r="JD68" s="9" t="str">
        <f t="shared" ca="1" si="84"/>
        <v/>
      </c>
      <c r="JE68" s="9" t="str">
        <f t="shared" ca="1" si="84"/>
        <v/>
      </c>
      <c r="JF68" s="9" t="str">
        <f t="shared" ca="1" si="84"/>
        <v/>
      </c>
      <c r="JG68" s="9" t="str">
        <f t="shared" ca="1" si="84"/>
        <v/>
      </c>
      <c r="JH68" s="9" t="str">
        <f t="shared" ca="1" si="84"/>
        <v/>
      </c>
      <c r="JI68" s="13">
        <f t="shared" ca="1" si="24"/>
        <v>2.2189562135304049E-2</v>
      </c>
      <c r="JJ68" s="13">
        <f t="shared" ca="1" si="25"/>
        <v>1.9407947970049411E-2</v>
      </c>
      <c r="JK68" s="14">
        <f t="shared" ca="1" si="26"/>
        <v>2.5458935719989743E-4</v>
      </c>
      <c r="JL68" s="17">
        <f t="shared" ca="1" si="34"/>
        <v>1.5955856517275952E-2</v>
      </c>
      <c r="JM68" s="15" t="str">
        <f t="shared" ca="1" si="27"/>
        <v>[ -0,97% ; 5,41% ]</v>
      </c>
      <c r="JN68" s="17">
        <f t="shared" ca="1" si="28"/>
        <v>2.0423496342113219E-2</v>
      </c>
      <c r="LY68" s="1"/>
    </row>
    <row r="69" spans="1:337" hidden="1" x14ac:dyDescent="0.25"/>
    <row r="70" spans="1:337" hidden="1" x14ac:dyDescent="0.25"/>
    <row r="71" spans="1:337" hidden="1" x14ac:dyDescent="0.25"/>
    <row r="72" spans="1:337" hidden="1" x14ac:dyDescent="0.25"/>
    <row r="73" spans="1:337" hidden="1" x14ac:dyDescent="0.25"/>
    <row r="74" spans="1:337" hidden="1" x14ac:dyDescent="0.25"/>
    <row r="75" spans="1:337" hidden="1" x14ac:dyDescent="0.25"/>
    <row r="76" spans="1:337" hidden="1" x14ac:dyDescent="0.25"/>
    <row r="77" spans="1:337" hidden="1" x14ac:dyDescent="0.25"/>
    <row r="78" spans="1:337" hidden="1" x14ac:dyDescent="0.25"/>
    <row r="79" spans="1:337" hidden="1" x14ac:dyDescent="0.25"/>
    <row r="80" spans="1:337" hidden="1" x14ac:dyDescent="0.25"/>
    <row r="82" spans="1:336" x14ac:dyDescent="0.25">
      <c r="A82" s="3" t="s">
        <v>1</v>
      </c>
      <c r="B82" s="7">
        <v>37986</v>
      </c>
      <c r="C82" s="7">
        <v>38017</v>
      </c>
      <c r="D82" s="7">
        <v>38046</v>
      </c>
      <c r="E82" s="7">
        <v>38077</v>
      </c>
      <c r="F82" s="7">
        <v>38107</v>
      </c>
      <c r="G82" s="7">
        <v>38138</v>
      </c>
      <c r="H82" s="7">
        <v>38168</v>
      </c>
      <c r="I82" s="7">
        <v>38199</v>
      </c>
      <c r="J82" s="7">
        <v>38230</v>
      </c>
      <c r="K82" s="7">
        <v>38260</v>
      </c>
      <c r="L82" s="7">
        <v>38291</v>
      </c>
      <c r="M82" s="7">
        <v>38321</v>
      </c>
      <c r="N82" s="7">
        <v>38352</v>
      </c>
      <c r="O82" s="7">
        <v>38383</v>
      </c>
      <c r="P82" s="7">
        <v>38411</v>
      </c>
      <c r="Q82" s="7">
        <v>38442</v>
      </c>
      <c r="R82" s="7">
        <v>38472</v>
      </c>
      <c r="S82" s="7">
        <v>38503</v>
      </c>
      <c r="T82" s="7">
        <v>38533</v>
      </c>
      <c r="U82" s="7">
        <v>38564</v>
      </c>
      <c r="V82" s="7">
        <v>38595</v>
      </c>
      <c r="W82" s="7">
        <v>38625</v>
      </c>
      <c r="X82" s="7">
        <v>38656</v>
      </c>
      <c r="Y82" s="7">
        <v>38686</v>
      </c>
      <c r="Z82" s="7">
        <v>38717</v>
      </c>
      <c r="AA82" s="7">
        <v>38748</v>
      </c>
      <c r="AB82" s="7">
        <v>38776</v>
      </c>
      <c r="AC82" s="7">
        <v>38807</v>
      </c>
      <c r="AD82" s="7">
        <v>38837</v>
      </c>
      <c r="AE82" s="7">
        <v>38868</v>
      </c>
      <c r="AF82" s="7">
        <v>38898</v>
      </c>
      <c r="AG82" s="7">
        <v>38929</v>
      </c>
      <c r="AH82" s="7">
        <v>38960</v>
      </c>
      <c r="AI82" s="7">
        <v>38990</v>
      </c>
      <c r="AJ82" s="7">
        <v>39021</v>
      </c>
      <c r="AK82" s="7">
        <v>39051</v>
      </c>
      <c r="AL82" s="7">
        <v>39082</v>
      </c>
      <c r="AM82" s="7">
        <v>39113</v>
      </c>
      <c r="AN82" s="7">
        <v>39141</v>
      </c>
      <c r="AO82" s="7">
        <v>39172</v>
      </c>
      <c r="AP82" s="7">
        <v>39202</v>
      </c>
      <c r="AQ82" s="7">
        <v>39233</v>
      </c>
      <c r="AR82" s="7">
        <v>39263</v>
      </c>
      <c r="AS82" s="7">
        <v>39294</v>
      </c>
      <c r="AT82" s="7">
        <v>39325</v>
      </c>
      <c r="AU82" s="7">
        <v>39355</v>
      </c>
      <c r="AV82" s="7">
        <v>39386</v>
      </c>
      <c r="AW82" s="7">
        <v>39416</v>
      </c>
      <c r="AX82" s="7">
        <v>39447</v>
      </c>
      <c r="AY82" s="7">
        <v>39478</v>
      </c>
      <c r="AZ82" s="7">
        <v>39507</v>
      </c>
      <c r="BA82" s="7">
        <v>39538</v>
      </c>
      <c r="BB82" s="7">
        <v>39568</v>
      </c>
      <c r="BC82" s="7">
        <v>39599</v>
      </c>
      <c r="BD82" s="7">
        <v>39629</v>
      </c>
      <c r="BE82" s="7">
        <v>39660</v>
      </c>
      <c r="BF82" s="7">
        <v>39691</v>
      </c>
      <c r="BG82" s="7">
        <v>39721</v>
      </c>
      <c r="BH82" s="7">
        <v>39752</v>
      </c>
      <c r="BI82" s="7">
        <v>39782</v>
      </c>
      <c r="BJ82" s="7">
        <v>39813</v>
      </c>
      <c r="BK82" s="7">
        <v>39844</v>
      </c>
      <c r="BL82" s="7">
        <v>39872</v>
      </c>
      <c r="BM82" s="7">
        <v>39903</v>
      </c>
      <c r="BN82" s="7">
        <v>39933</v>
      </c>
      <c r="BO82" s="7">
        <v>39964</v>
      </c>
      <c r="BP82" s="7">
        <v>39994</v>
      </c>
      <c r="BQ82" s="7">
        <v>40025</v>
      </c>
      <c r="BR82" s="7">
        <v>40056</v>
      </c>
      <c r="BS82" s="7">
        <v>40086</v>
      </c>
      <c r="BT82" s="7">
        <v>40117</v>
      </c>
      <c r="BU82" s="7">
        <v>40147</v>
      </c>
      <c r="BV82" s="7">
        <v>40178</v>
      </c>
      <c r="BW82" s="7">
        <v>40209</v>
      </c>
      <c r="BX82" s="7">
        <v>40237</v>
      </c>
      <c r="BY82" s="7">
        <v>40268</v>
      </c>
      <c r="BZ82" s="7">
        <v>40298</v>
      </c>
      <c r="CA82" s="7">
        <v>40329</v>
      </c>
      <c r="CB82" s="7">
        <v>40359</v>
      </c>
      <c r="CC82" s="7">
        <v>40390</v>
      </c>
      <c r="CD82" s="7">
        <v>40421</v>
      </c>
      <c r="CE82" s="7">
        <v>40451</v>
      </c>
      <c r="CF82" s="7">
        <v>40482</v>
      </c>
      <c r="CG82" s="7">
        <v>40512</v>
      </c>
      <c r="CH82" s="7">
        <v>40543</v>
      </c>
      <c r="CI82" s="7">
        <v>40574</v>
      </c>
      <c r="CJ82" s="7">
        <v>40602</v>
      </c>
      <c r="CK82" s="7">
        <v>40633</v>
      </c>
      <c r="CL82" s="7">
        <v>40663</v>
      </c>
      <c r="CM82" s="7">
        <v>40694</v>
      </c>
      <c r="CN82" s="7">
        <v>40724</v>
      </c>
      <c r="CO82" s="7">
        <v>40755</v>
      </c>
      <c r="CP82" s="7">
        <v>40786</v>
      </c>
      <c r="CQ82" s="7">
        <v>40816</v>
      </c>
      <c r="CR82" s="7">
        <v>40847</v>
      </c>
      <c r="CS82" s="7">
        <v>40877</v>
      </c>
      <c r="CT82" s="7">
        <v>40908</v>
      </c>
      <c r="CU82" s="7">
        <v>40939</v>
      </c>
      <c r="CV82" s="7">
        <v>40968</v>
      </c>
      <c r="CW82" s="7">
        <v>40999</v>
      </c>
      <c r="CX82" s="7">
        <v>41029</v>
      </c>
      <c r="CY82" s="7">
        <v>41060</v>
      </c>
      <c r="CZ82" s="7">
        <v>41090</v>
      </c>
      <c r="DA82" s="7">
        <v>41121</v>
      </c>
      <c r="DB82" s="7">
        <v>41152</v>
      </c>
      <c r="DC82" s="7">
        <v>41182</v>
      </c>
      <c r="DD82" s="7">
        <v>41213</v>
      </c>
      <c r="DE82" s="7">
        <v>41243</v>
      </c>
      <c r="DF82" s="7">
        <v>41274</v>
      </c>
      <c r="DG82" s="7">
        <v>41305</v>
      </c>
      <c r="DH82" s="7">
        <v>41333</v>
      </c>
      <c r="DI82" s="7">
        <v>41364</v>
      </c>
      <c r="DJ82" s="7">
        <v>41394</v>
      </c>
      <c r="DK82" s="7">
        <v>41425</v>
      </c>
      <c r="DL82" s="7">
        <v>41455</v>
      </c>
      <c r="DM82" s="7">
        <v>41486</v>
      </c>
      <c r="DN82" s="7">
        <v>41517</v>
      </c>
      <c r="DO82" s="7">
        <v>41547</v>
      </c>
      <c r="DP82" s="7">
        <v>41578</v>
      </c>
      <c r="DQ82" s="7">
        <v>41608</v>
      </c>
      <c r="DR82" s="7">
        <v>41639</v>
      </c>
      <c r="DS82" s="7">
        <v>41670</v>
      </c>
      <c r="DT82" s="7">
        <v>41698</v>
      </c>
      <c r="DU82" s="7">
        <v>41729</v>
      </c>
      <c r="DV82" s="7">
        <v>41759</v>
      </c>
      <c r="DW82" s="7">
        <v>41790</v>
      </c>
      <c r="DX82" s="7">
        <v>41820</v>
      </c>
      <c r="DY82" s="7">
        <v>41851</v>
      </c>
      <c r="DZ82" s="7">
        <v>41882</v>
      </c>
      <c r="EA82" s="7">
        <v>41912</v>
      </c>
      <c r="EB82" s="7">
        <v>41943</v>
      </c>
      <c r="EC82" s="7">
        <v>41973</v>
      </c>
      <c r="ED82" s="7">
        <v>42004</v>
      </c>
      <c r="EE82" s="7">
        <v>42035</v>
      </c>
      <c r="EF82" s="7">
        <v>42063</v>
      </c>
      <c r="EG82" s="7">
        <v>42094</v>
      </c>
      <c r="EH82" s="7">
        <v>42124</v>
      </c>
      <c r="EI82" s="7">
        <v>42155</v>
      </c>
      <c r="EJ82" s="7">
        <v>42185</v>
      </c>
      <c r="EK82" s="7">
        <v>42216</v>
      </c>
      <c r="EL82" s="7">
        <v>42247</v>
      </c>
      <c r="EM82" s="7">
        <v>42277</v>
      </c>
      <c r="EN82" s="7">
        <v>42308</v>
      </c>
      <c r="EO82" s="7">
        <v>42338</v>
      </c>
      <c r="EP82" s="7">
        <v>42369</v>
      </c>
      <c r="EQ82" s="7">
        <v>42400</v>
      </c>
      <c r="ER82" s="7">
        <v>42429</v>
      </c>
      <c r="ES82" s="7">
        <v>42460</v>
      </c>
      <c r="ET82" s="7">
        <v>42490</v>
      </c>
      <c r="EU82" s="7">
        <v>42521</v>
      </c>
      <c r="EV82" s="7">
        <v>42551</v>
      </c>
      <c r="EW82" s="7">
        <v>42582</v>
      </c>
      <c r="EX82" s="7">
        <v>42613</v>
      </c>
      <c r="EY82" s="7">
        <v>42643</v>
      </c>
      <c r="EZ82" s="7">
        <v>42674</v>
      </c>
      <c r="FA82" s="7">
        <v>42704</v>
      </c>
      <c r="FB82" s="7">
        <v>42735</v>
      </c>
      <c r="FC82" s="7">
        <v>42766</v>
      </c>
      <c r="FD82" s="7">
        <v>42794</v>
      </c>
      <c r="FE82" s="7">
        <v>42825</v>
      </c>
      <c r="FF82" s="7">
        <v>42855</v>
      </c>
      <c r="FG82" s="7">
        <v>42886</v>
      </c>
      <c r="FH82" s="7">
        <v>42916</v>
      </c>
      <c r="FI82" s="7">
        <v>42947</v>
      </c>
      <c r="FJ82" s="7">
        <v>42978</v>
      </c>
      <c r="FK82" s="7">
        <v>43008</v>
      </c>
      <c r="FL82" s="7">
        <v>43039</v>
      </c>
      <c r="FM82" s="7">
        <v>43069</v>
      </c>
      <c r="FN82" s="7">
        <v>43100</v>
      </c>
      <c r="FO82" s="7">
        <v>43131</v>
      </c>
      <c r="FP82" s="7">
        <v>43159</v>
      </c>
      <c r="FQ82" s="7">
        <v>43190</v>
      </c>
      <c r="FR82" s="7">
        <v>43220</v>
      </c>
      <c r="FS82" s="7">
        <v>43251</v>
      </c>
      <c r="FT82" s="7">
        <v>43281</v>
      </c>
      <c r="FU82" s="7">
        <v>43312</v>
      </c>
      <c r="FV82" s="7">
        <v>43343</v>
      </c>
      <c r="FW82" s="7">
        <v>43373</v>
      </c>
      <c r="FX82" s="7">
        <v>43404</v>
      </c>
      <c r="FY82" s="7">
        <v>43434</v>
      </c>
      <c r="FZ82" s="7">
        <v>43465</v>
      </c>
      <c r="GA82" s="7">
        <v>43496</v>
      </c>
      <c r="GB82" s="7">
        <v>43524</v>
      </c>
      <c r="GC82" s="7">
        <v>43555</v>
      </c>
      <c r="GD82" s="7">
        <v>43585</v>
      </c>
      <c r="GE82" s="7">
        <v>43616</v>
      </c>
      <c r="GF82" s="7">
        <v>43646</v>
      </c>
      <c r="GG82" s="7">
        <v>43677</v>
      </c>
      <c r="GH82" s="7">
        <v>43708</v>
      </c>
      <c r="GI82" s="7">
        <v>43738</v>
      </c>
      <c r="GJ82" s="7">
        <v>43769</v>
      </c>
      <c r="GK82" s="7">
        <v>43799</v>
      </c>
      <c r="GL82" s="7">
        <v>43830</v>
      </c>
      <c r="GM82" s="7">
        <v>43861</v>
      </c>
      <c r="GN82" s="7">
        <v>43890</v>
      </c>
      <c r="GO82" s="7">
        <v>43921</v>
      </c>
      <c r="GP82" s="7">
        <v>43951</v>
      </c>
      <c r="GQ82" s="7">
        <v>43982</v>
      </c>
      <c r="GR82" s="7">
        <v>44012</v>
      </c>
      <c r="GS82" s="7">
        <v>44043</v>
      </c>
      <c r="GT82" s="7">
        <v>44074</v>
      </c>
      <c r="GU82" s="7">
        <v>44104</v>
      </c>
      <c r="GV82" s="7">
        <v>44135</v>
      </c>
      <c r="GW82" s="7">
        <v>44165</v>
      </c>
      <c r="GX82" s="7">
        <v>44196</v>
      </c>
      <c r="GY82" s="7">
        <v>44227</v>
      </c>
      <c r="GZ82" s="7">
        <v>44255</v>
      </c>
      <c r="HA82" s="7">
        <v>44286</v>
      </c>
      <c r="HB82" s="7">
        <v>44316</v>
      </c>
      <c r="HC82" s="7">
        <v>44347</v>
      </c>
      <c r="HD82" s="7">
        <v>44377</v>
      </c>
      <c r="HE82" s="7">
        <v>44408</v>
      </c>
      <c r="HF82" s="7">
        <v>44439</v>
      </c>
      <c r="HG82" s="7">
        <v>44469</v>
      </c>
      <c r="HH82" s="7">
        <v>44500</v>
      </c>
      <c r="HI82" s="7">
        <v>44530</v>
      </c>
      <c r="HJ82" s="7">
        <v>44561</v>
      </c>
      <c r="HK82" s="7">
        <v>44592</v>
      </c>
      <c r="HL82" s="7">
        <v>44620</v>
      </c>
      <c r="HM82" s="7">
        <v>44651</v>
      </c>
      <c r="HN82" s="7">
        <v>44681</v>
      </c>
      <c r="HO82" s="7">
        <v>44712</v>
      </c>
      <c r="HP82" s="7">
        <v>44742</v>
      </c>
      <c r="HQ82" s="7">
        <v>44773</v>
      </c>
      <c r="HR82" s="7">
        <v>44804</v>
      </c>
      <c r="HS82" s="7">
        <v>44834</v>
      </c>
      <c r="HT82" s="7">
        <v>44865</v>
      </c>
      <c r="HU82" s="7">
        <v>44895</v>
      </c>
      <c r="HV82" s="7">
        <v>44926</v>
      </c>
      <c r="HW82" s="7">
        <v>44957</v>
      </c>
      <c r="HX82" s="7">
        <v>44985</v>
      </c>
      <c r="HY82" s="7">
        <v>45016</v>
      </c>
      <c r="HZ82" s="7">
        <v>45046</v>
      </c>
      <c r="IA82" s="7">
        <v>45077</v>
      </c>
      <c r="IB82" s="7">
        <v>45107</v>
      </c>
      <c r="IC82" s="7">
        <v>45138</v>
      </c>
      <c r="ID82" s="7">
        <v>45169</v>
      </c>
      <c r="IE82" s="7">
        <v>45199</v>
      </c>
      <c r="IF82" s="7">
        <v>45230</v>
      </c>
      <c r="IG82" s="7">
        <v>45260</v>
      </c>
      <c r="IH82" s="7">
        <v>45291</v>
      </c>
      <c r="II82" s="7">
        <v>45322</v>
      </c>
      <c r="IJ82" s="7">
        <v>45351</v>
      </c>
      <c r="IK82" s="7">
        <v>45382</v>
      </c>
      <c r="IL82" s="7">
        <v>45412</v>
      </c>
      <c r="IM82" s="7">
        <v>45443</v>
      </c>
      <c r="IN82" s="7">
        <v>45473</v>
      </c>
      <c r="IO82" s="7">
        <v>45504</v>
      </c>
      <c r="IP82" s="7">
        <v>45535</v>
      </c>
      <c r="IQ82" s="7">
        <v>45565</v>
      </c>
      <c r="IR82" s="7">
        <v>45596</v>
      </c>
      <c r="IS82" s="7">
        <v>45626</v>
      </c>
      <c r="IT82" s="7">
        <v>45657</v>
      </c>
      <c r="IU82" s="7">
        <v>45688</v>
      </c>
      <c r="IV82" s="7">
        <v>45716</v>
      </c>
      <c r="IW82" s="7">
        <v>45747</v>
      </c>
      <c r="IX82" s="7">
        <v>45777</v>
      </c>
      <c r="IY82" s="7">
        <v>45808</v>
      </c>
      <c r="IZ82" s="7">
        <v>45838</v>
      </c>
      <c r="JA82" s="7">
        <v>45869</v>
      </c>
      <c r="JB82" s="7">
        <v>45900</v>
      </c>
      <c r="JC82" s="7">
        <v>45930</v>
      </c>
      <c r="JD82" s="7">
        <v>45961</v>
      </c>
      <c r="JE82" s="7">
        <v>45991</v>
      </c>
      <c r="JF82" s="7">
        <v>46022</v>
      </c>
      <c r="JG82" s="7">
        <v>46053</v>
      </c>
      <c r="JH82" s="7">
        <v>46081</v>
      </c>
      <c r="LT82"/>
      <c r="LU82"/>
      <c r="LV82"/>
      <c r="LW82"/>
      <c r="LX82"/>
    </row>
    <row r="83" spans="1:336" x14ac:dyDescent="0.25"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>
        <f t="shared" ref="AA83:CL83" ca="1" si="85">IF(AA3="","",AVERAGE(Y57:Z57)+CONFIDENCE(0.05,STDEV(B57:Z57),COUNT(B57:Z57)))</f>
        <v>9.1982149007320095E-3</v>
      </c>
      <c r="AB83" s="21">
        <f t="shared" ca="1" si="85"/>
        <v>4.4721226445174622E-3</v>
      </c>
      <c r="AC83" s="21">
        <f t="shared" ca="1" si="85"/>
        <v>3.4873188102700682E-3</v>
      </c>
      <c r="AD83" s="21">
        <f t="shared" ca="1" si="85"/>
        <v>4.6670529485634531E-3</v>
      </c>
      <c r="AE83" s="21">
        <f t="shared" ca="1" si="85"/>
        <v>5.2069134927266213E-3</v>
      </c>
      <c r="AF83" s="21">
        <f t="shared" ca="1" si="85"/>
        <v>7.8325740460047123E-3</v>
      </c>
      <c r="AG83" s="21">
        <f t="shared" ca="1" si="85"/>
        <v>9.4015154183272401E-3</v>
      </c>
      <c r="AH83" s="21">
        <f t="shared" ca="1" si="85"/>
        <v>6.2646573063187619E-3</v>
      </c>
      <c r="AI83" s="21">
        <f t="shared" ca="1" si="85"/>
        <v>3.5819151524779315E-3</v>
      </c>
      <c r="AJ83" s="21">
        <f t="shared" ca="1" si="85"/>
        <v>2.8269627281038313E-3</v>
      </c>
      <c r="AK83" s="21">
        <f t="shared" ca="1" si="85"/>
        <v>2.9599405119239905E-3</v>
      </c>
      <c r="AL83" s="21">
        <f t="shared" ca="1" si="85"/>
        <v>5.2934878216628345E-3</v>
      </c>
      <c r="AM83" s="21">
        <f t="shared" ca="1" si="85"/>
        <v>5.7340558987796983E-3</v>
      </c>
      <c r="AN83" s="21">
        <f t="shared" ca="1" si="85"/>
        <v>3.3814903669760719E-3</v>
      </c>
      <c r="AO83" s="21">
        <f t="shared" ca="1" si="85"/>
        <v>3.4614730092093278E-3</v>
      </c>
      <c r="AP83" s="21">
        <f t="shared" ca="1" si="85"/>
        <v>2.9838209154525422E-3</v>
      </c>
      <c r="AQ83" s="21">
        <f t="shared" ca="1" si="85"/>
        <v>2.2802736215235299E-3</v>
      </c>
      <c r="AR83" s="21">
        <f t="shared" ca="1" si="85"/>
        <v>4.3155507637137516E-3</v>
      </c>
      <c r="AS83" s="21">
        <f t="shared" ca="1" si="85"/>
        <v>4.5644992617217637E-3</v>
      </c>
      <c r="AT83" s="21">
        <f t="shared" ca="1" si="85"/>
        <v>3.2135201301792243E-3</v>
      </c>
      <c r="AU83" s="21">
        <f t="shared" ca="1" si="85"/>
        <v>2.519975512324202E-3</v>
      </c>
      <c r="AV83" s="21">
        <f t="shared" ca="1" si="85"/>
        <v>4.0860182975307139E-3</v>
      </c>
      <c r="AW83" s="21">
        <f t="shared" ca="1" si="85"/>
        <v>4.1230926142774831E-3</v>
      </c>
      <c r="AX83" s="21">
        <f t="shared" ca="1" si="85"/>
        <v>2.9004814635056357E-3</v>
      </c>
      <c r="AY83" s="21">
        <f t="shared" ca="1" si="85"/>
        <v>5.1636530628013299E-3</v>
      </c>
      <c r="AZ83" s="21">
        <f t="shared" ca="1" si="85"/>
        <v>6.3463042699638946E-3</v>
      </c>
      <c r="BA83" s="21">
        <f t="shared" ca="1" si="85"/>
        <v>7.4830776843478643E-3</v>
      </c>
      <c r="BB83" s="21">
        <f t="shared" ca="1" si="85"/>
        <v>6.8258788822421713E-3</v>
      </c>
      <c r="BC83" s="21">
        <f t="shared" ca="1" si="85"/>
        <v>7.0121547005810286E-3</v>
      </c>
      <c r="BD83" s="21">
        <f t="shared" ca="1" si="85"/>
        <v>1.0098800186083971E-2</v>
      </c>
      <c r="BE83" s="21">
        <f t="shared" ca="1" si="85"/>
        <v>9.845262880438202E-3</v>
      </c>
      <c r="BF83" s="21">
        <f t="shared" ca="1" si="85"/>
        <v>7.5957581063672754E-3</v>
      </c>
      <c r="BG83" s="21">
        <f t="shared" ca="1" si="85"/>
        <v>4.3549146956296091E-3</v>
      </c>
      <c r="BH83" s="21">
        <f t="shared" ca="1" si="85"/>
        <v>3.3143633737932874E-3</v>
      </c>
      <c r="BI83" s="21">
        <f t="shared" ca="1" si="85"/>
        <v>1.4964895417556249E-2</v>
      </c>
      <c r="BJ83" s="21">
        <f t="shared" ca="1" si="85"/>
        <v>1.6051245707764276E-2</v>
      </c>
      <c r="BK83" s="21">
        <f t="shared" ca="1" si="85"/>
        <v>8.4449727261889668E-3</v>
      </c>
      <c r="BL83" s="21">
        <f t="shared" ca="1" si="85"/>
        <v>8.032194271547121E-3</v>
      </c>
      <c r="BM83" s="21">
        <f t="shared" ca="1" si="85"/>
        <v>6.8175558480064718E-3</v>
      </c>
      <c r="BN83" s="21">
        <f t="shared" ca="1" si="85"/>
        <v>5.5088360016356313E-3</v>
      </c>
      <c r="BO83" s="21">
        <f t="shared" ca="1" si="85"/>
        <v>8.0526265085255223E-3</v>
      </c>
      <c r="BP83" s="21">
        <f t="shared" ca="1" si="85"/>
        <v>9.8216192343128957E-3</v>
      </c>
      <c r="BQ83" s="21">
        <f t="shared" ca="1" si="85"/>
        <v>7.8553547919028195E-3</v>
      </c>
      <c r="BR83" s="21">
        <f t="shared" ca="1" si="85"/>
        <v>7.7029854567486821E-3</v>
      </c>
      <c r="BS83" s="21">
        <f t="shared" ca="1" si="85"/>
        <v>1.4799562760038668E-2</v>
      </c>
      <c r="BT83" s="21">
        <f t="shared" ca="1" si="85"/>
        <v>1.5097815727715742E-2</v>
      </c>
      <c r="BU83" s="21">
        <f t="shared" ca="1" si="85"/>
        <v>8.0437358597238873E-3</v>
      </c>
      <c r="BV83" s="21">
        <f t="shared" ca="1" si="85"/>
        <v>8.5716815333967914E-3</v>
      </c>
      <c r="BW83" s="21">
        <f t="shared" ca="1" si="85"/>
        <v>8.3533627070465494E-3</v>
      </c>
      <c r="BX83" s="21">
        <f t="shared" ca="1" si="85"/>
        <v>5.779342563916246E-3</v>
      </c>
      <c r="BY83" s="21">
        <f t="shared" ca="1" si="85"/>
        <v>4.0795460585500605E-3</v>
      </c>
      <c r="BZ83" s="21">
        <f t="shared" ca="1" si="85"/>
        <v>4.7017672159670454E-3</v>
      </c>
      <c r="CA83" s="21">
        <f t="shared" ca="1" si="85"/>
        <v>4.1572744100239999E-3</v>
      </c>
      <c r="CB83" s="21">
        <f t="shared" ca="1" si="85"/>
        <v>3.7575962041411339E-3</v>
      </c>
      <c r="CC83" s="21">
        <f t="shared" ca="1" si="85"/>
        <v>3.5449184849392079E-3</v>
      </c>
      <c r="CD83" s="21">
        <f t="shared" ca="1" si="85"/>
        <v>2.2904101001400604E-3</v>
      </c>
      <c r="CE83" s="21">
        <f t="shared" ca="1" si="85"/>
        <v>8.3965617802057024E-3</v>
      </c>
      <c r="CF83" s="21">
        <f t="shared" ca="1" si="85"/>
        <v>1.0767922948432313E-2</v>
      </c>
      <c r="CG83" s="21">
        <f t="shared" ca="1" si="85"/>
        <v>9.8551498156418567E-3</v>
      </c>
      <c r="CH83" s="21">
        <f t="shared" ca="1" si="85"/>
        <v>8.6203868751764823E-3</v>
      </c>
      <c r="CI83" s="21">
        <f t="shared" ca="1" si="85"/>
        <v>4.3050428971547101E-3</v>
      </c>
      <c r="CJ83" s="21">
        <f t="shared" ca="1" si="85"/>
        <v>6.3885921382492274E-3</v>
      </c>
      <c r="CK83" s="21">
        <f t="shared" ca="1" si="85"/>
        <v>5.5641516530963936E-3</v>
      </c>
      <c r="CL83" s="21">
        <f t="shared" ca="1" si="85"/>
        <v>2.6478390213105305E-3</v>
      </c>
      <c r="CM83" s="21">
        <f t="shared" ref="CM83:EX83" ca="1" si="86">IF(CM3="","",AVERAGE(CK57:CL57)+CONFIDENCE(0.05,STDEV(BN57:CL57),COUNT(BN57:CL57)))</f>
        <v>2.9468114217231856E-3</v>
      </c>
      <c r="CN83" s="21">
        <f t="shared" ca="1" si="86"/>
        <v>3.847145440218966E-3</v>
      </c>
      <c r="CO83" s="21">
        <f t="shared" ca="1" si="86"/>
        <v>5.2681893715577294E-3</v>
      </c>
      <c r="CP83" s="21">
        <f t="shared" ca="1" si="86"/>
        <v>3.5614827522105364E-3</v>
      </c>
      <c r="CQ83" s="21">
        <f t="shared" ca="1" si="86"/>
        <v>6.5046427159066444E-3</v>
      </c>
      <c r="CR83" s="21">
        <f t="shared" ca="1" si="86"/>
        <v>1.7638563903043546E-2</v>
      </c>
      <c r="CS83" s="21">
        <f t="shared" ca="1" si="86"/>
        <v>1.7968749781039815E-2</v>
      </c>
      <c r="CT83" s="21">
        <f t="shared" ca="1" si="86"/>
        <v>1.0328726813756416E-2</v>
      </c>
      <c r="CU83" s="21">
        <f t="shared" ca="1" si="86"/>
        <v>8.5407180307873337E-3</v>
      </c>
      <c r="CV83" s="21">
        <f t="shared" ca="1" si="86"/>
        <v>7.6836014784885821E-3</v>
      </c>
      <c r="CW83" s="21">
        <f t="shared" ca="1" si="86"/>
        <v>5.8195157611190505E-3</v>
      </c>
      <c r="CX83" s="21">
        <f t="shared" ca="1" si="86"/>
        <v>5.249246004273898E-3</v>
      </c>
      <c r="CY83" s="21">
        <f t="shared" ca="1" si="86"/>
        <v>4.3767562387941796E-3</v>
      </c>
      <c r="CZ83" s="21">
        <f t="shared" ca="1" si="86"/>
        <v>5.9529263457970254E-3</v>
      </c>
      <c r="DA83" s="21">
        <f t="shared" ca="1" si="86"/>
        <v>8.7881179409628526E-3</v>
      </c>
      <c r="DB83" s="21">
        <f t="shared" ca="1" si="86"/>
        <v>7.7680505123789451E-3</v>
      </c>
      <c r="DC83" s="21">
        <f t="shared" ca="1" si="86"/>
        <v>1.5859391388936803E-2</v>
      </c>
      <c r="DD83" s="21">
        <f t="shared" ca="1" si="86"/>
        <v>2.0750929328480491E-2</v>
      </c>
      <c r="DE83" s="21">
        <f t="shared" ca="1" si="86"/>
        <v>2.0544577595340185E-2</v>
      </c>
      <c r="DF83" s="21">
        <f t="shared" ca="1" si="86"/>
        <v>1.4514684274180893E-2</v>
      </c>
      <c r="DG83" s="21">
        <f t="shared" ca="1" si="86"/>
        <v>7.3413033042823688E-3</v>
      </c>
      <c r="DH83" s="21">
        <f t="shared" ca="1" si="86"/>
        <v>1.0072734706931348E-2</v>
      </c>
      <c r="DI83" s="21">
        <f t="shared" ca="1" si="86"/>
        <v>1.0225899077485083E-2</v>
      </c>
      <c r="DJ83" s="21">
        <f t="shared" ca="1" si="86"/>
        <v>8.3088674037644344E-3</v>
      </c>
      <c r="DK83" s="21">
        <f t="shared" ca="1" si="86"/>
        <v>7.1457651859530031E-3</v>
      </c>
      <c r="DL83" s="21">
        <f t="shared" ca="1" si="86"/>
        <v>7.6103418299162673E-3</v>
      </c>
      <c r="DM83" s="21">
        <f t="shared" ca="1" si="86"/>
        <v>6.3433075602998068E-3</v>
      </c>
      <c r="DN83" s="21">
        <f t="shared" ca="1" si="86"/>
        <v>5.8405640162608801E-3</v>
      </c>
      <c r="DO83" s="21">
        <f t="shared" ca="1" si="86"/>
        <v>1.0011944096084588E-2</v>
      </c>
      <c r="DP83" s="21">
        <f t="shared" ca="1" si="86"/>
        <v>2.1890410119621125E-2</v>
      </c>
      <c r="DQ83" s="21">
        <f t="shared" ca="1" si="86"/>
        <v>2.6027353145326403E-2</v>
      </c>
      <c r="DR83" s="21">
        <f t="shared" ca="1" si="86"/>
        <v>1.8521137980620255E-2</v>
      </c>
      <c r="DS83" s="21">
        <f t="shared" ca="1" si="86"/>
        <v>1.1151713282499252E-2</v>
      </c>
      <c r="DT83" s="21">
        <f t="shared" ca="1" si="86"/>
        <v>5.5605240359739528E-3</v>
      </c>
      <c r="DU83" s="21">
        <f t="shared" ca="1" si="86"/>
        <v>5.1163827941765813E-3</v>
      </c>
      <c r="DV83" s="21">
        <f t="shared" ca="1" si="86"/>
        <v>4.7399627319001918E-3</v>
      </c>
      <c r="DW83" s="21">
        <f t="shared" ca="1" si="86"/>
        <v>3.9382079350127157E-3</v>
      </c>
      <c r="DX83" s="21">
        <f t="shared" ca="1" si="86"/>
        <v>5.6992036390911636E-3</v>
      </c>
      <c r="DY83" s="21">
        <f t="shared" ca="1" si="86"/>
        <v>6.6105499912573525E-3</v>
      </c>
      <c r="DZ83" s="21">
        <f t="shared" ca="1" si="86"/>
        <v>6.2762722180945158E-3</v>
      </c>
      <c r="EA83" s="21">
        <f t="shared" ca="1" si="86"/>
        <v>1.1821256819666403E-2</v>
      </c>
      <c r="EB83" s="21">
        <f t="shared" ca="1" si="86"/>
        <v>2.3620065033839274E-2</v>
      </c>
      <c r="EC83" s="21">
        <f t="shared" ca="1" si="86"/>
        <v>2.0919697181618471E-2</v>
      </c>
      <c r="ED83" s="21">
        <f t="shared" ca="1" si="86"/>
        <v>9.6807446438885413E-3</v>
      </c>
      <c r="EE83" s="21">
        <f t="shared" ca="1" si="86"/>
        <v>7.5923932792777288E-3</v>
      </c>
      <c r="EF83" s="21">
        <f t="shared" ca="1" si="86"/>
        <v>8.6161592857908684E-3</v>
      </c>
      <c r="EG83" s="21">
        <f t="shared" ca="1" si="86"/>
        <v>9.9992283197301909E-3</v>
      </c>
      <c r="EH83" s="21">
        <f t="shared" ca="1" si="86"/>
        <v>1.050982774458557E-2</v>
      </c>
      <c r="EI83" s="21">
        <f t="shared" ca="1" si="86"/>
        <v>1.0260377110437275E-2</v>
      </c>
      <c r="EJ83" s="21">
        <f t="shared" ca="1" si="86"/>
        <v>6.6456061544831234E-3</v>
      </c>
      <c r="EK83" s="21">
        <f t="shared" ca="1" si="86"/>
        <v>8.7330364532160424E-3</v>
      </c>
      <c r="EL83" s="21">
        <f t="shared" ca="1" si="86"/>
        <v>1.297911621415771E-2</v>
      </c>
      <c r="EM83" s="21">
        <f t="shared" ca="1" si="86"/>
        <v>9.6024809235535566E-3</v>
      </c>
      <c r="EN83" s="21">
        <f t="shared" ca="1" si="86"/>
        <v>8.6558432814982916E-3</v>
      </c>
      <c r="EO83" s="21">
        <f t="shared" ca="1" si="86"/>
        <v>9.2065283661437475E-3</v>
      </c>
      <c r="EP83" s="21">
        <f t="shared" ca="1" si="86"/>
        <v>8.43288602888791E-3</v>
      </c>
      <c r="EQ83" s="21">
        <f t="shared" ca="1" si="86"/>
        <v>5.0243298658229135E-3</v>
      </c>
      <c r="ER83" s="21">
        <f t="shared" ca="1" si="86"/>
        <v>3.6183753769795726E-3</v>
      </c>
      <c r="ES83" s="21">
        <f t="shared" ca="1" si="86"/>
        <v>4.2991357554832514E-3</v>
      </c>
      <c r="ET83" s="21">
        <f t="shared" ca="1" si="86"/>
        <v>3.9547382087633774E-3</v>
      </c>
      <c r="EU83" s="21">
        <f t="shared" ca="1" si="86"/>
        <v>6.2401560239076703E-3</v>
      </c>
      <c r="EV83" s="21">
        <f t="shared" ca="1" si="86"/>
        <v>1.0124369072892124E-2</v>
      </c>
      <c r="EW83" s="21">
        <f t="shared" ca="1" si="86"/>
        <v>7.7350545304468131E-3</v>
      </c>
      <c r="EX83" s="21">
        <f t="shared" ca="1" si="86"/>
        <v>5.348633781474748E-3</v>
      </c>
      <c r="EY83" s="21">
        <f t="shared" ref="EY83:HJ83" ca="1" si="87">IF(EY3="","",AVERAGE(EW57:EX57)+CONFIDENCE(0.05,STDEV(DZ57:EX57),COUNT(DZ57:EX57)))</f>
        <v>9.3082571251712834E-3</v>
      </c>
      <c r="EZ83" s="21">
        <f t="shared" ca="1" si="87"/>
        <v>9.2331059773632825E-3</v>
      </c>
      <c r="FA83" s="21">
        <f t="shared" ca="1" si="87"/>
        <v>8.6289264030959545E-3</v>
      </c>
      <c r="FB83" s="21">
        <f t="shared" ca="1" si="87"/>
        <v>6.4257100802793529E-3</v>
      </c>
      <c r="FC83" s="21">
        <f t="shared" ca="1" si="87"/>
        <v>4.3041826929579776E-3</v>
      </c>
      <c r="FD83" s="21">
        <f t="shared" ca="1" si="87"/>
        <v>4.2069803802280139E-3</v>
      </c>
      <c r="FE83" s="21">
        <f t="shared" ca="1" si="87"/>
        <v>2.3346583173589354E-3</v>
      </c>
      <c r="FF83" s="21">
        <f t="shared" ca="1" si="87"/>
        <v>3.8740443474716323E-3</v>
      </c>
      <c r="FG83" s="21">
        <f t="shared" ca="1" si="87"/>
        <v>3.509156577398143E-3</v>
      </c>
      <c r="FH83" s="21">
        <f t="shared" ca="1" si="87"/>
        <v>4.7957987765451671E-3</v>
      </c>
      <c r="FI83" s="21">
        <f t="shared" ca="1" si="87"/>
        <v>4.4737835791079164E-3</v>
      </c>
      <c r="FJ83" s="21">
        <f t="shared" ca="1" si="87"/>
        <v>2.1235267698542382E-3</v>
      </c>
      <c r="FK83" s="21">
        <f t="shared" ca="1" si="87"/>
        <v>2.7172768656497925E-3</v>
      </c>
      <c r="FL83" s="21">
        <f t="shared" ca="1" si="87"/>
        <v>2.0384683856370274E-3</v>
      </c>
      <c r="FM83" s="21">
        <f t="shared" ca="1" si="87"/>
        <v>8.7917193828710508E-3</v>
      </c>
      <c r="FN83" s="21">
        <f t="shared" ca="1" si="87"/>
        <v>8.7139100843507556E-3</v>
      </c>
      <c r="FO83" s="21">
        <f t="shared" ca="1" si="87"/>
        <v>4.2779034154698517E-3</v>
      </c>
      <c r="FP83" s="21">
        <f t="shared" ca="1" si="87"/>
        <v>7.3810669523096586E-3</v>
      </c>
      <c r="FQ83" s="21">
        <f t="shared" ca="1" si="87"/>
        <v>7.4249701387028005E-3</v>
      </c>
      <c r="FR83" s="21">
        <f t="shared" ca="1" si="87"/>
        <v>6.9287374894409686E-3</v>
      </c>
      <c r="FS83" s="21">
        <f t="shared" ca="1" si="87"/>
        <v>4.3930689310021E-3</v>
      </c>
      <c r="FT83" s="21">
        <f t="shared" ca="1" si="87"/>
        <v>3.0044634443398156E-3</v>
      </c>
      <c r="FU83" s="21">
        <f t="shared" ca="1" si="87"/>
        <v>7.6891751567505625E-3</v>
      </c>
      <c r="FV83" s="21">
        <f t="shared" ca="1" si="87"/>
        <v>7.375672621097484E-3</v>
      </c>
      <c r="FW83" s="21">
        <f t="shared" ca="1" si="87"/>
        <v>8.9582270209913224E-3</v>
      </c>
      <c r="FX83" s="21">
        <f t="shared" ca="1" si="87"/>
        <v>1.5915964935600959E-2</v>
      </c>
      <c r="FY83" s="21">
        <f t="shared" ca="1" si="87"/>
        <v>9.8663011061113845E-3</v>
      </c>
      <c r="FZ83" s="21">
        <f t="shared" ca="1" si="87"/>
        <v>7.3010291735644862E-3</v>
      </c>
      <c r="GA83" s="21">
        <f t="shared" ca="1" si="87"/>
        <v>8.6461462445528662E-3</v>
      </c>
      <c r="GB83" s="21">
        <f t="shared" ca="1" si="87"/>
        <v>5.3472417210850562E-3</v>
      </c>
      <c r="GC83" s="21">
        <f t="shared" ca="1" si="87"/>
        <v>6.3522250881036585E-3</v>
      </c>
      <c r="GD83" s="21">
        <f t="shared" ca="1" si="87"/>
        <v>7.4592899227651933E-3</v>
      </c>
      <c r="GE83" s="21">
        <f t="shared" ca="1" si="87"/>
        <v>7.8209728483564535E-3</v>
      </c>
      <c r="GF83" s="21">
        <f t="shared" ca="1" si="87"/>
        <v>5.9735916794832434E-3</v>
      </c>
      <c r="GG83" s="21">
        <f t="shared" ca="1" si="87"/>
        <v>3.1118954218662216E-3</v>
      </c>
      <c r="GH83" s="21">
        <f t="shared" ca="1" si="87"/>
        <v>2.5337956116493875E-3</v>
      </c>
      <c r="GI83" s="21">
        <f t="shared" ca="1" si="87"/>
        <v>6.709840489501023E-3</v>
      </c>
      <c r="GJ83" s="21">
        <f t="shared" ca="1" si="87"/>
        <v>6.9100206712331058E-3</v>
      </c>
      <c r="GK83" s="21">
        <f t="shared" ca="1" si="87"/>
        <v>5.5745285645467501E-3</v>
      </c>
      <c r="GL83" s="21">
        <f t="shared" ca="1" si="87"/>
        <v>5.4522026025907791E-3</v>
      </c>
      <c r="GM83" s="21">
        <f t="shared" ca="1" si="87"/>
        <v>4.7019925317691325E-3</v>
      </c>
      <c r="GN83" s="21">
        <f t="shared" ca="1" si="87"/>
        <v>5.7102804330470226E-3</v>
      </c>
      <c r="GO83" s="21">
        <f t="shared" ca="1" si="87"/>
        <v>1.1174319655130986E-2</v>
      </c>
      <c r="GP83" s="21">
        <f t="shared" ca="1" si="87"/>
        <v>2.7362948080568789E-2</v>
      </c>
      <c r="GQ83" s="21">
        <f t="shared" ca="1" si="87"/>
        <v>2.2094981863761961E-2</v>
      </c>
      <c r="GR83" s="21">
        <f t="shared" ca="1" si="87"/>
        <v>9.7854453354121497E-3</v>
      </c>
      <c r="GS83" s="21">
        <f t="shared" ca="1" si="87"/>
        <v>1.2170311526997551E-2</v>
      </c>
      <c r="GT83" s="21">
        <f t="shared" ca="1" si="87"/>
        <v>1.2394707994419985E-2</v>
      </c>
      <c r="GU83" s="21">
        <f t="shared" ca="1" si="87"/>
        <v>1.3061237090749914E-2</v>
      </c>
      <c r="GV83" s="21">
        <f t="shared" ca="1" si="87"/>
        <v>1.0344240355044304E-2</v>
      </c>
      <c r="GW83" s="21">
        <f t="shared" ca="1" si="87"/>
        <v>7.188556374227266E-3</v>
      </c>
      <c r="GX83" s="21">
        <f t="shared" ca="1" si="87"/>
        <v>5.3064145525548818E-3</v>
      </c>
      <c r="GY83" s="21">
        <f t="shared" ca="1" si="87"/>
        <v>5.6983912459857705E-3</v>
      </c>
      <c r="GZ83" s="21">
        <f t="shared" ca="1" si="87"/>
        <v>8.2068679873693491E-3</v>
      </c>
      <c r="HA83" s="21" t="str">
        <f t="shared" si="87"/>
        <v/>
      </c>
      <c r="HB83" s="21" t="str">
        <f t="shared" si="87"/>
        <v/>
      </c>
      <c r="HC83" s="21" t="str">
        <f t="shared" si="87"/>
        <v/>
      </c>
      <c r="HD83" s="21" t="str">
        <f t="shared" si="87"/>
        <v/>
      </c>
      <c r="HE83" s="21" t="str">
        <f t="shared" si="87"/>
        <v/>
      </c>
      <c r="HF83" s="21" t="str">
        <f t="shared" si="87"/>
        <v/>
      </c>
      <c r="HG83" s="21" t="str">
        <f t="shared" si="87"/>
        <v/>
      </c>
      <c r="HH83" s="21" t="str">
        <f t="shared" si="87"/>
        <v/>
      </c>
      <c r="HI83" s="21" t="str">
        <f t="shared" si="87"/>
        <v/>
      </c>
      <c r="HJ83" s="21" t="str">
        <f t="shared" si="87"/>
        <v/>
      </c>
      <c r="HK83" s="21" t="str">
        <f t="shared" ref="HK83:JH83" si="88">IF(HK3="","",AVERAGE(HI57:HJ57)+CONFIDENCE(0.05,STDEV(GL57:HJ57),COUNT(GL57:HJ57)))</f>
        <v/>
      </c>
      <c r="HL83" s="21" t="str">
        <f t="shared" si="88"/>
        <v/>
      </c>
      <c r="HM83" s="21" t="str">
        <f t="shared" si="88"/>
        <v/>
      </c>
      <c r="HN83" s="21" t="str">
        <f t="shared" si="88"/>
        <v/>
      </c>
      <c r="HO83" s="21" t="str">
        <f t="shared" si="88"/>
        <v/>
      </c>
      <c r="HP83" s="21" t="str">
        <f t="shared" si="88"/>
        <v/>
      </c>
      <c r="HQ83" s="21" t="str">
        <f t="shared" si="88"/>
        <v/>
      </c>
      <c r="HR83" s="21" t="str">
        <f t="shared" si="88"/>
        <v/>
      </c>
      <c r="HS83" s="21" t="str">
        <f t="shared" si="88"/>
        <v/>
      </c>
      <c r="HT83" s="21" t="str">
        <f t="shared" si="88"/>
        <v/>
      </c>
      <c r="HU83" s="21" t="str">
        <f t="shared" si="88"/>
        <v/>
      </c>
      <c r="HV83" s="21" t="str">
        <f t="shared" si="88"/>
        <v/>
      </c>
      <c r="HW83" s="21" t="str">
        <f t="shared" si="88"/>
        <v/>
      </c>
      <c r="HX83" s="21" t="str">
        <f t="shared" si="88"/>
        <v/>
      </c>
      <c r="HY83" s="21" t="str">
        <f t="shared" si="88"/>
        <v/>
      </c>
      <c r="HZ83" s="21" t="str">
        <f t="shared" si="88"/>
        <v/>
      </c>
      <c r="IA83" s="21" t="str">
        <f t="shared" si="88"/>
        <v/>
      </c>
      <c r="IB83" s="21" t="str">
        <f t="shared" si="88"/>
        <v/>
      </c>
      <c r="IC83" s="21" t="str">
        <f t="shared" si="88"/>
        <v/>
      </c>
      <c r="ID83" s="21" t="str">
        <f t="shared" si="88"/>
        <v/>
      </c>
      <c r="IE83" s="21" t="str">
        <f t="shared" si="88"/>
        <v/>
      </c>
      <c r="IF83" s="21" t="str">
        <f t="shared" si="88"/>
        <v/>
      </c>
      <c r="IG83" s="21" t="str">
        <f t="shared" si="88"/>
        <v/>
      </c>
      <c r="IH83" s="21" t="str">
        <f t="shared" si="88"/>
        <v/>
      </c>
      <c r="II83" s="21" t="str">
        <f t="shared" si="88"/>
        <v/>
      </c>
      <c r="IJ83" s="21" t="str">
        <f t="shared" si="88"/>
        <v/>
      </c>
      <c r="IK83" s="21" t="str">
        <f t="shared" si="88"/>
        <v/>
      </c>
      <c r="IL83" s="21" t="str">
        <f t="shared" si="88"/>
        <v/>
      </c>
      <c r="IM83" s="21" t="str">
        <f t="shared" si="88"/>
        <v/>
      </c>
      <c r="IN83" s="21" t="str">
        <f t="shared" si="88"/>
        <v/>
      </c>
      <c r="IO83" s="21" t="str">
        <f t="shared" si="88"/>
        <v/>
      </c>
      <c r="IP83" s="21" t="str">
        <f t="shared" si="88"/>
        <v/>
      </c>
      <c r="IQ83" s="21" t="str">
        <f t="shared" si="88"/>
        <v/>
      </c>
      <c r="IR83" s="21" t="str">
        <f t="shared" si="88"/>
        <v/>
      </c>
      <c r="IS83" s="21" t="str">
        <f t="shared" si="88"/>
        <v/>
      </c>
      <c r="IT83" s="21" t="str">
        <f t="shared" si="88"/>
        <v/>
      </c>
      <c r="IU83" s="21" t="str">
        <f t="shared" si="88"/>
        <v/>
      </c>
      <c r="IV83" s="21" t="str">
        <f t="shared" si="88"/>
        <v/>
      </c>
      <c r="IW83" s="21" t="str">
        <f t="shared" si="88"/>
        <v/>
      </c>
      <c r="IX83" s="21" t="str">
        <f t="shared" si="88"/>
        <v/>
      </c>
      <c r="IY83" s="21" t="str">
        <f t="shared" si="88"/>
        <v/>
      </c>
      <c r="IZ83" s="21" t="str">
        <f t="shared" si="88"/>
        <v/>
      </c>
      <c r="JA83" s="21" t="str">
        <f t="shared" si="88"/>
        <v/>
      </c>
      <c r="JB83" s="21" t="str">
        <f t="shared" si="88"/>
        <v/>
      </c>
      <c r="JC83" s="21" t="str">
        <f t="shared" si="88"/>
        <v/>
      </c>
      <c r="JD83" s="21" t="str">
        <f t="shared" si="88"/>
        <v/>
      </c>
      <c r="JE83" s="21" t="str">
        <f t="shared" si="88"/>
        <v/>
      </c>
      <c r="JF83" s="21" t="str">
        <f t="shared" si="88"/>
        <v/>
      </c>
      <c r="JG83" s="21" t="str">
        <f t="shared" si="88"/>
        <v/>
      </c>
      <c r="JH83" s="21" t="str">
        <f t="shared" si="88"/>
        <v/>
      </c>
    </row>
    <row r="84" spans="1:336" x14ac:dyDescent="0.25"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>
        <f t="shared" ref="AA84:CL84" ca="1" si="89">IF(AA4="","",AVERAGE(X58:Z58)+CONFIDENCE(0.05,STDEV(B58:Z58),COUNT(B58:Z58)))</f>
        <v>8.8032102341695055E-3</v>
      </c>
      <c r="AB84" s="21">
        <f t="shared" ca="1" si="89"/>
        <v>4.4957628963312015E-3</v>
      </c>
      <c r="AC84" s="21">
        <f t="shared" ca="1" si="89"/>
        <v>5.0464780401260276E-3</v>
      </c>
      <c r="AD84" s="21">
        <f t="shared" ca="1" si="89"/>
        <v>6.0421501111003664E-3</v>
      </c>
      <c r="AE84" s="21">
        <f t="shared" ca="1" si="89"/>
        <v>9.3163654377676017E-3</v>
      </c>
      <c r="AF84" s="21">
        <f t="shared" ca="1" si="89"/>
        <v>1.4017964880446791E-2</v>
      </c>
      <c r="AG84" s="21">
        <f t="shared" ca="1" si="89"/>
        <v>1.4742037419057085E-2</v>
      </c>
      <c r="AH84" s="21">
        <f t="shared" ca="1" si="89"/>
        <v>1.2486538857783175E-2</v>
      </c>
      <c r="AI84" s="21">
        <f t="shared" ca="1" si="89"/>
        <v>7.3347288926862413E-3</v>
      </c>
      <c r="AJ84" s="21">
        <f t="shared" ca="1" si="89"/>
        <v>4.5554085089916478E-3</v>
      </c>
      <c r="AK84" s="21">
        <f t="shared" ca="1" si="89"/>
        <v>6.1878031662979047E-3</v>
      </c>
      <c r="AL84" s="21">
        <f t="shared" ca="1" si="89"/>
        <v>8.1895860957218805E-3</v>
      </c>
      <c r="AM84" s="21">
        <f t="shared" ca="1" si="89"/>
        <v>8.7114395130311918E-3</v>
      </c>
      <c r="AN84" s="21">
        <f t="shared" ca="1" si="89"/>
        <v>7.1690824955237507E-3</v>
      </c>
      <c r="AO84" s="21">
        <f t="shared" ca="1" si="89"/>
        <v>5.5049928543958408E-3</v>
      </c>
      <c r="AP84" s="21">
        <f t="shared" ca="1" si="89"/>
        <v>4.6934323866518485E-3</v>
      </c>
      <c r="AQ84" s="21">
        <f t="shared" ca="1" si="89"/>
        <v>5.0728660697047815E-3</v>
      </c>
      <c r="AR84" s="21">
        <f t="shared" ca="1" si="89"/>
        <v>5.9623396794582124E-3</v>
      </c>
      <c r="AS84" s="21">
        <f t="shared" ca="1" si="89"/>
        <v>6.6458635823837464E-3</v>
      </c>
      <c r="AT84" s="21">
        <f t="shared" ca="1" si="89"/>
        <v>5.3146230619117111E-3</v>
      </c>
      <c r="AU84" s="21">
        <f t="shared" ca="1" si="89"/>
        <v>5.7178190985252685E-3</v>
      </c>
      <c r="AV84" s="21">
        <f t="shared" ca="1" si="89"/>
        <v>5.4314159336462439E-3</v>
      </c>
      <c r="AW84" s="21">
        <f t="shared" ca="1" si="89"/>
        <v>6.1647168861290258E-3</v>
      </c>
      <c r="AX84" s="21">
        <f t="shared" ca="1" si="89"/>
        <v>5.0395157072338197E-3</v>
      </c>
      <c r="AY84" s="21">
        <f t="shared" ca="1" si="89"/>
        <v>7.2292520551326209E-3</v>
      </c>
      <c r="AZ84" s="21">
        <f t="shared" ca="1" si="89"/>
        <v>1.0430275174860918E-2</v>
      </c>
      <c r="BA84" s="21">
        <f t="shared" ca="1" si="89"/>
        <v>1.2717654390259781E-2</v>
      </c>
      <c r="BB84" s="21">
        <f t="shared" ca="1" si="89"/>
        <v>1.3206629021786239E-2</v>
      </c>
      <c r="BC84" s="21">
        <f t="shared" ca="1" si="89"/>
        <v>1.4960554104438825E-2</v>
      </c>
      <c r="BD84" s="21">
        <f t="shared" ca="1" si="89"/>
        <v>1.7327903047778433E-2</v>
      </c>
      <c r="BE84" s="21">
        <f t="shared" ca="1" si="89"/>
        <v>1.8359456958826376E-2</v>
      </c>
      <c r="BF84" s="21">
        <f t="shared" ca="1" si="89"/>
        <v>1.4890460533785274E-2</v>
      </c>
      <c r="BG84" s="21">
        <f t="shared" ca="1" si="89"/>
        <v>1.1079358496330368E-2</v>
      </c>
      <c r="BH84" s="21">
        <f t="shared" ca="1" si="89"/>
        <v>1.2763966183897753E-2</v>
      </c>
      <c r="BI84" s="21">
        <f t="shared" ca="1" si="89"/>
        <v>1.9625914284735566E-2</v>
      </c>
      <c r="BJ84" s="21">
        <f t="shared" ca="1" si="89"/>
        <v>2.1854338690990908E-2</v>
      </c>
      <c r="BK84" s="21">
        <f t="shared" ca="1" si="89"/>
        <v>1.9417270291700203E-2</v>
      </c>
      <c r="BL84" s="21">
        <f t="shared" ca="1" si="89"/>
        <v>1.4010199448520888E-2</v>
      </c>
      <c r="BM84" s="21">
        <f t="shared" ca="1" si="89"/>
        <v>1.0656863638590352E-2</v>
      </c>
      <c r="BN84" s="21">
        <f t="shared" ca="1" si="89"/>
        <v>1.1252374759322161E-2</v>
      </c>
      <c r="BO84" s="21">
        <f t="shared" ca="1" si="89"/>
        <v>1.2924148496776759E-2</v>
      </c>
      <c r="BP84" s="21">
        <f t="shared" ca="1" si="89"/>
        <v>1.6071446309478914E-2</v>
      </c>
      <c r="BQ84" s="21">
        <f t="shared" ca="1" si="89"/>
        <v>1.5180800470597298E-2</v>
      </c>
      <c r="BR84" s="21">
        <f t="shared" ca="1" si="89"/>
        <v>1.9019855117297025E-2</v>
      </c>
      <c r="BS84" s="21">
        <f t="shared" ca="1" si="89"/>
        <v>1.9157546908034485E-2</v>
      </c>
      <c r="BT84" s="21">
        <f t="shared" ca="1" si="89"/>
        <v>1.9804350331291021E-2</v>
      </c>
      <c r="BU84" s="21">
        <f t="shared" ca="1" si="89"/>
        <v>1.1245381874070717E-2</v>
      </c>
      <c r="BV84" s="21">
        <f t="shared" ca="1" si="89"/>
        <v>7.8875482195090753E-3</v>
      </c>
      <c r="BW84" s="21">
        <f t="shared" ca="1" si="89"/>
        <v>5.9429851681000144E-3</v>
      </c>
      <c r="BX84" s="21">
        <f t="shared" ca="1" si="89"/>
        <v>7.4776716729856793E-3</v>
      </c>
      <c r="BY84" s="21">
        <f t="shared" ca="1" si="89"/>
        <v>8.3711636509889165E-3</v>
      </c>
      <c r="BZ84" s="21">
        <f t="shared" ca="1" si="89"/>
        <v>7.1087682265826907E-3</v>
      </c>
      <c r="CA84" s="21">
        <f t="shared" ca="1" si="89"/>
        <v>6.0833520432494138E-3</v>
      </c>
      <c r="CB84" s="21">
        <f t="shared" ca="1" si="89"/>
        <v>5.1842842103933346E-3</v>
      </c>
      <c r="CC84" s="21">
        <f t="shared" ca="1" si="89"/>
        <v>4.1136335141733153E-3</v>
      </c>
      <c r="CD84" s="21">
        <f t="shared" ca="1" si="89"/>
        <v>6.900418999057128E-3</v>
      </c>
      <c r="CE84" s="21">
        <f t="shared" ca="1" si="89"/>
        <v>1.0394262930627545E-2</v>
      </c>
      <c r="CF84" s="21">
        <f t="shared" ca="1" si="89"/>
        <v>1.3150283373348687E-2</v>
      </c>
      <c r="CG84" s="21">
        <f t="shared" ca="1" si="89"/>
        <v>1.3050119636470424E-2</v>
      </c>
      <c r="CH84" s="21">
        <f t="shared" ca="1" si="89"/>
        <v>9.3319776119613271E-3</v>
      </c>
      <c r="CI84" s="21">
        <f t="shared" ca="1" si="89"/>
        <v>8.4278146933526119E-3</v>
      </c>
      <c r="CJ84" s="21">
        <f t="shared" ca="1" si="89"/>
        <v>7.5822051129137823E-3</v>
      </c>
      <c r="CK84" s="21">
        <f t="shared" ca="1" si="89"/>
        <v>7.3356082742638768E-3</v>
      </c>
      <c r="CL84" s="21">
        <f t="shared" ca="1" si="89"/>
        <v>5.7305922184378438E-3</v>
      </c>
      <c r="CM84" s="21">
        <f t="shared" ref="CM84:EX84" ca="1" si="90">IF(CM4="","",AVERAGE(CJ58:CL58)+CONFIDENCE(0.05,STDEV(BN58:CL58),COUNT(BN58:CL58)))</f>
        <v>4.5953937543619441E-3</v>
      </c>
      <c r="CN84" s="21">
        <f t="shared" ca="1" si="90"/>
        <v>6.0827316317361019E-3</v>
      </c>
      <c r="CO84" s="21">
        <f t="shared" ca="1" si="90"/>
        <v>6.9907170670520007E-3</v>
      </c>
      <c r="CP84" s="21">
        <f t="shared" ca="1" si="90"/>
        <v>7.2536514935380028E-3</v>
      </c>
      <c r="CQ84" s="21">
        <f t="shared" ca="1" si="90"/>
        <v>8.7353748266877015E-3</v>
      </c>
      <c r="CR84" s="21">
        <f t="shared" ca="1" si="90"/>
        <v>1.6441471904845063E-2</v>
      </c>
      <c r="CS84" s="21">
        <f t="shared" ca="1" si="90"/>
        <v>1.5241799149194244E-2</v>
      </c>
      <c r="CT84" s="21">
        <f t="shared" ca="1" si="90"/>
        <v>1.1270280449205533E-2</v>
      </c>
      <c r="CU84" s="21">
        <f t="shared" ca="1" si="90"/>
        <v>7.5101218500841001E-3</v>
      </c>
      <c r="CV84" s="21">
        <f t="shared" ca="1" si="90"/>
        <v>9.6513609562074096E-3</v>
      </c>
      <c r="CW84" s="21">
        <f t="shared" ca="1" si="90"/>
        <v>1.1207732207610024E-2</v>
      </c>
      <c r="CX84" s="21">
        <f t="shared" ca="1" si="90"/>
        <v>7.7133043240109741E-3</v>
      </c>
      <c r="CY84" s="21">
        <f t="shared" ca="1" si="90"/>
        <v>6.9991078492269414E-3</v>
      </c>
      <c r="CZ84" s="21">
        <f t="shared" ca="1" si="90"/>
        <v>5.4787529991151256E-3</v>
      </c>
      <c r="DA84" s="21">
        <f t="shared" ca="1" si="90"/>
        <v>8.4162871318356012E-3</v>
      </c>
      <c r="DB84" s="21">
        <f t="shared" ca="1" si="90"/>
        <v>1.0723335863251273E-2</v>
      </c>
      <c r="DC84" s="21">
        <f t="shared" ca="1" si="90"/>
        <v>1.4229913420585567E-2</v>
      </c>
      <c r="DD84" s="21">
        <f t="shared" ca="1" si="90"/>
        <v>2.4427114770364088E-2</v>
      </c>
      <c r="DE84" s="21">
        <f t="shared" ca="1" si="90"/>
        <v>3.0286098841206682E-2</v>
      </c>
      <c r="DF84" s="21">
        <f t="shared" ca="1" si="90"/>
        <v>2.7011223700390385E-2</v>
      </c>
      <c r="DG84" s="21">
        <f t="shared" ca="1" si="90"/>
        <v>1.9324306271885503E-2</v>
      </c>
      <c r="DH84" s="21">
        <f t="shared" ca="1" si="90"/>
        <v>1.4875481775434865E-2</v>
      </c>
      <c r="DI84" s="21">
        <f t="shared" ca="1" si="90"/>
        <v>1.822937590289634E-2</v>
      </c>
      <c r="DJ84" s="21">
        <f t="shared" ca="1" si="90"/>
        <v>1.6249443665510364E-2</v>
      </c>
      <c r="DK84" s="21">
        <f t="shared" ca="1" si="90"/>
        <v>1.3918346239265255E-2</v>
      </c>
      <c r="DL84" s="21">
        <f t="shared" ca="1" si="90"/>
        <v>1.2783649171024987E-2</v>
      </c>
      <c r="DM84" s="21">
        <f t="shared" ca="1" si="90"/>
        <v>1.0532366226780018E-2</v>
      </c>
      <c r="DN84" s="21">
        <f t="shared" ca="1" si="90"/>
        <v>9.6924226274394398E-3</v>
      </c>
      <c r="DO84" s="21">
        <f t="shared" ca="1" si="90"/>
        <v>1.7304199969475385E-2</v>
      </c>
      <c r="DP84" s="21">
        <f t="shared" ca="1" si="90"/>
        <v>1.8849349654617615E-2</v>
      </c>
      <c r="DQ84" s="21">
        <f t="shared" ca="1" si="90"/>
        <v>1.9792275849711879E-2</v>
      </c>
      <c r="DR84" s="21">
        <f t="shared" ca="1" si="90"/>
        <v>1.6246983633843869E-2</v>
      </c>
      <c r="DS84" s="21">
        <f t="shared" ca="1" si="90"/>
        <v>1.5047521772606477E-2</v>
      </c>
      <c r="DT84" s="21">
        <f t="shared" ca="1" si="90"/>
        <v>1.3269210211294395E-2</v>
      </c>
      <c r="DU84" s="21">
        <f t="shared" ca="1" si="90"/>
        <v>7.4548558459003444E-3</v>
      </c>
      <c r="DV84" s="21">
        <f t="shared" ca="1" si="90"/>
        <v>6.683254598035141E-3</v>
      </c>
      <c r="DW84" s="21">
        <f t="shared" ca="1" si="90"/>
        <v>7.1069536520996209E-3</v>
      </c>
      <c r="DX84" s="21">
        <f t="shared" ca="1" si="90"/>
        <v>6.5543642267026428E-3</v>
      </c>
      <c r="DY84" s="21">
        <f t="shared" ca="1" si="90"/>
        <v>8.078001498930884E-3</v>
      </c>
      <c r="DZ84" s="21">
        <f t="shared" ca="1" si="90"/>
        <v>9.9358492632243139E-3</v>
      </c>
      <c r="EA84" s="21">
        <f t="shared" ca="1" si="90"/>
        <v>1.317958552324087E-2</v>
      </c>
      <c r="EB84" s="21">
        <f t="shared" ca="1" si="90"/>
        <v>1.5265135030774859E-2</v>
      </c>
      <c r="EC84" s="21">
        <f t="shared" ca="1" si="90"/>
        <v>1.4989170755070424E-2</v>
      </c>
      <c r="ED84" s="21">
        <f t="shared" ca="1" si="90"/>
        <v>1.1510646552687964E-2</v>
      </c>
      <c r="EE84" s="21">
        <f t="shared" ca="1" si="90"/>
        <v>7.40215565970172E-3</v>
      </c>
      <c r="EF84" s="21">
        <f t="shared" ca="1" si="90"/>
        <v>7.7250340112596898E-3</v>
      </c>
      <c r="EG84" s="21">
        <f t="shared" ca="1" si="90"/>
        <v>1.2214936890999735E-2</v>
      </c>
      <c r="EH84" s="21">
        <f t="shared" ca="1" si="90"/>
        <v>1.6521847872144314E-2</v>
      </c>
      <c r="EI84" s="21">
        <f t="shared" ca="1" si="90"/>
        <v>1.3861114356857551E-2</v>
      </c>
      <c r="EJ84" s="21">
        <f t="shared" ca="1" si="90"/>
        <v>1.3501692825082691E-2</v>
      </c>
      <c r="EK84" s="21">
        <f t="shared" ca="1" si="90"/>
        <v>1.4826739144694215E-2</v>
      </c>
      <c r="EL84" s="21">
        <f t="shared" ca="1" si="90"/>
        <v>1.6257608733987232E-2</v>
      </c>
      <c r="EM84" s="21">
        <f t="shared" ca="1" si="90"/>
        <v>1.4120580256189457E-2</v>
      </c>
      <c r="EN84" s="21">
        <f t="shared" ca="1" si="90"/>
        <v>8.7415416168981474E-3</v>
      </c>
      <c r="EO84" s="21">
        <f t="shared" ca="1" si="90"/>
        <v>9.856161778741138E-3</v>
      </c>
      <c r="EP84" s="21">
        <f t="shared" ca="1" si="90"/>
        <v>9.3505595391422027E-3</v>
      </c>
      <c r="EQ84" s="21">
        <f t="shared" ca="1" si="90"/>
        <v>9.0510421167290904E-3</v>
      </c>
      <c r="ER84" s="21">
        <f t="shared" ca="1" si="90"/>
        <v>6.0403175294840884E-3</v>
      </c>
      <c r="ES84" s="21">
        <f t="shared" ca="1" si="90"/>
        <v>4.8703152486930384E-3</v>
      </c>
      <c r="ET84" s="21">
        <f t="shared" ca="1" si="90"/>
        <v>6.8607456988639473E-3</v>
      </c>
      <c r="EU84" s="21">
        <f t="shared" ca="1" si="90"/>
        <v>1.0405597098294955E-2</v>
      </c>
      <c r="EV84" s="21">
        <f t="shared" ca="1" si="90"/>
        <v>1.309621513999947E-2</v>
      </c>
      <c r="EW84" s="21">
        <f t="shared" ca="1" si="90"/>
        <v>1.109635677961736E-2</v>
      </c>
      <c r="EX84" s="21">
        <f t="shared" ca="1" si="90"/>
        <v>1.0087598865783198E-2</v>
      </c>
      <c r="EY84" s="21">
        <f t="shared" ref="EY84:HJ84" ca="1" si="91">IF(EY4="","",AVERAGE(EV58:EX58)+CONFIDENCE(0.05,STDEV(DZ58:EX58),COUNT(DZ58:EX58)))</f>
        <v>7.5540640994957407E-3</v>
      </c>
      <c r="EZ84" s="21">
        <f t="shared" ca="1" si="91"/>
        <v>7.6316889992541102E-3</v>
      </c>
      <c r="FA84" s="21">
        <f t="shared" ca="1" si="91"/>
        <v>6.0569459357267593E-3</v>
      </c>
      <c r="FB84" s="21">
        <f t="shared" ca="1" si="91"/>
        <v>6.9716981648744337E-3</v>
      </c>
      <c r="FC84" s="21">
        <f t="shared" ca="1" si="91"/>
        <v>7.2614104124002739E-3</v>
      </c>
      <c r="FD84" s="21">
        <f t="shared" ca="1" si="91"/>
        <v>5.3584758684881656E-3</v>
      </c>
      <c r="FE84" s="21">
        <f t="shared" ca="1" si="91"/>
        <v>5.4431884408059714E-3</v>
      </c>
      <c r="FF84" s="21">
        <f t="shared" ca="1" si="91"/>
        <v>5.0508046546656332E-3</v>
      </c>
      <c r="FG84" s="21">
        <f t="shared" ca="1" si="91"/>
        <v>6.3259221299958347E-3</v>
      </c>
      <c r="FH84" s="21">
        <f t="shared" ca="1" si="91"/>
        <v>6.4650924124447272E-3</v>
      </c>
      <c r="FI84" s="21">
        <f t="shared" ca="1" si="91"/>
        <v>6.0673278267567368E-3</v>
      </c>
      <c r="FJ84" s="21">
        <f t="shared" ca="1" si="91"/>
        <v>4.877949944939783E-3</v>
      </c>
      <c r="FK84" s="21">
        <f t="shared" ca="1" si="91"/>
        <v>4.0435352869682643E-3</v>
      </c>
      <c r="FL84" s="21">
        <f t="shared" ca="1" si="91"/>
        <v>8.4790543719245239E-3</v>
      </c>
      <c r="FM84" s="21">
        <f t="shared" ca="1" si="91"/>
        <v>1.1607393632090127E-2</v>
      </c>
      <c r="FN84" s="21">
        <f t="shared" ca="1" si="91"/>
        <v>1.2252654603228042E-2</v>
      </c>
      <c r="FO84" s="21">
        <f t="shared" ca="1" si="91"/>
        <v>1.1027749925345815E-2</v>
      </c>
      <c r="FP84" s="21">
        <f t="shared" ca="1" si="91"/>
        <v>1.0803458663383045E-2</v>
      </c>
      <c r="FQ84" s="21">
        <f t="shared" ca="1" si="91"/>
        <v>1.2471984240885555E-2</v>
      </c>
      <c r="FR84" s="21">
        <f t="shared" ca="1" si="91"/>
        <v>1.0754169996424999E-2</v>
      </c>
      <c r="FS84" s="21">
        <f t="shared" ca="1" si="91"/>
        <v>7.2909213283467444E-3</v>
      </c>
      <c r="FT84" s="21">
        <f t="shared" ca="1" si="91"/>
        <v>8.1740962508738465E-3</v>
      </c>
      <c r="FU84" s="21">
        <f t="shared" ca="1" si="91"/>
        <v>9.0807483726548892E-3</v>
      </c>
      <c r="FV84" s="21">
        <f t="shared" ca="1" si="91"/>
        <v>1.3392047692444588E-2</v>
      </c>
      <c r="FW84" s="21">
        <f t="shared" ca="1" si="91"/>
        <v>1.121968612773947E-2</v>
      </c>
      <c r="FX84" s="21">
        <f t="shared" ca="1" si="91"/>
        <v>1.3333330248440389E-2</v>
      </c>
      <c r="FY84" s="21">
        <f t="shared" ca="1" si="91"/>
        <v>1.2059098512562998E-2</v>
      </c>
      <c r="FZ84" s="21">
        <f t="shared" ca="1" si="91"/>
        <v>1.4769293622196058E-2</v>
      </c>
      <c r="GA84" s="21">
        <f t="shared" ca="1" si="91"/>
        <v>1.0165343072602945E-2</v>
      </c>
      <c r="GB84" s="21">
        <f t="shared" ca="1" si="91"/>
        <v>1.0052085523953196E-2</v>
      </c>
      <c r="GC84" s="21">
        <f t="shared" ca="1" si="91"/>
        <v>8.8499461696642245E-3</v>
      </c>
      <c r="GD84" s="21">
        <f t="shared" ca="1" si="91"/>
        <v>1.2448863306899746E-2</v>
      </c>
      <c r="GE84" s="21">
        <f t="shared" ca="1" si="91"/>
        <v>1.2090210954923434E-2</v>
      </c>
      <c r="GF84" s="21">
        <f t="shared" ca="1" si="91"/>
        <v>9.0708304084911717E-3</v>
      </c>
      <c r="GG84" s="21">
        <f t="shared" ca="1" si="91"/>
        <v>5.7106110376884556E-3</v>
      </c>
      <c r="GH84" s="21">
        <f t="shared" ca="1" si="91"/>
        <v>6.2678087537743621E-3</v>
      </c>
      <c r="GI84" s="21">
        <f t="shared" ca="1" si="91"/>
        <v>7.2508794071286685E-3</v>
      </c>
      <c r="GJ84" s="21">
        <f t="shared" ca="1" si="91"/>
        <v>8.4572063283785814E-3</v>
      </c>
      <c r="GK84" s="21">
        <f t="shared" ca="1" si="91"/>
        <v>8.1388366150359753E-3</v>
      </c>
      <c r="GL84" s="21">
        <f t="shared" ca="1" si="91"/>
        <v>7.6653882341650315E-3</v>
      </c>
      <c r="GM84" s="21">
        <f t="shared" ca="1" si="91"/>
        <v>6.3776493032664866E-3</v>
      </c>
      <c r="GN84" s="21">
        <f t="shared" ca="1" si="91"/>
        <v>6.5241365128839201E-3</v>
      </c>
      <c r="GO84" s="21">
        <f t="shared" ca="1" si="91"/>
        <v>2.3036577261487355E-2</v>
      </c>
      <c r="GP84" s="21">
        <f t="shared" ca="1" si="91"/>
        <v>3.2017147202148828E-2</v>
      </c>
      <c r="GQ84" s="21">
        <f t="shared" ca="1" si="91"/>
        <v>3.0992091895824532E-2</v>
      </c>
      <c r="GR84" s="21">
        <f t="shared" ca="1" si="91"/>
        <v>2.1618365855573498E-2</v>
      </c>
      <c r="GS84" s="21">
        <f t="shared" ca="1" si="91"/>
        <v>1.7295310687638156E-2</v>
      </c>
      <c r="GT84" s="21">
        <f t="shared" ca="1" si="91"/>
        <v>2.2047359033861558E-2</v>
      </c>
      <c r="GU84" s="21">
        <f t="shared" ca="1" si="91"/>
        <v>1.8277575117898452E-2</v>
      </c>
      <c r="GV84" s="21">
        <f t="shared" ca="1" si="91"/>
        <v>1.3808489830918119E-2</v>
      </c>
      <c r="GW84" s="21">
        <f t="shared" ca="1" si="91"/>
        <v>8.9664809427354407E-3</v>
      </c>
      <c r="GX84" s="21">
        <f t="shared" ca="1" si="91"/>
        <v>8.4043745166490248E-3</v>
      </c>
      <c r="GY84" s="21">
        <f t="shared" ca="1" si="91"/>
        <v>1.0462034749147978E-2</v>
      </c>
      <c r="GZ84" s="21">
        <f t="shared" ca="1" si="91"/>
        <v>1.038475175680364E-2</v>
      </c>
      <c r="HA84" s="21" t="str">
        <f t="shared" si="91"/>
        <v/>
      </c>
      <c r="HB84" s="21" t="str">
        <f t="shared" si="91"/>
        <v/>
      </c>
      <c r="HC84" s="21" t="str">
        <f t="shared" si="91"/>
        <v/>
      </c>
      <c r="HD84" s="21" t="str">
        <f t="shared" si="91"/>
        <v/>
      </c>
      <c r="HE84" s="21" t="str">
        <f t="shared" si="91"/>
        <v/>
      </c>
      <c r="HF84" s="21" t="str">
        <f t="shared" si="91"/>
        <v/>
      </c>
      <c r="HG84" s="21" t="str">
        <f t="shared" si="91"/>
        <v/>
      </c>
      <c r="HH84" s="21" t="str">
        <f t="shared" si="91"/>
        <v/>
      </c>
      <c r="HI84" s="21" t="str">
        <f t="shared" si="91"/>
        <v/>
      </c>
      <c r="HJ84" s="21" t="str">
        <f t="shared" si="91"/>
        <v/>
      </c>
      <c r="HK84" s="21" t="str">
        <f t="shared" ref="HK84:JH84" si="92">IF(HK4="","",AVERAGE(HH58:HJ58)+CONFIDENCE(0.05,STDEV(GL58:HJ58),COUNT(GL58:HJ58)))</f>
        <v/>
      </c>
      <c r="HL84" s="21" t="str">
        <f t="shared" si="92"/>
        <v/>
      </c>
      <c r="HM84" s="21" t="str">
        <f t="shared" si="92"/>
        <v/>
      </c>
      <c r="HN84" s="21" t="str">
        <f t="shared" si="92"/>
        <v/>
      </c>
      <c r="HO84" s="21" t="str">
        <f t="shared" si="92"/>
        <v/>
      </c>
      <c r="HP84" s="21" t="str">
        <f t="shared" si="92"/>
        <v/>
      </c>
      <c r="HQ84" s="21" t="str">
        <f t="shared" si="92"/>
        <v/>
      </c>
      <c r="HR84" s="21" t="str">
        <f t="shared" si="92"/>
        <v/>
      </c>
      <c r="HS84" s="21" t="str">
        <f t="shared" si="92"/>
        <v/>
      </c>
      <c r="HT84" s="21" t="str">
        <f t="shared" si="92"/>
        <v/>
      </c>
      <c r="HU84" s="21" t="str">
        <f t="shared" si="92"/>
        <v/>
      </c>
      <c r="HV84" s="21" t="str">
        <f t="shared" si="92"/>
        <v/>
      </c>
      <c r="HW84" s="21" t="str">
        <f t="shared" si="92"/>
        <v/>
      </c>
      <c r="HX84" s="21" t="str">
        <f t="shared" si="92"/>
        <v/>
      </c>
      <c r="HY84" s="21" t="str">
        <f t="shared" si="92"/>
        <v/>
      </c>
      <c r="HZ84" s="21" t="str">
        <f t="shared" si="92"/>
        <v/>
      </c>
      <c r="IA84" s="21" t="str">
        <f t="shared" si="92"/>
        <v/>
      </c>
      <c r="IB84" s="21" t="str">
        <f t="shared" si="92"/>
        <v/>
      </c>
      <c r="IC84" s="21" t="str">
        <f t="shared" si="92"/>
        <v/>
      </c>
      <c r="ID84" s="21" t="str">
        <f t="shared" si="92"/>
        <v/>
      </c>
      <c r="IE84" s="21" t="str">
        <f t="shared" si="92"/>
        <v/>
      </c>
      <c r="IF84" s="21" t="str">
        <f t="shared" si="92"/>
        <v/>
      </c>
      <c r="IG84" s="21" t="str">
        <f t="shared" si="92"/>
        <v/>
      </c>
      <c r="IH84" s="21" t="str">
        <f t="shared" si="92"/>
        <v/>
      </c>
      <c r="II84" s="21" t="str">
        <f t="shared" si="92"/>
        <v/>
      </c>
      <c r="IJ84" s="21" t="str">
        <f t="shared" si="92"/>
        <v/>
      </c>
      <c r="IK84" s="21" t="str">
        <f t="shared" si="92"/>
        <v/>
      </c>
      <c r="IL84" s="21" t="str">
        <f t="shared" si="92"/>
        <v/>
      </c>
      <c r="IM84" s="21" t="str">
        <f t="shared" si="92"/>
        <v/>
      </c>
      <c r="IN84" s="21" t="str">
        <f t="shared" si="92"/>
        <v/>
      </c>
      <c r="IO84" s="21" t="str">
        <f t="shared" si="92"/>
        <v/>
      </c>
      <c r="IP84" s="21" t="str">
        <f t="shared" si="92"/>
        <v/>
      </c>
      <c r="IQ84" s="21" t="str">
        <f t="shared" si="92"/>
        <v/>
      </c>
      <c r="IR84" s="21" t="str">
        <f t="shared" si="92"/>
        <v/>
      </c>
      <c r="IS84" s="21" t="str">
        <f t="shared" si="92"/>
        <v/>
      </c>
      <c r="IT84" s="21" t="str">
        <f t="shared" si="92"/>
        <v/>
      </c>
      <c r="IU84" s="21" t="str">
        <f t="shared" si="92"/>
        <v/>
      </c>
      <c r="IV84" s="21" t="str">
        <f t="shared" si="92"/>
        <v/>
      </c>
      <c r="IW84" s="21" t="str">
        <f t="shared" si="92"/>
        <v/>
      </c>
      <c r="IX84" s="21" t="str">
        <f t="shared" si="92"/>
        <v/>
      </c>
      <c r="IY84" s="21" t="str">
        <f t="shared" si="92"/>
        <v/>
      </c>
      <c r="IZ84" s="21" t="str">
        <f t="shared" si="92"/>
        <v/>
      </c>
      <c r="JA84" s="21" t="str">
        <f t="shared" si="92"/>
        <v/>
      </c>
      <c r="JB84" s="21" t="str">
        <f t="shared" si="92"/>
        <v/>
      </c>
      <c r="JC84" s="21" t="str">
        <f t="shared" si="92"/>
        <v/>
      </c>
      <c r="JD84" s="21" t="str">
        <f t="shared" si="92"/>
        <v/>
      </c>
      <c r="JE84" s="21" t="str">
        <f t="shared" si="92"/>
        <v/>
      </c>
      <c r="JF84" s="21" t="str">
        <f t="shared" si="92"/>
        <v/>
      </c>
      <c r="JG84" s="21" t="str">
        <f t="shared" si="92"/>
        <v/>
      </c>
      <c r="JH84" s="21" t="str">
        <f t="shared" si="92"/>
        <v/>
      </c>
    </row>
    <row r="85" spans="1:336" x14ac:dyDescent="0.25"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>
        <f t="shared" ref="AA85:CL85" ca="1" si="93">IF(AA5="","",AVERAGE(W59:Z59)+CONFIDENCE(0.05,STDEV(B59:Z59),COUNT(B59:Z59)))</f>
        <v>8.5084867827268512E-3</v>
      </c>
      <c r="AB85" s="21">
        <f t="shared" ca="1" si="93"/>
        <v>6.3785561332898952E-3</v>
      </c>
      <c r="AC85" s="21">
        <f t="shared" ca="1" si="93"/>
        <v>6.2419565526735023E-3</v>
      </c>
      <c r="AD85" s="21">
        <f t="shared" ca="1" si="93"/>
        <v>1.0192079066503731E-2</v>
      </c>
      <c r="AE85" s="21">
        <f t="shared" ca="1" si="93"/>
        <v>1.3160715545012518E-2</v>
      </c>
      <c r="AF85" s="21">
        <f t="shared" ca="1" si="93"/>
        <v>1.7576519689544497E-2</v>
      </c>
      <c r="AG85" s="21">
        <f t="shared" ca="1" si="93"/>
        <v>1.8521042987925319E-2</v>
      </c>
      <c r="AH85" s="21">
        <f t="shared" ca="1" si="93"/>
        <v>1.4849256853855802E-2</v>
      </c>
      <c r="AI85" s="21">
        <f t="shared" ca="1" si="93"/>
        <v>1.1470220229433729E-2</v>
      </c>
      <c r="AJ85" s="21">
        <f t="shared" ca="1" si="93"/>
        <v>8.5846837434431778E-3</v>
      </c>
      <c r="AK85" s="21">
        <f t="shared" ca="1" si="93"/>
        <v>8.1103891731187511E-3</v>
      </c>
      <c r="AL85" s="21">
        <f t="shared" ca="1" si="93"/>
        <v>9.6758038119378279E-3</v>
      </c>
      <c r="AM85" s="21">
        <f t="shared" ca="1" si="93"/>
        <v>1.0792937034101354E-2</v>
      </c>
      <c r="AN85" s="21">
        <f t="shared" ca="1" si="93"/>
        <v>9.4334750144122563E-3</v>
      </c>
      <c r="AO85" s="21">
        <f t="shared" ca="1" si="93"/>
        <v>8.2641317397893939E-3</v>
      </c>
      <c r="AP85" s="21">
        <f t="shared" ca="1" si="93"/>
        <v>7.3363773286652233E-3</v>
      </c>
      <c r="AQ85" s="21">
        <f t="shared" ca="1" si="93"/>
        <v>6.8526031499314168E-3</v>
      </c>
      <c r="AR85" s="21">
        <f t="shared" ca="1" si="93"/>
        <v>7.8443811722900426E-3</v>
      </c>
      <c r="AS85" s="21">
        <f t="shared" ca="1" si="93"/>
        <v>7.6128003284721994E-3</v>
      </c>
      <c r="AT85" s="21">
        <f t="shared" ca="1" si="93"/>
        <v>7.4211157762412959E-3</v>
      </c>
      <c r="AU85" s="21">
        <f t="shared" ca="1" si="93"/>
        <v>7.301834376607582E-3</v>
      </c>
      <c r="AV85" s="21">
        <f t="shared" ca="1" si="93"/>
        <v>6.6279284150713809E-3</v>
      </c>
      <c r="AW85" s="21">
        <f t="shared" ca="1" si="93"/>
        <v>6.7191723675177686E-3</v>
      </c>
      <c r="AX85" s="21">
        <f t="shared" ca="1" si="93"/>
        <v>7.6023253493803806E-3</v>
      </c>
      <c r="AY85" s="21">
        <f t="shared" ca="1" si="93"/>
        <v>1.1086027543467047E-2</v>
      </c>
      <c r="AZ85" s="21">
        <f t="shared" ca="1" si="93"/>
        <v>1.3367762522607908E-2</v>
      </c>
      <c r="BA85" s="21">
        <f t="shared" ca="1" si="93"/>
        <v>1.7015575145995755E-2</v>
      </c>
      <c r="BB85" s="21">
        <f t="shared" ca="1" si="93"/>
        <v>2.0744914320001705E-2</v>
      </c>
      <c r="BC85" s="21">
        <f t="shared" ca="1" si="93"/>
        <v>2.2661725880828175E-2</v>
      </c>
      <c r="BD85" s="21">
        <f t="shared" ca="1" si="93"/>
        <v>2.5016259024474928E-2</v>
      </c>
      <c r="BE85" s="21">
        <f t="shared" ca="1" si="93"/>
        <v>2.4874478052274936E-2</v>
      </c>
      <c r="BF85" s="21">
        <f t="shared" ca="1" si="93"/>
        <v>2.1654882953279248E-2</v>
      </c>
      <c r="BG85" s="21">
        <f t="shared" ca="1" si="93"/>
        <v>1.9592604812337537E-2</v>
      </c>
      <c r="BH85" s="21">
        <f t="shared" ca="1" si="93"/>
        <v>1.8956414277310495E-2</v>
      </c>
      <c r="BI85" s="21">
        <f t="shared" ca="1" si="93"/>
        <v>2.4005127893375756E-2</v>
      </c>
      <c r="BJ85" s="21">
        <f t="shared" ca="1" si="93"/>
        <v>2.6358591701676308E-2</v>
      </c>
      <c r="BK85" s="21">
        <f t="shared" ca="1" si="93"/>
        <v>2.698311558404708E-2</v>
      </c>
      <c r="BL85" s="21">
        <f t="shared" ca="1" si="93"/>
        <v>2.3816513847052852E-2</v>
      </c>
      <c r="BM85" s="21">
        <f t="shared" ca="1" si="93"/>
        <v>1.6789977591859011E-2</v>
      </c>
      <c r="BN85" s="21">
        <f t="shared" ca="1" si="93"/>
        <v>1.7558548839030082E-2</v>
      </c>
      <c r="BO85" s="21">
        <f t="shared" ca="1" si="93"/>
        <v>1.9186674631121406E-2</v>
      </c>
      <c r="BP85" s="21">
        <f t="shared" ca="1" si="93"/>
        <v>2.1924419596315137E-2</v>
      </c>
      <c r="BQ85" s="21">
        <f t="shared" ca="1" si="93"/>
        <v>2.8137126810847596E-2</v>
      </c>
      <c r="BR85" s="21">
        <f t="shared" ca="1" si="93"/>
        <v>2.7849939887670969E-2</v>
      </c>
      <c r="BS85" s="21">
        <f t="shared" ca="1" si="93"/>
        <v>2.4520763253604205E-2</v>
      </c>
      <c r="BT85" s="21">
        <f t="shared" ca="1" si="93"/>
        <v>2.180383634829651E-2</v>
      </c>
      <c r="BU85" s="21">
        <f t="shared" ca="1" si="93"/>
        <v>1.5592560216772036E-2</v>
      </c>
      <c r="BV85" s="21">
        <f t="shared" ca="1" si="93"/>
        <v>1.0853319724213654E-2</v>
      </c>
      <c r="BW85" s="21">
        <f t="shared" ca="1" si="93"/>
        <v>1.0513410049048396E-2</v>
      </c>
      <c r="BX85" s="21">
        <f t="shared" ca="1" si="93"/>
        <v>1.0405199409586325E-2</v>
      </c>
      <c r="BY85" s="21">
        <f t="shared" ca="1" si="93"/>
        <v>9.8578761835558023E-3</v>
      </c>
      <c r="BZ85" s="21">
        <f t="shared" ca="1" si="93"/>
        <v>1.137591525486456E-2</v>
      </c>
      <c r="CA85" s="21">
        <f t="shared" ca="1" si="93"/>
        <v>8.9484474251852776E-3</v>
      </c>
      <c r="CB85" s="21">
        <f t="shared" ca="1" si="93"/>
        <v>7.3406233606695967E-3</v>
      </c>
      <c r="CC85" s="21">
        <f t="shared" ca="1" si="93"/>
        <v>9.4648671280509102E-3</v>
      </c>
      <c r="CD85" s="21">
        <f t="shared" ca="1" si="93"/>
        <v>1.070332651315203E-2</v>
      </c>
      <c r="CE85" s="21">
        <f t="shared" ca="1" si="93"/>
        <v>1.1122054832977759E-2</v>
      </c>
      <c r="CF85" s="21">
        <f t="shared" ca="1" si="93"/>
        <v>1.1920785611327559E-2</v>
      </c>
      <c r="CG85" s="21">
        <f t="shared" ca="1" si="93"/>
        <v>1.2077340594564705E-2</v>
      </c>
      <c r="CH85" s="21">
        <f t="shared" ca="1" si="93"/>
        <v>9.986654412585165E-3</v>
      </c>
      <c r="CI85" s="21">
        <f t="shared" ca="1" si="93"/>
        <v>1.081372815710889E-2</v>
      </c>
      <c r="CJ85" s="21">
        <f t="shared" ca="1" si="93"/>
        <v>1.0752267730591071E-2</v>
      </c>
      <c r="CK85" s="21">
        <f t="shared" ca="1" si="93"/>
        <v>7.6416570824391411E-3</v>
      </c>
      <c r="CL85" s="21">
        <f t="shared" ca="1" si="93"/>
        <v>6.7121221736366043E-3</v>
      </c>
      <c r="CM85" s="21">
        <f t="shared" ref="CM85:EX85" ca="1" si="94">IF(CM5="","",AVERAGE(CI59:CL59)+CONFIDENCE(0.05,STDEV(BN59:CL59),COUNT(BN59:CL59)))</f>
        <v>6.8840161832433144E-3</v>
      </c>
      <c r="CN85" s="21">
        <f t="shared" ca="1" si="94"/>
        <v>6.9048577089916487E-3</v>
      </c>
      <c r="CO85" s="21">
        <f t="shared" ca="1" si="94"/>
        <v>6.5121584991429809E-3</v>
      </c>
      <c r="CP85" s="21">
        <f t="shared" ca="1" si="94"/>
        <v>9.7792780262867859E-3</v>
      </c>
      <c r="CQ85" s="21">
        <f t="shared" ca="1" si="94"/>
        <v>1.1306206341470618E-2</v>
      </c>
      <c r="CR85" s="21">
        <f t="shared" ca="1" si="94"/>
        <v>1.5304027220616603E-2</v>
      </c>
      <c r="CS85" s="21">
        <f t="shared" ca="1" si="94"/>
        <v>1.7754896930354789E-2</v>
      </c>
      <c r="CT85" s="21">
        <f t="shared" ca="1" si="94"/>
        <v>1.4788560127968144E-2</v>
      </c>
      <c r="CU85" s="21">
        <f t="shared" ca="1" si="94"/>
        <v>1.5807030880531169E-2</v>
      </c>
      <c r="CV85" s="21">
        <f t="shared" ca="1" si="94"/>
        <v>1.3676208299103161E-2</v>
      </c>
      <c r="CW85" s="21">
        <f t="shared" ca="1" si="94"/>
        <v>1.2600665751221145E-2</v>
      </c>
      <c r="CX85" s="21">
        <f t="shared" ca="1" si="94"/>
        <v>1.1823856167369909E-2</v>
      </c>
      <c r="CY85" s="21">
        <f t="shared" ca="1" si="94"/>
        <v>7.4890591239563653E-3</v>
      </c>
      <c r="CZ85" s="21">
        <f t="shared" ca="1" si="94"/>
        <v>4.6380096597502711E-3</v>
      </c>
      <c r="DA85" s="21">
        <f t="shared" ca="1" si="94"/>
        <v>4.667371833251225E-3</v>
      </c>
      <c r="DB85" s="21">
        <f t="shared" ca="1" si="94"/>
        <v>4.8728921217201307E-3</v>
      </c>
      <c r="DC85" s="21">
        <f t="shared" ca="1" si="94"/>
        <v>7.0940114444767608E-3</v>
      </c>
      <c r="DD85" s="21">
        <f t="shared" ca="1" si="94"/>
        <v>1.9225365709280306E-2</v>
      </c>
      <c r="DE85" s="21">
        <f t="shared" ca="1" si="94"/>
        <v>2.4439636708964714E-2</v>
      </c>
      <c r="DF85" s="21">
        <f t="shared" ca="1" si="94"/>
        <v>2.6305597175967251E-2</v>
      </c>
      <c r="DG85" s="21">
        <f t="shared" ca="1" si="94"/>
        <v>3.0513308224621422E-2</v>
      </c>
      <c r="DH85" s="21">
        <f t="shared" ca="1" si="94"/>
        <v>2.4270861061955796E-2</v>
      </c>
      <c r="DI85" s="21">
        <f t="shared" ca="1" si="94"/>
        <v>2.1871615481652753E-2</v>
      </c>
      <c r="DJ85" s="21">
        <f t="shared" ca="1" si="94"/>
        <v>2.2740916473036433E-2</v>
      </c>
      <c r="DK85" s="21">
        <f t="shared" ca="1" si="94"/>
        <v>1.9821924441400188E-2</v>
      </c>
      <c r="DL85" s="21">
        <f t="shared" ca="1" si="94"/>
        <v>1.7785091301220367E-2</v>
      </c>
      <c r="DM85" s="21">
        <f t="shared" ca="1" si="94"/>
        <v>1.6562950804932464E-2</v>
      </c>
      <c r="DN85" s="21">
        <f t="shared" ca="1" si="94"/>
        <v>2.1238076801273029E-2</v>
      </c>
      <c r="DO85" s="21">
        <f t="shared" ca="1" si="94"/>
        <v>2.0205304937632857E-2</v>
      </c>
      <c r="DP85" s="21">
        <f t="shared" ca="1" si="94"/>
        <v>2.2386492027424675E-2</v>
      </c>
      <c r="DQ85" s="21">
        <f t="shared" ca="1" si="94"/>
        <v>2.1246233407811302E-2</v>
      </c>
      <c r="DR85" s="21">
        <f t="shared" ca="1" si="94"/>
        <v>1.809873623972626E-2</v>
      </c>
      <c r="DS85" s="21">
        <f t="shared" ca="1" si="94"/>
        <v>1.6659180859804293E-2</v>
      </c>
      <c r="DT85" s="21">
        <f t="shared" ca="1" si="94"/>
        <v>1.2511696311385934E-2</v>
      </c>
      <c r="DU85" s="21">
        <f t="shared" ca="1" si="94"/>
        <v>1.0968475581209589E-2</v>
      </c>
      <c r="DV85" s="21">
        <f t="shared" ca="1" si="94"/>
        <v>7.6518384030004076E-3</v>
      </c>
      <c r="DW85" s="21">
        <f t="shared" ca="1" si="94"/>
        <v>7.3368673108631542E-3</v>
      </c>
      <c r="DX85" s="21">
        <f t="shared" ca="1" si="94"/>
        <v>7.3985448455443957E-3</v>
      </c>
      <c r="DY85" s="21">
        <f t="shared" ca="1" si="94"/>
        <v>9.6340563012454958E-3</v>
      </c>
      <c r="DZ85" s="21">
        <f t="shared" ca="1" si="94"/>
        <v>1.1354424141401538E-2</v>
      </c>
      <c r="EA85" s="21">
        <f t="shared" ca="1" si="94"/>
        <v>1.2351850235784482E-2</v>
      </c>
      <c r="EB85" s="21">
        <f t="shared" ca="1" si="94"/>
        <v>1.5016876284803131E-2</v>
      </c>
      <c r="EC85" s="21">
        <f t="shared" ca="1" si="94"/>
        <v>1.4294973081722761E-2</v>
      </c>
      <c r="ED85" s="21">
        <f t="shared" ca="1" si="94"/>
        <v>1.2432790828375753E-2</v>
      </c>
      <c r="EE85" s="21">
        <f t="shared" ca="1" si="94"/>
        <v>1.2489469137980927E-2</v>
      </c>
      <c r="EF85" s="21">
        <f t="shared" ca="1" si="94"/>
        <v>1.3884117813092732E-2</v>
      </c>
      <c r="EG85" s="21">
        <f t="shared" ca="1" si="94"/>
        <v>1.6744587735701637E-2</v>
      </c>
      <c r="EH85" s="21">
        <f t="shared" ca="1" si="94"/>
        <v>1.8439448008747819E-2</v>
      </c>
      <c r="EI85" s="21">
        <f t="shared" ca="1" si="94"/>
        <v>1.8043465875872178E-2</v>
      </c>
      <c r="EJ85" s="21">
        <f t="shared" ca="1" si="94"/>
        <v>1.8654842983404828E-2</v>
      </c>
      <c r="EK85" s="21">
        <f t="shared" ca="1" si="94"/>
        <v>1.9019738369961191E-2</v>
      </c>
      <c r="EL85" s="21">
        <f t="shared" ca="1" si="94"/>
        <v>2.0667730148192474E-2</v>
      </c>
      <c r="EM85" s="21">
        <f t="shared" ca="1" si="94"/>
        <v>1.9604578654913982E-2</v>
      </c>
      <c r="EN85" s="21">
        <f t="shared" ca="1" si="94"/>
        <v>1.4746093326328917E-2</v>
      </c>
      <c r="EO85" s="21">
        <f t="shared" ca="1" si="94"/>
        <v>1.1705710605481088E-2</v>
      </c>
      <c r="EP85" s="21">
        <f t="shared" ca="1" si="94"/>
        <v>7.4503212895104982E-3</v>
      </c>
      <c r="EQ85" s="21">
        <f t="shared" ca="1" si="94"/>
        <v>7.7890887585921817E-3</v>
      </c>
      <c r="ER85" s="21">
        <f t="shared" ca="1" si="94"/>
        <v>7.568531816025275E-3</v>
      </c>
      <c r="ES85" s="21">
        <f t="shared" ca="1" si="94"/>
        <v>6.6284565176127127E-3</v>
      </c>
      <c r="ET85" s="21">
        <f t="shared" ca="1" si="94"/>
        <v>1.0522608663290233E-2</v>
      </c>
      <c r="EU85" s="21">
        <f t="shared" ca="1" si="94"/>
        <v>1.3047186549488519E-2</v>
      </c>
      <c r="EV85" s="21">
        <f t="shared" ca="1" si="94"/>
        <v>1.4497200254776443E-2</v>
      </c>
      <c r="EW85" s="21">
        <f t="shared" ca="1" si="94"/>
        <v>1.5421417718051422E-2</v>
      </c>
      <c r="EX85" s="21">
        <f t="shared" ca="1" si="94"/>
        <v>1.2598879568563693E-2</v>
      </c>
      <c r="EY85" s="21">
        <f t="shared" ref="EY85:HJ85" ca="1" si="95">IF(EY5="","",AVERAGE(EU59:EX59)+CONFIDENCE(0.05,STDEV(DZ59:EX59),COUNT(DZ59:EX59)))</f>
        <v>1.1885175064522505E-2</v>
      </c>
      <c r="EZ85" s="21">
        <f t="shared" ca="1" si="95"/>
        <v>1.0800803577100133E-2</v>
      </c>
      <c r="FA85" s="21">
        <f t="shared" ca="1" si="95"/>
        <v>9.3416636918992116E-3</v>
      </c>
      <c r="FB85" s="21">
        <f t="shared" ca="1" si="95"/>
        <v>8.4398856278209613E-3</v>
      </c>
      <c r="FC85" s="21">
        <f t="shared" ca="1" si="95"/>
        <v>6.3795373722124243E-3</v>
      </c>
      <c r="FD85" s="21">
        <f t="shared" ca="1" si="95"/>
        <v>6.7520014459658082E-3</v>
      </c>
      <c r="FE85" s="21">
        <f t="shared" ca="1" si="95"/>
        <v>6.5555082446609918E-3</v>
      </c>
      <c r="FF85" s="21">
        <f t="shared" ca="1" si="95"/>
        <v>6.2983337406099047E-3</v>
      </c>
      <c r="FG85" s="21">
        <f t="shared" ca="1" si="95"/>
        <v>6.7005398001438246E-3</v>
      </c>
      <c r="FH85" s="21">
        <f t="shared" ca="1" si="95"/>
        <v>7.5144473048199129E-3</v>
      </c>
      <c r="FI85" s="21">
        <f t="shared" ca="1" si="95"/>
        <v>7.0066917354193996E-3</v>
      </c>
      <c r="FJ85" s="21">
        <f t="shared" ca="1" si="95"/>
        <v>6.6054909373054142E-3</v>
      </c>
      <c r="FK85" s="21">
        <f t="shared" ca="1" si="95"/>
        <v>9.6954389466287969E-3</v>
      </c>
      <c r="FL85" s="21">
        <f t="shared" ca="1" si="95"/>
        <v>1.1320860663400224E-2</v>
      </c>
      <c r="FM85" s="21">
        <f t="shared" ca="1" si="95"/>
        <v>1.2630062160878336E-2</v>
      </c>
      <c r="FN85" s="21">
        <f t="shared" ca="1" si="95"/>
        <v>1.4805360084854781E-2</v>
      </c>
      <c r="FO85" s="21">
        <f t="shared" ca="1" si="95"/>
        <v>1.4743717549893041E-2</v>
      </c>
      <c r="FP85" s="21">
        <f t="shared" ca="1" si="95"/>
        <v>1.5656788089125066E-2</v>
      </c>
      <c r="FQ85" s="21">
        <f t="shared" ca="1" si="95"/>
        <v>1.617228414262168E-2</v>
      </c>
      <c r="FR85" s="21">
        <f t="shared" ca="1" si="95"/>
        <v>1.4881843121166798E-2</v>
      </c>
      <c r="FS85" s="21">
        <f t="shared" ca="1" si="95"/>
        <v>1.366193884855018E-2</v>
      </c>
      <c r="FT85" s="21">
        <f t="shared" ca="1" si="95"/>
        <v>1.221172438668224E-2</v>
      </c>
      <c r="FU85" s="21">
        <f t="shared" ca="1" si="95"/>
        <v>9.6565164577412585E-3</v>
      </c>
      <c r="FV85" s="21">
        <f t="shared" ca="1" si="95"/>
        <v>9.2684285220865706E-3</v>
      </c>
      <c r="FW85" s="21">
        <f t="shared" ca="1" si="95"/>
        <v>6.2563121103931148E-3</v>
      </c>
      <c r="FX85" s="21">
        <f t="shared" ca="1" si="95"/>
        <v>1.0373152786421877E-2</v>
      </c>
      <c r="FY85" s="21">
        <f t="shared" ca="1" si="95"/>
        <v>1.3433530403761058E-2</v>
      </c>
      <c r="FZ85" s="21">
        <f t="shared" ca="1" si="95"/>
        <v>1.5311348373679264E-2</v>
      </c>
      <c r="GA85" s="21">
        <f t="shared" ca="1" si="95"/>
        <v>1.6678884184042498E-2</v>
      </c>
      <c r="GB85" s="21">
        <f t="shared" ca="1" si="95"/>
        <v>1.4307185108152791E-2</v>
      </c>
      <c r="GC85" s="21">
        <f t="shared" ca="1" si="95"/>
        <v>1.5428528395637967E-2</v>
      </c>
      <c r="GD85" s="21">
        <f t="shared" ca="1" si="95"/>
        <v>1.5883480461398883E-2</v>
      </c>
      <c r="GE85" s="21">
        <f t="shared" ca="1" si="95"/>
        <v>1.701417857897667E-2</v>
      </c>
      <c r="GF85" s="21">
        <f t="shared" ca="1" si="95"/>
        <v>1.3998963724978013E-2</v>
      </c>
      <c r="GG85" s="21">
        <f t="shared" ca="1" si="95"/>
        <v>1.1974007065855984E-2</v>
      </c>
      <c r="GH85" s="21">
        <f t="shared" ca="1" si="95"/>
        <v>1.0052793136262731E-2</v>
      </c>
      <c r="GI85" s="21">
        <f t="shared" ca="1" si="95"/>
        <v>8.4030632062638173E-3</v>
      </c>
      <c r="GJ85" s="21">
        <f t="shared" ca="1" si="95"/>
        <v>9.3332851147316515E-3</v>
      </c>
      <c r="GK85" s="21">
        <f t="shared" ca="1" si="95"/>
        <v>8.2437952937491656E-3</v>
      </c>
      <c r="GL85" s="21">
        <f t="shared" ca="1" si="95"/>
        <v>7.0682622638570166E-3</v>
      </c>
      <c r="GM85" s="21">
        <f t="shared" ca="1" si="95"/>
        <v>1.0494522297780542E-2</v>
      </c>
      <c r="GN85" s="21">
        <f t="shared" ca="1" si="95"/>
        <v>2.0122161861814758E-2</v>
      </c>
      <c r="GO85" s="21">
        <f t="shared" ca="1" si="95"/>
        <v>2.9948800199162906E-2</v>
      </c>
      <c r="GP85" s="21">
        <f t="shared" ca="1" si="95"/>
        <v>3.3533868353812391E-2</v>
      </c>
      <c r="GQ85" s="21">
        <f t="shared" ca="1" si="95"/>
        <v>3.3299587709818362E-2</v>
      </c>
      <c r="GR85" s="21">
        <f t="shared" ca="1" si="95"/>
        <v>3.000351513439228E-2</v>
      </c>
      <c r="GS85" s="21">
        <f t="shared" ca="1" si="95"/>
        <v>2.6979098441124252E-2</v>
      </c>
      <c r="GT85" s="21">
        <f t="shared" ca="1" si="95"/>
        <v>2.7525268204008083E-2</v>
      </c>
      <c r="GU85" s="21">
        <f t="shared" ca="1" si="95"/>
        <v>2.757874830609203E-2</v>
      </c>
      <c r="GV85" s="21">
        <f t="shared" ca="1" si="95"/>
        <v>2.1114791204484826E-2</v>
      </c>
      <c r="GW85" s="21">
        <f t="shared" ca="1" si="95"/>
        <v>1.4173758108684563E-2</v>
      </c>
      <c r="GX85" s="21">
        <f t="shared" ca="1" si="95"/>
        <v>1.1571342728346787E-2</v>
      </c>
      <c r="GY85" s="21">
        <f t="shared" ca="1" si="95"/>
        <v>6.7179061853316997E-3</v>
      </c>
      <c r="GZ85" s="21">
        <f t="shared" ca="1" si="95"/>
        <v>5.6024115841605097E-3</v>
      </c>
      <c r="HA85" s="21" t="str">
        <f t="shared" si="95"/>
        <v/>
      </c>
      <c r="HB85" s="21" t="str">
        <f t="shared" si="95"/>
        <v/>
      </c>
      <c r="HC85" s="21" t="str">
        <f t="shared" si="95"/>
        <v/>
      </c>
      <c r="HD85" s="21" t="str">
        <f t="shared" si="95"/>
        <v/>
      </c>
      <c r="HE85" s="21" t="str">
        <f t="shared" si="95"/>
        <v/>
      </c>
      <c r="HF85" s="21" t="str">
        <f t="shared" si="95"/>
        <v/>
      </c>
      <c r="HG85" s="21" t="str">
        <f t="shared" si="95"/>
        <v/>
      </c>
      <c r="HH85" s="21" t="str">
        <f t="shared" si="95"/>
        <v/>
      </c>
      <c r="HI85" s="21" t="str">
        <f t="shared" si="95"/>
        <v/>
      </c>
      <c r="HJ85" s="21" t="str">
        <f t="shared" si="95"/>
        <v/>
      </c>
      <c r="HK85" s="21" t="str">
        <f t="shared" ref="HK85:JH85" si="96">IF(HK5="","",AVERAGE(HG59:HJ59)+CONFIDENCE(0.05,STDEV(GL59:HJ59),COUNT(GL59:HJ59)))</f>
        <v/>
      </c>
      <c r="HL85" s="21" t="str">
        <f t="shared" si="96"/>
        <v/>
      </c>
      <c r="HM85" s="21" t="str">
        <f t="shared" si="96"/>
        <v/>
      </c>
      <c r="HN85" s="21" t="str">
        <f t="shared" si="96"/>
        <v/>
      </c>
      <c r="HO85" s="21" t="str">
        <f t="shared" si="96"/>
        <v/>
      </c>
      <c r="HP85" s="21" t="str">
        <f t="shared" si="96"/>
        <v/>
      </c>
      <c r="HQ85" s="21" t="str">
        <f t="shared" si="96"/>
        <v/>
      </c>
      <c r="HR85" s="21" t="str">
        <f t="shared" si="96"/>
        <v/>
      </c>
      <c r="HS85" s="21" t="str">
        <f t="shared" si="96"/>
        <v/>
      </c>
      <c r="HT85" s="21" t="str">
        <f t="shared" si="96"/>
        <v/>
      </c>
      <c r="HU85" s="21" t="str">
        <f t="shared" si="96"/>
        <v/>
      </c>
      <c r="HV85" s="21" t="str">
        <f t="shared" si="96"/>
        <v/>
      </c>
      <c r="HW85" s="21" t="str">
        <f t="shared" si="96"/>
        <v/>
      </c>
      <c r="HX85" s="21" t="str">
        <f t="shared" si="96"/>
        <v/>
      </c>
      <c r="HY85" s="21" t="str">
        <f t="shared" si="96"/>
        <v/>
      </c>
      <c r="HZ85" s="21" t="str">
        <f t="shared" si="96"/>
        <v/>
      </c>
      <c r="IA85" s="21" t="str">
        <f t="shared" si="96"/>
        <v/>
      </c>
      <c r="IB85" s="21" t="str">
        <f t="shared" si="96"/>
        <v/>
      </c>
      <c r="IC85" s="21" t="str">
        <f t="shared" si="96"/>
        <v/>
      </c>
      <c r="ID85" s="21" t="str">
        <f t="shared" si="96"/>
        <v/>
      </c>
      <c r="IE85" s="21" t="str">
        <f t="shared" si="96"/>
        <v/>
      </c>
      <c r="IF85" s="21" t="str">
        <f t="shared" si="96"/>
        <v/>
      </c>
      <c r="IG85" s="21" t="str">
        <f t="shared" si="96"/>
        <v/>
      </c>
      <c r="IH85" s="21" t="str">
        <f t="shared" si="96"/>
        <v/>
      </c>
      <c r="II85" s="21" t="str">
        <f t="shared" si="96"/>
        <v/>
      </c>
      <c r="IJ85" s="21" t="str">
        <f t="shared" si="96"/>
        <v/>
      </c>
      <c r="IK85" s="21" t="str">
        <f t="shared" si="96"/>
        <v/>
      </c>
      <c r="IL85" s="21" t="str">
        <f t="shared" si="96"/>
        <v/>
      </c>
      <c r="IM85" s="21" t="str">
        <f t="shared" si="96"/>
        <v/>
      </c>
      <c r="IN85" s="21" t="str">
        <f t="shared" si="96"/>
        <v/>
      </c>
      <c r="IO85" s="21" t="str">
        <f t="shared" si="96"/>
        <v/>
      </c>
      <c r="IP85" s="21" t="str">
        <f t="shared" si="96"/>
        <v/>
      </c>
      <c r="IQ85" s="21" t="str">
        <f t="shared" si="96"/>
        <v/>
      </c>
      <c r="IR85" s="21" t="str">
        <f t="shared" si="96"/>
        <v/>
      </c>
      <c r="IS85" s="21" t="str">
        <f t="shared" si="96"/>
        <v/>
      </c>
      <c r="IT85" s="21" t="str">
        <f t="shared" si="96"/>
        <v/>
      </c>
      <c r="IU85" s="21" t="str">
        <f t="shared" si="96"/>
        <v/>
      </c>
      <c r="IV85" s="21" t="str">
        <f t="shared" si="96"/>
        <v/>
      </c>
      <c r="IW85" s="21" t="str">
        <f t="shared" si="96"/>
        <v/>
      </c>
      <c r="IX85" s="21" t="str">
        <f t="shared" si="96"/>
        <v/>
      </c>
      <c r="IY85" s="21" t="str">
        <f t="shared" si="96"/>
        <v/>
      </c>
      <c r="IZ85" s="21" t="str">
        <f t="shared" si="96"/>
        <v/>
      </c>
      <c r="JA85" s="21" t="str">
        <f t="shared" si="96"/>
        <v/>
      </c>
      <c r="JB85" s="21" t="str">
        <f t="shared" si="96"/>
        <v/>
      </c>
      <c r="JC85" s="21" t="str">
        <f t="shared" si="96"/>
        <v/>
      </c>
      <c r="JD85" s="21" t="str">
        <f t="shared" si="96"/>
        <v/>
      </c>
      <c r="JE85" s="21" t="str">
        <f t="shared" si="96"/>
        <v/>
      </c>
      <c r="JF85" s="21" t="str">
        <f t="shared" si="96"/>
        <v/>
      </c>
      <c r="JG85" s="21" t="str">
        <f t="shared" si="96"/>
        <v/>
      </c>
      <c r="JH85" s="21" t="str">
        <f t="shared" si="96"/>
        <v/>
      </c>
    </row>
    <row r="86" spans="1:336" x14ac:dyDescent="0.25"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>
        <f t="shared" ref="AA86:CL86" ca="1" si="97">IF(AA6="","",AVERAGE(V60:Z60)+CONFIDENCE(0.05,STDEV(B60:Z60),COUNT(B60:Z60)))</f>
        <v>9.2596308145168268E-3</v>
      </c>
      <c r="AB86" s="21">
        <f t="shared" ca="1" si="97"/>
        <v>8.7583798597253293E-3</v>
      </c>
      <c r="AC86" s="21">
        <f t="shared" ca="1" si="97"/>
        <v>1.0254112834094182E-2</v>
      </c>
      <c r="AD86" s="21">
        <f t="shared" ca="1" si="97"/>
        <v>1.408659097089747E-2</v>
      </c>
      <c r="AE86" s="21">
        <f t="shared" ca="1" si="97"/>
        <v>1.7626895906765524E-2</v>
      </c>
      <c r="AF86" s="21">
        <f t="shared" ca="1" si="97"/>
        <v>2.0240137959815593E-2</v>
      </c>
      <c r="AG86" s="21">
        <f t="shared" ca="1" si="97"/>
        <v>2.0692974613419981E-2</v>
      </c>
      <c r="AH86" s="21">
        <f t="shared" ca="1" si="97"/>
        <v>1.8271128114251918E-2</v>
      </c>
      <c r="AI86" s="21">
        <f t="shared" ca="1" si="97"/>
        <v>1.5124873175408653E-2</v>
      </c>
      <c r="AJ86" s="21">
        <f t="shared" ca="1" si="97"/>
        <v>1.2873366356445334E-2</v>
      </c>
      <c r="AK86" s="21">
        <f t="shared" ca="1" si="97"/>
        <v>1.0683474749399091E-2</v>
      </c>
      <c r="AL86" s="21">
        <f t="shared" ca="1" si="97"/>
        <v>1.1137802603983629E-2</v>
      </c>
      <c r="AM86" s="21">
        <f t="shared" ca="1" si="97"/>
        <v>1.1781195732469361E-2</v>
      </c>
      <c r="AN86" s="21">
        <f t="shared" ca="1" si="97"/>
        <v>1.0834310171457336E-2</v>
      </c>
      <c r="AO86" s="21">
        <f t="shared" ca="1" si="97"/>
        <v>9.7495765741037986E-3</v>
      </c>
      <c r="AP86" s="21">
        <f t="shared" ca="1" si="97"/>
        <v>8.8052606863864083E-3</v>
      </c>
      <c r="AQ86" s="21">
        <f t="shared" ca="1" si="97"/>
        <v>7.8435671128889058E-3</v>
      </c>
      <c r="AR86" s="21">
        <f t="shared" ca="1" si="97"/>
        <v>8.0115386074816382E-3</v>
      </c>
      <c r="AS86" s="21">
        <f t="shared" ca="1" si="97"/>
        <v>7.4239044709410824E-3</v>
      </c>
      <c r="AT86" s="21">
        <f t="shared" ca="1" si="97"/>
        <v>7.1887167374223076E-3</v>
      </c>
      <c r="AU86" s="21">
        <f t="shared" ca="1" si="97"/>
        <v>7.7431172198068922E-3</v>
      </c>
      <c r="AV86" s="21">
        <f t="shared" ca="1" si="97"/>
        <v>6.3663469299637624E-3</v>
      </c>
      <c r="AW86" s="21">
        <f t="shared" ca="1" si="97"/>
        <v>6.3944460103193771E-3</v>
      </c>
      <c r="AX86" s="21">
        <f t="shared" ca="1" si="97"/>
        <v>9.004074105228816E-3</v>
      </c>
      <c r="AY86" s="21">
        <f t="shared" ca="1" si="97"/>
        <v>1.3048529272955328E-2</v>
      </c>
      <c r="AZ86" s="21">
        <f t="shared" ca="1" si="97"/>
        <v>1.642067789425538E-2</v>
      </c>
      <c r="BA86" s="21">
        <f t="shared" ca="1" si="97"/>
        <v>2.2157397255244144E-2</v>
      </c>
      <c r="BB86" s="21">
        <f t="shared" ca="1" si="97"/>
        <v>2.6473664607129806E-2</v>
      </c>
      <c r="BC86" s="21">
        <f t="shared" ca="1" si="97"/>
        <v>3.0351827757367278E-2</v>
      </c>
      <c r="BD86" s="21">
        <f t="shared" ca="1" si="97"/>
        <v>3.1891606936459108E-2</v>
      </c>
      <c r="BE86" s="21">
        <f t="shared" ca="1" si="97"/>
        <v>3.105527670340719E-2</v>
      </c>
      <c r="BF86" s="21">
        <f t="shared" ca="1" si="97"/>
        <v>3.2318909113642075E-2</v>
      </c>
      <c r="BG86" s="21">
        <f t="shared" ca="1" si="97"/>
        <v>3.0113892894270057E-2</v>
      </c>
      <c r="BH86" s="21">
        <f t="shared" ca="1" si="97"/>
        <v>2.9982689705994835E-2</v>
      </c>
      <c r="BI86" s="21">
        <f t="shared" ca="1" si="97"/>
        <v>3.374692019682439E-2</v>
      </c>
      <c r="BJ86" s="21">
        <f t="shared" ca="1" si="97"/>
        <v>3.5173096727410605E-2</v>
      </c>
      <c r="BK86" s="21">
        <f t="shared" ca="1" si="97"/>
        <v>3.216565756882786E-2</v>
      </c>
      <c r="BL86" s="21">
        <f t="shared" ca="1" si="97"/>
        <v>2.8887200196948553E-2</v>
      </c>
      <c r="BM86" s="21">
        <f t="shared" ca="1" si="97"/>
        <v>2.5297433607278291E-2</v>
      </c>
      <c r="BN86" s="21">
        <f t="shared" ca="1" si="97"/>
        <v>2.2917227423029051E-2</v>
      </c>
      <c r="BO86" s="21">
        <f t="shared" ca="1" si="97"/>
        <v>2.4101625693904994E-2</v>
      </c>
      <c r="BP86" s="21">
        <f t="shared" ca="1" si="97"/>
        <v>2.9221721296558416E-2</v>
      </c>
      <c r="BQ86" s="21">
        <f t="shared" ca="1" si="97"/>
        <v>3.4356313168616662E-2</v>
      </c>
      <c r="BR86" s="21">
        <f t="shared" ca="1" si="97"/>
        <v>3.5448309120111383E-2</v>
      </c>
      <c r="BS86" s="21">
        <f t="shared" ca="1" si="97"/>
        <v>3.319610656717803E-2</v>
      </c>
      <c r="BT86" s="21">
        <f t="shared" ca="1" si="97"/>
        <v>3.0894796357421848E-2</v>
      </c>
      <c r="BU86" s="21">
        <f t="shared" ca="1" si="97"/>
        <v>2.4045530431257938E-2</v>
      </c>
      <c r="BV86" s="21">
        <f t="shared" ca="1" si="97"/>
        <v>1.90080492253209E-2</v>
      </c>
      <c r="BW86" s="21">
        <f t="shared" ca="1" si="97"/>
        <v>1.8411595885579217E-2</v>
      </c>
      <c r="BX86" s="21">
        <f t="shared" ca="1" si="97"/>
        <v>1.5712343212787319E-2</v>
      </c>
      <c r="BY86" s="21">
        <f t="shared" ca="1" si="97"/>
        <v>1.3409508211562338E-2</v>
      </c>
      <c r="BZ86" s="21">
        <f t="shared" ca="1" si="97"/>
        <v>1.325757498290726E-2</v>
      </c>
      <c r="CA86" s="21">
        <f t="shared" ca="1" si="97"/>
        <v>1.3569355312314978E-2</v>
      </c>
      <c r="CB86" s="21">
        <f t="shared" ca="1" si="97"/>
        <v>1.2147612113703465E-2</v>
      </c>
      <c r="CC86" s="21">
        <f t="shared" ca="1" si="97"/>
        <v>1.3121746849354238E-2</v>
      </c>
      <c r="CD86" s="21">
        <f t="shared" ca="1" si="97"/>
        <v>1.1791572091161408E-2</v>
      </c>
      <c r="CE86" s="21">
        <f t="shared" ca="1" si="97"/>
        <v>1.1177998137210342E-2</v>
      </c>
      <c r="CF86" s="21">
        <f t="shared" ca="1" si="97"/>
        <v>1.2832480267080787E-2</v>
      </c>
      <c r="CG86" s="21">
        <f t="shared" ca="1" si="97"/>
        <v>1.5423437317291514E-2</v>
      </c>
      <c r="CH86" s="21">
        <f t="shared" ca="1" si="97"/>
        <v>1.3496755180322652E-2</v>
      </c>
      <c r="CI86" s="21">
        <f t="shared" ca="1" si="97"/>
        <v>1.4073142035270783E-2</v>
      </c>
      <c r="CJ86" s="21">
        <f t="shared" ca="1" si="97"/>
        <v>1.4648245453078246E-2</v>
      </c>
      <c r="CK86" s="21">
        <f t="shared" ca="1" si="97"/>
        <v>1.2992244818475109E-2</v>
      </c>
      <c r="CL86" s="21">
        <f t="shared" ca="1" si="97"/>
        <v>9.2579773801105877E-3</v>
      </c>
      <c r="CM86" s="21">
        <f t="shared" ref="CM86:EX86" ca="1" si="98">IF(CM6="","",AVERAGE(CH60:CL60)+CONFIDENCE(0.05,STDEV(BN60:CL60),COUNT(BN60:CL60)))</f>
        <v>9.5661092690652906E-3</v>
      </c>
      <c r="CN86" s="21">
        <f t="shared" ca="1" si="98"/>
        <v>8.7889075535058647E-3</v>
      </c>
      <c r="CO86" s="21">
        <f t="shared" ca="1" si="98"/>
        <v>1.0643183352037747E-2</v>
      </c>
      <c r="CP86" s="21">
        <f t="shared" ca="1" si="98"/>
        <v>1.3195317504865706E-2</v>
      </c>
      <c r="CQ86" s="21">
        <f t="shared" ca="1" si="98"/>
        <v>1.3389082796543557E-2</v>
      </c>
      <c r="CR86" s="21">
        <f t="shared" ca="1" si="98"/>
        <v>1.831754999245512E-2</v>
      </c>
      <c r="CS86" s="21">
        <f t="shared" ca="1" si="98"/>
        <v>2.1183016952259187E-2</v>
      </c>
      <c r="CT86" s="21">
        <f t="shared" ca="1" si="98"/>
        <v>1.8596954018131905E-2</v>
      </c>
      <c r="CU86" s="21">
        <f t="shared" ca="1" si="98"/>
        <v>2.0648653324518377E-2</v>
      </c>
      <c r="CV86" s="21">
        <f t="shared" ca="1" si="98"/>
        <v>2.2527995746594066E-2</v>
      </c>
      <c r="CW86" s="21">
        <f t="shared" ca="1" si="98"/>
        <v>1.6410985791378958E-2</v>
      </c>
      <c r="CX86" s="21">
        <f t="shared" ca="1" si="98"/>
        <v>1.3823392831069332E-2</v>
      </c>
      <c r="CY86" s="21">
        <f t="shared" ca="1" si="98"/>
        <v>1.2871190569622597E-2</v>
      </c>
      <c r="CZ86" s="21">
        <f t="shared" ca="1" si="98"/>
        <v>1.1061269639186548E-2</v>
      </c>
      <c r="DA86" s="21">
        <f t="shared" ca="1" si="98"/>
        <v>9.7406394001926695E-3</v>
      </c>
      <c r="DB86" s="21">
        <f t="shared" ca="1" si="98"/>
        <v>1.2974578394152102E-2</v>
      </c>
      <c r="DC86" s="21">
        <f t="shared" ca="1" si="98"/>
        <v>1.3304096814826758E-2</v>
      </c>
      <c r="DD86" s="21">
        <f t="shared" ca="1" si="98"/>
        <v>2.3342880842163474E-2</v>
      </c>
      <c r="DE86" s="21">
        <f t="shared" ca="1" si="98"/>
        <v>2.4248024804341073E-2</v>
      </c>
      <c r="DF86" s="21">
        <f t="shared" ca="1" si="98"/>
        <v>2.6441174113311532E-2</v>
      </c>
      <c r="DG86" s="21">
        <f t="shared" ca="1" si="98"/>
        <v>3.0012104320602993E-2</v>
      </c>
      <c r="DH86" s="21">
        <f t="shared" ca="1" si="98"/>
        <v>3.426261861093241E-2</v>
      </c>
      <c r="DI86" s="21">
        <f t="shared" ca="1" si="98"/>
        <v>2.8853369154690393E-2</v>
      </c>
      <c r="DJ86" s="21">
        <f t="shared" ca="1" si="98"/>
        <v>2.8552465293798474E-2</v>
      </c>
      <c r="DK86" s="21">
        <f t="shared" ca="1" si="98"/>
        <v>2.7574164453854581E-2</v>
      </c>
      <c r="DL86" s="21">
        <f t="shared" ca="1" si="98"/>
        <v>2.4607648359179998E-2</v>
      </c>
      <c r="DM86" s="21">
        <f t="shared" ca="1" si="98"/>
        <v>2.5944688949668927E-2</v>
      </c>
      <c r="DN86" s="21">
        <f t="shared" ca="1" si="98"/>
        <v>2.4772718832410702E-2</v>
      </c>
      <c r="DO86" s="21">
        <f t="shared" ca="1" si="98"/>
        <v>2.6658487188915E-2</v>
      </c>
      <c r="DP86" s="21">
        <f t="shared" ca="1" si="98"/>
        <v>2.9224339915309351E-2</v>
      </c>
      <c r="DQ86" s="21">
        <f t="shared" ca="1" si="98"/>
        <v>2.742719413613566E-2</v>
      </c>
      <c r="DR86" s="21">
        <f t="shared" ca="1" si="98"/>
        <v>2.4843479438363628E-2</v>
      </c>
      <c r="DS86" s="21">
        <f t="shared" ca="1" si="98"/>
        <v>2.2864941092709028E-2</v>
      </c>
      <c r="DT86" s="21">
        <f t="shared" ca="1" si="98"/>
        <v>1.7601091778205222E-2</v>
      </c>
      <c r="DU86" s="21">
        <f t="shared" ca="1" si="98"/>
        <v>1.2637356147855581E-2</v>
      </c>
      <c r="DV86" s="21">
        <f t="shared" ca="1" si="98"/>
        <v>1.1285711174165023E-2</v>
      </c>
      <c r="DW86" s="21">
        <f t="shared" ca="1" si="98"/>
        <v>7.6366575631167813E-3</v>
      </c>
      <c r="DX86" s="21">
        <f t="shared" ca="1" si="98"/>
        <v>9.5310067728743512E-3</v>
      </c>
      <c r="DY86" s="21">
        <f t="shared" ca="1" si="98"/>
        <v>1.3055923553482724E-2</v>
      </c>
      <c r="DZ86" s="21">
        <f t="shared" ca="1" si="98"/>
        <v>1.2597201785026626E-2</v>
      </c>
      <c r="EA86" s="21">
        <f t="shared" ca="1" si="98"/>
        <v>1.3496014514613339E-2</v>
      </c>
      <c r="EB86" s="21">
        <f t="shared" ca="1" si="98"/>
        <v>1.8058305062801153E-2</v>
      </c>
      <c r="EC86" s="21">
        <f t="shared" ca="1" si="98"/>
        <v>1.786316365450042E-2</v>
      </c>
      <c r="ED86" s="21">
        <f t="shared" ca="1" si="98"/>
        <v>1.674744220111481E-2</v>
      </c>
      <c r="EE86" s="21">
        <f t="shared" ca="1" si="98"/>
        <v>1.9346923909879701E-2</v>
      </c>
      <c r="EF86" s="21">
        <f t="shared" ca="1" si="98"/>
        <v>2.3648528552283055E-2</v>
      </c>
      <c r="EG86" s="21">
        <f t="shared" ca="1" si="98"/>
        <v>2.2966286813985406E-2</v>
      </c>
      <c r="EH86" s="21">
        <f t="shared" ca="1" si="98"/>
        <v>2.0407896718354881E-2</v>
      </c>
      <c r="EI86" s="21">
        <f t="shared" ca="1" si="98"/>
        <v>2.0537932787614337E-2</v>
      </c>
      <c r="EJ86" s="21">
        <f t="shared" ca="1" si="98"/>
        <v>2.2547201660187859E-2</v>
      </c>
      <c r="EK86" s="21">
        <f t="shared" ca="1" si="98"/>
        <v>2.3229391052971775E-2</v>
      </c>
      <c r="EL86" s="21">
        <f t="shared" ca="1" si="98"/>
        <v>2.0347844104081993E-2</v>
      </c>
      <c r="EM86" s="21">
        <f t="shared" ca="1" si="98"/>
        <v>2.0108198243642763E-2</v>
      </c>
      <c r="EN86" s="21">
        <f t="shared" ca="1" si="98"/>
        <v>1.7616432928067281E-2</v>
      </c>
      <c r="EO86" s="21">
        <f t="shared" ca="1" si="98"/>
        <v>1.5100732257602376E-2</v>
      </c>
      <c r="EP86" s="21">
        <f t="shared" ca="1" si="98"/>
        <v>9.2779802064665434E-3</v>
      </c>
      <c r="EQ86" s="21">
        <f t="shared" ca="1" si="98"/>
        <v>7.7776029940261745E-3</v>
      </c>
      <c r="ER86" s="21">
        <f t="shared" ca="1" si="98"/>
        <v>7.9849965375843497E-3</v>
      </c>
      <c r="ES86" s="21">
        <f t="shared" ca="1" si="98"/>
        <v>1.0773022374276032E-2</v>
      </c>
      <c r="ET86" s="21">
        <f t="shared" ca="1" si="98"/>
        <v>1.2004208390484265E-2</v>
      </c>
      <c r="EU86" s="21">
        <f t="shared" ca="1" si="98"/>
        <v>1.3879985521954947E-2</v>
      </c>
      <c r="EV86" s="21">
        <f t="shared" ca="1" si="98"/>
        <v>1.3852360488877035E-2</v>
      </c>
      <c r="EW86" s="21">
        <f t="shared" ca="1" si="98"/>
        <v>1.423813055845221E-2</v>
      </c>
      <c r="EX86" s="21">
        <f t="shared" ca="1" si="98"/>
        <v>1.4614754461151796E-2</v>
      </c>
      <c r="EY86" s="21">
        <f t="shared" ref="EY86:HJ86" ca="1" si="99">IF(EY6="","",AVERAGE(ET60:EX60)+CONFIDENCE(0.05,STDEV(DZ60:EX60),COUNT(DZ60:EX60)))</f>
        <v>1.351609627887777E-2</v>
      </c>
      <c r="EZ86" s="21">
        <f t="shared" ca="1" si="99"/>
        <v>1.169138585656627E-2</v>
      </c>
      <c r="FA86" s="21">
        <f t="shared" ca="1" si="99"/>
        <v>1.2568910278930531E-2</v>
      </c>
      <c r="FB86" s="21">
        <f t="shared" ca="1" si="99"/>
        <v>1.1984008280890268E-2</v>
      </c>
      <c r="FC86" s="21">
        <f t="shared" ca="1" si="99"/>
        <v>8.4592920917434065E-3</v>
      </c>
      <c r="FD86" s="21">
        <f t="shared" ca="1" si="99"/>
        <v>6.7084016305937709E-3</v>
      </c>
      <c r="FE86" s="21">
        <f t="shared" ca="1" si="99"/>
        <v>6.1741334294568087E-3</v>
      </c>
      <c r="FF86" s="21">
        <f t="shared" ca="1" si="99"/>
        <v>5.2720784450780468E-3</v>
      </c>
      <c r="FG86" s="21">
        <f t="shared" ca="1" si="99"/>
        <v>5.7860167742445831E-3</v>
      </c>
      <c r="FH86" s="21">
        <f t="shared" ca="1" si="99"/>
        <v>7.8270744008225989E-3</v>
      </c>
      <c r="FI86" s="21">
        <f t="shared" ca="1" si="99"/>
        <v>7.619224579872387E-3</v>
      </c>
      <c r="FJ86" s="21">
        <f t="shared" ca="1" si="99"/>
        <v>9.8765054164450302E-3</v>
      </c>
      <c r="FK86" s="21">
        <f t="shared" ca="1" si="99"/>
        <v>1.2642157181412043E-2</v>
      </c>
      <c r="FL86" s="21">
        <f t="shared" ca="1" si="99"/>
        <v>1.3753420718988621E-2</v>
      </c>
      <c r="FM86" s="21">
        <f t="shared" ca="1" si="99"/>
        <v>1.2672749135387053E-2</v>
      </c>
      <c r="FN86" s="21">
        <f t="shared" ca="1" si="99"/>
        <v>1.5260302639220968E-2</v>
      </c>
      <c r="FO86" s="21">
        <f t="shared" ca="1" si="99"/>
        <v>1.7251923581791791E-2</v>
      </c>
      <c r="FP86" s="21">
        <f t="shared" ca="1" si="99"/>
        <v>1.8093589698432319E-2</v>
      </c>
      <c r="FQ86" s="21">
        <f t="shared" ca="1" si="99"/>
        <v>1.8185071108936531E-2</v>
      </c>
      <c r="FR86" s="21">
        <f t="shared" ca="1" si="99"/>
        <v>1.8012866139865531E-2</v>
      </c>
      <c r="FS86" s="21">
        <f t="shared" ca="1" si="99"/>
        <v>1.63915813405732E-2</v>
      </c>
      <c r="FT86" s="21">
        <f t="shared" ca="1" si="99"/>
        <v>1.1824804506737209E-2</v>
      </c>
      <c r="FU86" s="21">
        <f t="shared" ca="1" si="99"/>
        <v>1.1087231266225296E-2</v>
      </c>
      <c r="FV86" s="21">
        <f t="shared" ca="1" si="99"/>
        <v>9.1699183850180912E-3</v>
      </c>
      <c r="FW86" s="21">
        <f t="shared" ca="1" si="99"/>
        <v>9.9816414998853929E-3</v>
      </c>
      <c r="FX86" s="21">
        <f t="shared" ca="1" si="99"/>
        <v>1.4745904516778091E-2</v>
      </c>
      <c r="FY86" s="21">
        <f t="shared" ca="1" si="99"/>
        <v>1.639818075683714E-2</v>
      </c>
      <c r="FZ86" s="21">
        <f t="shared" ca="1" si="99"/>
        <v>1.5001254542018965E-2</v>
      </c>
      <c r="GA86" s="21">
        <f t="shared" ca="1" si="99"/>
        <v>1.7329341811770368E-2</v>
      </c>
      <c r="GB86" s="21">
        <f t="shared" ca="1" si="99"/>
        <v>2.0050926682231469E-2</v>
      </c>
      <c r="GC86" s="21">
        <f t="shared" ca="1" si="99"/>
        <v>1.7747772856104238E-2</v>
      </c>
      <c r="GD86" s="21">
        <f t="shared" ca="1" si="99"/>
        <v>1.8967370149870665E-2</v>
      </c>
      <c r="GE86" s="21">
        <f t="shared" ca="1" si="99"/>
        <v>1.9749604853594588E-2</v>
      </c>
      <c r="GF86" s="21">
        <f t="shared" ca="1" si="99"/>
        <v>1.8829189075398794E-2</v>
      </c>
      <c r="GG86" s="21">
        <f t="shared" ca="1" si="99"/>
        <v>1.5476038268496825E-2</v>
      </c>
      <c r="GH86" s="21">
        <f t="shared" ca="1" si="99"/>
        <v>1.1951443367391113E-2</v>
      </c>
      <c r="GI86" s="21">
        <f t="shared" ca="1" si="99"/>
        <v>9.5218886085779372E-3</v>
      </c>
      <c r="GJ86" s="21">
        <f t="shared" ca="1" si="99"/>
        <v>7.6462788698311943E-3</v>
      </c>
      <c r="GK86" s="21">
        <f t="shared" ca="1" si="99"/>
        <v>8.0459965193040474E-3</v>
      </c>
      <c r="GL86" s="21">
        <f t="shared" ca="1" si="99"/>
        <v>9.7475592984502708E-3</v>
      </c>
      <c r="GM86" s="21">
        <f t="shared" ca="1" si="99"/>
        <v>2.042651199236567E-2</v>
      </c>
      <c r="GN86" s="21">
        <f t="shared" ca="1" si="99"/>
        <v>2.7547443615665988E-2</v>
      </c>
      <c r="GO86" s="21">
        <f t="shared" ca="1" si="99"/>
        <v>3.3862657475030158E-2</v>
      </c>
      <c r="GP86" s="21">
        <f t="shared" ca="1" si="99"/>
        <v>3.4128438042269456E-2</v>
      </c>
      <c r="GQ86" s="21">
        <f t="shared" ca="1" si="99"/>
        <v>3.6013908689183256E-2</v>
      </c>
      <c r="GR86" s="21">
        <f t="shared" ca="1" si="99"/>
        <v>3.5922042967961559E-2</v>
      </c>
      <c r="GS86" s="21">
        <f t="shared" ca="1" si="99"/>
        <v>3.3921170341969349E-2</v>
      </c>
      <c r="GT86" s="21">
        <f t="shared" ca="1" si="99"/>
        <v>3.2400059632331481E-2</v>
      </c>
      <c r="GU86" s="21">
        <f t="shared" ca="1" si="99"/>
        <v>3.3292775521417656E-2</v>
      </c>
      <c r="GV86" s="21">
        <f t="shared" ca="1" si="99"/>
        <v>2.9506937834887174E-2</v>
      </c>
      <c r="GW86" s="21">
        <f t="shared" ca="1" si="99"/>
        <v>2.4320738694182015E-2</v>
      </c>
      <c r="GX86" s="21">
        <f t="shared" ca="1" si="99"/>
        <v>2.1525934305515096E-2</v>
      </c>
      <c r="GY86" s="21">
        <f t="shared" ca="1" si="99"/>
        <v>1.6661754885552417E-2</v>
      </c>
      <c r="GZ86" s="21">
        <f t="shared" ca="1" si="99"/>
        <v>1.0543563776813876E-2</v>
      </c>
      <c r="HA86" s="21" t="str">
        <f t="shared" si="99"/>
        <v/>
      </c>
      <c r="HB86" s="21" t="str">
        <f t="shared" si="99"/>
        <v/>
      </c>
      <c r="HC86" s="21" t="str">
        <f t="shared" si="99"/>
        <v/>
      </c>
      <c r="HD86" s="21" t="str">
        <f t="shared" si="99"/>
        <v/>
      </c>
      <c r="HE86" s="21" t="str">
        <f t="shared" si="99"/>
        <v/>
      </c>
      <c r="HF86" s="21" t="str">
        <f t="shared" si="99"/>
        <v/>
      </c>
      <c r="HG86" s="21" t="str">
        <f t="shared" si="99"/>
        <v/>
      </c>
      <c r="HH86" s="21" t="str">
        <f t="shared" si="99"/>
        <v/>
      </c>
      <c r="HI86" s="21" t="str">
        <f t="shared" si="99"/>
        <v/>
      </c>
      <c r="HJ86" s="21" t="str">
        <f t="shared" si="99"/>
        <v/>
      </c>
      <c r="HK86" s="21" t="str">
        <f t="shared" ref="HK86:JH86" si="100">IF(HK6="","",AVERAGE(HF60:HJ60)+CONFIDENCE(0.05,STDEV(GL60:HJ60),COUNT(GL60:HJ60)))</f>
        <v/>
      </c>
      <c r="HL86" s="21" t="str">
        <f t="shared" si="100"/>
        <v/>
      </c>
      <c r="HM86" s="21" t="str">
        <f t="shared" si="100"/>
        <v/>
      </c>
      <c r="HN86" s="21" t="str">
        <f t="shared" si="100"/>
        <v/>
      </c>
      <c r="HO86" s="21" t="str">
        <f t="shared" si="100"/>
        <v/>
      </c>
      <c r="HP86" s="21" t="str">
        <f t="shared" si="100"/>
        <v/>
      </c>
      <c r="HQ86" s="21" t="str">
        <f t="shared" si="100"/>
        <v/>
      </c>
      <c r="HR86" s="21" t="str">
        <f t="shared" si="100"/>
        <v/>
      </c>
      <c r="HS86" s="21" t="str">
        <f t="shared" si="100"/>
        <v/>
      </c>
      <c r="HT86" s="21" t="str">
        <f t="shared" si="100"/>
        <v/>
      </c>
      <c r="HU86" s="21" t="str">
        <f t="shared" si="100"/>
        <v/>
      </c>
      <c r="HV86" s="21" t="str">
        <f t="shared" si="100"/>
        <v/>
      </c>
      <c r="HW86" s="21" t="str">
        <f t="shared" si="100"/>
        <v/>
      </c>
      <c r="HX86" s="21" t="str">
        <f t="shared" si="100"/>
        <v/>
      </c>
      <c r="HY86" s="21" t="str">
        <f t="shared" si="100"/>
        <v/>
      </c>
      <c r="HZ86" s="21" t="str">
        <f t="shared" si="100"/>
        <v/>
      </c>
      <c r="IA86" s="21" t="str">
        <f t="shared" si="100"/>
        <v/>
      </c>
      <c r="IB86" s="21" t="str">
        <f t="shared" si="100"/>
        <v/>
      </c>
      <c r="IC86" s="21" t="str">
        <f t="shared" si="100"/>
        <v/>
      </c>
      <c r="ID86" s="21" t="str">
        <f t="shared" si="100"/>
        <v/>
      </c>
      <c r="IE86" s="21" t="str">
        <f t="shared" si="100"/>
        <v/>
      </c>
      <c r="IF86" s="21" t="str">
        <f t="shared" si="100"/>
        <v/>
      </c>
      <c r="IG86" s="21" t="str">
        <f t="shared" si="100"/>
        <v/>
      </c>
      <c r="IH86" s="21" t="str">
        <f t="shared" si="100"/>
        <v/>
      </c>
      <c r="II86" s="21" t="str">
        <f t="shared" si="100"/>
        <v/>
      </c>
      <c r="IJ86" s="21" t="str">
        <f t="shared" si="100"/>
        <v/>
      </c>
      <c r="IK86" s="21" t="str">
        <f t="shared" si="100"/>
        <v/>
      </c>
      <c r="IL86" s="21" t="str">
        <f t="shared" si="100"/>
        <v/>
      </c>
      <c r="IM86" s="21" t="str">
        <f t="shared" si="100"/>
        <v/>
      </c>
      <c r="IN86" s="21" t="str">
        <f t="shared" si="100"/>
        <v/>
      </c>
      <c r="IO86" s="21" t="str">
        <f t="shared" si="100"/>
        <v/>
      </c>
      <c r="IP86" s="21" t="str">
        <f t="shared" si="100"/>
        <v/>
      </c>
      <c r="IQ86" s="21" t="str">
        <f t="shared" si="100"/>
        <v/>
      </c>
      <c r="IR86" s="21" t="str">
        <f t="shared" si="100"/>
        <v/>
      </c>
      <c r="IS86" s="21" t="str">
        <f t="shared" si="100"/>
        <v/>
      </c>
      <c r="IT86" s="21" t="str">
        <f t="shared" si="100"/>
        <v/>
      </c>
      <c r="IU86" s="21" t="str">
        <f t="shared" si="100"/>
        <v/>
      </c>
      <c r="IV86" s="21" t="str">
        <f t="shared" si="100"/>
        <v/>
      </c>
      <c r="IW86" s="21" t="str">
        <f t="shared" si="100"/>
        <v/>
      </c>
      <c r="IX86" s="21" t="str">
        <f t="shared" si="100"/>
        <v/>
      </c>
      <c r="IY86" s="21" t="str">
        <f t="shared" si="100"/>
        <v/>
      </c>
      <c r="IZ86" s="21" t="str">
        <f t="shared" si="100"/>
        <v/>
      </c>
      <c r="JA86" s="21" t="str">
        <f t="shared" si="100"/>
        <v/>
      </c>
      <c r="JB86" s="21" t="str">
        <f t="shared" si="100"/>
        <v/>
      </c>
      <c r="JC86" s="21" t="str">
        <f t="shared" si="100"/>
        <v/>
      </c>
      <c r="JD86" s="21" t="str">
        <f t="shared" si="100"/>
        <v/>
      </c>
      <c r="JE86" s="21" t="str">
        <f t="shared" si="100"/>
        <v/>
      </c>
      <c r="JF86" s="21" t="str">
        <f t="shared" si="100"/>
        <v/>
      </c>
      <c r="JG86" s="21" t="str">
        <f t="shared" si="100"/>
        <v/>
      </c>
      <c r="JH86" s="21" t="str">
        <f t="shared" si="100"/>
        <v/>
      </c>
    </row>
    <row r="87" spans="1:336" x14ac:dyDescent="0.25"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>
        <f t="shared" ref="AA87:CL87" ca="1" si="101">IF(AA7="","",AVERAGE(U61:Z61)+CONFIDENCE(0.05,STDEV(B61:Z61),COUNT(B61:Z61)))</f>
        <v>9.0492391313790523E-3</v>
      </c>
      <c r="AB87" s="21">
        <f t="shared" ca="1" si="101"/>
        <v>1.0130586862879183E-2</v>
      </c>
      <c r="AC87" s="21">
        <f t="shared" ca="1" si="101"/>
        <v>1.3459396808401967E-2</v>
      </c>
      <c r="AD87" s="21">
        <f t="shared" ca="1" si="101"/>
        <v>1.7415315752742914E-2</v>
      </c>
      <c r="AE87" s="21">
        <f t="shared" ca="1" si="101"/>
        <v>1.927032027392685E-2</v>
      </c>
      <c r="AF87" s="21">
        <f t="shared" ca="1" si="101"/>
        <v>2.2338660598768142E-2</v>
      </c>
      <c r="AG87" s="21">
        <f t="shared" ca="1" si="101"/>
        <v>2.1940680187851714E-2</v>
      </c>
      <c r="AH87" s="21">
        <f t="shared" ca="1" si="101"/>
        <v>2.010956745433173E-2</v>
      </c>
      <c r="AI87" s="21">
        <f t="shared" ca="1" si="101"/>
        <v>1.796273114510356E-2</v>
      </c>
      <c r="AJ87" s="21">
        <f t="shared" ca="1" si="101"/>
        <v>1.4765285873816519E-2</v>
      </c>
      <c r="AK87" s="21">
        <f t="shared" ca="1" si="101"/>
        <v>1.3604022972590897E-2</v>
      </c>
      <c r="AL87" s="21">
        <f t="shared" ca="1" si="101"/>
        <v>1.2118627551946084E-2</v>
      </c>
      <c r="AM87" s="21">
        <f t="shared" ca="1" si="101"/>
        <v>1.1818818866502491E-2</v>
      </c>
      <c r="AN87" s="21">
        <f t="shared" ca="1" si="101"/>
        <v>1.1295617421539788E-2</v>
      </c>
      <c r="AO87" s="21">
        <f t="shared" ca="1" si="101"/>
        <v>1.0525443507048121E-2</v>
      </c>
      <c r="AP87" s="21">
        <f t="shared" ca="1" si="101"/>
        <v>9.9584382951034139E-3</v>
      </c>
      <c r="AQ87" s="21">
        <f t="shared" ca="1" si="101"/>
        <v>8.9179039163518829E-3</v>
      </c>
      <c r="AR87" s="21">
        <f t="shared" ca="1" si="101"/>
        <v>7.4413781181077894E-3</v>
      </c>
      <c r="AS87" s="21">
        <f t="shared" ca="1" si="101"/>
        <v>6.5320372362068675E-3</v>
      </c>
      <c r="AT87" s="21">
        <f t="shared" ca="1" si="101"/>
        <v>7.2793981101839916E-3</v>
      </c>
      <c r="AU87" s="21">
        <f t="shared" ca="1" si="101"/>
        <v>7.2255193373868196E-3</v>
      </c>
      <c r="AV87" s="21">
        <f t="shared" ca="1" si="101"/>
        <v>6.3170721255750226E-3</v>
      </c>
      <c r="AW87" s="21">
        <f t="shared" ca="1" si="101"/>
        <v>7.5314232520409669E-3</v>
      </c>
      <c r="AX87" s="21">
        <f t="shared" ca="1" si="101"/>
        <v>1.0009647210677118E-2</v>
      </c>
      <c r="AY87" s="21">
        <f t="shared" ca="1" si="101"/>
        <v>1.5078608278410314E-2</v>
      </c>
      <c r="AZ87" s="21">
        <f t="shared" ca="1" si="101"/>
        <v>2.0285127585067394E-2</v>
      </c>
      <c r="BA87" s="21">
        <f t="shared" ca="1" si="101"/>
        <v>2.6500011151782989E-2</v>
      </c>
      <c r="BB87" s="21">
        <f t="shared" ca="1" si="101"/>
        <v>3.2520287622527837E-2</v>
      </c>
      <c r="BC87" s="21">
        <f t="shared" ca="1" si="101"/>
        <v>3.6058374849120889E-2</v>
      </c>
      <c r="BD87" s="21">
        <f t="shared" ca="1" si="101"/>
        <v>3.8328598928881491E-2</v>
      </c>
      <c r="BE87" s="21">
        <f t="shared" ca="1" si="101"/>
        <v>4.1659034511940835E-2</v>
      </c>
      <c r="BF87" s="21">
        <f t="shared" ca="1" si="101"/>
        <v>4.3432212739211551E-2</v>
      </c>
      <c r="BG87" s="21">
        <f t="shared" ca="1" si="101"/>
        <v>4.1985133006331013E-2</v>
      </c>
      <c r="BH87" s="21">
        <f t="shared" ca="1" si="101"/>
        <v>4.261063208902896E-2</v>
      </c>
      <c r="BI87" s="21">
        <f t="shared" ca="1" si="101"/>
        <v>4.6715014964468789E-2</v>
      </c>
      <c r="BJ87" s="21">
        <f t="shared" ca="1" si="101"/>
        <v>4.6068939267502856E-2</v>
      </c>
      <c r="BK87" s="21">
        <f t="shared" ca="1" si="101"/>
        <v>4.0138788660535454E-2</v>
      </c>
      <c r="BL87" s="21">
        <f t="shared" ca="1" si="101"/>
        <v>3.3644411191083204E-2</v>
      </c>
      <c r="BM87" s="21">
        <f t="shared" ca="1" si="101"/>
        <v>3.2534694195475389E-2</v>
      </c>
      <c r="BN87" s="21">
        <f t="shared" ca="1" si="101"/>
        <v>3.2988399126656451E-2</v>
      </c>
      <c r="BO87" s="21">
        <f t="shared" ca="1" si="101"/>
        <v>3.3496395877562903E-2</v>
      </c>
      <c r="BP87" s="21">
        <f t="shared" ca="1" si="101"/>
        <v>3.5108137549259504E-2</v>
      </c>
      <c r="BQ87" s="21">
        <f t="shared" ca="1" si="101"/>
        <v>3.7620139622993674E-2</v>
      </c>
      <c r="BR87" s="21">
        <f t="shared" ca="1" si="101"/>
        <v>4.1877509679154559E-2</v>
      </c>
      <c r="BS87" s="21">
        <f t="shared" ca="1" si="101"/>
        <v>4.0481665794597901E-2</v>
      </c>
      <c r="BT87" s="21">
        <f t="shared" ca="1" si="101"/>
        <v>3.7350120169293309E-2</v>
      </c>
      <c r="BU87" s="21">
        <f t="shared" ca="1" si="101"/>
        <v>2.9627405894747345E-2</v>
      </c>
      <c r="BV87" s="21">
        <f t="shared" ca="1" si="101"/>
        <v>2.4642899137871696E-2</v>
      </c>
      <c r="BW87" s="21">
        <f t="shared" ca="1" si="101"/>
        <v>2.3204159355920378E-2</v>
      </c>
      <c r="BX87" s="21">
        <f t="shared" ca="1" si="101"/>
        <v>2.0534765972244746E-2</v>
      </c>
      <c r="BY87" s="21">
        <f t="shared" ca="1" si="101"/>
        <v>1.9906893154222574E-2</v>
      </c>
      <c r="BZ87" s="21">
        <f t="shared" ca="1" si="101"/>
        <v>1.6987775675932817E-2</v>
      </c>
      <c r="CA87" s="21">
        <f t="shared" ca="1" si="101"/>
        <v>1.7007299039504799E-2</v>
      </c>
      <c r="CB87" s="21">
        <f t="shared" ca="1" si="101"/>
        <v>1.7428606447217661E-2</v>
      </c>
      <c r="CC87" s="21">
        <f t="shared" ca="1" si="101"/>
        <v>1.5236951173433894E-2</v>
      </c>
      <c r="CD87" s="21">
        <f t="shared" ca="1" si="101"/>
        <v>1.3631133940430975E-2</v>
      </c>
      <c r="CE87" s="21">
        <f t="shared" ca="1" si="101"/>
        <v>1.2891828431854713E-2</v>
      </c>
      <c r="CF87" s="21">
        <f t="shared" ca="1" si="101"/>
        <v>1.5144330923387591E-2</v>
      </c>
      <c r="CG87" s="21">
        <f t="shared" ca="1" si="101"/>
        <v>1.7318299059399109E-2</v>
      </c>
      <c r="CH87" s="21">
        <f t="shared" ca="1" si="101"/>
        <v>1.6146775015131454E-2</v>
      </c>
      <c r="CI87" s="21">
        <f t="shared" ca="1" si="101"/>
        <v>1.6670660472559731E-2</v>
      </c>
      <c r="CJ87" s="21">
        <f t="shared" ca="1" si="101"/>
        <v>1.7584488455594051E-2</v>
      </c>
      <c r="CK87" s="21">
        <f t="shared" ca="1" si="101"/>
        <v>1.7295905354561197E-2</v>
      </c>
      <c r="CL87" s="21">
        <f t="shared" ca="1" si="101"/>
        <v>1.4711217973616984E-2</v>
      </c>
      <c r="CM87" s="21">
        <f t="shared" ref="CM87:EX87" ca="1" si="102">IF(CM7="","",AVERAGE(CG61:CL61)+CONFIDENCE(0.05,STDEV(BN61:CL61),COUNT(BN61:CL61)))</f>
        <v>1.0651592274332357E-2</v>
      </c>
      <c r="CN87" s="21">
        <f t="shared" ca="1" si="102"/>
        <v>1.3082546335684109E-2</v>
      </c>
      <c r="CO87" s="21">
        <f t="shared" ca="1" si="102"/>
        <v>1.5318468414531173E-2</v>
      </c>
      <c r="CP87" s="21">
        <f t="shared" ca="1" si="102"/>
        <v>1.5175838088209236E-2</v>
      </c>
      <c r="CQ87" s="21">
        <f t="shared" ca="1" si="102"/>
        <v>1.6338034424660412E-2</v>
      </c>
      <c r="CR87" s="21">
        <f t="shared" ca="1" si="102"/>
        <v>2.2571781361663094E-2</v>
      </c>
      <c r="CS87" s="21">
        <f t="shared" ca="1" si="102"/>
        <v>2.5236694000838601E-2</v>
      </c>
      <c r="CT87" s="21">
        <f t="shared" ca="1" si="102"/>
        <v>2.3278772312221981E-2</v>
      </c>
      <c r="CU87" s="21">
        <f t="shared" ca="1" si="102"/>
        <v>2.4292932298624923E-2</v>
      </c>
      <c r="CV87" s="21">
        <f t="shared" ca="1" si="102"/>
        <v>2.4221956426423278E-2</v>
      </c>
      <c r="CW87" s="21">
        <f t="shared" ca="1" si="102"/>
        <v>2.301826037129262E-2</v>
      </c>
      <c r="CX87" s="21">
        <f t="shared" ca="1" si="102"/>
        <v>1.8533942045519072E-2</v>
      </c>
      <c r="CY87" s="21">
        <f t="shared" ca="1" si="102"/>
        <v>1.818392397903754E-2</v>
      </c>
      <c r="CZ87" s="21">
        <f t="shared" ca="1" si="102"/>
        <v>1.6193135685747716E-2</v>
      </c>
      <c r="DA87" s="21">
        <f t="shared" ca="1" si="102"/>
        <v>1.6910868806163694E-2</v>
      </c>
      <c r="DB87" s="21">
        <f t="shared" ca="1" si="102"/>
        <v>1.8824253464660944E-2</v>
      </c>
      <c r="DC87" s="21">
        <f t="shared" ca="1" si="102"/>
        <v>1.8298292466704266E-2</v>
      </c>
      <c r="DD87" s="21">
        <f t="shared" ca="1" si="102"/>
        <v>2.438042753904621E-2</v>
      </c>
      <c r="DE87" s="21">
        <f t="shared" ca="1" si="102"/>
        <v>2.3943014683914153E-2</v>
      </c>
      <c r="DF87" s="21">
        <f t="shared" ca="1" si="102"/>
        <v>2.8213477100946731E-2</v>
      </c>
      <c r="DG87" s="21">
        <f t="shared" ca="1" si="102"/>
        <v>3.0269385620321936E-2</v>
      </c>
      <c r="DH87" s="21">
        <f t="shared" ca="1" si="102"/>
        <v>3.232526041864079E-2</v>
      </c>
      <c r="DI87" s="21">
        <f t="shared" ca="1" si="102"/>
        <v>3.6337313352800618E-2</v>
      </c>
      <c r="DJ87" s="21">
        <f t="shared" ca="1" si="102"/>
        <v>3.2643632552973201E-2</v>
      </c>
      <c r="DK87" s="21">
        <f t="shared" ca="1" si="102"/>
        <v>3.3333500207527039E-2</v>
      </c>
      <c r="DL87" s="21">
        <f t="shared" ca="1" si="102"/>
        <v>3.6541023927264826E-2</v>
      </c>
      <c r="DM87" s="21">
        <f t="shared" ca="1" si="102"/>
        <v>3.2257662151409842E-2</v>
      </c>
      <c r="DN87" s="21">
        <f t="shared" ca="1" si="102"/>
        <v>3.2102598637157788E-2</v>
      </c>
      <c r="DO87" s="21">
        <f t="shared" ca="1" si="102"/>
        <v>3.3376478334693926E-2</v>
      </c>
      <c r="DP87" s="21">
        <f t="shared" ca="1" si="102"/>
        <v>3.4693230942397853E-2</v>
      </c>
      <c r="DQ87" s="21">
        <f t="shared" ca="1" si="102"/>
        <v>3.3157083149361721E-2</v>
      </c>
      <c r="DR87" s="21">
        <f t="shared" ca="1" si="102"/>
        <v>2.9592894614888128E-2</v>
      </c>
      <c r="DS87" s="21">
        <f t="shared" ca="1" si="102"/>
        <v>2.8397984189092253E-2</v>
      </c>
      <c r="DT87" s="21">
        <f t="shared" ca="1" si="102"/>
        <v>2.3664095682539233E-2</v>
      </c>
      <c r="DU87" s="21">
        <f t="shared" ca="1" si="102"/>
        <v>1.8232990012771039E-2</v>
      </c>
      <c r="DV87" s="21">
        <f t="shared" ca="1" si="102"/>
        <v>1.3321163828800324E-2</v>
      </c>
      <c r="DW87" s="21">
        <f t="shared" ca="1" si="102"/>
        <v>1.4066952659949823E-2</v>
      </c>
      <c r="DX87" s="21">
        <f t="shared" ca="1" si="102"/>
        <v>1.2478046113416238E-2</v>
      </c>
      <c r="DY87" s="21">
        <f t="shared" ca="1" si="102"/>
        <v>1.2310684735468621E-2</v>
      </c>
      <c r="DZ87" s="21">
        <f t="shared" ca="1" si="102"/>
        <v>1.2574609531895398E-2</v>
      </c>
      <c r="EA87" s="21">
        <f t="shared" ca="1" si="102"/>
        <v>1.3175461843025826E-2</v>
      </c>
      <c r="EB87" s="21">
        <f t="shared" ca="1" si="102"/>
        <v>1.6261457529445779E-2</v>
      </c>
      <c r="EC87" s="21">
        <f t="shared" ca="1" si="102"/>
        <v>1.7468734917472396E-2</v>
      </c>
      <c r="ED87" s="21">
        <f t="shared" ca="1" si="102"/>
        <v>1.8608401879000279E-2</v>
      </c>
      <c r="EE87" s="21">
        <f t="shared" ca="1" si="102"/>
        <v>2.08389184480097E-2</v>
      </c>
      <c r="EF87" s="21">
        <f t="shared" ca="1" si="102"/>
        <v>2.5445246235374839E-2</v>
      </c>
      <c r="EG87" s="21">
        <f t="shared" ca="1" si="102"/>
        <v>2.7084316421333798E-2</v>
      </c>
      <c r="EH87" s="21">
        <f t="shared" ca="1" si="102"/>
        <v>2.4493723410403963E-2</v>
      </c>
      <c r="EI87" s="21">
        <f t="shared" ca="1" si="102"/>
        <v>2.2338958084276883E-2</v>
      </c>
      <c r="EJ87" s="21">
        <f t="shared" ca="1" si="102"/>
        <v>2.5222476921473318E-2</v>
      </c>
      <c r="EK87" s="21">
        <f t="shared" ca="1" si="102"/>
        <v>2.6166649654455039E-2</v>
      </c>
      <c r="EL87" s="21">
        <f t="shared" ca="1" si="102"/>
        <v>2.2028517482362564E-2</v>
      </c>
      <c r="EM87" s="21">
        <f t="shared" ca="1" si="102"/>
        <v>2.0050183695014996E-2</v>
      </c>
      <c r="EN87" s="21">
        <f t="shared" ca="1" si="102"/>
        <v>1.9242950780731696E-2</v>
      </c>
      <c r="EO87" s="21">
        <f t="shared" ca="1" si="102"/>
        <v>1.906484096521038E-2</v>
      </c>
      <c r="EP87" s="21">
        <f t="shared" ca="1" si="102"/>
        <v>1.3925517593212419E-2</v>
      </c>
      <c r="EQ87" s="21">
        <f t="shared" ca="1" si="102"/>
        <v>9.6585330292917708E-3</v>
      </c>
      <c r="ER87" s="21">
        <f t="shared" ca="1" si="102"/>
        <v>1.0589988813458732E-2</v>
      </c>
      <c r="ES87" s="21">
        <f t="shared" ca="1" si="102"/>
        <v>1.2803697308610935E-2</v>
      </c>
      <c r="ET87" s="21">
        <f t="shared" ca="1" si="102"/>
        <v>1.5087838456069549E-2</v>
      </c>
      <c r="EU87" s="21">
        <f t="shared" ca="1" si="102"/>
        <v>1.3951514119956461E-2</v>
      </c>
      <c r="EV87" s="21">
        <f t="shared" ca="1" si="102"/>
        <v>1.4331199300486224E-2</v>
      </c>
      <c r="EW87" s="21">
        <f t="shared" ca="1" si="102"/>
        <v>1.6625811119573185E-2</v>
      </c>
      <c r="EX87" s="21">
        <f t="shared" ca="1" si="102"/>
        <v>1.7953484158608805E-2</v>
      </c>
      <c r="EY87" s="21">
        <f t="shared" ref="EY87:HJ87" ca="1" si="103">IF(EY7="","",AVERAGE(ES61:EX61)+CONFIDENCE(0.05,STDEV(DZ61:EX61),COUNT(DZ61:EX61)))</f>
        <v>1.6678884291906306E-2</v>
      </c>
      <c r="EZ87" s="21">
        <f t="shared" ca="1" si="103"/>
        <v>1.4340888559921789E-2</v>
      </c>
      <c r="FA87" s="21">
        <f t="shared" ca="1" si="103"/>
        <v>1.4484465150798757E-2</v>
      </c>
      <c r="FB87" s="21">
        <f t="shared" ca="1" si="103"/>
        <v>1.3207910551611846E-2</v>
      </c>
      <c r="FC87" s="21">
        <f t="shared" ca="1" si="103"/>
        <v>1.0436080058997634E-2</v>
      </c>
      <c r="FD87" s="21">
        <f t="shared" ca="1" si="103"/>
        <v>7.2303874813188455E-3</v>
      </c>
      <c r="FE87" s="21">
        <f t="shared" ca="1" si="103"/>
        <v>5.4140134114967469E-3</v>
      </c>
      <c r="FF87" s="21">
        <f t="shared" ca="1" si="103"/>
        <v>5.6661420866453219E-3</v>
      </c>
      <c r="FG87" s="21">
        <f t="shared" ca="1" si="103"/>
        <v>5.651373888141643E-3</v>
      </c>
      <c r="FH87" s="21">
        <f t="shared" ca="1" si="103"/>
        <v>7.6616585756461211E-3</v>
      </c>
      <c r="FI87" s="21">
        <f t="shared" ca="1" si="103"/>
        <v>1.0174455069961157E-2</v>
      </c>
      <c r="FJ87" s="21">
        <f t="shared" ca="1" si="103"/>
        <v>1.2585798275643267E-2</v>
      </c>
      <c r="FK87" s="21">
        <f t="shared" ca="1" si="103"/>
        <v>1.4552594210285022E-2</v>
      </c>
      <c r="FL87" s="21">
        <f t="shared" ca="1" si="103"/>
        <v>1.5311100204341599E-2</v>
      </c>
      <c r="FM87" s="21">
        <f t="shared" ca="1" si="103"/>
        <v>1.4196469981745535E-2</v>
      </c>
      <c r="FN87" s="21">
        <f t="shared" ca="1" si="103"/>
        <v>1.6510787141501403E-2</v>
      </c>
      <c r="FO87" s="21">
        <f t="shared" ca="1" si="103"/>
        <v>1.7966567609794031E-2</v>
      </c>
      <c r="FP87" s="21">
        <f t="shared" ca="1" si="103"/>
        <v>1.8283463532632962E-2</v>
      </c>
      <c r="FQ87" s="21">
        <f t="shared" ca="1" si="103"/>
        <v>1.6691920475313579E-2</v>
      </c>
      <c r="FR87" s="21">
        <f t="shared" ca="1" si="103"/>
        <v>1.5962759059010879E-2</v>
      </c>
      <c r="FS87" s="21">
        <f t="shared" ca="1" si="103"/>
        <v>1.5905121862648825E-2</v>
      </c>
      <c r="FT87" s="21">
        <f t="shared" ca="1" si="103"/>
        <v>1.5303409701636798E-2</v>
      </c>
      <c r="FU87" s="21">
        <f t="shared" ca="1" si="103"/>
        <v>1.3305884027974557E-2</v>
      </c>
      <c r="FV87" s="21">
        <f t="shared" ca="1" si="103"/>
        <v>1.1623249991765091E-2</v>
      </c>
      <c r="FW87" s="21">
        <f t="shared" ca="1" si="103"/>
        <v>1.3429228607358679E-2</v>
      </c>
      <c r="FX87" s="21">
        <f t="shared" ca="1" si="103"/>
        <v>1.840818088723668E-2</v>
      </c>
      <c r="FY87" s="21">
        <f t="shared" ca="1" si="103"/>
        <v>1.9282404232199523E-2</v>
      </c>
      <c r="FZ87" s="21">
        <f t="shared" ca="1" si="103"/>
        <v>1.6326403543179244E-2</v>
      </c>
      <c r="GA87" s="21">
        <f t="shared" ca="1" si="103"/>
        <v>1.7100785878408756E-2</v>
      </c>
      <c r="GB87" s="21">
        <f t="shared" ca="1" si="103"/>
        <v>1.9888029466934461E-2</v>
      </c>
      <c r="GC87" s="21">
        <f t="shared" ca="1" si="103"/>
        <v>2.1148111659712157E-2</v>
      </c>
      <c r="GD87" s="21">
        <f t="shared" ca="1" si="103"/>
        <v>1.9654746304564173E-2</v>
      </c>
      <c r="GE87" s="21">
        <f t="shared" ca="1" si="103"/>
        <v>2.1517885403958818E-2</v>
      </c>
      <c r="GF87" s="21">
        <f t="shared" ca="1" si="103"/>
        <v>2.2581501302645454E-2</v>
      </c>
      <c r="GG87" s="21">
        <f t="shared" ca="1" si="103"/>
        <v>1.9612713006117242E-2</v>
      </c>
      <c r="GH87" s="21">
        <f t="shared" ca="1" si="103"/>
        <v>1.5455149535674433E-2</v>
      </c>
      <c r="GI87" s="21">
        <f t="shared" ca="1" si="103"/>
        <v>1.2034651515904013E-2</v>
      </c>
      <c r="GJ87" s="21">
        <f t="shared" ca="1" si="103"/>
        <v>1.0078562409040545E-2</v>
      </c>
      <c r="GK87" s="21">
        <f t="shared" ca="1" si="103"/>
        <v>7.7385574702012079E-3</v>
      </c>
      <c r="GL87" s="21">
        <f t="shared" ca="1" si="103"/>
        <v>1.4710697514328425E-2</v>
      </c>
      <c r="GM87" s="21">
        <f t="shared" ca="1" si="103"/>
        <v>2.2525705633040492E-2</v>
      </c>
      <c r="GN87" s="21">
        <f t="shared" ca="1" si="103"/>
        <v>2.6914861027903973E-2</v>
      </c>
      <c r="GO87" s="21">
        <f t="shared" ca="1" si="103"/>
        <v>3.2443967260722566E-2</v>
      </c>
      <c r="GP87" s="21">
        <f t="shared" ca="1" si="103"/>
        <v>3.1366304131559962E-2</v>
      </c>
      <c r="GQ87" s="21">
        <f t="shared" ca="1" si="103"/>
        <v>3.7957369036603364E-2</v>
      </c>
      <c r="GR87" s="21">
        <f t="shared" ca="1" si="103"/>
        <v>3.7841838650668244E-2</v>
      </c>
      <c r="GS87" s="21">
        <f t="shared" ca="1" si="103"/>
        <v>3.6785223342957536E-2</v>
      </c>
      <c r="GT87" s="21">
        <f t="shared" ca="1" si="103"/>
        <v>3.7736761093056334E-2</v>
      </c>
      <c r="GU87" s="21">
        <f t="shared" ca="1" si="103"/>
        <v>3.4297655308013431E-2</v>
      </c>
      <c r="GV87" s="21">
        <f t="shared" ca="1" si="103"/>
        <v>3.9589750090082358E-2</v>
      </c>
      <c r="GW87" s="21">
        <f t="shared" ca="1" si="103"/>
        <v>3.7652511634623173E-2</v>
      </c>
      <c r="GX87" s="21">
        <f t="shared" ca="1" si="103"/>
        <v>3.3549462111844619E-2</v>
      </c>
      <c r="GY87" s="21">
        <f t="shared" ca="1" si="103"/>
        <v>2.875077570276393E-2</v>
      </c>
      <c r="GZ87" s="21">
        <f t="shared" ca="1" si="103"/>
        <v>1.897043515158342E-2</v>
      </c>
      <c r="HA87" s="21" t="str">
        <f t="shared" si="103"/>
        <v/>
      </c>
      <c r="HB87" s="21" t="str">
        <f t="shared" si="103"/>
        <v/>
      </c>
      <c r="HC87" s="21" t="str">
        <f t="shared" si="103"/>
        <v/>
      </c>
      <c r="HD87" s="21" t="str">
        <f t="shared" si="103"/>
        <v/>
      </c>
      <c r="HE87" s="21" t="str">
        <f t="shared" si="103"/>
        <v/>
      </c>
      <c r="HF87" s="21" t="str">
        <f t="shared" si="103"/>
        <v/>
      </c>
      <c r="HG87" s="21" t="str">
        <f t="shared" si="103"/>
        <v/>
      </c>
      <c r="HH87" s="21" t="str">
        <f t="shared" si="103"/>
        <v/>
      </c>
      <c r="HI87" s="21" t="str">
        <f t="shared" si="103"/>
        <v/>
      </c>
      <c r="HJ87" s="21" t="str">
        <f t="shared" si="103"/>
        <v/>
      </c>
      <c r="HK87" s="21" t="str">
        <f t="shared" ref="HK87:JH87" si="104">IF(HK7="","",AVERAGE(HE61:HJ61)+CONFIDENCE(0.05,STDEV(GL61:HJ61),COUNT(GL61:HJ61)))</f>
        <v/>
      </c>
      <c r="HL87" s="21" t="str">
        <f t="shared" si="104"/>
        <v/>
      </c>
      <c r="HM87" s="21" t="str">
        <f t="shared" si="104"/>
        <v/>
      </c>
      <c r="HN87" s="21" t="str">
        <f t="shared" si="104"/>
        <v/>
      </c>
      <c r="HO87" s="21" t="str">
        <f t="shared" si="104"/>
        <v/>
      </c>
      <c r="HP87" s="21" t="str">
        <f t="shared" si="104"/>
        <v/>
      </c>
      <c r="HQ87" s="21" t="str">
        <f t="shared" si="104"/>
        <v/>
      </c>
      <c r="HR87" s="21" t="str">
        <f t="shared" si="104"/>
        <v/>
      </c>
      <c r="HS87" s="21" t="str">
        <f t="shared" si="104"/>
        <v/>
      </c>
      <c r="HT87" s="21" t="str">
        <f t="shared" si="104"/>
        <v/>
      </c>
      <c r="HU87" s="21" t="str">
        <f t="shared" si="104"/>
        <v/>
      </c>
      <c r="HV87" s="21" t="str">
        <f t="shared" si="104"/>
        <v/>
      </c>
      <c r="HW87" s="21" t="str">
        <f t="shared" si="104"/>
        <v/>
      </c>
      <c r="HX87" s="21" t="str">
        <f t="shared" si="104"/>
        <v/>
      </c>
      <c r="HY87" s="21" t="str">
        <f t="shared" si="104"/>
        <v/>
      </c>
      <c r="HZ87" s="21" t="str">
        <f t="shared" si="104"/>
        <v/>
      </c>
      <c r="IA87" s="21" t="str">
        <f t="shared" si="104"/>
        <v/>
      </c>
      <c r="IB87" s="21" t="str">
        <f t="shared" si="104"/>
        <v/>
      </c>
      <c r="IC87" s="21" t="str">
        <f t="shared" si="104"/>
        <v/>
      </c>
      <c r="ID87" s="21" t="str">
        <f t="shared" si="104"/>
        <v/>
      </c>
      <c r="IE87" s="21" t="str">
        <f t="shared" si="104"/>
        <v/>
      </c>
      <c r="IF87" s="21" t="str">
        <f t="shared" si="104"/>
        <v/>
      </c>
      <c r="IG87" s="21" t="str">
        <f t="shared" si="104"/>
        <v/>
      </c>
      <c r="IH87" s="21" t="str">
        <f t="shared" si="104"/>
        <v/>
      </c>
      <c r="II87" s="21" t="str">
        <f t="shared" si="104"/>
        <v/>
      </c>
      <c r="IJ87" s="21" t="str">
        <f t="shared" si="104"/>
        <v/>
      </c>
      <c r="IK87" s="21" t="str">
        <f t="shared" si="104"/>
        <v/>
      </c>
      <c r="IL87" s="21" t="str">
        <f t="shared" si="104"/>
        <v/>
      </c>
      <c r="IM87" s="21" t="str">
        <f t="shared" si="104"/>
        <v/>
      </c>
      <c r="IN87" s="21" t="str">
        <f t="shared" si="104"/>
        <v/>
      </c>
      <c r="IO87" s="21" t="str">
        <f t="shared" si="104"/>
        <v/>
      </c>
      <c r="IP87" s="21" t="str">
        <f t="shared" si="104"/>
        <v/>
      </c>
      <c r="IQ87" s="21" t="str">
        <f t="shared" si="104"/>
        <v/>
      </c>
      <c r="IR87" s="21" t="str">
        <f t="shared" si="104"/>
        <v/>
      </c>
      <c r="IS87" s="21" t="str">
        <f t="shared" si="104"/>
        <v/>
      </c>
      <c r="IT87" s="21" t="str">
        <f t="shared" si="104"/>
        <v/>
      </c>
      <c r="IU87" s="21" t="str">
        <f t="shared" si="104"/>
        <v/>
      </c>
      <c r="IV87" s="21" t="str">
        <f t="shared" si="104"/>
        <v/>
      </c>
      <c r="IW87" s="21" t="str">
        <f t="shared" si="104"/>
        <v/>
      </c>
      <c r="IX87" s="21" t="str">
        <f t="shared" si="104"/>
        <v/>
      </c>
      <c r="IY87" s="21" t="str">
        <f t="shared" si="104"/>
        <v/>
      </c>
      <c r="IZ87" s="21" t="str">
        <f t="shared" si="104"/>
        <v/>
      </c>
      <c r="JA87" s="21" t="str">
        <f t="shared" si="104"/>
        <v/>
      </c>
      <c r="JB87" s="21" t="str">
        <f t="shared" si="104"/>
        <v/>
      </c>
      <c r="JC87" s="21" t="str">
        <f t="shared" si="104"/>
        <v/>
      </c>
      <c r="JD87" s="21" t="str">
        <f t="shared" si="104"/>
        <v/>
      </c>
      <c r="JE87" s="21" t="str">
        <f t="shared" si="104"/>
        <v/>
      </c>
      <c r="JF87" s="21" t="str">
        <f t="shared" si="104"/>
        <v/>
      </c>
      <c r="JG87" s="21" t="str">
        <f t="shared" si="104"/>
        <v/>
      </c>
      <c r="JH87" s="21" t="str">
        <f t="shared" si="104"/>
        <v/>
      </c>
    </row>
    <row r="88" spans="1:336" x14ac:dyDescent="0.25"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>
        <f t="shared" ref="AA88:CL88" ca="1" si="105">IF(AA8="","",AVERAGE(T62:Z62)+CONFIDENCE(0.05,STDEV(B62:Z62),COUNT(B62:Z62)))</f>
        <v>1.1717136610019861E-2</v>
      </c>
      <c r="AB88" s="21">
        <f t="shared" ca="1" si="105"/>
        <v>1.1847820513271478E-2</v>
      </c>
      <c r="AC88" s="21">
        <f t="shared" ca="1" si="105"/>
        <v>1.5369253738030501E-2</v>
      </c>
      <c r="AD88" s="21">
        <f t="shared" ca="1" si="105"/>
        <v>1.9394572080305844E-2</v>
      </c>
      <c r="AE88" s="21">
        <f t="shared" ca="1" si="105"/>
        <v>2.0883508754716631E-2</v>
      </c>
      <c r="AF88" s="21">
        <f t="shared" ca="1" si="105"/>
        <v>2.3320581150872755E-2</v>
      </c>
      <c r="AG88" s="21">
        <f t="shared" ca="1" si="105"/>
        <v>2.2939852799784836E-2</v>
      </c>
      <c r="AH88" s="21">
        <f t="shared" ca="1" si="105"/>
        <v>2.0753750907408608E-2</v>
      </c>
      <c r="AI88" s="21">
        <f t="shared" ca="1" si="105"/>
        <v>1.8887252699108764E-2</v>
      </c>
      <c r="AJ88" s="21">
        <f t="shared" ca="1" si="105"/>
        <v>1.7088265584261922E-2</v>
      </c>
      <c r="AK88" s="21">
        <f t="shared" ca="1" si="105"/>
        <v>1.4714983697210793E-2</v>
      </c>
      <c r="AL88" s="21">
        <f t="shared" ca="1" si="105"/>
        <v>1.3527302409753439E-2</v>
      </c>
      <c r="AM88" s="21">
        <f t="shared" ca="1" si="105"/>
        <v>1.0955064377256594E-2</v>
      </c>
      <c r="AN88" s="21">
        <f t="shared" ca="1" si="105"/>
        <v>1.1081169496210564E-2</v>
      </c>
      <c r="AO88" s="21">
        <f t="shared" ca="1" si="105"/>
        <v>1.128691878460367E-2</v>
      </c>
      <c r="AP88" s="21">
        <f t="shared" ca="1" si="105"/>
        <v>1.0890392546574198E-2</v>
      </c>
      <c r="AQ88" s="21">
        <f t="shared" ca="1" si="105"/>
        <v>9.386785814821684E-3</v>
      </c>
      <c r="AR88" s="21">
        <f t="shared" ca="1" si="105"/>
        <v>8.359172868562123E-3</v>
      </c>
      <c r="AS88" s="21">
        <f t="shared" ca="1" si="105"/>
        <v>7.3287139539217651E-3</v>
      </c>
      <c r="AT88" s="21">
        <f t="shared" ca="1" si="105"/>
        <v>7.4246750795136677E-3</v>
      </c>
      <c r="AU88" s="21">
        <f t="shared" ca="1" si="105"/>
        <v>7.6440522671278321E-3</v>
      </c>
      <c r="AV88" s="21">
        <f t="shared" ca="1" si="105"/>
        <v>8.1567393577181135E-3</v>
      </c>
      <c r="AW88" s="21">
        <f t="shared" ca="1" si="105"/>
        <v>9.7020226912272328E-3</v>
      </c>
      <c r="AX88" s="21">
        <f t="shared" ca="1" si="105"/>
        <v>1.3019682941660029E-2</v>
      </c>
      <c r="AY88" s="21">
        <f t="shared" ca="1" si="105"/>
        <v>1.8723397430589893E-2</v>
      </c>
      <c r="AZ88" s="21">
        <f t="shared" ca="1" si="105"/>
        <v>2.4621232555424317E-2</v>
      </c>
      <c r="BA88" s="21">
        <f t="shared" ca="1" si="105"/>
        <v>3.1233905389117828E-2</v>
      </c>
      <c r="BB88" s="21">
        <f t="shared" ca="1" si="105"/>
        <v>3.6806371589083849E-2</v>
      </c>
      <c r="BC88" s="21">
        <f t="shared" ca="1" si="105"/>
        <v>4.0761212119872922E-2</v>
      </c>
      <c r="BD88" s="21">
        <f t="shared" ca="1" si="105"/>
        <v>4.731406368315693E-2</v>
      </c>
      <c r="BE88" s="21">
        <f t="shared" ca="1" si="105"/>
        <v>5.2161243491224273E-2</v>
      </c>
      <c r="BF88" s="21">
        <f t="shared" ca="1" si="105"/>
        <v>5.4273576678732498E-2</v>
      </c>
      <c r="BG88" s="21">
        <f t="shared" ca="1" si="105"/>
        <v>5.3404345732367457E-2</v>
      </c>
      <c r="BH88" s="21">
        <f t="shared" ca="1" si="105"/>
        <v>5.4357114569927506E-2</v>
      </c>
      <c r="BI88" s="21">
        <f t="shared" ca="1" si="105"/>
        <v>5.780695231685188E-2</v>
      </c>
      <c r="BJ88" s="21">
        <f t="shared" ca="1" si="105"/>
        <v>5.526581169664066E-2</v>
      </c>
      <c r="BK88" s="21">
        <f t="shared" ca="1" si="105"/>
        <v>4.8295912691713946E-2</v>
      </c>
      <c r="BL88" s="21">
        <f t="shared" ca="1" si="105"/>
        <v>4.1698356705469716E-2</v>
      </c>
      <c r="BM88" s="21">
        <f t="shared" ca="1" si="105"/>
        <v>3.8594187285859789E-2</v>
      </c>
      <c r="BN88" s="21">
        <f t="shared" ca="1" si="105"/>
        <v>4.3773059399360978E-2</v>
      </c>
      <c r="BO88" s="21">
        <f t="shared" ca="1" si="105"/>
        <v>4.4848306622995875E-2</v>
      </c>
      <c r="BP88" s="21">
        <f t="shared" ca="1" si="105"/>
        <v>4.1225788608951847E-2</v>
      </c>
      <c r="BQ88" s="21">
        <f t="shared" ca="1" si="105"/>
        <v>4.3539260175243316E-2</v>
      </c>
      <c r="BR88" s="21">
        <f t="shared" ca="1" si="105"/>
        <v>4.5517105317607311E-2</v>
      </c>
      <c r="BS88" s="21">
        <f t="shared" ca="1" si="105"/>
        <v>4.5814246807434102E-2</v>
      </c>
      <c r="BT88" s="21">
        <f t="shared" ca="1" si="105"/>
        <v>4.5014528504347825E-2</v>
      </c>
      <c r="BU88" s="21">
        <f t="shared" ca="1" si="105"/>
        <v>3.7636346559130555E-2</v>
      </c>
      <c r="BV88" s="21">
        <f t="shared" ca="1" si="105"/>
        <v>3.0576004709971856E-2</v>
      </c>
      <c r="BW88" s="21">
        <f t="shared" ca="1" si="105"/>
        <v>2.8519173353916086E-2</v>
      </c>
      <c r="BX88" s="21">
        <f t="shared" ca="1" si="105"/>
        <v>2.5321392228060263E-2</v>
      </c>
      <c r="BY88" s="21">
        <f t="shared" ca="1" si="105"/>
        <v>2.3461089622576745E-2</v>
      </c>
      <c r="BZ88" s="21">
        <f t="shared" ca="1" si="105"/>
        <v>2.2626301871718602E-2</v>
      </c>
      <c r="CA88" s="21">
        <f t="shared" ca="1" si="105"/>
        <v>2.0058404460671482E-2</v>
      </c>
      <c r="CB88" s="21">
        <f t="shared" ca="1" si="105"/>
        <v>1.8022939636957714E-2</v>
      </c>
      <c r="CC88" s="21">
        <f t="shared" ca="1" si="105"/>
        <v>1.833037371343739E-2</v>
      </c>
      <c r="CD88" s="21">
        <f t="shared" ca="1" si="105"/>
        <v>1.5382677119077405E-2</v>
      </c>
      <c r="CE88" s="21">
        <f t="shared" ca="1" si="105"/>
        <v>1.3548726581203287E-2</v>
      </c>
      <c r="CF88" s="21">
        <f t="shared" ca="1" si="105"/>
        <v>1.5267776535654559E-2</v>
      </c>
      <c r="CG88" s="21">
        <f t="shared" ca="1" si="105"/>
        <v>1.789142261057336E-2</v>
      </c>
      <c r="CH88" s="21">
        <f t="shared" ca="1" si="105"/>
        <v>1.6261589040562106E-2</v>
      </c>
      <c r="CI88" s="21">
        <f t="shared" ca="1" si="105"/>
        <v>1.7528416523539238E-2</v>
      </c>
      <c r="CJ88" s="21">
        <f t="shared" ca="1" si="105"/>
        <v>1.8475635123042188E-2</v>
      </c>
      <c r="CK88" s="21">
        <f t="shared" ca="1" si="105"/>
        <v>1.8772401779931593E-2</v>
      </c>
      <c r="CL88" s="21">
        <f t="shared" ca="1" si="105"/>
        <v>1.8817640864693227E-2</v>
      </c>
      <c r="CM88" s="21">
        <f t="shared" ref="CM88:EX88" ca="1" si="106">IF(CM8="","",AVERAGE(CF62:CL62)+CONFIDENCE(0.05,STDEV(BN62:CL62),COUNT(BN62:CL62)))</f>
        <v>1.7806451913219955E-2</v>
      </c>
      <c r="CN88" s="21">
        <f t="shared" ca="1" si="106"/>
        <v>1.6865751739026828E-2</v>
      </c>
      <c r="CO88" s="21">
        <f t="shared" ca="1" si="106"/>
        <v>1.8340634848273984E-2</v>
      </c>
      <c r="CP88" s="21">
        <f t="shared" ca="1" si="106"/>
        <v>1.8879587327101877E-2</v>
      </c>
      <c r="CQ88" s="21">
        <f t="shared" ca="1" si="106"/>
        <v>2.0042454535160206E-2</v>
      </c>
      <c r="CR88" s="21">
        <f t="shared" ca="1" si="106"/>
        <v>2.6151758566726024E-2</v>
      </c>
      <c r="CS88" s="21">
        <f t="shared" ca="1" si="106"/>
        <v>2.9595297523594626E-2</v>
      </c>
      <c r="CT88" s="21">
        <f t="shared" ca="1" si="106"/>
        <v>2.8298193421449513E-2</v>
      </c>
      <c r="CU88" s="21">
        <f t="shared" ca="1" si="106"/>
        <v>2.7768484130834461E-2</v>
      </c>
      <c r="CV88" s="21">
        <f t="shared" ca="1" si="106"/>
        <v>2.7810553435677812E-2</v>
      </c>
      <c r="CW88" s="21">
        <f t="shared" ca="1" si="106"/>
        <v>2.7815732038275205E-2</v>
      </c>
      <c r="CX88" s="21">
        <f t="shared" ca="1" si="106"/>
        <v>2.5636330389533252E-2</v>
      </c>
      <c r="CY88" s="21">
        <f t="shared" ca="1" si="106"/>
        <v>1.972416048681512E-2</v>
      </c>
      <c r="CZ88" s="21">
        <f t="shared" ca="1" si="106"/>
        <v>1.8128928091750832E-2</v>
      </c>
      <c r="DA88" s="21">
        <f t="shared" ca="1" si="106"/>
        <v>2.0818985988415022E-2</v>
      </c>
      <c r="DB88" s="21">
        <f t="shared" ca="1" si="106"/>
        <v>1.984439750188325E-2</v>
      </c>
      <c r="DC88" s="21">
        <f t="shared" ca="1" si="106"/>
        <v>1.7483914024419865E-2</v>
      </c>
      <c r="DD88" s="21">
        <f t="shared" ca="1" si="106"/>
        <v>2.0838961151275308E-2</v>
      </c>
      <c r="DE88" s="21">
        <f t="shared" ca="1" si="106"/>
        <v>2.1445442526438725E-2</v>
      </c>
      <c r="DF88" s="21">
        <f t="shared" ca="1" si="106"/>
        <v>2.6303277821132547E-2</v>
      </c>
      <c r="DG88" s="21">
        <f t="shared" ca="1" si="106"/>
        <v>3.1797126870107995E-2</v>
      </c>
      <c r="DH88" s="21">
        <f t="shared" ca="1" si="106"/>
        <v>3.258708663926585E-2</v>
      </c>
      <c r="DI88" s="21">
        <f t="shared" ca="1" si="106"/>
        <v>3.4701651584992908E-2</v>
      </c>
      <c r="DJ88" s="21">
        <f t="shared" ca="1" si="106"/>
        <v>3.8122464317713795E-2</v>
      </c>
      <c r="DK88" s="21">
        <f t="shared" ca="1" si="106"/>
        <v>3.959303118246895E-2</v>
      </c>
      <c r="DL88" s="21">
        <f t="shared" ca="1" si="106"/>
        <v>4.1105622871292442E-2</v>
      </c>
      <c r="DM88" s="21">
        <f t="shared" ca="1" si="106"/>
        <v>4.0336689320763328E-2</v>
      </c>
      <c r="DN88" s="21">
        <f t="shared" ca="1" si="106"/>
        <v>3.954629557936553E-2</v>
      </c>
      <c r="DO88" s="21">
        <f t="shared" ca="1" si="106"/>
        <v>3.9325285483334943E-2</v>
      </c>
      <c r="DP88" s="21">
        <f t="shared" ca="1" si="106"/>
        <v>3.9380963307184887E-2</v>
      </c>
      <c r="DQ88" s="21">
        <f t="shared" ca="1" si="106"/>
        <v>3.7146282452910948E-2</v>
      </c>
      <c r="DR88" s="21">
        <f t="shared" ca="1" si="106"/>
        <v>3.4069093879761321E-2</v>
      </c>
      <c r="DS88" s="21">
        <f t="shared" ca="1" si="106"/>
        <v>3.2668927546222269E-2</v>
      </c>
      <c r="DT88" s="21">
        <f t="shared" ca="1" si="106"/>
        <v>2.9033509724249382E-2</v>
      </c>
      <c r="DU88" s="21">
        <f t="shared" ca="1" si="106"/>
        <v>2.388464865211791E-2</v>
      </c>
      <c r="DV88" s="21">
        <f t="shared" ca="1" si="106"/>
        <v>2.1304713874230243E-2</v>
      </c>
      <c r="DW88" s="21">
        <f t="shared" ca="1" si="106"/>
        <v>1.8515732415437868E-2</v>
      </c>
      <c r="DX88" s="21">
        <f t="shared" ca="1" si="106"/>
        <v>1.7251720737138238E-2</v>
      </c>
      <c r="DY88" s="21">
        <f t="shared" ca="1" si="106"/>
        <v>1.3821436333433645E-2</v>
      </c>
      <c r="DZ88" s="21">
        <f t="shared" ca="1" si="106"/>
        <v>1.254782178579261E-2</v>
      </c>
      <c r="EA88" s="21">
        <f t="shared" ca="1" si="106"/>
        <v>1.3984944608016643E-2</v>
      </c>
      <c r="EB88" s="21">
        <f t="shared" ca="1" si="106"/>
        <v>1.5043288030303612E-2</v>
      </c>
      <c r="EC88" s="21">
        <f t="shared" ca="1" si="106"/>
        <v>1.7236696739767902E-2</v>
      </c>
      <c r="ED88" s="21">
        <f t="shared" ca="1" si="106"/>
        <v>1.9485070576901714E-2</v>
      </c>
      <c r="EE88" s="21">
        <f t="shared" ca="1" si="106"/>
        <v>2.2145768815567939E-2</v>
      </c>
      <c r="EF88" s="21">
        <f t="shared" ca="1" si="106"/>
        <v>2.4764462011121494E-2</v>
      </c>
      <c r="EG88" s="21">
        <f t="shared" ca="1" si="106"/>
        <v>2.571542310114678E-2</v>
      </c>
      <c r="EH88" s="21">
        <f t="shared" ca="1" si="106"/>
        <v>2.4715934422183634E-2</v>
      </c>
      <c r="EI88" s="21">
        <f t="shared" ca="1" si="106"/>
        <v>2.6292471509640578E-2</v>
      </c>
      <c r="EJ88" s="21">
        <f t="shared" ca="1" si="106"/>
        <v>2.4898021974091578E-2</v>
      </c>
      <c r="EK88" s="21">
        <f t="shared" ca="1" si="106"/>
        <v>2.461466276515268E-2</v>
      </c>
      <c r="EL88" s="21">
        <f t="shared" ca="1" si="106"/>
        <v>2.2867602918952935E-2</v>
      </c>
      <c r="EM88" s="21">
        <f t="shared" ca="1" si="106"/>
        <v>1.9489166712454681E-2</v>
      </c>
      <c r="EN88" s="21">
        <f t="shared" ca="1" si="106"/>
        <v>1.8285360790121729E-2</v>
      </c>
      <c r="EO88" s="21">
        <f t="shared" ca="1" si="106"/>
        <v>2.0286589535931401E-2</v>
      </c>
      <c r="EP88" s="21">
        <f t="shared" ca="1" si="106"/>
        <v>1.8149391279636863E-2</v>
      </c>
      <c r="EQ88" s="21">
        <f t="shared" ca="1" si="106"/>
        <v>1.576750191156729E-2</v>
      </c>
      <c r="ER88" s="21">
        <f t="shared" ca="1" si="106"/>
        <v>1.395823458347855E-2</v>
      </c>
      <c r="ES88" s="21">
        <f t="shared" ca="1" si="106"/>
        <v>1.4108110773732776E-2</v>
      </c>
      <c r="ET88" s="21">
        <f t="shared" ca="1" si="106"/>
        <v>1.5399586834483493E-2</v>
      </c>
      <c r="EU88" s="21">
        <f t="shared" ca="1" si="106"/>
        <v>1.7410066875559852E-2</v>
      </c>
      <c r="EV88" s="21">
        <f t="shared" ca="1" si="106"/>
        <v>1.5402181575571524E-2</v>
      </c>
      <c r="EW88" s="21">
        <f t="shared" ca="1" si="106"/>
        <v>1.6309254601709948E-2</v>
      </c>
      <c r="EX88" s="21">
        <f t="shared" ca="1" si="106"/>
        <v>1.6853150974997642E-2</v>
      </c>
      <c r="EY88" s="21">
        <f t="shared" ref="EY88:HJ88" ca="1" si="107">IF(EY8="","",AVERAGE(ER62:EX62)+CONFIDENCE(0.05,STDEV(DZ62:EX62),COUNT(DZ62:EX62)))</f>
        <v>1.6482274938260513E-2</v>
      </c>
      <c r="EZ88" s="21">
        <f t="shared" ca="1" si="107"/>
        <v>1.5173630596028978E-2</v>
      </c>
      <c r="FA88" s="21">
        <f t="shared" ca="1" si="107"/>
        <v>1.5212584957698297E-2</v>
      </c>
      <c r="FB88" s="21">
        <f t="shared" ca="1" si="107"/>
        <v>1.2669512226825861E-2</v>
      </c>
      <c r="FC88" s="21">
        <f t="shared" ca="1" si="107"/>
        <v>1.3053385404934968E-2</v>
      </c>
      <c r="FD88" s="21">
        <f t="shared" ca="1" si="107"/>
        <v>1.064032010090727E-2</v>
      </c>
      <c r="FE88" s="21">
        <f t="shared" ca="1" si="107"/>
        <v>8.6354795201905345E-3</v>
      </c>
      <c r="FF88" s="21">
        <f t="shared" ca="1" si="107"/>
        <v>7.6072012402556271E-3</v>
      </c>
      <c r="FG88" s="21">
        <f t="shared" ca="1" si="107"/>
        <v>8.8989837351354448E-3</v>
      </c>
      <c r="FH88" s="21">
        <f t="shared" ca="1" si="107"/>
        <v>1.1318099747432291E-2</v>
      </c>
      <c r="FI88" s="21">
        <f t="shared" ca="1" si="107"/>
        <v>1.3777510408293697E-2</v>
      </c>
      <c r="FJ88" s="21">
        <f t="shared" ca="1" si="107"/>
        <v>1.4506157511135521E-2</v>
      </c>
      <c r="FK88" s="21">
        <f t="shared" ca="1" si="107"/>
        <v>1.5565377134552316E-2</v>
      </c>
      <c r="FL88" s="21">
        <f t="shared" ca="1" si="107"/>
        <v>1.5344398723019704E-2</v>
      </c>
      <c r="FM88" s="21">
        <f t="shared" ca="1" si="107"/>
        <v>1.5312001646191892E-2</v>
      </c>
      <c r="FN88" s="21">
        <f t="shared" ca="1" si="107"/>
        <v>1.7993774799220562E-2</v>
      </c>
      <c r="FO88" s="21">
        <f t="shared" ca="1" si="107"/>
        <v>1.8094023796618806E-2</v>
      </c>
      <c r="FP88" s="21">
        <f t="shared" ca="1" si="107"/>
        <v>1.6939766285461622E-2</v>
      </c>
      <c r="FQ88" s="21">
        <f t="shared" ca="1" si="107"/>
        <v>1.5553181201685144E-2</v>
      </c>
      <c r="FR88" s="21">
        <f t="shared" ca="1" si="107"/>
        <v>1.5554227864092E-2</v>
      </c>
      <c r="FS88" s="21">
        <f t="shared" ca="1" si="107"/>
        <v>1.8009454780430978E-2</v>
      </c>
      <c r="FT88" s="21">
        <f t="shared" ca="1" si="107"/>
        <v>1.9936765120152584E-2</v>
      </c>
      <c r="FU88" s="21">
        <f t="shared" ca="1" si="107"/>
        <v>1.9638548988056368E-2</v>
      </c>
      <c r="FV88" s="21">
        <f t="shared" ca="1" si="107"/>
        <v>1.765760590096362E-2</v>
      </c>
      <c r="FW88" s="21">
        <f t="shared" ca="1" si="107"/>
        <v>1.7695488991245293E-2</v>
      </c>
      <c r="FX88" s="21">
        <f t="shared" ca="1" si="107"/>
        <v>2.1393165285087046E-2</v>
      </c>
      <c r="FY88" s="21">
        <f t="shared" ca="1" si="107"/>
        <v>2.0419895859711129E-2</v>
      </c>
      <c r="FZ88" s="21">
        <f t="shared" ca="1" si="107"/>
        <v>1.8091833180598531E-2</v>
      </c>
      <c r="GA88" s="21">
        <f t="shared" ca="1" si="107"/>
        <v>1.8393196705436286E-2</v>
      </c>
      <c r="GB88" s="21">
        <f t="shared" ca="1" si="107"/>
        <v>1.9263326630451615E-2</v>
      </c>
      <c r="GC88" s="21">
        <f t="shared" ca="1" si="107"/>
        <v>2.1266714762972889E-2</v>
      </c>
      <c r="GD88" s="21">
        <f t="shared" ca="1" si="107"/>
        <v>2.3933277555748759E-2</v>
      </c>
      <c r="GE88" s="21">
        <f t="shared" ca="1" si="107"/>
        <v>2.2589768215732366E-2</v>
      </c>
      <c r="GF88" s="21">
        <f t="shared" ca="1" si="107"/>
        <v>2.2992505634369158E-2</v>
      </c>
      <c r="GG88" s="21">
        <f t="shared" ca="1" si="107"/>
        <v>2.2730671802909004E-2</v>
      </c>
      <c r="GH88" s="21">
        <f t="shared" ca="1" si="107"/>
        <v>2.0604186992158449E-2</v>
      </c>
      <c r="GI88" s="21">
        <f t="shared" ca="1" si="107"/>
        <v>1.7190480363960557E-2</v>
      </c>
      <c r="GJ88" s="21">
        <f t="shared" ca="1" si="107"/>
        <v>1.4107863501670651E-2</v>
      </c>
      <c r="GK88" s="21">
        <f t="shared" ca="1" si="107"/>
        <v>1.5239886462039021E-2</v>
      </c>
      <c r="GL88" s="21">
        <f t="shared" ca="1" si="107"/>
        <v>1.8690056932967165E-2</v>
      </c>
      <c r="GM88" s="21">
        <f t="shared" ca="1" si="107"/>
        <v>2.344854921368196E-2</v>
      </c>
      <c r="GN88" s="21">
        <f t="shared" ca="1" si="107"/>
        <v>2.6830261500115717E-2</v>
      </c>
      <c r="GO88" s="21">
        <f t="shared" ca="1" si="107"/>
        <v>2.9657203165190483E-2</v>
      </c>
      <c r="GP88" s="21">
        <f t="shared" ca="1" si="107"/>
        <v>3.0083702778160634E-2</v>
      </c>
      <c r="GQ88" s="21">
        <f t="shared" ca="1" si="107"/>
        <v>3.5024846872155103E-2</v>
      </c>
      <c r="GR88" s="21">
        <f t="shared" ca="1" si="107"/>
        <v>3.8613056828950144E-2</v>
      </c>
      <c r="GS88" s="21">
        <f t="shared" ca="1" si="107"/>
        <v>3.9153332936006958E-2</v>
      </c>
      <c r="GT88" s="21">
        <f t="shared" ca="1" si="107"/>
        <v>3.766641806485551E-2</v>
      </c>
      <c r="GU88" s="21">
        <f t="shared" ca="1" si="107"/>
        <v>3.9135076440782568E-2</v>
      </c>
      <c r="GV88" s="21">
        <f t="shared" ca="1" si="107"/>
        <v>4.0836529859047545E-2</v>
      </c>
      <c r="GW88" s="21">
        <f t="shared" ca="1" si="107"/>
        <v>4.7475084110673103E-2</v>
      </c>
      <c r="GX88" s="21">
        <f t="shared" ca="1" si="107"/>
        <v>4.8196611852682321E-2</v>
      </c>
      <c r="GY88" s="21">
        <f t="shared" ca="1" si="107"/>
        <v>4.1086818716922782E-2</v>
      </c>
      <c r="GZ88" s="21">
        <f t="shared" ca="1" si="107"/>
        <v>3.2535428085640132E-2</v>
      </c>
      <c r="HA88" s="21" t="str">
        <f t="shared" si="107"/>
        <v/>
      </c>
      <c r="HB88" s="21" t="str">
        <f t="shared" si="107"/>
        <v/>
      </c>
      <c r="HC88" s="21" t="str">
        <f t="shared" si="107"/>
        <v/>
      </c>
      <c r="HD88" s="21" t="str">
        <f t="shared" si="107"/>
        <v/>
      </c>
      <c r="HE88" s="21" t="str">
        <f t="shared" si="107"/>
        <v/>
      </c>
      <c r="HF88" s="21" t="str">
        <f t="shared" si="107"/>
        <v/>
      </c>
      <c r="HG88" s="21" t="str">
        <f t="shared" si="107"/>
        <v/>
      </c>
      <c r="HH88" s="21" t="str">
        <f t="shared" si="107"/>
        <v/>
      </c>
      <c r="HI88" s="21" t="str">
        <f t="shared" si="107"/>
        <v/>
      </c>
      <c r="HJ88" s="21" t="str">
        <f t="shared" si="107"/>
        <v/>
      </c>
      <c r="HK88" s="21" t="str">
        <f t="shared" ref="HK88:JH88" si="108">IF(HK8="","",AVERAGE(HD62:HJ62)+CONFIDENCE(0.05,STDEV(GL62:HJ62),COUNT(GL62:HJ62)))</f>
        <v/>
      </c>
      <c r="HL88" s="21" t="str">
        <f t="shared" si="108"/>
        <v/>
      </c>
      <c r="HM88" s="21" t="str">
        <f t="shared" si="108"/>
        <v/>
      </c>
      <c r="HN88" s="21" t="str">
        <f t="shared" si="108"/>
        <v/>
      </c>
      <c r="HO88" s="21" t="str">
        <f t="shared" si="108"/>
        <v/>
      </c>
      <c r="HP88" s="21" t="str">
        <f t="shared" si="108"/>
        <v/>
      </c>
      <c r="HQ88" s="21" t="str">
        <f t="shared" si="108"/>
        <v/>
      </c>
      <c r="HR88" s="21" t="str">
        <f t="shared" si="108"/>
        <v/>
      </c>
      <c r="HS88" s="21" t="str">
        <f t="shared" si="108"/>
        <v/>
      </c>
      <c r="HT88" s="21" t="str">
        <f t="shared" si="108"/>
        <v/>
      </c>
      <c r="HU88" s="21" t="str">
        <f t="shared" si="108"/>
        <v/>
      </c>
      <c r="HV88" s="21" t="str">
        <f t="shared" si="108"/>
        <v/>
      </c>
      <c r="HW88" s="21" t="str">
        <f t="shared" si="108"/>
        <v/>
      </c>
      <c r="HX88" s="21" t="str">
        <f t="shared" si="108"/>
        <v/>
      </c>
      <c r="HY88" s="21" t="str">
        <f t="shared" si="108"/>
        <v/>
      </c>
      <c r="HZ88" s="21" t="str">
        <f t="shared" si="108"/>
        <v/>
      </c>
      <c r="IA88" s="21" t="str">
        <f t="shared" si="108"/>
        <v/>
      </c>
      <c r="IB88" s="21" t="str">
        <f t="shared" si="108"/>
        <v/>
      </c>
      <c r="IC88" s="21" t="str">
        <f t="shared" si="108"/>
        <v/>
      </c>
      <c r="ID88" s="21" t="str">
        <f t="shared" si="108"/>
        <v/>
      </c>
      <c r="IE88" s="21" t="str">
        <f t="shared" si="108"/>
        <v/>
      </c>
      <c r="IF88" s="21" t="str">
        <f t="shared" si="108"/>
        <v/>
      </c>
      <c r="IG88" s="21" t="str">
        <f t="shared" si="108"/>
        <v/>
      </c>
      <c r="IH88" s="21" t="str">
        <f t="shared" si="108"/>
        <v/>
      </c>
      <c r="II88" s="21" t="str">
        <f t="shared" si="108"/>
        <v/>
      </c>
      <c r="IJ88" s="21" t="str">
        <f t="shared" si="108"/>
        <v/>
      </c>
      <c r="IK88" s="21" t="str">
        <f t="shared" si="108"/>
        <v/>
      </c>
      <c r="IL88" s="21" t="str">
        <f t="shared" si="108"/>
        <v/>
      </c>
      <c r="IM88" s="21" t="str">
        <f t="shared" si="108"/>
        <v/>
      </c>
      <c r="IN88" s="21" t="str">
        <f t="shared" si="108"/>
        <v/>
      </c>
      <c r="IO88" s="21" t="str">
        <f t="shared" si="108"/>
        <v/>
      </c>
      <c r="IP88" s="21" t="str">
        <f t="shared" si="108"/>
        <v/>
      </c>
      <c r="IQ88" s="21" t="str">
        <f t="shared" si="108"/>
        <v/>
      </c>
      <c r="IR88" s="21" t="str">
        <f t="shared" si="108"/>
        <v/>
      </c>
      <c r="IS88" s="21" t="str">
        <f t="shared" si="108"/>
        <v/>
      </c>
      <c r="IT88" s="21" t="str">
        <f t="shared" si="108"/>
        <v/>
      </c>
      <c r="IU88" s="21" t="str">
        <f t="shared" si="108"/>
        <v/>
      </c>
      <c r="IV88" s="21" t="str">
        <f t="shared" si="108"/>
        <v/>
      </c>
      <c r="IW88" s="21" t="str">
        <f t="shared" si="108"/>
        <v/>
      </c>
      <c r="IX88" s="21" t="str">
        <f t="shared" si="108"/>
        <v/>
      </c>
      <c r="IY88" s="21" t="str">
        <f t="shared" si="108"/>
        <v/>
      </c>
      <c r="IZ88" s="21" t="str">
        <f t="shared" si="108"/>
        <v/>
      </c>
      <c r="JA88" s="21" t="str">
        <f t="shared" si="108"/>
        <v/>
      </c>
      <c r="JB88" s="21" t="str">
        <f t="shared" si="108"/>
        <v/>
      </c>
      <c r="JC88" s="21" t="str">
        <f t="shared" si="108"/>
        <v/>
      </c>
      <c r="JD88" s="21" t="str">
        <f t="shared" si="108"/>
        <v/>
      </c>
      <c r="JE88" s="21" t="str">
        <f t="shared" si="108"/>
        <v/>
      </c>
      <c r="JF88" s="21" t="str">
        <f t="shared" si="108"/>
        <v/>
      </c>
      <c r="JG88" s="21" t="str">
        <f t="shared" si="108"/>
        <v/>
      </c>
      <c r="JH88" s="21" t="str">
        <f t="shared" si="108"/>
        <v/>
      </c>
    </row>
    <row r="89" spans="1:336" x14ac:dyDescent="0.25"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>
        <f t="shared" ref="AA89:CL89" ca="1" si="109">IF(AA9="","",AVERAGE(S63:Z63)+CONFIDENCE(0.05,STDEV(B63:Z63),COUNT(B63:Z63)))</f>
        <v>1.5091291551915707E-2</v>
      </c>
      <c r="AB89" s="21">
        <f t="shared" ca="1" si="109"/>
        <v>1.4600802921360375E-2</v>
      </c>
      <c r="AC89" s="21">
        <f t="shared" ca="1" si="109"/>
        <v>1.610098522129939E-2</v>
      </c>
      <c r="AD89" s="21">
        <f t="shared" ca="1" si="109"/>
        <v>1.9508854132713971E-2</v>
      </c>
      <c r="AE89" s="21">
        <f t="shared" ca="1" si="109"/>
        <v>2.170745992064755E-2</v>
      </c>
      <c r="AF89" s="21">
        <f t="shared" ca="1" si="109"/>
        <v>2.3243870369236513E-2</v>
      </c>
      <c r="AG89" s="21">
        <f t="shared" ca="1" si="109"/>
        <v>2.3382774406453036E-2</v>
      </c>
      <c r="AH89" s="21">
        <f t="shared" ca="1" si="109"/>
        <v>2.2453036264601184E-2</v>
      </c>
      <c r="AI89" s="21">
        <f t="shared" ca="1" si="109"/>
        <v>2.0633226258909405E-2</v>
      </c>
      <c r="AJ89" s="21">
        <f t="shared" ca="1" si="109"/>
        <v>1.8771306560966497E-2</v>
      </c>
      <c r="AK89" s="21">
        <f t="shared" ca="1" si="109"/>
        <v>1.7313492635412386E-2</v>
      </c>
      <c r="AL89" s="21">
        <f t="shared" ca="1" si="109"/>
        <v>1.4596179864449787E-2</v>
      </c>
      <c r="AM89" s="21">
        <f t="shared" ca="1" si="109"/>
        <v>1.2473085035153993E-2</v>
      </c>
      <c r="AN89" s="21">
        <f t="shared" ca="1" si="109"/>
        <v>1.1111714888731417E-2</v>
      </c>
      <c r="AO89" s="21">
        <f t="shared" ca="1" si="109"/>
        <v>1.1330986043431142E-2</v>
      </c>
      <c r="AP89" s="21">
        <f t="shared" ca="1" si="109"/>
        <v>1.0939719643008647E-2</v>
      </c>
      <c r="AQ89" s="21">
        <f t="shared" ca="1" si="109"/>
        <v>1.002321074171816E-2</v>
      </c>
      <c r="AR89" s="21">
        <f t="shared" ca="1" si="109"/>
        <v>8.5135205747688646E-3</v>
      </c>
      <c r="AS89" s="21">
        <f t="shared" ca="1" si="109"/>
        <v>7.0788629864299152E-3</v>
      </c>
      <c r="AT89" s="21">
        <f t="shared" ca="1" si="109"/>
        <v>7.1302299413414493E-3</v>
      </c>
      <c r="AU89" s="21">
        <f t="shared" ca="1" si="109"/>
        <v>8.3104465900731856E-3</v>
      </c>
      <c r="AV89" s="21">
        <f t="shared" ca="1" si="109"/>
        <v>9.3210988783280439E-3</v>
      </c>
      <c r="AW89" s="21">
        <f t="shared" ca="1" si="109"/>
        <v>1.1934002443252512E-2</v>
      </c>
      <c r="AX89" s="21">
        <f t="shared" ca="1" si="109"/>
        <v>1.6609559904777429E-2</v>
      </c>
      <c r="AY89" s="21">
        <f t="shared" ca="1" si="109"/>
        <v>2.2866712804299354E-2</v>
      </c>
      <c r="AZ89" s="21">
        <f t="shared" ca="1" si="109"/>
        <v>2.9656967536073747E-2</v>
      </c>
      <c r="BA89" s="21">
        <f t="shared" ca="1" si="109"/>
        <v>3.5698837591335075E-2</v>
      </c>
      <c r="BB89" s="21">
        <f t="shared" ca="1" si="109"/>
        <v>4.0340190348438311E-2</v>
      </c>
      <c r="BC89" s="21">
        <f t="shared" ca="1" si="109"/>
        <v>4.8202030753198059E-2</v>
      </c>
      <c r="BD89" s="21">
        <f t="shared" ca="1" si="109"/>
        <v>5.5930659240549942E-2</v>
      </c>
      <c r="BE89" s="21">
        <f t="shared" ca="1" si="109"/>
        <v>6.2013338343167787E-2</v>
      </c>
      <c r="BF89" s="21">
        <f t="shared" ca="1" si="109"/>
        <v>6.5670717157551808E-2</v>
      </c>
      <c r="BG89" s="21">
        <f t="shared" ca="1" si="109"/>
        <v>6.5494587952641112E-2</v>
      </c>
      <c r="BH89" s="21">
        <f t="shared" ca="1" si="109"/>
        <v>6.5993515486927307E-2</v>
      </c>
      <c r="BI89" s="21">
        <f t="shared" ca="1" si="109"/>
        <v>6.7309912265681934E-2</v>
      </c>
      <c r="BJ89" s="21">
        <f t="shared" ca="1" si="109"/>
        <v>6.4491639992225375E-2</v>
      </c>
      <c r="BK89" s="21">
        <f t="shared" ca="1" si="109"/>
        <v>5.6662989517277294E-2</v>
      </c>
      <c r="BL89" s="21">
        <f t="shared" ca="1" si="109"/>
        <v>5.016657099438971E-2</v>
      </c>
      <c r="BM89" s="21">
        <f t="shared" ca="1" si="109"/>
        <v>4.8912123453212684E-2</v>
      </c>
      <c r="BN89" s="21">
        <f t="shared" ca="1" si="109"/>
        <v>5.0113219379879337E-2</v>
      </c>
      <c r="BO89" s="21">
        <f t="shared" ca="1" si="109"/>
        <v>5.1580447488016372E-2</v>
      </c>
      <c r="BP89" s="21">
        <f t="shared" ca="1" si="109"/>
        <v>5.0966462253530964E-2</v>
      </c>
      <c r="BQ89" s="21">
        <f t="shared" ca="1" si="109"/>
        <v>4.7236849005740773E-2</v>
      </c>
      <c r="BR89" s="21">
        <f t="shared" ca="1" si="109"/>
        <v>4.7545056143958174E-2</v>
      </c>
      <c r="BS89" s="21">
        <f t="shared" ca="1" si="109"/>
        <v>4.866632905236952E-2</v>
      </c>
      <c r="BT89" s="21">
        <f t="shared" ca="1" si="109"/>
        <v>5.0602496348631919E-2</v>
      </c>
      <c r="BU89" s="21">
        <f t="shared" ca="1" si="109"/>
        <v>4.5851610465450776E-2</v>
      </c>
      <c r="BV89" s="21">
        <f t="shared" ca="1" si="109"/>
        <v>3.8389873774784235E-2</v>
      </c>
      <c r="BW89" s="21">
        <f t="shared" ca="1" si="109"/>
        <v>3.4159200172325141E-2</v>
      </c>
      <c r="BX89" s="21">
        <f t="shared" ca="1" si="109"/>
        <v>3.0020720379250666E-2</v>
      </c>
      <c r="BY89" s="21">
        <f t="shared" ca="1" si="109"/>
        <v>2.6918606616798752E-2</v>
      </c>
      <c r="BZ89" s="21">
        <f t="shared" ca="1" si="109"/>
        <v>2.482230705907237E-2</v>
      </c>
      <c r="CA89" s="21">
        <f t="shared" ca="1" si="109"/>
        <v>2.402353199724052E-2</v>
      </c>
      <c r="CB89" s="21">
        <f t="shared" ca="1" si="109"/>
        <v>1.9927393169192186E-2</v>
      </c>
      <c r="CC89" s="21">
        <f t="shared" ca="1" si="109"/>
        <v>1.7915645459751071E-2</v>
      </c>
      <c r="CD89" s="21">
        <f t="shared" ca="1" si="109"/>
        <v>1.7026944369055944E-2</v>
      </c>
      <c r="CE89" s="21">
        <f t="shared" ca="1" si="109"/>
        <v>1.3830308871593691E-2</v>
      </c>
      <c r="CF89" s="21">
        <f t="shared" ca="1" si="109"/>
        <v>1.4641220740099985E-2</v>
      </c>
      <c r="CG89" s="21">
        <f t="shared" ca="1" si="109"/>
        <v>1.7510422282097413E-2</v>
      </c>
      <c r="CH89" s="21">
        <f t="shared" ca="1" si="109"/>
        <v>1.7410834471293074E-2</v>
      </c>
      <c r="CI89" s="21">
        <f t="shared" ca="1" si="109"/>
        <v>1.8895332312612596E-2</v>
      </c>
      <c r="CJ89" s="21">
        <f t="shared" ca="1" si="109"/>
        <v>2.0780651027328016E-2</v>
      </c>
      <c r="CK89" s="21">
        <f t="shared" ca="1" si="109"/>
        <v>2.0768318003260448E-2</v>
      </c>
      <c r="CL89" s="21">
        <f t="shared" ca="1" si="109"/>
        <v>2.249669757007134E-2</v>
      </c>
      <c r="CM89" s="21">
        <f t="shared" ref="CM89:EX89" ca="1" si="110">IF(CM9="","",AVERAGE(CE63:CL63)+CONFIDENCE(0.05,STDEV(BN63:CL63),COUNT(BN63:CL63)))</f>
        <v>2.4589165416540618E-2</v>
      </c>
      <c r="CN89" s="21">
        <f t="shared" ca="1" si="110"/>
        <v>2.3508192369439022E-2</v>
      </c>
      <c r="CO89" s="21">
        <f t="shared" ca="1" si="110"/>
        <v>2.2381798531893708E-2</v>
      </c>
      <c r="CP89" s="21">
        <f t="shared" ca="1" si="110"/>
        <v>2.4151716710267508E-2</v>
      </c>
      <c r="CQ89" s="21">
        <f t="shared" ca="1" si="110"/>
        <v>2.5663451207797866E-2</v>
      </c>
      <c r="CR89" s="21">
        <f t="shared" ca="1" si="110"/>
        <v>3.0284675884477835E-2</v>
      </c>
      <c r="CS89" s="21">
        <f t="shared" ca="1" si="110"/>
        <v>3.2861982416548918E-2</v>
      </c>
      <c r="CT89" s="21">
        <f t="shared" ca="1" si="110"/>
        <v>3.1640388304512983E-2</v>
      </c>
      <c r="CU89" s="21">
        <f t="shared" ca="1" si="110"/>
        <v>3.1891472336669703E-2</v>
      </c>
      <c r="CV89" s="21">
        <f t="shared" ca="1" si="110"/>
        <v>3.2313171834042725E-2</v>
      </c>
      <c r="CW89" s="21">
        <f t="shared" ca="1" si="110"/>
        <v>2.983772863463648E-2</v>
      </c>
      <c r="CX89" s="21">
        <f t="shared" ca="1" si="110"/>
        <v>2.8053825883368889E-2</v>
      </c>
      <c r="CY89" s="21">
        <f t="shared" ca="1" si="110"/>
        <v>2.6805492076897385E-2</v>
      </c>
      <c r="CZ89" s="21">
        <f t="shared" ca="1" si="110"/>
        <v>2.3008650830805989E-2</v>
      </c>
      <c r="DA89" s="21">
        <f t="shared" ca="1" si="110"/>
        <v>2.3888726921730542E-2</v>
      </c>
      <c r="DB89" s="21">
        <f t="shared" ca="1" si="110"/>
        <v>2.3887023541870868E-2</v>
      </c>
      <c r="DC89" s="21">
        <f t="shared" ca="1" si="110"/>
        <v>2.1080524112944886E-2</v>
      </c>
      <c r="DD89" s="21">
        <f t="shared" ca="1" si="110"/>
        <v>2.2284147930437408E-2</v>
      </c>
      <c r="DE89" s="21">
        <f t="shared" ca="1" si="110"/>
        <v>2.2756468015134645E-2</v>
      </c>
      <c r="DF89" s="21">
        <f t="shared" ca="1" si="110"/>
        <v>2.7002106621076407E-2</v>
      </c>
      <c r="DG89" s="21">
        <f t="shared" ca="1" si="110"/>
        <v>3.2217800555436875E-2</v>
      </c>
      <c r="DH89" s="21">
        <f t="shared" ca="1" si="110"/>
        <v>3.5471773691818149E-2</v>
      </c>
      <c r="DI89" s="21">
        <f t="shared" ca="1" si="110"/>
        <v>3.5419056079282446E-2</v>
      </c>
      <c r="DJ89" s="21">
        <f t="shared" ca="1" si="110"/>
        <v>4.0944467581140058E-2</v>
      </c>
      <c r="DK89" s="21">
        <f t="shared" ca="1" si="110"/>
        <v>4.3363951801927154E-2</v>
      </c>
      <c r="DL89" s="21">
        <f t="shared" ca="1" si="110"/>
        <v>4.3378925161411633E-2</v>
      </c>
      <c r="DM89" s="21">
        <f t="shared" ca="1" si="110"/>
        <v>4.7298601652788257E-2</v>
      </c>
      <c r="DN89" s="21">
        <f t="shared" ca="1" si="110"/>
        <v>4.7731421033418958E-2</v>
      </c>
      <c r="DO89" s="21">
        <f t="shared" ca="1" si="110"/>
        <v>4.5406066269092514E-2</v>
      </c>
      <c r="DP89" s="21">
        <f t="shared" ca="1" si="110"/>
        <v>4.4392090643065374E-2</v>
      </c>
      <c r="DQ89" s="21">
        <f t="shared" ca="1" si="110"/>
        <v>4.1150071977400712E-2</v>
      </c>
      <c r="DR89" s="21">
        <f t="shared" ca="1" si="110"/>
        <v>3.8487623005267646E-2</v>
      </c>
      <c r="DS89" s="21">
        <f t="shared" ca="1" si="110"/>
        <v>3.629691519595709E-2</v>
      </c>
      <c r="DT89" s="21">
        <f t="shared" ca="1" si="110"/>
        <v>3.2599099984522414E-2</v>
      </c>
      <c r="DU89" s="21">
        <f t="shared" ca="1" si="110"/>
        <v>2.9798151012538816E-2</v>
      </c>
      <c r="DV89" s="21">
        <f t="shared" ca="1" si="110"/>
        <v>2.5567778005075741E-2</v>
      </c>
      <c r="DW89" s="21">
        <f t="shared" ca="1" si="110"/>
        <v>2.1291802731763915E-2</v>
      </c>
      <c r="DX89" s="21">
        <f t="shared" ca="1" si="110"/>
        <v>1.7615487881688232E-2</v>
      </c>
      <c r="DY89" s="21">
        <f t="shared" ca="1" si="110"/>
        <v>1.763771977849124E-2</v>
      </c>
      <c r="DZ89" s="21">
        <f t="shared" ca="1" si="110"/>
        <v>1.4202412045015584E-2</v>
      </c>
      <c r="EA89" s="21">
        <f t="shared" ca="1" si="110"/>
        <v>1.5131843804068856E-2</v>
      </c>
      <c r="EB89" s="21">
        <f t="shared" ca="1" si="110"/>
        <v>1.5783876861234815E-2</v>
      </c>
      <c r="EC89" s="21">
        <f t="shared" ca="1" si="110"/>
        <v>1.9438931687749534E-2</v>
      </c>
      <c r="ED89" s="21">
        <f t="shared" ca="1" si="110"/>
        <v>2.1713128413678499E-2</v>
      </c>
      <c r="EE89" s="21">
        <f t="shared" ca="1" si="110"/>
        <v>2.3475900620096569E-2</v>
      </c>
      <c r="EF89" s="21">
        <f t="shared" ca="1" si="110"/>
        <v>2.4715151263708671E-2</v>
      </c>
      <c r="EG89" s="21">
        <f t="shared" ca="1" si="110"/>
        <v>2.4702852139939474E-2</v>
      </c>
      <c r="EH89" s="21">
        <f t="shared" ca="1" si="110"/>
        <v>2.5636284752587161E-2</v>
      </c>
      <c r="EI89" s="21">
        <f t="shared" ca="1" si="110"/>
        <v>2.4749309816261771E-2</v>
      </c>
      <c r="EJ89" s="21">
        <f t="shared" ca="1" si="110"/>
        <v>2.6871096989841182E-2</v>
      </c>
      <c r="EK89" s="21">
        <f t="shared" ca="1" si="110"/>
        <v>2.5353091974638566E-2</v>
      </c>
      <c r="EL89" s="21">
        <f t="shared" ca="1" si="110"/>
        <v>2.2835012882493452E-2</v>
      </c>
      <c r="EM89" s="21">
        <f t="shared" ca="1" si="110"/>
        <v>2.0967683748089813E-2</v>
      </c>
      <c r="EN89" s="21">
        <f t="shared" ca="1" si="110"/>
        <v>1.8582982651602891E-2</v>
      </c>
      <c r="EO89" s="21">
        <f t="shared" ca="1" si="110"/>
        <v>2.0634911587256811E-2</v>
      </c>
      <c r="EP89" s="21">
        <f t="shared" ca="1" si="110"/>
        <v>2.1616556596760095E-2</v>
      </c>
      <c r="EQ89" s="21">
        <f t="shared" ca="1" si="110"/>
        <v>2.1164002168336998E-2</v>
      </c>
      <c r="ER89" s="21">
        <f t="shared" ca="1" si="110"/>
        <v>1.8736608326631019E-2</v>
      </c>
      <c r="ES89" s="21">
        <f t="shared" ca="1" si="110"/>
        <v>1.5772297795219818E-2</v>
      </c>
      <c r="ET89" s="21">
        <f t="shared" ca="1" si="110"/>
        <v>1.6901677166408662E-2</v>
      </c>
      <c r="EU89" s="21">
        <f t="shared" ca="1" si="110"/>
        <v>1.7432601251003446E-2</v>
      </c>
      <c r="EV89" s="21">
        <f t="shared" ca="1" si="110"/>
        <v>1.7500398495879234E-2</v>
      </c>
      <c r="EW89" s="21">
        <f t="shared" ca="1" si="110"/>
        <v>1.59699331120732E-2</v>
      </c>
      <c r="EX89" s="21">
        <f t="shared" ca="1" si="110"/>
        <v>1.6118946990912E-2</v>
      </c>
      <c r="EY89" s="21">
        <f t="shared" ref="EY89:HJ89" ca="1" si="111">IF(EY9="","",AVERAGE(EQ63:EX63)+CONFIDENCE(0.05,STDEV(DZ63:EX63),COUNT(DZ63:EX63)))</f>
        <v>1.6123750949023581E-2</v>
      </c>
      <c r="EZ89" s="21">
        <f t="shared" ca="1" si="111"/>
        <v>1.5682255873541613E-2</v>
      </c>
      <c r="FA89" s="21">
        <f t="shared" ca="1" si="111"/>
        <v>1.5906687477104178E-2</v>
      </c>
      <c r="FB89" s="21">
        <f t="shared" ca="1" si="111"/>
        <v>1.3523717743950461E-2</v>
      </c>
      <c r="FC89" s="21">
        <f t="shared" ca="1" si="111"/>
        <v>1.3218274645324839E-2</v>
      </c>
      <c r="FD89" s="21">
        <f t="shared" ca="1" si="111"/>
        <v>1.3527924000670113E-2</v>
      </c>
      <c r="FE89" s="21">
        <f t="shared" ca="1" si="111"/>
        <v>1.2031684439009035E-2</v>
      </c>
      <c r="FF89" s="21">
        <f t="shared" ca="1" si="111"/>
        <v>1.0080602149680318E-2</v>
      </c>
      <c r="FG89" s="21">
        <f t="shared" ca="1" si="111"/>
        <v>1.1424884552122247E-2</v>
      </c>
      <c r="FH89" s="21">
        <f t="shared" ca="1" si="111"/>
        <v>1.4786076576769037E-2</v>
      </c>
      <c r="FI89" s="21">
        <f t="shared" ca="1" si="111"/>
        <v>1.5112349421645643E-2</v>
      </c>
      <c r="FJ89" s="21">
        <f t="shared" ca="1" si="111"/>
        <v>1.5361574033840414E-2</v>
      </c>
      <c r="FK89" s="21">
        <f t="shared" ca="1" si="111"/>
        <v>1.5393408704907675E-2</v>
      </c>
      <c r="FL89" s="21">
        <f t="shared" ca="1" si="111"/>
        <v>1.5225064413281506E-2</v>
      </c>
      <c r="FM89" s="21">
        <f t="shared" ca="1" si="111"/>
        <v>1.5559633609244972E-2</v>
      </c>
      <c r="FN89" s="21">
        <f t="shared" ca="1" si="111"/>
        <v>1.8250223213706562E-2</v>
      </c>
      <c r="FO89" s="21">
        <f t="shared" ca="1" si="111"/>
        <v>1.7612255924454572E-2</v>
      </c>
      <c r="FP89" s="21">
        <f t="shared" ca="1" si="111"/>
        <v>1.604281154420225E-2</v>
      </c>
      <c r="FQ89" s="21">
        <f t="shared" ca="1" si="111"/>
        <v>1.6304186224778548E-2</v>
      </c>
      <c r="FR89" s="21">
        <f t="shared" ca="1" si="111"/>
        <v>1.6170489540561703E-2</v>
      </c>
      <c r="FS89" s="21">
        <f t="shared" ca="1" si="111"/>
        <v>1.7735731749872995E-2</v>
      </c>
      <c r="FT89" s="21">
        <f t="shared" ca="1" si="111"/>
        <v>2.1436945602905998E-2</v>
      </c>
      <c r="FU89" s="21">
        <f t="shared" ca="1" si="111"/>
        <v>2.4333128998491591E-2</v>
      </c>
      <c r="FV89" s="21">
        <f t="shared" ca="1" si="111"/>
        <v>2.2153879275263931E-2</v>
      </c>
      <c r="FW89" s="21">
        <f t="shared" ca="1" si="111"/>
        <v>2.0828984054233939E-2</v>
      </c>
      <c r="FX89" s="21">
        <f t="shared" ca="1" si="111"/>
        <v>2.2316138115906881E-2</v>
      </c>
      <c r="FY89" s="21">
        <f t="shared" ca="1" si="111"/>
        <v>2.0889672210878535E-2</v>
      </c>
      <c r="FZ89" s="21">
        <f t="shared" ca="1" si="111"/>
        <v>2.0233124518166026E-2</v>
      </c>
      <c r="GA89" s="21">
        <f t="shared" ca="1" si="111"/>
        <v>2.104633383730228E-2</v>
      </c>
      <c r="GB89" s="21">
        <f t="shared" ca="1" si="111"/>
        <v>2.2056086023797244E-2</v>
      </c>
      <c r="GC89" s="21">
        <f t="shared" ca="1" si="111"/>
        <v>2.3414337727447616E-2</v>
      </c>
      <c r="GD89" s="21">
        <f t="shared" ca="1" si="111"/>
        <v>2.5579943861292836E-2</v>
      </c>
      <c r="GE89" s="21">
        <f t="shared" ca="1" si="111"/>
        <v>2.5879807828760353E-2</v>
      </c>
      <c r="GF89" s="21">
        <f t="shared" ca="1" si="111"/>
        <v>2.2854778360245506E-2</v>
      </c>
      <c r="GG89" s="21">
        <f t="shared" ca="1" si="111"/>
        <v>2.2984316974602473E-2</v>
      </c>
      <c r="GH89" s="21">
        <f t="shared" ca="1" si="111"/>
        <v>2.2616969124319972E-2</v>
      </c>
      <c r="GI89" s="21">
        <f t="shared" ca="1" si="111"/>
        <v>2.077168501840403E-2</v>
      </c>
      <c r="GJ89" s="21">
        <f t="shared" ca="1" si="111"/>
        <v>2.120248635886203E-2</v>
      </c>
      <c r="GK89" s="21">
        <f t="shared" ca="1" si="111"/>
        <v>2.0185212823627795E-2</v>
      </c>
      <c r="GL89" s="21">
        <f t="shared" ca="1" si="111"/>
        <v>2.1199344161191253E-2</v>
      </c>
      <c r="GM89" s="21">
        <f t="shared" ca="1" si="111"/>
        <v>2.3829120406791041E-2</v>
      </c>
      <c r="GN89" s="21">
        <f t="shared" ca="1" si="111"/>
        <v>2.6238692116768422E-2</v>
      </c>
      <c r="GO89" s="21">
        <f t="shared" ca="1" si="111"/>
        <v>2.6824407909317307E-2</v>
      </c>
      <c r="GP89" s="21">
        <f t="shared" ca="1" si="111"/>
        <v>2.7678954579213273E-2</v>
      </c>
      <c r="GQ89" s="21">
        <f t="shared" ca="1" si="111"/>
        <v>3.3292499639481193E-2</v>
      </c>
      <c r="GR89" s="21">
        <f t="shared" ca="1" si="111"/>
        <v>3.7405327850052288E-2</v>
      </c>
      <c r="GS89" s="21">
        <f t="shared" ca="1" si="111"/>
        <v>3.8425329478893905E-2</v>
      </c>
      <c r="GT89" s="21">
        <f t="shared" ca="1" si="111"/>
        <v>3.8177997976816647E-2</v>
      </c>
      <c r="GU89" s="21">
        <f t="shared" ca="1" si="111"/>
        <v>3.8129972438644855E-2</v>
      </c>
      <c r="GV89" s="21">
        <f t="shared" ca="1" si="111"/>
        <v>4.0634314200744669E-2</v>
      </c>
      <c r="GW89" s="21">
        <f t="shared" ca="1" si="111"/>
        <v>4.6539517957101283E-2</v>
      </c>
      <c r="GX89" s="21">
        <f t="shared" ca="1" si="111"/>
        <v>5.77115262891238E-2</v>
      </c>
      <c r="GY89" s="21">
        <f t="shared" ca="1" si="111"/>
        <v>5.790642778504361E-2</v>
      </c>
      <c r="GZ89" s="21">
        <f t="shared" ca="1" si="111"/>
        <v>4.5546533633723546E-2</v>
      </c>
      <c r="HA89" s="21" t="str">
        <f t="shared" si="111"/>
        <v/>
      </c>
      <c r="HB89" s="21" t="str">
        <f t="shared" si="111"/>
        <v/>
      </c>
      <c r="HC89" s="21" t="str">
        <f t="shared" si="111"/>
        <v/>
      </c>
      <c r="HD89" s="21" t="str">
        <f t="shared" si="111"/>
        <v/>
      </c>
      <c r="HE89" s="21" t="str">
        <f t="shared" si="111"/>
        <v/>
      </c>
      <c r="HF89" s="21" t="str">
        <f t="shared" si="111"/>
        <v/>
      </c>
      <c r="HG89" s="21" t="str">
        <f t="shared" si="111"/>
        <v/>
      </c>
      <c r="HH89" s="21" t="str">
        <f t="shared" si="111"/>
        <v/>
      </c>
      <c r="HI89" s="21" t="str">
        <f t="shared" si="111"/>
        <v/>
      </c>
      <c r="HJ89" s="21" t="str">
        <f t="shared" si="111"/>
        <v/>
      </c>
      <c r="HK89" s="21" t="str">
        <f t="shared" ref="HK89:JH89" si="112">IF(HK9="","",AVERAGE(HC63:HJ63)+CONFIDENCE(0.05,STDEV(GL63:HJ63),COUNT(GL63:HJ63)))</f>
        <v/>
      </c>
      <c r="HL89" s="21" t="str">
        <f t="shared" si="112"/>
        <v/>
      </c>
      <c r="HM89" s="21" t="str">
        <f t="shared" si="112"/>
        <v/>
      </c>
      <c r="HN89" s="21" t="str">
        <f t="shared" si="112"/>
        <v/>
      </c>
      <c r="HO89" s="21" t="str">
        <f t="shared" si="112"/>
        <v/>
      </c>
      <c r="HP89" s="21" t="str">
        <f t="shared" si="112"/>
        <v/>
      </c>
      <c r="HQ89" s="21" t="str">
        <f t="shared" si="112"/>
        <v/>
      </c>
      <c r="HR89" s="21" t="str">
        <f t="shared" si="112"/>
        <v/>
      </c>
      <c r="HS89" s="21" t="str">
        <f t="shared" si="112"/>
        <v/>
      </c>
      <c r="HT89" s="21" t="str">
        <f t="shared" si="112"/>
        <v/>
      </c>
      <c r="HU89" s="21" t="str">
        <f t="shared" si="112"/>
        <v/>
      </c>
      <c r="HV89" s="21" t="str">
        <f t="shared" si="112"/>
        <v/>
      </c>
      <c r="HW89" s="21" t="str">
        <f t="shared" si="112"/>
        <v/>
      </c>
      <c r="HX89" s="21" t="str">
        <f t="shared" si="112"/>
        <v/>
      </c>
      <c r="HY89" s="21" t="str">
        <f t="shared" si="112"/>
        <v/>
      </c>
      <c r="HZ89" s="21" t="str">
        <f t="shared" si="112"/>
        <v/>
      </c>
      <c r="IA89" s="21" t="str">
        <f t="shared" si="112"/>
        <v/>
      </c>
      <c r="IB89" s="21" t="str">
        <f t="shared" si="112"/>
        <v/>
      </c>
      <c r="IC89" s="21" t="str">
        <f t="shared" si="112"/>
        <v/>
      </c>
      <c r="ID89" s="21" t="str">
        <f t="shared" si="112"/>
        <v/>
      </c>
      <c r="IE89" s="21" t="str">
        <f t="shared" si="112"/>
        <v/>
      </c>
      <c r="IF89" s="21" t="str">
        <f t="shared" si="112"/>
        <v/>
      </c>
      <c r="IG89" s="21" t="str">
        <f t="shared" si="112"/>
        <v/>
      </c>
      <c r="IH89" s="21" t="str">
        <f t="shared" si="112"/>
        <v/>
      </c>
      <c r="II89" s="21" t="str">
        <f t="shared" si="112"/>
        <v/>
      </c>
      <c r="IJ89" s="21" t="str">
        <f t="shared" si="112"/>
        <v/>
      </c>
      <c r="IK89" s="21" t="str">
        <f t="shared" si="112"/>
        <v/>
      </c>
      <c r="IL89" s="21" t="str">
        <f t="shared" si="112"/>
        <v/>
      </c>
      <c r="IM89" s="21" t="str">
        <f t="shared" si="112"/>
        <v/>
      </c>
      <c r="IN89" s="21" t="str">
        <f t="shared" si="112"/>
        <v/>
      </c>
      <c r="IO89" s="21" t="str">
        <f t="shared" si="112"/>
        <v/>
      </c>
      <c r="IP89" s="21" t="str">
        <f t="shared" si="112"/>
        <v/>
      </c>
      <c r="IQ89" s="21" t="str">
        <f t="shared" si="112"/>
        <v/>
      </c>
      <c r="IR89" s="21" t="str">
        <f t="shared" si="112"/>
        <v/>
      </c>
      <c r="IS89" s="21" t="str">
        <f t="shared" si="112"/>
        <v/>
      </c>
      <c r="IT89" s="21" t="str">
        <f t="shared" si="112"/>
        <v/>
      </c>
      <c r="IU89" s="21" t="str">
        <f t="shared" si="112"/>
        <v/>
      </c>
      <c r="IV89" s="21" t="str">
        <f t="shared" si="112"/>
        <v/>
      </c>
      <c r="IW89" s="21" t="str">
        <f t="shared" si="112"/>
        <v/>
      </c>
      <c r="IX89" s="21" t="str">
        <f t="shared" si="112"/>
        <v/>
      </c>
      <c r="IY89" s="21" t="str">
        <f t="shared" si="112"/>
        <v/>
      </c>
      <c r="IZ89" s="21" t="str">
        <f t="shared" si="112"/>
        <v/>
      </c>
      <c r="JA89" s="21" t="str">
        <f t="shared" si="112"/>
        <v/>
      </c>
      <c r="JB89" s="21" t="str">
        <f t="shared" si="112"/>
        <v/>
      </c>
      <c r="JC89" s="21" t="str">
        <f t="shared" si="112"/>
        <v/>
      </c>
      <c r="JD89" s="21" t="str">
        <f t="shared" si="112"/>
        <v/>
      </c>
      <c r="JE89" s="21" t="str">
        <f t="shared" si="112"/>
        <v/>
      </c>
      <c r="JF89" s="21" t="str">
        <f t="shared" si="112"/>
        <v/>
      </c>
      <c r="JG89" s="21" t="str">
        <f t="shared" si="112"/>
        <v/>
      </c>
      <c r="JH89" s="21" t="str">
        <f t="shared" si="112"/>
        <v/>
      </c>
    </row>
    <row r="90" spans="1:336" x14ac:dyDescent="0.25"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>
        <f t="shared" ref="AA90:CL90" ca="1" si="113">IF(AA10="","",AVERAGE(R64:Z64)+CONFIDENCE(0.05,STDEV(B64:Z64),COUNT(B64:Z64)))</f>
        <v>1.8713394042532666E-2</v>
      </c>
      <c r="AB90" s="21">
        <f t="shared" ca="1" si="113"/>
        <v>1.743493567427817E-2</v>
      </c>
      <c r="AC90" s="21">
        <f t="shared" ca="1" si="113"/>
        <v>1.7761639490053306E-2</v>
      </c>
      <c r="AD90" s="21">
        <f t="shared" ca="1" si="113"/>
        <v>1.9638255686716871E-2</v>
      </c>
      <c r="AE90" s="21">
        <f t="shared" ca="1" si="113"/>
        <v>2.1226746294750989E-2</v>
      </c>
      <c r="AF90" s="21">
        <f t="shared" ca="1" si="113"/>
        <v>2.2136887491967176E-2</v>
      </c>
      <c r="AG90" s="21">
        <f t="shared" ca="1" si="113"/>
        <v>2.2319101532003026E-2</v>
      </c>
      <c r="AH90" s="21">
        <f t="shared" ca="1" si="113"/>
        <v>2.2146117957269385E-2</v>
      </c>
      <c r="AI90" s="21">
        <f t="shared" ca="1" si="113"/>
        <v>2.1061668869937752E-2</v>
      </c>
      <c r="AJ90" s="21">
        <f t="shared" ca="1" si="113"/>
        <v>1.9115263639815777E-2</v>
      </c>
      <c r="AK90" s="21">
        <f t="shared" ca="1" si="113"/>
        <v>1.7267212226717024E-2</v>
      </c>
      <c r="AL90" s="21">
        <f t="shared" ca="1" si="113"/>
        <v>1.5472999395583352E-2</v>
      </c>
      <c r="AM90" s="21">
        <f t="shared" ca="1" si="113"/>
        <v>1.2927873145791705E-2</v>
      </c>
      <c r="AN90" s="21">
        <f t="shared" ca="1" si="113"/>
        <v>1.1763607194110806E-2</v>
      </c>
      <c r="AO90" s="21">
        <f t="shared" ca="1" si="113"/>
        <v>1.0497207444015366E-2</v>
      </c>
      <c r="AP90" s="21">
        <f t="shared" ca="1" si="113"/>
        <v>1.0743869791886133E-2</v>
      </c>
      <c r="AQ90" s="21">
        <f t="shared" ca="1" si="113"/>
        <v>9.7310366689016443E-3</v>
      </c>
      <c r="AR90" s="21">
        <f t="shared" ca="1" si="113"/>
        <v>8.9382513703269405E-3</v>
      </c>
      <c r="AS90" s="21">
        <f t="shared" ca="1" si="113"/>
        <v>8.21424639737715E-3</v>
      </c>
      <c r="AT90" s="21">
        <f t="shared" ca="1" si="113"/>
        <v>8.7390195261735897E-3</v>
      </c>
      <c r="AU90" s="21">
        <f t="shared" ca="1" si="113"/>
        <v>9.4630714800727888E-3</v>
      </c>
      <c r="AV90" s="21">
        <f t="shared" ca="1" si="113"/>
        <v>1.1353236926535575E-2</v>
      </c>
      <c r="AW90" s="21">
        <f t="shared" ca="1" si="113"/>
        <v>1.5463737607822286E-2</v>
      </c>
      <c r="AX90" s="21">
        <f t="shared" ca="1" si="113"/>
        <v>2.0883698295717793E-2</v>
      </c>
      <c r="AY90" s="21">
        <f t="shared" ca="1" si="113"/>
        <v>2.7797432222429003E-2</v>
      </c>
      <c r="AZ90" s="21">
        <f t="shared" ca="1" si="113"/>
        <v>3.4383528878703717E-2</v>
      </c>
      <c r="BA90" s="21">
        <f t="shared" ca="1" si="113"/>
        <v>3.9582350210382936E-2</v>
      </c>
      <c r="BB90" s="21">
        <f t="shared" ca="1" si="113"/>
        <v>4.7711631840896954E-2</v>
      </c>
      <c r="BC90" s="21">
        <f t="shared" ca="1" si="113"/>
        <v>5.5483143688227571E-2</v>
      </c>
      <c r="BD90" s="21">
        <f t="shared" ca="1" si="113"/>
        <v>6.4083921261230914E-2</v>
      </c>
      <c r="BE90" s="21">
        <f t="shared" ca="1" si="113"/>
        <v>7.1416950478016161E-2</v>
      </c>
      <c r="BF90" s="21">
        <f t="shared" ca="1" si="113"/>
        <v>7.6298894251932731E-2</v>
      </c>
      <c r="BG90" s="21">
        <f t="shared" ca="1" si="113"/>
        <v>7.6879310650721858E-2</v>
      </c>
      <c r="BH90" s="21">
        <f t="shared" ca="1" si="113"/>
        <v>7.597411492429966E-2</v>
      </c>
      <c r="BI90" s="21">
        <f t="shared" ca="1" si="113"/>
        <v>7.6735544014847862E-2</v>
      </c>
      <c r="BJ90" s="21">
        <f t="shared" ca="1" si="113"/>
        <v>7.2444803429734972E-2</v>
      </c>
      <c r="BK90" s="21">
        <f t="shared" ca="1" si="113"/>
        <v>6.5122610399346026E-2</v>
      </c>
      <c r="BL90" s="21">
        <f t="shared" ca="1" si="113"/>
        <v>6.1229978800321952E-2</v>
      </c>
      <c r="BM90" s="21">
        <f t="shared" ca="1" si="113"/>
        <v>5.8252625061936368E-2</v>
      </c>
      <c r="BN90" s="21">
        <f t="shared" ca="1" si="113"/>
        <v>5.7671080925107782E-2</v>
      </c>
      <c r="BO90" s="21">
        <f t="shared" ca="1" si="113"/>
        <v>5.7299857290438919E-2</v>
      </c>
      <c r="BP90" s="21">
        <f t="shared" ca="1" si="113"/>
        <v>5.7130148918814398E-2</v>
      </c>
      <c r="BQ90" s="21">
        <f t="shared" ca="1" si="113"/>
        <v>5.4631538039277977E-2</v>
      </c>
      <c r="BR90" s="21">
        <f t="shared" ca="1" si="113"/>
        <v>5.0509704373231074E-2</v>
      </c>
      <c r="BS90" s="21">
        <f t="shared" ca="1" si="113"/>
        <v>5.0301299053812219E-2</v>
      </c>
      <c r="BT90" s="21">
        <f t="shared" ca="1" si="113"/>
        <v>5.380650872562931E-2</v>
      </c>
      <c r="BU90" s="21">
        <f t="shared" ca="1" si="113"/>
        <v>5.2133099964796745E-2</v>
      </c>
      <c r="BV90" s="21">
        <f t="shared" ca="1" si="113"/>
        <v>4.74226784131105E-2</v>
      </c>
      <c r="BW90" s="21">
        <f t="shared" ca="1" si="113"/>
        <v>4.2080412819516175E-2</v>
      </c>
      <c r="BX90" s="21">
        <f t="shared" ca="1" si="113"/>
        <v>3.4717818598128058E-2</v>
      </c>
      <c r="BY90" s="21">
        <f t="shared" ca="1" si="113"/>
        <v>2.9470133915886806E-2</v>
      </c>
      <c r="BZ90" s="21">
        <f t="shared" ca="1" si="113"/>
        <v>2.7065041432425926E-2</v>
      </c>
      <c r="CA90" s="21">
        <f t="shared" ca="1" si="113"/>
        <v>2.5050211013305138E-2</v>
      </c>
      <c r="CB90" s="21">
        <f t="shared" ca="1" si="113"/>
        <v>2.3968553180522247E-2</v>
      </c>
      <c r="CC90" s="21">
        <f t="shared" ca="1" si="113"/>
        <v>1.9466904537037762E-2</v>
      </c>
      <c r="CD90" s="21">
        <f t="shared" ca="1" si="113"/>
        <v>1.6484718893831171E-2</v>
      </c>
      <c r="CE90" s="21">
        <f t="shared" ca="1" si="113"/>
        <v>1.5033174014216588E-2</v>
      </c>
      <c r="CF90" s="21">
        <f t="shared" ca="1" si="113"/>
        <v>1.4891574698420217E-2</v>
      </c>
      <c r="CG90" s="21">
        <f t="shared" ca="1" si="113"/>
        <v>1.8250008152593991E-2</v>
      </c>
      <c r="CH90" s="21">
        <f t="shared" ca="1" si="113"/>
        <v>1.9026479631739847E-2</v>
      </c>
      <c r="CI90" s="21">
        <f t="shared" ca="1" si="113"/>
        <v>2.0095467213628874E-2</v>
      </c>
      <c r="CJ90" s="21">
        <f t="shared" ca="1" si="113"/>
        <v>2.0317509087978025E-2</v>
      </c>
      <c r="CK90" s="21">
        <f t="shared" ca="1" si="113"/>
        <v>2.2035812192411366E-2</v>
      </c>
      <c r="CL90" s="21">
        <f t="shared" ca="1" si="113"/>
        <v>2.3920399395393352E-2</v>
      </c>
      <c r="CM90" s="21">
        <f t="shared" ref="CM90:EX90" ca="1" si="114">IF(CM10="","",AVERAGE(CD64:CL64)+CONFIDENCE(0.05,STDEV(BN64:CL64),COUNT(BN64:CL64)))</f>
        <v>2.4853278336007967E-2</v>
      </c>
      <c r="CN90" s="21">
        <f t="shared" ca="1" si="114"/>
        <v>2.6701911939164179E-2</v>
      </c>
      <c r="CO90" s="21">
        <f t="shared" ca="1" si="114"/>
        <v>2.6682809610359869E-2</v>
      </c>
      <c r="CP90" s="21">
        <f t="shared" ca="1" si="114"/>
        <v>2.5626197371656924E-2</v>
      </c>
      <c r="CQ90" s="21">
        <f t="shared" ca="1" si="114"/>
        <v>2.8033069640811363E-2</v>
      </c>
      <c r="CR90" s="21">
        <f t="shared" ca="1" si="114"/>
        <v>3.2874711047527559E-2</v>
      </c>
      <c r="CS90" s="21">
        <f t="shared" ca="1" si="114"/>
        <v>3.4338324756929939E-2</v>
      </c>
      <c r="CT90" s="21">
        <f t="shared" ca="1" si="114"/>
        <v>3.4740652249563138E-2</v>
      </c>
      <c r="CU90" s="21">
        <f t="shared" ca="1" si="114"/>
        <v>3.7171936635991568E-2</v>
      </c>
      <c r="CV90" s="21">
        <f t="shared" ca="1" si="114"/>
        <v>3.49952120009848E-2</v>
      </c>
      <c r="CW90" s="21">
        <f t="shared" ca="1" si="114"/>
        <v>3.2632736878142971E-2</v>
      </c>
      <c r="CX90" s="21">
        <f t="shared" ca="1" si="114"/>
        <v>3.231022470680496E-2</v>
      </c>
      <c r="CY90" s="21">
        <f t="shared" ca="1" si="114"/>
        <v>3.1749306757328552E-2</v>
      </c>
      <c r="CZ90" s="21">
        <f t="shared" ca="1" si="114"/>
        <v>2.96918410920331E-2</v>
      </c>
      <c r="DA90" s="21">
        <f t="shared" ca="1" si="114"/>
        <v>2.7036340311882345E-2</v>
      </c>
      <c r="DB90" s="21">
        <f t="shared" ca="1" si="114"/>
        <v>2.5023463015343805E-2</v>
      </c>
      <c r="DC90" s="21">
        <f t="shared" ca="1" si="114"/>
        <v>2.3963513370525571E-2</v>
      </c>
      <c r="DD90" s="21">
        <f t="shared" ca="1" si="114"/>
        <v>2.2446328548766218E-2</v>
      </c>
      <c r="DE90" s="21">
        <f t="shared" ca="1" si="114"/>
        <v>2.2637015723550005E-2</v>
      </c>
      <c r="DF90" s="21">
        <f t="shared" ca="1" si="114"/>
        <v>2.6961941263081893E-2</v>
      </c>
      <c r="DG90" s="21">
        <f t="shared" ca="1" si="114"/>
        <v>3.1420537983372229E-2</v>
      </c>
      <c r="DH90" s="21">
        <f t="shared" ca="1" si="114"/>
        <v>3.5864143684509985E-2</v>
      </c>
      <c r="DI90" s="21">
        <f t="shared" ca="1" si="114"/>
        <v>4.1870943232028723E-2</v>
      </c>
      <c r="DJ90" s="21">
        <f t="shared" ca="1" si="114"/>
        <v>4.2470688119842351E-2</v>
      </c>
      <c r="DK90" s="21">
        <f t="shared" ca="1" si="114"/>
        <v>4.6402595194083587E-2</v>
      </c>
      <c r="DL90" s="21">
        <f t="shared" ca="1" si="114"/>
        <v>5.0579169598539093E-2</v>
      </c>
      <c r="DM90" s="21">
        <f t="shared" ca="1" si="114"/>
        <v>5.1698806037140305E-2</v>
      </c>
      <c r="DN90" s="21">
        <f t="shared" ca="1" si="114"/>
        <v>5.6316355130340334E-2</v>
      </c>
      <c r="DO90" s="21">
        <f t="shared" ca="1" si="114"/>
        <v>5.5572633303875255E-2</v>
      </c>
      <c r="DP90" s="21">
        <f t="shared" ca="1" si="114"/>
        <v>5.3075009918092372E-2</v>
      </c>
      <c r="DQ90" s="21">
        <f t="shared" ca="1" si="114"/>
        <v>4.7361362192249512E-2</v>
      </c>
      <c r="DR90" s="21">
        <f t="shared" ca="1" si="114"/>
        <v>4.3768618570689699E-2</v>
      </c>
      <c r="DS90" s="21">
        <f t="shared" ca="1" si="114"/>
        <v>4.0338768025997507E-2</v>
      </c>
      <c r="DT90" s="21">
        <f t="shared" ca="1" si="114"/>
        <v>3.7160252518969338E-2</v>
      </c>
      <c r="DU90" s="21">
        <f t="shared" ca="1" si="114"/>
        <v>3.3142492790411905E-2</v>
      </c>
      <c r="DV90" s="21">
        <f t="shared" ca="1" si="114"/>
        <v>2.8929744061355362E-2</v>
      </c>
      <c r="DW90" s="21">
        <f t="shared" ca="1" si="114"/>
        <v>2.5297786676065841E-2</v>
      </c>
      <c r="DX90" s="21">
        <f t="shared" ca="1" si="114"/>
        <v>2.12378126390723E-2</v>
      </c>
      <c r="DY90" s="21">
        <f t="shared" ca="1" si="114"/>
        <v>1.7119068904185519E-2</v>
      </c>
      <c r="DZ90" s="21">
        <f t="shared" ca="1" si="114"/>
        <v>1.8060217149014814E-2</v>
      </c>
      <c r="EA90" s="21">
        <f t="shared" ca="1" si="114"/>
        <v>1.7256175453844835E-2</v>
      </c>
      <c r="EB90" s="21">
        <f t="shared" ca="1" si="114"/>
        <v>1.7324615876933715E-2</v>
      </c>
      <c r="EC90" s="21">
        <f t="shared" ca="1" si="114"/>
        <v>2.0818621169905079E-2</v>
      </c>
      <c r="ED90" s="21">
        <f t="shared" ca="1" si="114"/>
        <v>2.1619708787352847E-2</v>
      </c>
      <c r="EE90" s="21">
        <f t="shared" ca="1" si="114"/>
        <v>2.2423553172302602E-2</v>
      </c>
      <c r="EF90" s="21">
        <f t="shared" ca="1" si="114"/>
        <v>2.319335012304561E-2</v>
      </c>
      <c r="EG90" s="21">
        <f t="shared" ca="1" si="114"/>
        <v>2.3073791229677874E-2</v>
      </c>
      <c r="EH90" s="21">
        <f t="shared" ca="1" si="114"/>
        <v>2.276784440720311E-2</v>
      </c>
      <c r="EI90" s="21">
        <f t="shared" ca="1" si="114"/>
        <v>2.2826404467538808E-2</v>
      </c>
      <c r="EJ90" s="21">
        <f t="shared" ca="1" si="114"/>
        <v>2.3010074754797875E-2</v>
      </c>
      <c r="EK90" s="21">
        <f t="shared" ca="1" si="114"/>
        <v>2.6135858869913112E-2</v>
      </c>
      <c r="EL90" s="21">
        <f t="shared" ca="1" si="114"/>
        <v>2.2073396424366815E-2</v>
      </c>
      <c r="EM90" s="21">
        <f t="shared" ca="1" si="114"/>
        <v>1.9918110775226122E-2</v>
      </c>
      <c r="EN90" s="21">
        <f t="shared" ca="1" si="114"/>
        <v>1.9519281841814291E-2</v>
      </c>
      <c r="EO90" s="21">
        <f t="shared" ca="1" si="114"/>
        <v>2.1405362159437905E-2</v>
      </c>
      <c r="EP90" s="21">
        <f t="shared" ca="1" si="114"/>
        <v>2.3792638306603886E-2</v>
      </c>
      <c r="EQ90" s="21">
        <f t="shared" ca="1" si="114"/>
        <v>2.3904775752939353E-2</v>
      </c>
      <c r="ER90" s="21">
        <f t="shared" ca="1" si="114"/>
        <v>2.282735970507762E-2</v>
      </c>
      <c r="ES90" s="21">
        <f t="shared" ca="1" si="114"/>
        <v>2.150355751695739E-2</v>
      </c>
      <c r="ET90" s="21">
        <f t="shared" ca="1" si="114"/>
        <v>1.8886250518967522E-2</v>
      </c>
      <c r="EU90" s="21">
        <f t="shared" ca="1" si="114"/>
        <v>1.832886476112143E-2</v>
      </c>
      <c r="EV90" s="21">
        <f t="shared" ca="1" si="114"/>
        <v>1.7779422993714565E-2</v>
      </c>
      <c r="EW90" s="21">
        <f t="shared" ca="1" si="114"/>
        <v>1.8940833432883924E-2</v>
      </c>
      <c r="EX90" s="21">
        <f t="shared" ca="1" si="114"/>
        <v>1.7351283561994234E-2</v>
      </c>
      <c r="EY90" s="21">
        <f t="shared" ref="EY90:HJ90" ca="1" si="115">IF(EY10="","",AVERAGE(EP64:EX64)+CONFIDENCE(0.05,STDEV(DZ64:EX64),COUNT(DZ64:EX64)))</f>
        <v>1.69316109557456E-2</v>
      </c>
      <c r="EZ90" s="21">
        <f t="shared" ca="1" si="115"/>
        <v>1.6638511106733641E-2</v>
      </c>
      <c r="FA90" s="21">
        <f t="shared" ca="1" si="115"/>
        <v>1.6685400281098956E-2</v>
      </c>
      <c r="FB90" s="21">
        <f t="shared" ca="1" si="115"/>
        <v>1.4877287037104102E-2</v>
      </c>
      <c r="FC90" s="21">
        <f t="shared" ca="1" si="115"/>
        <v>1.429483289536667E-2</v>
      </c>
      <c r="FD90" s="21">
        <f t="shared" ca="1" si="115"/>
        <v>1.3963049642990635E-2</v>
      </c>
      <c r="FE90" s="21">
        <f t="shared" ca="1" si="115"/>
        <v>1.4330762552793579E-2</v>
      </c>
      <c r="FF90" s="21">
        <f t="shared" ca="1" si="115"/>
        <v>1.4407762725456671E-2</v>
      </c>
      <c r="FG90" s="21">
        <f t="shared" ca="1" si="115"/>
        <v>1.4263130703870502E-2</v>
      </c>
      <c r="FH90" s="21">
        <f t="shared" ca="1" si="115"/>
        <v>1.5084792839426011E-2</v>
      </c>
      <c r="FI90" s="21">
        <f t="shared" ca="1" si="115"/>
        <v>1.578616181198033E-2</v>
      </c>
      <c r="FJ90" s="21">
        <f t="shared" ca="1" si="115"/>
        <v>1.5744813121778521E-2</v>
      </c>
      <c r="FK90" s="21">
        <f t="shared" ca="1" si="115"/>
        <v>1.5186371884324045E-2</v>
      </c>
      <c r="FL90" s="21">
        <f t="shared" ca="1" si="115"/>
        <v>1.5269834074699302E-2</v>
      </c>
      <c r="FM90" s="21">
        <f t="shared" ca="1" si="115"/>
        <v>1.5479670698473001E-2</v>
      </c>
      <c r="FN90" s="21">
        <f t="shared" ca="1" si="115"/>
        <v>1.6240214931551755E-2</v>
      </c>
      <c r="FO90" s="21">
        <f t="shared" ca="1" si="115"/>
        <v>1.7140711204804128E-2</v>
      </c>
      <c r="FP90" s="21">
        <f t="shared" ca="1" si="115"/>
        <v>1.7694909362150922E-2</v>
      </c>
      <c r="FQ90" s="21">
        <f t="shared" ca="1" si="115"/>
        <v>1.5083110311626527E-2</v>
      </c>
      <c r="FR90" s="21">
        <f t="shared" ca="1" si="115"/>
        <v>1.4668395196522761E-2</v>
      </c>
      <c r="FS90" s="21">
        <f t="shared" ca="1" si="115"/>
        <v>1.7436956402832725E-2</v>
      </c>
      <c r="FT90" s="21">
        <f t="shared" ca="1" si="115"/>
        <v>2.1624850150006966E-2</v>
      </c>
      <c r="FU90" s="21">
        <f t="shared" ca="1" si="115"/>
        <v>2.4068928269416187E-2</v>
      </c>
      <c r="FV90" s="21">
        <f t="shared" ca="1" si="115"/>
        <v>2.438420863313908E-2</v>
      </c>
      <c r="FW90" s="21">
        <f t="shared" ca="1" si="115"/>
        <v>2.3039023574946218E-2</v>
      </c>
      <c r="FX90" s="21">
        <f t="shared" ca="1" si="115"/>
        <v>2.2332985270871759E-2</v>
      </c>
      <c r="FY90" s="21">
        <f t="shared" ca="1" si="115"/>
        <v>2.0223036553903423E-2</v>
      </c>
      <c r="FZ90" s="21">
        <f t="shared" ca="1" si="115"/>
        <v>2.0590988695312406E-2</v>
      </c>
      <c r="GA90" s="21">
        <f t="shared" ca="1" si="115"/>
        <v>2.3054580977325101E-2</v>
      </c>
      <c r="GB90" s="21">
        <f t="shared" ca="1" si="115"/>
        <v>2.5498381692975997E-2</v>
      </c>
      <c r="GC90" s="21">
        <f t="shared" ca="1" si="115"/>
        <v>2.5512437286798209E-2</v>
      </c>
      <c r="GD90" s="21">
        <f t="shared" ca="1" si="115"/>
        <v>2.5128378897173783E-2</v>
      </c>
      <c r="GE90" s="21">
        <f t="shared" ca="1" si="115"/>
        <v>2.5770942636561413E-2</v>
      </c>
      <c r="GF90" s="21">
        <f t="shared" ca="1" si="115"/>
        <v>2.5865839173130824E-2</v>
      </c>
      <c r="GG90" s="21">
        <f t="shared" ca="1" si="115"/>
        <v>2.3782427864942217E-2</v>
      </c>
      <c r="GH90" s="21">
        <f t="shared" ca="1" si="115"/>
        <v>2.4410210859389523E-2</v>
      </c>
      <c r="GI90" s="21">
        <f t="shared" ca="1" si="115"/>
        <v>2.8463232515666785E-2</v>
      </c>
      <c r="GJ90" s="21">
        <f t="shared" ca="1" si="115"/>
        <v>2.8588069684669377E-2</v>
      </c>
      <c r="GK90" s="21">
        <f t="shared" ca="1" si="115"/>
        <v>2.5806726973970861E-2</v>
      </c>
      <c r="GL90" s="21">
        <f t="shared" ca="1" si="115"/>
        <v>2.5515055030282327E-2</v>
      </c>
      <c r="GM90" s="21">
        <f t="shared" ca="1" si="115"/>
        <v>2.5746528561893519E-2</v>
      </c>
      <c r="GN90" s="21">
        <f t="shared" ca="1" si="115"/>
        <v>2.4996494731688766E-2</v>
      </c>
      <c r="GO90" s="21">
        <f t="shared" ca="1" si="115"/>
        <v>2.6180873599460114E-2</v>
      </c>
      <c r="GP90" s="21">
        <f t="shared" ca="1" si="115"/>
        <v>2.7435517687215857E-2</v>
      </c>
      <c r="GQ90" s="21">
        <f t="shared" ca="1" si="115"/>
        <v>3.3322167182446689E-2</v>
      </c>
      <c r="GR90" s="21">
        <f t="shared" ca="1" si="115"/>
        <v>3.6004801709172196E-2</v>
      </c>
      <c r="GS90" s="21">
        <f t="shared" ca="1" si="115"/>
        <v>3.6078653830998994E-2</v>
      </c>
      <c r="GT90" s="21">
        <f t="shared" ca="1" si="115"/>
        <v>3.7362224732718143E-2</v>
      </c>
      <c r="GU90" s="21">
        <f t="shared" ca="1" si="115"/>
        <v>3.7219981912362775E-2</v>
      </c>
      <c r="GV90" s="21">
        <f t="shared" ca="1" si="115"/>
        <v>3.8225671756984797E-2</v>
      </c>
      <c r="GW90" s="21">
        <f t="shared" ca="1" si="115"/>
        <v>4.5004499043066838E-2</v>
      </c>
      <c r="GX90" s="21">
        <f t="shared" ca="1" si="115"/>
        <v>5.1804991277730278E-2</v>
      </c>
      <c r="GY90" s="21">
        <f t="shared" ca="1" si="115"/>
        <v>6.7000535136710102E-2</v>
      </c>
      <c r="GZ90" s="21">
        <f t="shared" ca="1" si="115"/>
        <v>6.6545101227222167E-2</v>
      </c>
      <c r="HA90" s="21" t="str">
        <f t="shared" si="115"/>
        <v/>
      </c>
      <c r="HB90" s="21" t="str">
        <f t="shared" si="115"/>
        <v/>
      </c>
      <c r="HC90" s="21" t="str">
        <f t="shared" si="115"/>
        <v/>
      </c>
      <c r="HD90" s="21" t="str">
        <f t="shared" si="115"/>
        <v/>
      </c>
      <c r="HE90" s="21" t="str">
        <f t="shared" si="115"/>
        <v/>
      </c>
      <c r="HF90" s="21" t="str">
        <f t="shared" si="115"/>
        <v/>
      </c>
      <c r="HG90" s="21" t="str">
        <f t="shared" si="115"/>
        <v/>
      </c>
      <c r="HH90" s="21" t="str">
        <f t="shared" si="115"/>
        <v/>
      </c>
      <c r="HI90" s="21" t="str">
        <f t="shared" si="115"/>
        <v/>
      </c>
      <c r="HJ90" s="21" t="str">
        <f t="shared" si="115"/>
        <v/>
      </c>
      <c r="HK90" s="21" t="str">
        <f t="shared" ref="HK90:JH90" si="116">IF(HK10="","",AVERAGE(HB64:HJ64)+CONFIDENCE(0.05,STDEV(GL64:HJ64),COUNT(GL64:HJ64)))</f>
        <v/>
      </c>
      <c r="HL90" s="21" t="str">
        <f t="shared" si="116"/>
        <v/>
      </c>
      <c r="HM90" s="21" t="str">
        <f t="shared" si="116"/>
        <v/>
      </c>
      <c r="HN90" s="21" t="str">
        <f t="shared" si="116"/>
        <v/>
      </c>
      <c r="HO90" s="21" t="str">
        <f t="shared" si="116"/>
        <v/>
      </c>
      <c r="HP90" s="21" t="str">
        <f t="shared" si="116"/>
        <v/>
      </c>
      <c r="HQ90" s="21" t="str">
        <f t="shared" si="116"/>
        <v/>
      </c>
      <c r="HR90" s="21" t="str">
        <f t="shared" si="116"/>
        <v/>
      </c>
      <c r="HS90" s="21" t="str">
        <f t="shared" si="116"/>
        <v/>
      </c>
      <c r="HT90" s="21" t="str">
        <f t="shared" si="116"/>
        <v/>
      </c>
      <c r="HU90" s="21" t="str">
        <f t="shared" si="116"/>
        <v/>
      </c>
      <c r="HV90" s="21" t="str">
        <f t="shared" si="116"/>
        <v/>
      </c>
      <c r="HW90" s="21" t="str">
        <f t="shared" si="116"/>
        <v/>
      </c>
      <c r="HX90" s="21" t="str">
        <f t="shared" si="116"/>
        <v/>
      </c>
      <c r="HY90" s="21" t="str">
        <f t="shared" si="116"/>
        <v/>
      </c>
      <c r="HZ90" s="21" t="str">
        <f t="shared" si="116"/>
        <v/>
      </c>
      <c r="IA90" s="21" t="str">
        <f t="shared" si="116"/>
        <v/>
      </c>
      <c r="IB90" s="21" t="str">
        <f t="shared" si="116"/>
        <v/>
      </c>
      <c r="IC90" s="21" t="str">
        <f t="shared" si="116"/>
        <v/>
      </c>
      <c r="ID90" s="21" t="str">
        <f t="shared" si="116"/>
        <v/>
      </c>
      <c r="IE90" s="21" t="str">
        <f t="shared" si="116"/>
        <v/>
      </c>
      <c r="IF90" s="21" t="str">
        <f t="shared" si="116"/>
        <v/>
      </c>
      <c r="IG90" s="21" t="str">
        <f t="shared" si="116"/>
        <v/>
      </c>
      <c r="IH90" s="21" t="str">
        <f t="shared" si="116"/>
        <v/>
      </c>
      <c r="II90" s="21" t="str">
        <f t="shared" si="116"/>
        <v/>
      </c>
      <c r="IJ90" s="21" t="str">
        <f t="shared" si="116"/>
        <v/>
      </c>
      <c r="IK90" s="21" t="str">
        <f t="shared" si="116"/>
        <v/>
      </c>
      <c r="IL90" s="21" t="str">
        <f t="shared" si="116"/>
        <v/>
      </c>
      <c r="IM90" s="21" t="str">
        <f t="shared" si="116"/>
        <v/>
      </c>
      <c r="IN90" s="21" t="str">
        <f t="shared" si="116"/>
        <v/>
      </c>
      <c r="IO90" s="21" t="str">
        <f t="shared" si="116"/>
        <v/>
      </c>
      <c r="IP90" s="21" t="str">
        <f t="shared" si="116"/>
        <v/>
      </c>
      <c r="IQ90" s="21" t="str">
        <f t="shared" si="116"/>
        <v/>
      </c>
      <c r="IR90" s="21" t="str">
        <f t="shared" si="116"/>
        <v/>
      </c>
      <c r="IS90" s="21" t="str">
        <f t="shared" si="116"/>
        <v/>
      </c>
      <c r="IT90" s="21" t="str">
        <f t="shared" si="116"/>
        <v/>
      </c>
      <c r="IU90" s="21" t="str">
        <f t="shared" si="116"/>
        <v/>
      </c>
      <c r="IV90" s="21" t="str">
        <f t="shared" si="116"/>
        <v/>
      </c>
      <c r="IW90" s="21" t="str">
        <f t="shared" si="116"/>
        <v/>
      </c>
      <c r="IX90" s="21" t="str">
        <f t="shared" si="116"/>
        <v/>
      </c>
      <c r="IY90" s="21" t="str">
        <f t="shared" si="116"/>
        <v/>
      </c>
      <c r="IZ90" s="21" t="str">
        <f t="shared" si="116"/>
        <v/>
      </c>
      <c r="JA90" s="21" t="str">
        <f t="shared" si="116"/>
        <v/>
      </c>
      <c r="JB90" s="21" t="str">
        <f t="shared" si="116"/>
        <v/>
      </c>
      <c r="JC90" s="21" t="str">
        <f t="shared" si="116"/>
        <v/>
      </c>
      <c r="JD90" s="21" t="str">
        <f t="shared" si="116"/>
        <v/>
      </c>
      <c r="JE90" s="21" t="str">
        <f t="shared" si="116"/>
        <v/>
      </c>
      <c r="JF90" s="21" t="str">
        <f t="shared" si="116"/>
        <v/>
      </c>
      <c r="JG90" s="21" t="str">
        <f t="shared" si="116"/>
        <v/>
      </c>
      <c r="JH90" s="21" t="str">
        <f t="shared" si="116"/>
        <v/>
      </c>
    </row>
    <row r="91" spans="1:336" x14ac:dyDescent="0.25"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>
        <f t="shared" ref="AA91:CL91" ca="1" si="117">IF(AA11="","",AVERAGE(Q65:Z65)+CONFIDENCE(0.05,STDEV(B65:Z65),COUNT(B65:Z65)))</f>
        <v>2.2946969856016769E-2</v>
      </c>
      <c r="AB91" s="21">
        <f t="shared" ca="1" si="117"/>
        <v>2.1265763284811331E-2</v>
      </c>
      <c r="AC91" s="21">
        <f t="shared" ca="1" si="117"/>
        <v>2.0946681787948524E-2</v>
      </c>
      <c r="AD91" s="21">
        <f t="shared" ca="1" si="117"/>
        <v>2.1191799129755919E-2</v>
      </c>
      <c r="AE91" s="21">
        <f t="shared" ca="1" si="117"/>
        <v>2.1166372166169026E-2</v>
      </c>
      <c r="AF91" s="21">
        <f t="shared" ca="1" si="117"/>
        <v>2.1919217262777051E-2</v>
      </c>
      <c r="AG91" s="21">
        <f t="shared" ca="1" si="117"/>
        <v>2.1438701879039873E-2</v>
      </c>
      <c r="AH91" s="21">
        <f t="shared" ca="1" si="117"/>
        <v>2.1261282182053358E-2</v>
      </c>
      <c r="AI91" s="21">
        <f t="shared" ca="1" si="117"/>
        <v>2.0805465516644139E-2</v>
      </c>
      <c r="AJ91" s="21">
        <f t="shared" ca="1" si="117"/>
        <v>1.9144611914834866E-2</v>
      </c>
      <c r="AK91" s="21">
        <f t="shared" ca="1" si="117"/>
        <v>1.6972707080853286E-2</v>
      </c>
      <c r="AL91" s="21">
        <f t="shared" ca="1" si="117"/>
        <v>1.4944175082108392E-2</v>
      </c>
      <c r="AM91" s="21">
        <f t="shared" ca="1" si="117"/>
        <v>1.3025900307179141E-2</v>
      </c>
      <c r="AN91" s="21">
        <f t="shared" ca="1" si="117"/>
        <v>1.1042018523649184E-2</v>
      </c>
      <c r="AO91" s="21">
        <f t="shared" ca="1" si="117"/>
        <v>9.8953076467862729E-3</v>
      </c>
      <c r="AP91" s="21">
        <f t="shared" ca="1" si="117"/>
        <v>8.7448967704568357E-3</v>
      </c>
      <c r="AQ91" s="21">
        <f t="shared" ca="1" si="117"/>
        <v>8.9102233465289272E-3</v>
      </c>
      <c r="AR91" s="21">
        <f t="shared" ca="1" si="117"/>
        <v>9.2797267780963654E-3</v>
      </c>
      <c r="AS91" s="21">
        <f t="shared" ca="1" si="117"/>
        <v>9.5013920532271701E-3</v>
      </c>
      <c r="AT91" s="21">
        <f t="shared" ca="1" si="117"/>
        <v>1.0249791534734109E-2</v>
      </c>
      <c r="AU91" s="21">
        <f t="shared" ca="1" si="117"/>
        <v>1.1557037265144132E-2</v>
      </c>
      <c r="AV91" s="21">
        <f t="shared" ca="1" si="117"/>
        <v>1.4889452943580708E-2</v>
      </c>
      <c r="AW91" s="21">
        <f t="shared" ca="1" si="117"/>
        <v>1.9707405119179563E-2</v>
      </c>
      <c r="AX91" s="21">
        <f t="shared" ca="1" si="117"/>
        <v>2.5798639811717521E-2</v>
      </c>
      <c r="AY91" s="21">
        <f t="shared" ca="1" si="117"/>
        <v>3.2714157310948642E-2</v>
      </c>
      <c r="AZ91" s="21">
        <f t="shared" ca="1" si="117"/>
        <v>3.8861393216288703E-2</v>
      </c>
      <c r="BA91" s="21">
        <f t="shared" ca="1" si="117"/>
        <v>4.7483151619224201E-2</v>
      </c>
      <c r="BB91" s="21">
        <f t="shared" ca="1" si="117"/>
        <v>5.5141174389424619E-2</v>
      </c>
      <c r="BC91" s="21">
        <f t="shared" ca="1" si="117"/>
        <v>6.3807846074258989E-2</v>
      </c>
      <c r="BD91" s="21">
        <f t="shared" ca="1" si="117"/>
        <v>7.2457722412596154E-2</v>
      </c>
      <c r="BE91" s="21">
        <f t="shared" ca="1" si="117"/>
        <v>8.086206732280736E-2</v>
      </c>
      <c r="BF91" s="21">
        <f t="shared" ca="1" si="117"/>
        <v>8.5847698555484853E-2</v>
      </c>
      <c r="BG91" s="21">
        <f t="shared" ca="1" si="117"/>
        <v>8.561198286259844E-2</v>
      </c>
      <c r="BH91" s="21">
        <f t="shared" ca="1" si="117"/>
        <v>8.5164370121369293E-2</v>
      </c>
      <c r="BI91" s="21">
        <f t="shared" ca="1" si="117"/>
        <v>8.450017577618478E-2</v>
      </c>
      <c r="BJ91" s="21">
        <f t="shared" ca="1" si="117"/>
        <v>7.9698090425777371E-2</v>
      </c>
      <c r="BK91" s="21">
        <f t="shared" ca="1" si="117"/>
        <v>7.4113642317717499E-2</v>
      </c>
      <c r="BL91" s="21">
        <f t="shared" ca="1" si="117"/>
        <v>6.977243052790276E-2</v>
      </c>
      <c r="BM91" s="21">
        <f t="shared" ca="1" si="117"/>
        <v>6.6222105923331082E-2</v>
      </c>
      <c r="BN91" s="21">
        <f t="shared" ca="1" si="117"/>
        <v>6.6340304997735716E-2</v>
      </c>
      <c r="BO91" s="21">
        <f t="shared" ca="1" si="117"/>
        <v>6.3826399499019554E-2</v>
      </c>
      <c r="BP91" s="21">
        <f t="shared" ca="1" si="117"/>
        <v>6.1193943541181614E-2</v>
      </c>
      <c r="BQ91" s="21">
        <f t="shared" ca="1" si="117"/>
        <v>5.9476726290214055E-2</v>
      </c>
      <c r="BR91" s="21">
        <f t="shared" ca="1" si="117"/>
        <v>5.6788143380158598E-2</v>
      </c>
      <c r="BS91" s="21">
        <f t="shared" ca="1" si="117"/>
        <v>5.2515915057581478E-2</v>
      </c>
      <c r="BT91" s="21">
        <f t="shared" ca="1" si="117"/>
        <v>5.5967853384460815E-2</v>
      </c>
      <c r="BU91" s="21">
        <f t="shared" ca="1" si="117"/>
        <v>5.6198157247174349E-2</v>
      </c>
      <c r="BV91" s="21">
        <f t="shared" ca="1" si="117"/>
        <v>5.3695280194496618E-2</v>
      </c>
      <c r="BW91" s="21">
        <f t="shared" ca="1" si="117"/>
        <v>4.9719464706300828E-2</v>
      </c>
      <c r="BX91" s="21">
        <f t="shared" ca="1" si="117"/>
        <v>4.1259762879956564E-2</v>
      </c>
      <c r="BY91" s="21">
        <f t="shared" ca="1" si="117"/>
        <v>3.5290316531602944E-2</v>
      </c>
      <c r="BZ91" s="21">
        <f t="shared" ca="1" si="117"/>
        <v>2.9738586498036075E-2</v>
      </c>
      <c r="CA91" s="21">
        <f t="shared" ca="1" si="117"/>
        <v>2.7395692470123537E-2</v>
      </c>
      <c r="CB91" s="21">
        <f t="shared" ca="1" si="117"/>
        <v>2.5149812896210981E-2</v>
      </c>
      <c r="CC91" s="21">
        <f t="shared" ca="1" si="117"/>
        <v>2.3570364817227629E-2</v>
      </c>
      <c r="CD91" s="21">
        <f t="shared" ca="1" si="117"/>
        <v>1.8391351662829396E-2</v>
      </c>
      <c r="CE91" s="21">
        <f t="shared" ca="1" si="117"/>
        <v>1.515347410095034E-2</v>
      </c>
      <c r="CF91" s="21">
        <f t="shared" ca="1" si="117"/>
        <v>1.7374841498503539E-2</v>
      </c>
      <c r="CG91" s="21">
        <f t="shared" ca="1" si="117"/>
        <v>1.9830140560850709E-2</v>
      </c>
      <c r="CH91" s="21">
        <f t="shared" ca="1" si="117"/>
        <v>2.0708925880139079E-2</v>
      </c>
      <c r="CI91" s="21">
        <f t="shared" ca="1" si="117"/>
        <v>2.0390083172391327E-2</v>
      </c>
      <c r="CJ91" s="21">
        <f t="shared" ca="1" si="117"/>
        <v>2.376989087500965E-2</v>
      </c>
      <c r="CK91" s="21">
        <f t="shared" ca="1" si="117"/>
        <v>2.5184547068980385E-2</v>
      </c>
      <c r="CL91" s="21">
        <f t="shared" ca="1" si="117"/>
        <v>2.6113751076292137E-2</v>
      </c>
      <c r="CM91" s="21">
        <f t="shared" ref="CM91:EX91" ca="1" si="118">IF(CM11="","",AVERAGE(CC65:CL65)+CONFIDENCE(0.05,STDEV(BN65:CL65),COUNT(BN65:CL65)))</f>
        <v>2.7718411477261388E-2</v>
      </c>
      <c r="CN91" s="21">
        <f t="shared" ca="1" si="118"/>
        <v>2.9984748512670412E-2</v>
      </c>
      <c r="CO91" s="21">
        <f t="shared" ca="1" si="118"/>
        <v>3.2562772067821613E-2</v>
      </c>
      <c r="CP91" s="21">
        <f t="shared" ca="1" si="118"/>
        <v>3.2699452076004318E-2</v>
      </c>
      <c r="CQ91" s="21">
        <f t="shared" ca="1" si="118"/>
        <v>3.2569869539390423E-2</v>
      </c>
      <c r="CR91" s="21">
        <f t="shared" ca="1" si="118"/>
        <v>3.6579271480486057E-2</v>
      </c>
      <c r="CS91" s="21">
        <f t="shared" ca="1" si="118"/>
        <v>3.9038497587110456E-2</v>
      </c>
      <c r="CT91" s="21">
        <f t="shared" ca="1" si="118"/>
        <v>3.8935798324772369E-2</v>
      </c>
      <c r="CU91" s="21">
        <f t="shared" ca="1" si="118"/>
        <v>3.875922577954205E-2</v>
      </c>
      <c r="CV91" s="21">
        <f t="shared" ca="1" si="118"/>
        <v>3.9070796645282797E-2</v>
      </c>
      <c r="CW91" s="21">
        <f t="shared" ca="1" si="118"/>
        <v>3.8634503920225799E-2</v>
      </c>
      <c r="CX91" s="21">
        <f t="shared" ca="1" si="118"/>
        <v>3.8195698693607061E-2</v>
      </c>
      <c r="CY91" s="21">
        <f t="shared" ca="1" si="118"/>
        <v>3.6165012853012983E-2</v>
      </c>
      <c r="CZ91" s="21">
        <f t="shared" ca="1" si="118"/>
        <v>3.4022772902761948E-2</v>
      </c>
      <c r="DA91" s="21">
        <f t="shared" ca="1" si="118"/>
        <v>3.2828370060595809E-2</v>
      </c>
      <c r="DB91" s="21">
        <f t="shared" ca="1" si="118"/>
        <v>2.8500632483036845E-2</v>
      </c>
      <c r="DC91" s="21">
        <f t="shared" ca="1" si="118"/>
        <v>2.6693484434844393E-2</v>
      </c>
      <c r="DD91" s="21">
        <f t="shared" ca="1" si="118"/>
        <v>2.562956994885145E-2</v>
      </c>
      <c r="DE91" s="21">
        <f t="shared" ca="1" si="118"/>
        <v>2.424537204612328E-2</v>
      </c>
      <c r="DF91" s="21">
        <f t="shared" ca="1" si="118"/>
        <v>2.7738550273142981E-2</v>
      </c>
      <c r="DG91" s="21">
        <f t="shared" ca="1" si="118"/>
        <v>3.1864610590891684E-2</v>
      </c>
      <c r="DH91" s="21">
        <f t="shared" ca="1" si="118"/>
        <v>3.7495349475195262E-2</v>
      </c>
      <c r="DI91" s="21">
        <f t="shared" ca="1" si="118"/>
        <v>4.0981270532192506E-2</v>
      </c>
      <c r="DJ91" s="21">
        <f t="shared" ca="1" si="118"/>
        <v>4.5378040358263552E-2</v>
      </c>
      <c r="DK91" s="21">
        <f t="shared" ca="1" si="118"/>
        <v>4.8516847190477004E-2</v>
      </c>
      <c r="DL91" s="21">
        <f t="shared" ca="1" si="118"/>
        <v>5.3105271654663069E-2</v>
      </c>
      <c r="DM91" s="21">
        <f t="shared" ca="1" si="118"/>
        <v>5.5303943823356391E-2</v>
      </c>
      <c r="DN91" s="21">
        <f t="shared" ca="1" si="118"/>
        <v>5.7762602678946368E-2</v>
      </c>
      <c r="DO91" s="21">
        <f t="shared" ca="1" si="118"/>
        <v>6.1841522606995651E-2</v>
      </c>
      <c r="DP91" s="21">
        <f t="shared" ca="1" si="118"/>
        <v>6.1043974202253361E-2</v>
      </c>
      <c r="DQ91" s="21">
        <f t="shared" ca="1" si="118"/>
        <v>5.5363896790043103E-2</v>
      </c>
      <c r="DR91" s="21">
        <f t="shared" ca="1" si="118"/>
        <v>5.0704930575219645E-2</v>
      </c>
      <c r="DS91" s="21">
        <f t="shared" ca="1" si="118"/>
        <v>4.8388082468559052E-2</v>
      </c>
      <c r="DT91" s="21">
        <f t="shared" ca="1" si="118"/>
        <v>4.4763944463693278E-2</v>
      </c>
      <c r="DU91" s="21">
        <f t="shared" ca="1" si="118"/>
        <v>3.9646274229294509E-2</v>
      </c>
      <c r="DV91" s="21">
        <f t="shared" ca="1" si="118"/>
        <v>3.5796442155754352E-2</v>
      </c>
      <c r="DW91" s="21">
        <f t="shared" ca="1" si="118"/>
        <v>3.2320320967453568E-2</v>
      </c>
      <c r="DX91" s="21">
        <f t="shared" ca="1" si="118"/>
        <v>2.8183109384276147E-2</v>
      </c>
      <c r="DY91" s="21">
        <f t="shared" ca="1" si="118"/>
        <v>2.4569394519151459E-2</v>
      </c>
      <c r="DZ91" s="21">
        <f t="shared" ca="1" si="118"/>
        <v>2.2003487454489941E-2</v>
      </c>
      <c r="EA91" s="21">
        <f t="shared" ca="1" si="118"/>
        <v>2.451194469610074E-2</v>
      </c>
      <c r="EB91" s="21">
        <f t="shared" ca="1" si="118"/>
        <v>2.1590606034838103E-2</v>
      </c>
      <c r="EC91" s="21">
        <f t="shared" ca="1" si="118"/>
        <v>2.2856225141531669E-2</v>
      </c>
      <c r="ED91" s="21">
        <f t="shared" ca="1" si="118"/>
        <v>2.2584540814058154E-2</v>
      </c>
      <c r="EE91" s="21">
        <f t="shared" ca="1" si="118"/>
        <v>2.3371193977549984E-2</v>
      </c>
      <c r="EF91" s="21">
        <f t="shared" ca="1" si="118"/>
        <v>2.3130247469906016E-2</v>
      </c>
      <c r="EG91" s="21">
        <f t="shared" ca="1" si="118"/>
        <v>2.2687599319687213E-2</v>
      </c>
      <c r="EH91" s="21">
        <f t="shared" ca="1" si="118"/>
        <v>2.2013357504728669E-2</v>
      </c>
      <c r="EI91" s="21">
        <f t="shared" ca="1" si="118"/>
        <v>2.2558518043244033E-2</v>
      </c>
      <c r="EJ91" s="21">
        <f t="shared" ca="1" si="118"/>
        <v>2.3405244687293741E-2</v>
      </c>
      <c r="EK91" s="21">
        <f t="shared" ca="1" si="118"/>
        <v>2.3064145754506393E-2</v>
      </c>
      <c r="EL91" s="21">
        <f t="shared" ca="1" si="118"/>
        <v>2.3720361804186067E-2</v>
      </c>
      <c r="EM91" s="21">
        <f t="shared" ca="1" si="118"/>
        <v>2.0582051741901509E-2</v>
      </c>
      <c r="EN91" s="21">
        <f t="shared" ca="1" si="118"/>
        <v>2.0389074039965149E-2</v>
      </c>
      <c r="EO91" s="21">
        <f t="shared" ca="1" si="118"/>
        <v>2.3221510150530689E-2</v>
      </c>
      <c r="EP91" s="21">
        <f t="shared" ca="1" si="118"/>
        <v>2.3958031867036378E-2</v>
      </c>
      <c r="EQ91" s="21">
        <f t="shared" ca="1" si="118"/>
        <v>2.3384316941908467E-2</v>
      </c>
      <c r="ER91" s="21">
        <f t="shared" ca="1" si="118"/>
        <v>2.4494923564991354E-2</v>
      </c>
      <c r="ES91" s="21">
        <f t="shared" ca="1" si="118"/>
        <v>2.387997082463425E-2</v>
      </c>
      <c r="ET91" s="21">
        <f t="shared" ca="1" si="118"/>
        <v>2.1686209682913439E-2</v>
      </c>
      <c r="EU91" s="21">
        <f t="shared" ca="1" si="118"/>
        <v>1.9508266473014117E-2</v>
      </c>
      <c r="EV91" s="21">
        <f t="shared" ca="1" si="118"/>
        <v>1.875518928615047E-2</v>
      </c>
      <c r="EW91" s="21">
        <f t="shared" ca="1" si="118"/>
        <v>1.9612683367196349E-2</v>
      </c>
      <c r="EX91" s="21">
        <f t="shared" ca="1" si="118"/>
        <v>2.0638387308697492E-2</v>
      </c>
      <c r="EY91" s="21">
        <f t="shared" ref="EY91:HJ91" ca="1" si="119">IF(EY11="","",AVERAGE(EO65:EX65)+CONFIDENCE(0.05,STDEV(DZ65:EX65),COUNT(DZ65:EX65)))</f>
        <v>1.8856529909439687E-2</v>
      </c>
      <c r="EZ91" s="21">
        <f t="shared" ca="1" si="119"/>
        <v>1.6896447409324781E-2</v>
      </c>
      <c r="FA91" s="21">
        <f t="shared" ca="1" si="119"/>
        <v>1.7035794406465007E-2</v>
      </c>
      <c r="FB91" s="21">
        <f t="shared" ca="1" si="119"/>
        <v>1.5605727356041774E-2</v>
      </c>
      <c r="FC91" s="21">
        <f t="shared" ca="1" si="119"/>
        <v>1.5897975460297233E-2</v>
      </c>
      <c r="FD91" s="21">
        <f t="shared" ca="1" si="119"/>
        <v>1.5167399071617901E-2</v>
      </c>
      <c r="FE91" s="21">
        <f t="shared" ca="1" si="119"/>
        <v>1.5730890076805934E-2</v>
      </c>
      <c r="FF91" s="21">
        <f t="shared" ca="1" si="119"/>
        <v>1.7600669406881375E-2</v>
      </c>
      <c r="FG91" s="21">
        <f t="shared" ca="1" si="119"/>
        <v>1.743053663453499E-2</v>
      </c>
      <c r="FH91" s="21">
        <f t="shared" ca="1" si="119"/>
        <v>1.7062807870552713E-2</v>
      </c>
      <c r="FI91" s="21">
        <f t="shared" ca="1" si="119"/>
        <v>1.5535374999210011E-2</v>
      </c>
      <c r="FJ91" s="21">
        <f t="shared" ca="1" si="119"/>
        <v>1.5417112659608998E-2</v>
      </c>
      <c r="FK91" s="21">
        <f t="shared" ca="1" si="119"/>
        <v>1.4987304607354866E-2</v>
      </c>
      <c r="FL91" s="21">
        <f t="shared" ca="1" si="119"/>
        <v>1.5265777933929893E-2</v>
      </c>
      <c r="FM91" s="21">
        <f t="shared" ca="1" si="119"/>
        <v>1.4574335794677616E-2</v>
      </c>
      <c r="FN91" s="21">
        <f t="shared" ca="1" si="119"/>
        <v>1.6016489523805116E-2</v>
      </c>
      <c r="FO91" s="21">
        <f t="shared" ca="1" si="119"/>
        <v>1.8150618896486229E-2</v>
      </c>
      <c r="FP91" s="21">
        <f t="shared" ca="1" si="119"/>
        <v>1.7014663844845117E-2</v>
      </c>
      <c r="FQ91" s="21">
        <f t="shared" ca="1" si="119"/>
        <v>1.513142015746311E-2</v>
      </c>
      <c r="FR91" s="21">
        <f t="shared" ca="1" si="119"/>
        <v>1.4676592939231476E-2</v>
      </c>
      <c r="FS91" s="21">
        <f t="shared" ca="1" si="119"/>
        <v>1.7692399008934708E-2</v>
      </c>
      <c r="FT91" s="21">
        <f t="shared" ca="1" si="119"/>
        <v>2.1390675838380665E-2</v>
      </c>
      <c r="FU91" s="21">
        <f t="shared" ca="1" si="119"/>
        <v>2.3676730203928773E-2</v>
      </c>
      <c r="FV91" s="21">
        <f t="shared" ca="1" si="119"/>
        <v>2.3622276371889912E-2</v>
      </c>
      <c r="FW91" s="21">
        <f t="shared" ca="1" si="119"/>
        <v>2.3297881013492915E-2</v>
      </c>
      <c r="FX91" s="21">
        <f t="shared" ca="1" si="119"/>
        <v>2.2887036278339549E-2</v>
      </c>
      <c r="FY91" s="21">
        <f t="shared" ca="1" si="119"/>
        <v>2.0201685922900035E-2</v>
      </c>
      <c r="FZ91" s="21">
        <f t="shared" ca="1" si="119"/>
        <v>2.0362304273512946E-2</v>
      </c>
      <c r="GA91" s="21">
        <f t="shared" ca="1" si="119"/>
        <v>2.4311063493642204E-2</v>
      </c>
      <c r="GB91" s="21">
        <f t="shared" ca="1" si="119"/>
        <v>2.7469118435250527E-2</v>
      </c>
      <c r="GC91" s="21">
        <f t="shared" ca="1" si="119"/>
        <v>2.7137394212905591E-2</v>
      </c>
      <c r="GD91" s="21">
        <f t="shared" ca="1" si="119"/>
        <v>2.6284271074070449E-2</v>
      </c>
      <c r="GE91" s="21">
        <f t="shared" ca="1" si="119"/>
        <v>2.5459562355331249E-2</v>
      </c>
      <c r="GF91" s="21">
        <f t="shared" ca="1" si="119"/>
        <v>2.5423399545855423E-2</v>
      </c>
      <c r="GG91" s="21">
        <f t="shared" ca="1" si="119"/>
        <v>2.6813315064448062E-2</v>
      </c>
      <c r="GH91" s="21">
        <f t="shared" ca="1" si="119"/>
        <v>2.9849321769950608E-2</v>
      </c>
      <c r="GI91" s="21">
        <f t="shared" ca="1" si="119"/>
        <v>3.2465362842775292E-2</v>
      </c>
      <c r="GJ91" s="21">
        <f t="shared" ca="1" si="119"/>
        <v>3.3697011776916252E-2</v>
      </c>
      <c r="GK91" s="21">
        <f t="shared" ca="1" si="119"/>
        <v>3.1533730130688067E-2</v>
      </c>
      <c r="GL91" s="21">
        <f t="shared" ca="1" si="119"/>
        <v>2.9183247692849856E-2</v>
      </c>
      <c r="GM91" s="21">
        <f t="shared" ca="1" si="119"/>
        <v>2.7479674960482439E-2</v>
      </c>
      <c r="GN91" s="21">
        <f t="shared" ca="1" si="119"/>
        <v>2.5911566124042364E-2</v>
      </c>
      <c r="GO91" s="21">
        <f t="shared" ca="1" si="119"/>
        <v>2.5139521137506532E-2</v>
      </c>
      <c r="GP91" s="21">
        <f t="shared" ca="1" si="119"/>
        <v>2.6164600784204371E-2</v>
      </c>
      <c r="GQ91" s="21">
        <f t="shared" ca="1" si="119"/>
        <v>3.1130437167596149E-2</v>
      </c>
      <c r="GR91" s="21">
        <f t="shared" ca="1" si="119"/>
        <v>2.9018055847652918E-2</v>
      </c>
      <c r="GS91" s="21">
        <f t="shared" ca="1" si="119"/>
        <v>2.7591971371527399E-2</v>
      </c>
      <c r="GT91" s="21">
        <f t="shared" ca="1" si="119"/>
        <v>2.7418780773852659E-2</v>
      </c>
      <c r="GU91" s="21">
        <f t="shared" ca="1" si="119"/>
        <v>2.7906195971143685E-2</v>
      </c>
      <c r="GV91" s="21">
        <f t="shared" ca="1" si="119"/>
        <v>2.7425431291204162E-2</v>
      </c>
      <c r="GW91" s="21">
        <f t="shared" ca="1" si="119"/>
        <v>2.9659471477818364E-2</v>
      </c>
      <c r="GX91" s="21">
        <f t="shared" ca="1" si="119"/>
        <v>3.3844606725184578E-2</v>
      </c>
      <c r="GY91" s="21">
        <f t="shared" ca="1" si="119"/>
        <v>4.2966468838102151E-2</v>
      </c>
      <c r="GZ91" s="21">
        <f t="shared" ca="1" si="119"/>
        <v>6.5169270932776288E-2</v>
      </c>
      <c r="HA91" s="21" t="str">
        <f t="shared" si="119"/>
        <v/>
      </c>
      <c r="HB91" s="21" t="str">
        <f t="shared" si="119"/>
        <v/>
      </c>
      <c r="HC91" s="21" t="str">
        <f t="shared" si="119"/>
        <v/>
      </c>
      <c r="HD91" s="21" t="str">
        <f t="shared" si="119"/>
        <v/>
      </c>
      <c r="HE91" s="21" t="str">
        <f t="shared" si="119"/>
        <v/>
      </c>
      <c r="HF91" s="21" t="str">
        <f t="shared" si="119"/>
        <v/>
      </c>
      <c r="HG91" s="21" t="str">
        <f t="shared" si="119"/>
        <v/>
      </c>
      <c r="HH91" s="21" t="str">
        <f t="shared" si="119"/>
        <v/>
      </c>
      <c r="HI91" s="21" t="str">
        <f t="shared" si="119"/>
        <v/>
      </c>
      <c r="HJ91" s="21" t="str">
        <f t="shared" si="119"/>
        <v/>
      </c>
      <c r="HK91" s="21" t="str">
        <f t="shared" ref="HK91:JH91" si="120">IF(HK11="","",AVERAGE(HA65:HJ65)+CONFIDENCE(0.05,STDEV(GL65:HJ65),COUNT(GL65:HJ65)))</f>
        <v/>
      </c>
      <c r="HL91" s="21" t="str">
        <f t="shared" si="120"/>
        <v/>
      </c>
      <c r="HM91" s="21" t="str">
        <f t="shared" si="120"/>
        <v/>
      </c>
      <c r="HN91" s="21" t="str">
        <f t="shared" si="120"/>
        <v/>
      </c>
      <c r="HO91" s="21" t="str">
        <f t="shared" si="120"/>
        <v/>
      </c>
      <c r="HP91" s="21" t="str">
        <f t="shared" si="120"/>
        <v/>
      </c>
      <c r="HQ91" s="21" t="str">
        <f t="shared" si="120"/>
        <v/>
      </c>
      <c r="HR91" s="21" t="str">
        <f t="shared" si="120"/>
        <v/>
      </c>
      <c r="HS91" s="21" t="str">
        <f t="shared" si="120"/>
        <v/>
      </c>
      <c r="HT91" s="21" t="str">
        <f t="shared" si="120"/>
        <v/>
      </c>
      <c r="HU91" s="21" t="str">
        <f t="shared" si="120"/>
        <v/>
      </c>
      <c r="HV91" s="21" t="str">
        <f t="shared" si="120"/>
        <v/>
      </c>
      <c r="HW91" s="21" t="str">
        <f t="shared" si="120"/>
        <v/>
      </c>
      <c r="HX91" s="21" t="str">
        <f t="shared" si="120"/>
        <v/>
      </c>
      <c r="HY91" s="21" t="str">
        <f t="shared" si="120"/>
        <v/>
      </c>
      <c r="HZ91" s="21" t="str">
        <f t="shared" si="120"/>
        <v/>
      </c>
      <c r="IA91" s="21" t="str">
        <f t="shared" si="120"/>
        <v/>
      </c>
      <c r="IB91" s="21" t="str">
        <f t="shared" si="120"/>
        <v/>
      </c>
      <c r="IC91" s="21" t="str">
        <f t="shared" si="120"/>
        <v/>
      </c>
      <c r="ID91" s="21" t="str">
        <f t="shared" si="120"/>
        <v/>
      </c>
      <c r="IE91" s="21" t="str">
        <f t="shared" si="120"/>
        <v/>
      </c>
      <c r="IF91" s="21" t="str">
        <f t="shared" si="120"/>
        <v/>
      </c>
      <c r="IG91" s="21" t="str">
        <f t="shared" si="120"/>
        <v/>
      </c>
      <c r="IH91" s="21" t="str">
        <f t="shared" si="120"/>
        <v/>
      </c>
      <c r="II91" s="21" t="str">
        <f t="shared" si="120"/>
        <v/>
      </c>
      <c r="IJ91" s="21" t="str">
        <f t="shared" si="120"/>
        <v/>
      </c>
      <c r="IK91" s="21" t="str">
        <f t="shared" si="120"/>
        <v/>
      </c>
      <c r="IL91" s="21" t="str">
        <f t="shared" si="120"/>
        <v/>
      </c>
      <c r="IM91" s="21" t="str">
        <f t="shared" si="120"/>
        <v/>
      </c>
      <c r="IN91" s="21" t="str">
        <f t="shared" si="120"/>
        <v/>
      </c>
      <c r="IO91" s="21" t="str">
        <f t="shared" si="120"/>
        <v/>
      </c>
      <c r="IP91" s="21" t="str">
        <f t="shared" si="120"/>
        <v/>
      </c>
      <c r="IQ91" s="21" t="str">
        <f t="shared" si="120"/>
        <v/>
      </c>
      <c r="IR91" s="21" t="str">
        <f t="shared" si="120"/>
        <v/>
      </c>
      <c r="IS91" s="21" t="str">
        <f t="shared" si="120"/>
        <v/>
      </c>
      <c r="IT91" s="21" t="str">
        <f t="shared" si="120"/>
        <v/>
      </c>
      <c r="IU91" s="21" t="str">
        <f t="shared" si="120"/>
        <v/>
      </c>
      <c r="IV91" s="21" t="str">
        <f t="shared" si="120"/>
        <v/>
      </c>
      <c r="IW91" s="21" t="str">
        <f t="shared" si="120"/>
        <v/>
      </c>
      <c r="IX91" s="21" t="str">
        <f t="shared" si="120"/>
        <v/>
      </c>
      <c r="IY91" s="21" t="str">
        <f t="shared" si="120"/>
        <v/>
      </c>
      <c r="IZ91" s="21" t="str">
        <f t="shared" si="120"/>
        <v/>
      </c>
      <c r="JA91" s="21" t="str">
        <f t="shared" si="120"/>
        <v/>
      </c>
      <c r="JB91" s="21" t="str">
        <f t="shared" si="120"/>
        <v/>
      </c>
      <c r="JC91" s="21" t="str">
        <f t="shared" si="120"/>
        <v/>
      </c>
      <c r="JD91" s="21" t="str">
        <f t="shared" si="120"/>
        <v/>
      </c>
      <c r="JE91" s="21" t="str">
        <f t="shared" si="120"/>
        <v/>
      </c>
      <c r="JF91" s="21" t="str">
        <f t="shared" si="120"/>
        <v/>
      </c>
      <c r="JG91" s="21" t="str">
        <f t="shared" si="120"/>
        <v/>
      </c>
      <c r="JH91" s="21" t="str">
        <f t="shared" si="120"/>
        <v/>
      </c>
    </row>
    <row r="92" spans="1:336" x14ac:dyDescent="0.25"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>
        <f t="shared" ref="AA92:CL92" ca="1" si="121">IF(AA12="","",AVERAGE(P66:Z66)+CONFIDENCE(0.05,STDEV(B66:Z66),COUNT(B66:Z66)))</f>
        <v>2.5590995340203725E-2</v>
      </c>
      <c r="AB92" s="21">
        <f t="shared" ca="1" si="121"/>
        <v>2.4185931367999309E-2</v>
      </c>
      <c r="AC92" s="21">
        <f t="shared" ca="1" si="121"/>
        <v>2.3034140650856297E-2</v>
      </c>
      <c r="AD92" s="21">
        <f t="shared" ca="1" si="121"/>
        <v>2.248507664177533E-2</v>
      </c>
      <c r="AE92" s="21">
        <f t="shared" ca="1" si="121"/>
        <v>2.1482363475392285E-2</v>
      </c>
      <c r="AF92" s="21">
        <f t="shared" ca="1" si="121"/>
        <v>2.141608711498235E-2</v>
      </c>
      <c r="AG92" s="21">
        <f t="shared" ca="1" si="121"/>
        <v>2.11563468615735E-2</v>
      </c>
      <c r="AH92" s="21">
        <f t="shared" ca="1" si="121"/>
        <v>2.0570178022062138E-2</v>
      </c>
      <c r="AI92" s="21">
        <f t="shared" ca="1" si="121"/>
        <v>1.9864473446176912E-2</v>
      </c>
      <c r="AJ92" s="21">
        <f t="shared" ca="1" si="121"/>
        <v>1.8760875831273144E-2</v>
      </c>
      <c r="AK92" s="21">
        <f t="shared" ca="1" si="121"/>
        <v>1.714793557255136E-2</v>
      </c>
      <c r="AL92" s="21">
        <f t="shared" ca="1" si="121"/>
        <v>1.4915217691618417E-2</v>
      </c>
      <c r="AM92" s="21">
        <f t="shared" ca="1" si="121"/>
        <v>1.2933155696218546E-2</v>
      </c>
      <c r="AN92" s="21">
        <f t="shared" ca="1" si="121"/>
        <v>1.1376216163167361E-2</v>
      </c>
      <c r="AO92" s="21">
        <f t="shared" ca="1" si="121"/>
        <v>9.5623924077983188E-3</v>
      </c>
      <c r="AP92" s="21">
        <f t="shared" ca="1" si="121"/>
        <v>8.6891277560059363E-3</v>
      </c>
      <c r="AQ92" s="21">
        <f t="shared" ca="1" si="121"/>
        <v>8.5792632890772016E-3</v>
      </c>
      <c r="AR92" s="21">
        <f t="shared" ca="1" si="121"/>
        <v>1.0165903465001042E-2</v>
      </c>
      <c r="AS92" s="21">
        <f t="shared" ca="1" si="121"/>
        <v>1.1012493435480766E-2</v>
      </c>
      <c r="AT92" s="21">
        <f t="shared" ca="1" si="121"/>
        <v>1.2582620936268269E-2</v>
      </c>
      <c r="AU92" s="21">
        <f t="shared" ca="1" si="121"/>
        <v>1.4914989627491019E-2</v>
      </c>
      <c r="AV92" s="21">
        <f t="shared" ca="1" si="121"/>
        <v>1.8575576967248032E-2</v>
      </c>
      <c r="AW92" s="21">
        <f t="shared" ca="1" si="121"/>
        <v>2.4058787715275774E-2</v>
      </c>
      <c r="AX92" s="21">
        <f t="shared" ca="1" si="121"/>
        <v>3.0028745174828283E-2</v>
      </c>
      <c r="AY92" s="21">
        <f t="shared" ca="1" si="121"/>
        <v>3.6763171101165108E-2</v>
      </c>
      <c r="AZ92" s="21">
        <f t="shared" ca="1" si="121"/>
        <v>4.6016570727812643E-2</v>
      </c>
      <c r="BA92" s="21">
        <f t="shared" ca="1" si="121"/>
        <v>5.511260066665527E-2</v>
      </c>
      <c r="BB92" s="21">
        <f t="shared" ca="1" si="121"/>
        <v>6.3812791632702912E-2</v>
      </c>
      <c r="BC92" s="21">
        <f t="shared" ca="1" si="121"/>
        <v>7.2664141724785247E-2</v>
      </c>
      <c r="BD92" s="21">
        <f t="shared" ca="1" si="121"/>
        <v>8.1977857438316273E-2</v>
      </c>
      <c r="BE92" s="21">
        <f t="shared" ca="1" si="121"/>
        <v>8.9862943557451738E-2</v>
      </c>
      <c r="BF92" s="21">
        <f t="shared" ca="1" si="121"/>
        <v>9.3880313044500688E-2</v>
      </c>
      <c r="BG92" s="21">
        <f t="shared" ca="1" si="121"/>
        <v>9.4225909552662246E-2</v>
      </c>
      <c r="BH92" s="21">
        <f t="shared" ca="1" si="121"/>
        <v>9.3428871371454517E-2</v>
      </c>
      <c r="BI92" s="21">
        <f t="shared" ca="1" si="121"/>
        <v>9.281828101974969E-2</v>
      </c>
      <c r="BJ92" s="21">
        <f t="shared" ca="1" si="121"/>
        <v>8.8194060277430195E-2</v>
      </c>
      <c r="BK92" s="21">
        <f t="shared" ca="1" si="121"/>
        <v>8.2264719101781777E-2</v>
      </c>
      <c r="BL92" s="21">
        <f t="shared" ca="1" si="121"/>
        <v>7.7042271206080329E-2</v>
      </c>
      <c r="BM92" s="21">
        <f t="shared" ca="1" si="121"/>
        <v>7.4670345930500828E-2</v>
      </c>
      <c r="BN92" s="21">
        <f t="shared" ca="1" si="121"/>
        <v>7.3738289500595883E-2</v>
      </c>
      <c r="BO92" s="21">
        <f t="shared" ca="1" si="121"/>
        <v>7.0689932495598351E-2</v>
      </c>
      <c r="BP92" s="21">
        <f t="shared" ca="1" si="121"/>
        <v>6.661536234326941E-2</v>
      </c>
      <c r="BQ92" s="21">
        <f t="shared" ca="1" si="121"/>
        <v>6.2195504493249468E-2</v>
      </c>
      <c r="BR92" s="21">
        <f t="shared" ca="1" si="121"/>
        <v>6.0239963727011583E-2</v>
      </c>
      <c r="BS92" s="21">
        <f t="shared" ca="1" si="121"/>
        <v>5.7087661354292982E-2</v>
      </c>
      <c r="BT92" s="21">
        <f t="shared" ca="1" si="121"/>
        <v>5.6504307618282297E-2</v>
      </c>
      <c r="BU92" s="21">
        <f t="shared" ca="1" si="121"/>
        <v>5.7950111505492813E-2</v>
      </c>
      <c r="BV92" s="21">
        <f t="shared" ca="1" si="121"/>
        <v>5.7132345436673775E-2</v>
      </c>
      <c r="BW92" s="21">
        <f t="shared" ca="1" si="121"/>
        <v>5.5287205833946459E-2</v>
      </c>
      <c r="BX92" s="21">
        <f t="shared" ca="1" si="121"/>
        <v>5.0198331491830242E-2</v>
      </c>
      <c r="BY92" s="21">
        <f t="shared" ca="1" si="121"/>
        <v>4.2530562291848671E-2</v>
      </c>
      <c r="BZ92" s="21">
        <f t="shared" ca="1" si="121"/>
        <v>3.5752078239304361E-2</v>
      </c>
      <c r="CA92" s="21">
        <f t="shared" ca="1" si="121"/>
        <v>3.0029673025213338E-2</v>
      </c>
      <c r="CB92" s="21">
        <f t="shared" ca="1" si="121"/>
        <v>2.7285490389048012E-2</v>
      </c>
      <c r="CC92" s="21">
        <f t="shared" ca="1" si="121"/>
        <v>2.4279818963569712E-2</v>
      </c>
      <c r="CD92" s="21">
        <f t="shared" ca="1" si="121"/>
        <v>2.2730859478869228E-2</v>
      </c>
      <c r="CE92" s="21">
        <f t="shared" ca="1" si="121"/>
        <v>1.8257622742503588E-2</v>
      </c>
      <c r="CF92" s="21">
        <f t="shared" ca="1" si="121"/>
        <v>1.8678260896666566E-2</v>
      </c>
      <c r="CG92" s="21">
        <f t="shared" ca="1" si="121"/>
        <v>2.2250302233377674E-2</v>
      </c>
      <c r="CH92" s="21">
        <f t="shared" ca="1" si="121"/>
        <v>2.135231441195589E-2</v>
      </c>
      <c r="CI92" s="21">
        <f t="shared" ca="1" si="121"/>
        <v>2.3157689014814686E-2</v>
      </c>
      <c r="CJ92" s="21">
        <f t="shared" ca="1" si="121"/>
        <v>2.5973812295863138E-2</v>
      </c>
      <c r="CK92" s="21">
        <f t="shared" ca="1" si="121"/>
        <v>2.7010452326384309E-2</v>
      </c>
      <c r="CL92" s="21">
        <f t="shared" ca="1" si="121"/>
        <v>2.8684356594720236E-2</v>
      </c>
      <c r="CM92" s="21">
        <f t="shared" ref="CM92:EX92" ca="1" si="122">IF(CM12="","",AVERAGE(CB66:CL66)+CONFIDENCE(0.05,STDEV(BN66:CL66),COUNT(BN66:CL66)))</f>
        <v>3.0525808023212093E-2</v>
      </c>
      <c r="CN92" s="21">
        <f t="shared" ca="1" si="122"/>
        <v>3.2812549241359269E-2</v>
      </c>
      <c r="CO92" s="21">
        <f t="shared" ca="1" si="122"/>
        <v>3.5628901527889667E-2</v>
      </c>
      <c r="CP92" s="21">
        <f t="shared" ca="1" si="122"/>
        <v>3.8426074880566409E-2</v>
      </c>
      <c r="CQ92" s="21">
        <f t="shared" ca="1" si="122"/>
        <v>3.8061526533454307E-2</v>
      </c>
      <c r="CR92" s="21">
        <f t="shared" ca="1" si="122"/>
        <v>3.9438661262666555E-2</v>
      </c>
      <c r="CS92" s="21">
        <f t="shared" ca="1" si="122"/>
        <v>4.3244742439132948E-2</v>
      </c>
      <c r="CT92" s="21">
        <f t="shared" ca="1" si="122"/>
        <v>4.1120574157888334E-2</v>
      </c>
      <c r="CU92" s="21">
        <f t="shared" ca="1" si="122"/>
        <v>4.1118390877771444E-2</v>
      </c>
      <c r="CV92" s="21">
        <f t="shared" ca="1" si="122"/>
        <v>4.4026878843905361E-2</v>
      </c>
      <c r="CW92" s="21">
        <f t="shared" ca="1" si="122"/>
        <v>4.4845089868809002E-2</v>
      </c>
      <c r="CX92" s="21">
        <f t="shared" ca="1" si="122"/>
        <v>4.3845472794323249E-2</v>
      </c>
      <c r="CY92" s="21">
        <f t="shared" ca="1" si="122"/>
        <v>4.1202096387894953E-2</v>
      </c>
      <c r="CZ92" s="21">
        <f t="shared" ca="1" si="122"/>
        <v>3.7988512928788978E-2</v>
      </c>
      <c r="DA92" s="21">
        <f t="shared" ca="1" si="122"/>
        <v>3.6681358319300104E-2</v>
      </c>
      <c r="DB92" s="21">
        <f t="shared" ca="1" si="122"/>
        <v>3.4161987966158332E-2</v>
      </c>
      <c r="DC92" s="21">
        <f t="shared" ca="1" si="122"/>
        <v>3.1366272867504763E-2</v>
      </c>
      <c r="DD92" s="21">
        <f t="shared" ca="1" si="122"/>
        <v>2.8825640868599137E-2</v>
      </c>
      <c r="DE92" s="21">
        <f t="shared" ca="1" si="122"/>
        <v>2.8917115809190236E-2</v>
      </c>
      <c r="DF92" s="21">
        <f t="shared" ca="1" si="122"/>
        <v>3.1004676540124825E-2</v>
      </c>
      <c r="DG92" s="21">
        <f t="shared" ca="1" si="122"/>
        <v>3.7158138343873923E-2</v>
      </c>
      <c r="DH92" s="21">
        <f t="shared" ca="1" si="122"/>
        <v>4.0447686961347887E-2</v>
      </c>
      <c r="DI92" s="21">
        <f t="shared" ca="1" si="122"/>
        <v>4.4052728296448448E-2</v>
      </c>
      <c r="DJ92" s="21">
        <f t="shared" ca="1" si="122"/>
        <v>4.9016757139796432E-2</v>
      </c>
      <c r="DK92" s="21">
        <f t="shared" ca="1" si="122"/>
        <v>5.3777689723431624E-2</v>
      </c>
      <c r="DL92" s="21">
        <f t="shared" ca="1" si="122"/>
        <v>5.6624526583962283E-2</v>
      </c>
      <c r="DM92" s="21">
        <f t="shared" ca="1" si="122"/>
        <v>6.0704226823127323E-2</v>
      </c>
      <c r="DN92" s="21">
        <f t="shared" ca="1" si="122"/>
        <v>6.3009757291985741E-2</v>
      </c>
      <c r="DO92" s="21">
        <f t="shared" ca="1" si="122"/>
        <v>6.5408393884375179E-2</v>
      </c>
      <c r="DP92" s="21">
        <f t="shared" ca="1" si="122"/>
        <v>6.9048770829643433E-2</v>
      </c>
      <c r="DQ92" s="21">
        <f t="shared" ca="1" si="122"/>
        <v>6.4807846148688758E-2</v>
      </c>
      <c r="DR92" s="21">
        <f t="shared" ca="1" si="122"/>
        <v>6.1018238186526311E-2</v>
      </c>
      <c r="DS92" s="21">
        <f t="shared" ca="1" si="122"/>
        <v>5.5223648737716929E-2</v>
      </c>
      <c r="DT92" s="21">
        <f t="shared" ca="1" si="122"/>
        <v>4.9568710898002383E-2</v>
      </c>
      <c r="DU92" s="21">
        <f t="shared" ca="1" si="122"/>
        <v>4.4478886614262976E-2</v>
      </c>
      <c r="DV92" s="21">
        <f t="shared" ca="1" si="122"/>
        <v>3.9881290840034056E-2</v>
      </c>
      <c r="DW92" s="21">
        <f t="shared" ca="1" si="122"/>
        <v>3.6247507208484908E-2</v>
      </c>
      <c r="DX92" s="21">
        <f t="shared" ca="1" si="122"/>
        <v>3.3319566376054995E-2</v>
      </c>
      <c r="DY92" s="21">
        <f t="shared" ca="1" si="122"/>
        <v>2.948808075457841E-2</v>
      </c>
      <c r="DZ92" s="21">
        <f t="shared" ca="1" si="122"/>
        <v>2.7714942239252929E-2</v>
      </c>
      <c r="EA92" s="21">
        <f t="shared" ca="1" si="122"/>
        <v>2.6507236284986281E-2</v>
      </c>
      <c r="EB92" s="21">
        <f t="shared" ca="1" si="122"/>
        <v>2.6997711550305573E-2</v>
      </c>
      <c r="EC92" s="21">
        <f t="shared" ca="1" si="122"/>
        <v>2.5623163046016272E-2</v>
      </c>
      <c r="ED92" s="21">
        <f t="shared" ca="1" si="122"/>
        <v>2.6989877419485275E-2</v>
      </c>
      <c r="EE92" s="21">
        <f t="shared" ca="1" si="122"/>
        <v>2.7357393947834562E-2</v>
      </c>
      <c r="EF92" s="21">
        <f t="shared" ca="1" si="122"/>
        <v>2.7534497846958952E-2</v>
      </c>
      <c r="EG92" s="21">
        <f t="shared" ca="1" si="122"/>
        <v>2.8172103408650905E-2</v>
      </c>
      <c r="EH92" s="21">
        <f t="shared" ca="1" si="122"/>
        <v>2.6789311618002836E-2</v>
      </c>
      <c r="EI92" s="21">
        <f t="shared" ca="1" si="122"/>
        <v>2.6354241810265282E-2</v>
      </c>
      <c r="EJ92" s="21">
        <f t="shared" ca="1" si="122"/>
        <v>2.7849232515940025E-2</v>
      </c>
      <c r="EK92" s="21">
        <f t="shared" ca="1" si="122"/>
        <v>2.7738200977038725E-2</v>
      </c>
      <c r="EL92" s="21">
        <f t="shared" ca="1" si="122"/>
        <v>2.4597355659970017E-2</v>
      </c>
      <c r="EM92" s="21">
        <f t="shared" ca="1" si="122"/>
        <v>2.516555975798147E-2</v>
      </c>
      <c r="EN92" s="21">
        <f t="shared" ca="1" si="122"/>
        <v>2.2666149243292487E-2</v>
      </c>
      <c r="EO92" s="21">
        <f t="shared" ca="1" si="122"/>
        <v>2.34558441291444E-2</v>
      </c>
      <c r="EP92" s="21">
        <f t="shared" ca="1" si="122"/>
        <v>2.4379412745182454E-2</v>
      </c>
      <c r="EQ92" s="21">
        <f t="shared" ca="1" si="122"/>
        <v>2.2581364664890836E-2</v>
      </c>
      <c r="ER92" s="21">
        <f t="shared" ca="1" si="122"/>
        <v>2.1460785757141852E-2</v>
      </c>
      <c r="ES92" s="21">
        <f t="shared" ca="1" si="122"/>
        <v>2.2173501153695832E-2</v>
      </c>
      <c r="ET92" s="21">
        <f t="shared" ca="1" si="122"/>
        <v>2.2091392773204002E-2</v>
      </c>
      <c r="EU92" s="21">
        <f t="shared" ca="1" si="122"/>
        <v>1.988981220070947E-2</v>
      </c>
      <c r="EV92" s="21">
        <f t="shared" ca="1" si="122"/>
        <v>1.7358663676222141E-2</v>
      </c>
      <c r="EW92" s="21">
        <f t="shared" ca="1" si="122"/>
        <v>1.9631970228864443E-2</v>
      </c>
      <c r="EX92" s="21">
        <f t="shared" ca="1" si="122"/>
        <v>2.0273655088132253E-2</v>
      </c>
      <c r="EY92" s="21">
        <f t="shared" ref="EY92:HJ92" ca="1" si="123">IF(EY12="","",AVERAGE(EN66:EX66)+CONFIDENCE(0.05,STDEV(DZ66:EX66),COUNT(DZ66:EX66)))</f>
        <v>2.0237329724867137E-2</v>
      </c>
      <c r="EZ92" s="21">
        <f t="shared" ca="1" si="123"/>
        <v>1.739588902953336E-2</v>
      </c>
      <c r="FA92" s="21">
        <f t="shared" ca="1" si="123"/>
        <v>1.7269405852413822E-2</v>
      </c>
      <c r="FB92" s="21">
        <f t="shared" ca="1" si="123"/>
        <v>1.6556310411688153E-2</v>
      </c>
      <c r="FC92" s="21">
        <f t="shared" ca="1" si="123"/>
        <v>1.7300147167511794E-2</v>
      </c>
      <c r="FD92" s="21">
        <f t="shared" ca="1" si="123"/>
        <v>1.7993720443251832E-2</v>
      </c>
      <c r="FE92" s="21">
        <f t="shared" ca="1" si="123"/>
        <v>1.8036725952160968E-2</v>
      </c>
      <c r="FF92" s="21">
        <f t="shared" ca="1" si="123"/>
        <v>1.8723315026295637E-2</v>
      </c>
      <c r="FG92" s="21">
        <f t="shared" ca="1" si="123"/>
        <v>2.0090320734424339E-2</v>
      </c>
      <c r="FH92" s="21">
        <f t="shared" ca="1" si="123"/>
        <v>1.9493494530543668E-2</v>
      </c>
      <c r="FI92" s="21">
        <f t="shared" ca="1" si="123"/>
        <v>1.6859011161365844E-2</v>
      </c>
      <c r="FJ92" s="21">
        <f t="shared" ca="1" si="123"/>
        <v>1.5441449427571224E-2</v>
      </c>
      <c r="FK92" s="21">
        <f t="shared" ca="1" si="123"/>
        <v>1.5693867669628731E-2</v>
      </c>
      <c r="FL92" s="21">
        <f t="shared" ca="1" si="123"/>
        <v>1.495098789021544E-2</v>
      </c>
      <c r="FM92" s="21">
        <f t="shared" ca="1" si="123"/>
        <v>1.4443770245403475E-2</v>
      </c>
      <c r="FN92" s="21">
        <f t="shared" ca="1" si="123"/>
        <v>1.6634176080037207E-2</v>
      </c>
      <c r="FO92" s="21">
        <f t="shared" ca="1" si="123"/>
        <v>1.6730605993903573E-2</v>
      </c>
      <c r="FP92" s="21">
        <f t="shared" ca="1" si="123"/>
        <v>1.6303199548300271E-2</v>
      </c>
      <c r="FQ92" s="21">
        <f t="shared" ca="1" si="123"/>
        <v>1.5484623808987684E-2</v>
      </c>
      <c r="FR92" s="21">
        <f t="shared" ca="1" si="123"/>
        <v>1.5902489129283135E-2</v>
      </c>
      <c r="FS92" s="21">
        <f t="shared" ca="1" si="123"/>
        <v>1.7350358559728236E-2</v>
      </c>
      <c r="FT92" s="21">
        <f t="shared" ca="1" si="123"/>
        <v>2.058478984483602E-2</v>
      </c>
      <c r="FU92" s="21">
        <f t="shared" ca="1" si="123"/>
        <v>2.2307650684455949E-2</v>
      </c>
      <c r="FV92" s="21">
        <f t="shared" ca="1" si="123"/>
        <v>2.2255504641281315E-2</v>
      </c>
      <c r="FW92" s="21">
        <f t="shared" ca="1" si="123"/>
        <v>2.1966014902067198E-2</v>
      </c>
      <c r="FX92" s="21">
        <f t="shared" ca="1" si="123"/>
        <v>2.3340323859850451E-2</v>
      </c>
      <c r="FY92" s="21">
        <f t="shared" ca="1" si="123"/>
        <v>2.1217536907531816E-2</v>
      </c>
      <c r="FZ92" s="21">
        <f t="shared" ca="1" si="123"/>
        <v>2.1189912784085756E-2</v>
      </c>
      <c r="GA92" s="21">
        <f t="shared" ca="1" si="123"/>
        <v>2.3814909095280209E-2</v>
      </c>
      <c r="GB92" s="21">
        <f t="shared" ca="1" si="123"/>
        <v>2.7013917112377744E-2</v>
      </c>
      <c r="GC92" s="21">
        <f t="shared" ca="1" si="123"/>
        <v>2.8289620560391748E-2</v>
      </c>
      <c r="GD92" s="21">
        <f t="shared" ca="1" si="123"/>
        <v>2.8103965632902989E-2</v>
      </c>
      <c r="GE92" s="21">
        <f t="shared" ca="1" si="123"/>
        <v>2.5983746812048156E-2</v>
      </c>
      <c r="GF92" s="21">
        <f t="shared" ca="1" si="123"/>
        <v>2.5580572822907922E-2</v>
      </c>
      <c r="GG92" s="21">
        <f t="shared" ca="1" si="123"/>
        <v>3.0023946951419592E-2</v>
      </c>
      <c r="GH92" s="21">
        <f t="shared" ca="1" si="123"/>
        <v>3.3766643867364547E-2</v>
      </c>
      <c r="GI92" s="21">
        <f t="shared" ca="1" si="123"/>
        <v>3.4636937844812407E-2</v>
      </c>
      <c r="GJ92" s="21">
        <f t="shared" ca="1" si="123"/>
        <v>3.5086648697376113E-2</v>
      </c>
      <c r="GK92" s="21">
        <f t="shared" ca="1" si="123"/>
        <v>3.4384555273316027E-2</v>
      </c>
      <c r="GL92" s="21">
        <f t="shared" ca="1" si="123"/>
        <v>3.1702639481953246E-2</v>
      </c>
      <c r="GM92" s="21">
        <f t="shared" ca="1" si="123"/>
        <v>2.9688766920742501E-2</v>
      </c>
      <c r="GN92" s="21">
        <f t="shared" ca="1" si="123"/>
        <v>2.7071903432385379E-2</v>
      </c>
      <c r="GO92" s="21">
        <f t="shared" ca="1" si="123"/>
        <v>2.5177845710876744E-2</v>
      </c>
      <c r="GP92" s="21">
        <f t="shared" ca="1" si="123"/>
        <v>2.4957324873053043E-2</v>
      </c>
      <c r="GQ92" s="21">
        <f t="shared" ca="1" si="123"/>
        <v>2.5433468176649307E-2</v>
      </c>
      <c r="GR92" s="21">
        <f t="shared" ca="1" si="123"/>
        <v>2.2695550825720938E-2</v>
      </c>
      <c r="GS92" s="21">
        <f t="shared" ca="1" si="123"/>
        <v>1.9773057881373908E-2</v>
      </c>
      <c r="GT92" s="21">
        <f t="shared" ca="1" si="123"/>
        <v>1.7893334390926292E-2</v>
      </c>
      <c r="GU92" s="21">
        <f t="shared" ca="1" si="123"/>
        <v>1.6468143204425967E-2</v>
      </c>
      <c r="GV92" s="21">
        <f t="shared" ca="1" si="123"/>
        <v>1.5929761268855095E-2</v>
      </c>
      <c r="GW92" s="21">
        <f t="shared" ca="1" si="123"/>
        <v>1.6129763286849542E-2</v>
      </c>
      <c r="GX92" s="21">
        <f t="shared" ca="1" si="123"/>
        <v>1.3297085173019436E-2</v>
      </c>
      <c r="GY92" s="21">
        <f t="shared" ca="1" si="123"/>
        <v>1.5336713991818896E-2</v>
      </c>
      <c r="GZ92" s="21">
        <f t="shared" ca="1" si="123"/>
        <v>1.5274484728767581E-2</v>
      </c>
      <c r="HA92" s="21" t="str">
        <f t="shared" si="123"/>
        <v/>
      </c>
      <c r="HB92" s="21" t="str">
        <f t="shared" si="123"/>
        <v/>
      </c>
      <c r="HC92" s="21" t="str">
        <f t="shared" si="123"/>
        <v/>
      </c>
      <c r="HD92" s="21" t="str">
        <f t="shared" si="123"/>
        <v/>
      </c>
      <c r="HE92" s="21" t="str">
        <f t="shared" si="123"/>
        <v/>
      </c>
      <c r="HF92" s="21" t="str">
        <f t="shared" si="123"/>
        <v/>
      </c>
      <c r="HG92" s="21" t="str">
        <f t="shared" si="123"/>
        <v/>
      </c>
      <c r="HH92" s="21" t="str">
        <f t="shared" si="123"/>
        <v/>
      </c>
      <c r="HI92" s="21" t="str">
        <f t="shared" si="123"/>
        <v/>
      </c>
      <c r="HJ92" s="21" t="str">
        <f t="shared" si="123"/>
        <v/>
      </c>
      <c r="HK92" s="21" t="str">
        <f t="shared" ref="HK92:JH92" si="124">IF(HK12="","",AVERAGE(GZ66:HJ66)+CONFIDENCE(0.05,STDEV(GL66:HJ66),COUNT(GL66:HJ66)))</f>
        <v/>
      </c>
      <c r="HL92" s="21" t="str">
        <f t="shared" si="124"/>
        <v/>
      </c>
      <c r="HM92" s="21" t="str">
        <f t="shared" si="124"/>
        <v/>
      </c>
      <c r="HN92" s="21" t="str">
        <f t="shared" si="124"/>
        <v/>
      </c>
      <c r="HO92" s="21" t="str">
        <f t="shared" si="124"/>
        <v/>
      </c>
      <c r="HP92" s="21" t="str">
        <f t="shared" si="124"/>
        <v/>
      </c>
      <c r="HQ92" s="21" t="str">
        <f t="shared" si="124"/>
        <v/>
      </c>
      <c r="HR92" s="21" t="str">
        <f t="shared" si="124"/>
        <v/>
      </c>
      <c r="HS92" s="21" t="str">
        <f t="shared" si="124"/>
        <v/>
      </c>
      <c r="HT92" s="21" t="str">
        <f t="shared" si="124"/>
        <v/>
      </c>
      <c r="HU92" s="21" t="str">
        <f t="shared" si="124"/>
        <v/>
      </c>
      <c r="HV92" s="21" t="str">
        <f t="shared" si="124"/>
        <v/>
      </c>
      <c r="HW92" s="21" t="str">
        <f t="shared" si="124"/>
        <v/>
      </c>
      <c r="HX92" s="21" t="str">
        <f t="shared" si="124"/>
        <v/>
      </c>
      <c r="HY92" s="21" t="str">
        <f t="shared" si="124"/>
        <v/>
      </c>
      <c r="HZ92" s="21" t="str">
        <f t="shared" si="124"/>
        <v/>
      </c>
      <c r="IA92" s="21" t="str">
        <f t="shared" si="124"/>
        <v/>
      </c>
      <c r="IB92" s="21" t="str">
        <f t="shared" si="124"/>
        <v/>
      </c>
      <c r="IC92" s="21" t="str">
        <f t="shared" si="124"/>
        <v/>
      </c>
      <c r="ID92" s="21" t="str">
        <f t="shared" si="124"/>
        <v/>
      </c>
      <c r="IE92" s="21" t="str">
        <f t="shared" si="124"/>
        <v/>
      </c>
      <c r="IF92" s="21" t="str">
        <f t="shared" si="124"/>
        <v/>
      </c>
      <c r="IG92" s="21" t="str">
        <f t="shared" si="124"/>
        <v/>
      </c>
      <c r="IH92" s="21" t="str">
        <f t="shared" si="124"/>
        <v/>
      </c>
      <c r="II92" s="21" t="str">
        <f t="shared" si="124"/>
        <v/>
      </c>
      <c r="IJ92" s="21" t="str">
        <f t="shared" si="124"/>
        <v/>
      </c>
      <c r="IK92" s="21" t="str">
        <f t="shared" si="124"/>
        <v/>
      </c>
      <c r="IL92" s="21" t="str">
        <f t="shared" si="124"/>
        <v/>
      </c>
      <c r="IM92" s="21" t="str">
        <f t="shared" si="124"/>
        <v/>
      </c>
      <c r="IN92" s="21" t="str">
        <f t="shared" si="124"/>
        <v/>
      </c>
      <c r="IO92" s="21" t="str">
        <f t="shared" si="124"/>
        <v/>
      </c>
      <c r="IP92" s="21" t="str">
        <f t="shared" si="124"/>
        <v/>
      </c>
      <c r="IQ92" s="21" t="str">
        <f t="shared" si="124"/>
        <v/>
      </c>
      <c r="IR92" s="21" t="str">
        <f t="shared" si="124"/>
        <v/>
      </c>
      <c r="IS92" s="21" t="str">
        <f t="shared" si="124"/>
        <v/>
      </c>
      <c r="IT92" s="21" t="str">
        <f t="shared" si="124"/>
        <v/>
      </c>
      <c r="IU92" s="21" t="str">
        <f t="shared" si="124"/>
        <v/>
      </c>
      <c r="IV92" s="21" t="str">
        <f t="shared" si="124"/>
        <v/>
      </c>
      <c r="IW92" s="21" t="str">
        <f t="shared" si="124"/>
        <v/>
      </c>
      <c r="IX92" s="21" t="str">
        <f t="shared" si="124"/>
        <v/>
      </c>
      <c r="IY92" s="21" t="str">
        <f t="shared" si="124"/>
        <v/>
      </c>
      <c r="IZ92" s="21" t="str">
        <f t="shared" si="124"/>
        <v/>
      </c>
      <c r="JA92" s="21" t="str">
        <f t="shared" si="124"/>
        <v/>
      </c>
      <c r="JB92" s="21" t="str">
        <f t="shared" si="124"/>
        <v/>
      </c>
      <c r="JC92" s="21" t="str">
        <f t="shared" si="124"/>
        <v/>
      </c>
      <c r="JD92" s="21" t="str">
        <f t="shared" si="124"/>
        <v/>
      </c>
      <c r="JE92" s="21" t="str">
        <f t="shared" si="124"/>
        <v/>
      </c>
      <c r="JF92" s="21" t="str">
        <f t="shared" si="124"/>
        <v/>
      </c>
      <c r="JG92" s="21" t="str">
        <f t="shared" si="124"/>
        <v/>
      </c>
      <c r="JH92" s="21" t="str">
        <f t="shared" si="124"/>
        <v/>
      </c>
    </row>
    <row r="93" spans="1:336" x14ac:dyDescent="0.25"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>
        <f t="shared" ref="AA93:CL93" ca="1" si="125">IF(AA13="","",AVERAGE(O67:Z67)+CONFIDENCE(0.05,STDEV(B67:Z67),COUNT(B67:Z67)))</f>
        <v>2.7822140165983847E-2</v>
      </c>
      <c r="AB93" s="21">
        <f t="shared" ca="1" si="125"/>
        <v>2.6217785176166596E-2</v>
      </c>
      <c r="AC93" s="21">
        <f t="shared" ca="1" si="125"/>
        <v>2.5057837622591238E-2</v>
      </c>
      <c r="AD93" s="21">
        <f t="shared" ca="1" si="125"/>
        <v>2.3946944398319479E-2</v>
      </c>
      <c r="AE93" s="21">
        <f t="shared" ca="1" si="125"/>
        <v>2.231944518687895E-2</v>
      </c>
      <c r="AF93" s="21">
        <f t="shared" ca="1" si="125"/>
        <v>2.1395211792931405E-2</v>
      </c>
      <c r="AG93" s="21">
        <f t="shared" ca="1" si="125"/>
        <v>2.1186023169868132E-2</v>
      </c>
      <c r="AH93" s="21">
        <f t="shared" ca="1" si="125"/>
        <v>2.0404677975821968E-2</v>
      </c>
      <c r="AI93" s="21">
        <f t="shared" ca="1" si="125"/>
        <v>1.9222963522090304E-2</v>
      </c>
      <c r="AJ93" s="21">
        <f t="shared" ca="1" si="125"/>
        <v>1.813894082135073E-2</v>
      </c>
      <c r="AK93" s="21">
        <f t="shared" ca="1" si="125"/>
        <v>1.7116485247539056E-2</v>
      </c>
      <c r="AL93" s="21">
        <f t="shared" ca="1" si="125"/>
        <v>1.5886770904876009E-2</v>
      </c>
      <c r="AM93" s="21">
        <f t="shared" ca="1" si="125"/>
        <v>1.3535112929745345E-2</v>
      </c>
      <c r="AN93" s="21">
        <f t="shared" ca="1" si="125"/>
        <v>1.2157239511364128E-2</v>
      </c>
      <c r="AO93" s="21">
        <f t="shared" ca="1" si="125"/>
        <v>1.0770155272975104E-2</v>
      </c>
      <c r="AP93" s="21">
        <f t="shared" ca="1" si="125"/>
        <v>9.9827314991374205E-3</v>
      </c>
      <c r="AQ93" s="21">
        <f t="shared" ca="1" si="125"/>
        <v>1.0488684529742574E-2</v>
      </c>
      <c r="AR93" s="21">
        <f t="shared" ca="1" si="125"/>
        <v>1.1348707547457784E-2</v>
      </c>
      <c r="AS93" s="21">
        <f t="shared" ca="1" si="125"/>
        <v>1.3442824254143887E-2</v>
      </c>
      <c r="AT93" s="21">
        <f t="shared" ca="1" si="125"/>
        <v>1.6509711684233111E-2</v>
      </c>
      <c r="AU93" s="21">
        <f t="shared" ca="1" si="125"/>
        <v>1.9574573840478934E-2</v>
      </c>
      <c r="AV93" s="21">
        <f t="shared" ca="1" si="125"/>
        <v>2.3730627427441191E-2</v>
      </c>
      <c r="AW93" s="21">
        <f t="shared" ca="1" si="125"/>
        <v>2.8944996897023369E-2</v>
      </c>
      <c r="AX93" s="21">
        <f t="shared" ca="1" si="125"/>
        <v>3.3915053106472075E-2</v>
      </c>
      <c r="AY93" s="21">
        <f t="shared" ca="1" si="125"/>
        <v>4.3913229034979157E-2</v>
      </c>
      <c r="AZ93" s="21">
        <f t="shared" ca="1" si="125"/>
        <v>5.3301959613943038E-2</v>
      </c>
      <c r="BA93" s="21">
        <f t="shared" ca="1" si="125"/>
        <v>6.3121130934590514E-2</v>
      </c>
      <c r="BB93" s="21">
        <f t="shared" ca="1" si="125"/>
        <v>7.2346543731930529E-2</v>
      </c>
      <c r="BC93" s="21">
        <f t="shared" ca="1" si="125"/>
        <v>8.1941446238841836E-2</v>
      </c>
      <c r="BD93" s="21">
        <f t="shared" ca="1" si="125"/>
        <v>9.0579706600765669E-2</v>
      </c>
      <c r="BE93" s="21">
        <f t="shared" ca="1" si="125"/>
        <v>9.6997791315880183E-2</v>
      </c>
      <c r="BF93" s="21">
        <f t="shared" ca="1" si="125"/>
        <v>0.10018717765728462</v>
      </c>
      <c r="BG93" s="21">
        <f t="shared" ca="1" si="125"/>
        <v>0.10012391269564397</v>
      </c>
      <c r="BH93" s="21">
        <f t="shared" ca="1" si="125"/>
        <v>9.944616573826115E-2</v>
      </c>
      <c r="BI93" s="21">
        <f t="shared" ca="1" si="125"/>
        <v>9.710454170268959E-2</v>
      </c>
      <c r="BJ93" s="21">
        <f t="shared" ca="1" si="125"/>
        <v>9.2993027412538079E-2</v>
      </c>
      <c r="BK93" s="21">
        <f t="shared" ca="1" si="125"/>
        <v>8.6976511343422103E-2</v>
      </c>
      <c r="BL93" s="21">
        <f t="shared" ca="1" si="125"/>
        <v>8.271912665102589E-2</v>
      </c>
      <c r="BM93" s="21">
        <f t="shared" ca="1" si="125"/>
        <v>7.9849222592678903E-2</v>
      </c>
      <c r="BN93" s="21">
        <f t="shared" ca="1" si="125"/>
        <v>7.8943732847558165E-2</v>
      </c>
      <c r="BO93" s="21">
        <f t="shared" ca="1" si="125"/>
        <v>7.5364625899080773E-2</v>
      </c>
      <c r="BP93" s="21">
        <f t="shared" ca="1" si="125"/>
        <v>7.0672404262376337E-2</v>
      </c>
      <c r="BQ93" s="21">
        <f t="shared" ca="1" si="125"/>
        <v>6.4972754158235071E-2</v>
      </c>
      <c r="BR93" s="21">
        <f t="shared" ca="1" si="125"/>
        <v>6.0658442884409414E-2</v>
      </c>
      <c r="BS93" s="21">
        <f t="shared" ca="1" si="125"/>
        <v>5.8454228255131579E-2</v>
      </c>
      <c r="BT93" s="21">
        <f t="shared" ca="1" si="125"/>
        <v>5.9218174764017514E-2</v>
      </c>
      <c r="BU93" s="21">
        <f t="shared" ca="1" si="125"/>
        <v>5.8294903170161304E-2</v>
      </c>
      <c r="BV93" s="21">
        <f t="shared" ca="1" si="125"/>
        <v>5.8771088658932699E-2</v>
      </c>
      <c r="BW93" s="21">
        <f t="shared" ca="1" si="125"/>
        <v>5.9168323687659161E-2</v>
      </c>
      <c r="BX93" s="21">
        <f t="shared" ca="1" si="125"/>
        <v>5.5815739978575162E-2</v>
      </c>
      <c r="BY93" s="21">
        <f t="shared" ca="1" si="125"/>
        <v>5.0310269834303291E-2</v>
      </c>
      <c r="BZ93" s="21">
        <f t="shared" ca="1" si="125"/>
        <v>4.2586562956150584E-2</v>
      </c>
      <c r="CA93" s="21">
        <f t="shared" ca="1" si="125"/>
        <v>3.5649902037623991E-2</v>
      </c>
      <c r="CB93" s="21">
        <f t="shared" ca="1" si="125"/>
        <v>2.9612832925596098E-2</v>
      </c>
      <c r="CC93" s="21">
        <f t="shared" ca="1" si="125"/>
        <v>2.6031754156766229E-2</v>
      </c>
      <c r="CD93" s="21">
        <f t="shared" ca="1" si="125"/>
        <v>2.3793010767056297E-2</v>
      </c>
      <c r="CE93" s="21">
        <f t="shared" ca="1" si="125"/>
        <v>2.3253067647882757E-2</v>
      </c>
      <c r="CF93" s="21">
        <f t="shared" ca="1" si="125"/>
        <v>2.1705023223166441E-2</v>
      </c>
      <c r="CG93" s="21">
        <f t="shared" ca="1" si="125"/>
        <v>2.2999608706577305E-2</v>
      </c>
      <c r="CH93" s="21">
        <f t="shared" ca="1" si="125"/>
        <v>2.4612961827569006E-2</v>
      </c>
      <c r="CI93" s="21">
        <f t="shared" ca="1" si="125"/>
        <v>2.5282797624829476E-2</v>
      </c>
      <c r="CJ93" s="21">
        <f t="shared" ca="1" si="125"/>
        <v>2.7278554617722904E-2</v>
      </c>
      <c r="CK93" s="21">
        <f t="shared" ca="1" si="125"/>
        <v>2.8497892164666042E-2</v>
      </c>
      <c r="CL93" s="21">
        <f t="shared" ca="1" si="125"/>
        <v>2.9815421364538582E-2</v>
      </c>
      <c r="CM93" s="21">
        <f t="shared" ref="CM93:EX93" ca="1" si="126">IF(CM13="","",AVERAGE(CA67:CL67)+CONFIDENCE(0.05,STDEV(BN67:CL67),COUNT(BN67:CL67)))</f>
        <v>3.1838897509570835E-2</v>
      </c>
      <c r="CN93" s="21">
        <f t="shared" ca="1" si="126"/>
        <v>3.4520836392935551E-2</v>
      </c>
      <c r="CO93" s="21">
        <f t="shared" ca="1" si="126"/>
        <v>3.7492480980133726E-2</v>
      </c>
      <c r="CP93" s="21">
        <f t="shared" ca="1" si="126"/>
        <v>3.9401080805501754E-2</v>
      </c>
      <c r="CQ93" s="21">
        <f t="shared" ca="1" si="126"/>
        <v>4.2080247807440595E-2</v>
      </c>
      <c r="CR93" s="21">
        <f t="shared" ca="1" si="126"/>
        <v>4.5718424408156759E-2</v>
      </c>
      <c r="CS93" s="21">
        <f t="shared" ca="1" si="126"/>
        <v>4.4002438266573851E-2</v>
      </c>
      <c r="CT93" s="21">
        <f t="shared" ca="1" si="126"/>
        <v>4.3601886903991319E-2</v>
      </c>
      <c r="CU93" s="21">
        <f t="shared" ca="1" si="126"/>
        <v>4.6397750384447808E-2</v>
      </c>
      <c r="CV93" s="21">
        <f t="shared" ca="1" si="126"/>
        <v>4.7876080827421348E-2</v>
      </c>
      <c r="CW93" s="21">
        <f t="shared" ca="1" si="126"/>
        <v>4.88136291691883E-2</v>
      </c>
      <c r="CX93" s="21">
        <f t="shared" ca="1" si="126"/>
        <v>4.8279413374252268E-2</v>
      </c>
      <c r="CY93" s="21">
        <f t="shared" ca="1" si="126"/>
        <v>4.5299231374381979E-2</v>
      </c>
      <c r="CZ93" s="21">
        <f t="shared" ca="1" si="126"/>
        <v>4.1596179274282136E-2</v>
      </c>
      <c r="DA93" s="21">
        <f t="shared" ca="1" si="126"/>
        <v>3.9088195565324745E-2</v>
      </c>
      <c r="DB93" s="21">
        <f t="shared" ca="1" si="126"/>
        <v>3.6775995636240774E-2</v>
      </c>
      <c r="DC93" s="21">
        <f t="shared" ca="1" si="126"/>
        <v>3.5951260745935597E-2</v>
      </c>
      <c r="DD93" s="21">
        <f t="shared" ca="1" si="126"/>
        <v>3.1181065453177871E-2</v>
      </c>
      <c r="DE93" s="21">
        <f t="shared" ca="1" si="126"/>
        <v>3.0888588135679986E-2</v>
      </c>
      <c r="DF93" s="21">
        <f t="shared" ca="1" si="126"/>
        <v>3.7251099289348923E-2</v>
      </c>
      <c r="DG93" s="21">
        <f t="shared" ca="1" si="126"/>
        <v>3.9722667733156816E-2</v>
      </c>
      <c r="DH93" s="21">
        <f t="shared" ca="1" si="126"/>
        <v>4.355047862797648E-2</v>
      </c>
      <c r="DI93" s="21">
        <f t="shared" ca="1" si="126"/>
        <v>4.7579855881450937E-2</v>
      </c>
      <c r="DJ93" s="21">
        <f t="shared" ca="1" si="126"/>
        <v>5.1172245571445771E-2</v>
      </c>
      <c r="DK93" s="21">
        <f t="shared" ca="1" si="126"/>
        <v>5.5514256260337569E-2</v>
      </c>
      <c r="DL93" s="21">
        <f t="shared" ca="1" si="126"/>
        <v>6.02656922962636E-2</v>
      </c>
      <c r="DM93" s="21">
        <f t="shared" ca="1" si="126"/>
        <v>6.3059162842766428E-2</v>
      </c>
      <c r="DN93" s="21">
        <f t="shared" ca="1" si="126"/>
        <v>6.780553406644986E-2</v>
      </c>
      <c r="DO93" s="21">
        <f t="shared" ca="1" si="126"/>
        <v>6.9022557716493391E-2</v>
      </c>
      <c r="DP93" s="21">
        <f t="shared" ca="1" si="126"/>
        <v>7.1666480389633982E-2</v>
      </c>
      <c r="DQ93" s="21">
        <f t="shared" ca="1" si="126"/>
        <v>7.1787881461986031E-2</v>
      </c>
      <c r="DR93" s="21">
        <f t="shared" ca="1" si="126"/>
        <v>6.6659795457228388E-2</v>
      </c>
      <c r="DS93" s="21">
        <f t="shared" ca="1" si="126"/>
        <v>6.1116258252334042E-2</v>
      </c>
      <c r="DT93" s="21">
        <f t="shared" ca="1" si="126"/>
        <v>5.4841369393810686E-2</v>
      </c>
      <c r="DU93" s="21">
        <f t="shared" ca="1" si="126"/>
        <v>4.8810601659613935E-2</v>
      </c>
      <c r="DV93" s="21">
        <f t="shared" ca="1" si="126"/>
        <v>4.4226213988238339E-2</v>
      </c>
      <c r="DW93" s="21">
        <f t="shared" ca="1" si="126"/>
        <v>4.0787650391773109E-2</v>
      </c>
      <c r="DX93" s="21">
        <f t="shared" ca="1" si="126"/>
        <v>3.746515377856826E-2</v>
      </c>
      <c r="DY93" s="21">
        <f t="shared" ca="1" si="126"/>
        <v>3.4730640250643922E-2</v>
      </c>
      <c r="DZ93" s="21">
        <f t="shared" ca="1" si="126"/>
        <v>3.2292775383215205E-2</v>
      </c>
      <c r="EA93" s="21">
        <f t="shared" ca="1" si="126"/>
        <v>3.0479933700052385E-2</v>
      </c>
      <c r="EB93" s="21">
        <f t="shared" ca="1" si="126"/>
        <v>2.8577577180604809E-2</v>
      </c>
      <c r="EC93" s="21">
        <f t="shared" ca="1" si="126"/>
        <v>3.1015327107314333E-2</v>
      </c>
      <c r="ED93" s="21">
        <f t="shared" ca="1" si="126"/>
        <v>2.9997117816726794E-2</v>
      </c>
      <c r="EE93" s="21">
        <f t="shared" ca="1" si="126"/>
        <v>2.9541848256226414E-2</v>
      </c>
      <c r="EF93" s="21">
        <f t="shared" ca="1" si="126"/>
        <v>3.0641293478820688E-2</v>
      </c>
      <c r="EG93" s="21">
        <f t="shared" ca="1" si="126"/>
        <v>3.0903113210251063E-2</v>
      </c>
      <c r="EH93" s="21">
        <f t="shared" ca="1" si="126"/>
        <v>2.9321018765965504E-2</v>
      </c>
      <c r="EI93" s="21">
        <f t="shared" ca="1" si="126"/>
        <v>2.8492551721107078E-2</v>
      </c>
      <c r="EJ93" s="21">
        <f t="shared" ca="1" si="126"/>
        <v>2.8645818321800666E-2</v>
      </c>
      <c r="EK93" s="21">
        <f t="shared" ca="1" si="126"/>
        <v>2.829090543471063E-2</v>
      </c>
      <c r="EL93" s="21">
        <f t="shared" ca="1" si="126"/>
        <v>2.5891895844894111E-2</v>
      </c>
      <c r="EM93" s="21">
        <f t="shared" ca="1" si="126"/>
        <v>2.4794556566821294E-2</v>
      </c>
      <c r="EN93" s="21">
        <f t="shared" ca="1" si="126"/>
        <v>2.3605299112038101E-2</v>
      </c>
      <c r="EO93" s="21">
        <f t="shared" ca="1" si="126"/>
        <v>2.2963830950425323E-2</v>
      </c>
      <c r="EP93" s="21">
        <f t="shared" ca="1" si="126"/>
        <v>2.3758328239914087E-2</v>
      </c>
      <c r="EQ93" s="21">
        <f t="shared" ca="1" si="126"/>
        <v>2.3109240490815027E-2</v>
      </c>
      <c r="ER93" s="21">
        <f t="shared" ca="1" si="126"/>
        <v>2.1322415860457536E-2</v>
      </c>
      <c r="ES93" s="21">
        <f t="shared" ca="1" si="126"/>
        <v>2.1215247297876636E-2</v>
      </c>
      <c r="ET93" s="21">
        <f t="shared" ca="1" si="126"/>
        <v>2.2286503177863459E-2</v>
      </c>
      <c r="EU93" s="21">
        <f t="shared" ca="1" si="126"/>
        <v>2.1558014682735348E-2</v>
      </c>
      <c r="EV93" s="21">
        <f t="shared" ca="1" si="126"/>
        <v>1.9634532318247938E-2</v>
      </c>
      <c r="EW93" s="21">
        <f t="shared" ca="1" si="126"/>
        <v>2.003895334048653E-2</v>
      </c>
      <c r="EX93" s="21">
        <f t="shared" ca="1" si="126"/>
        <v>2.1650517263772387E-2</v>
      </c>
      <c r="EY93" s="21">
        <f t="shared" ref="EY93:HJ93" ca="1" si="127">IF(EY13="","",AVERAGE(EM67:EX67)+CONFIDENCE(0.05,STDEV(DZ67:EX67),COUNT(DZ67:EX67)))</f>
        <v>2.0597047156220891E-2</v>
      </c>
      <c r="EZ93" s="21">
        <f t="shared" ca="1" si="127"/>
        <v>1.970801306750556E-2</v>
      </c>
      <c r="FA93" s="21">
        <f t="shared" ca="1" si="127"/>
        <v>1.69814342916767E-2</v>
      </c>
      <c r="FB93" s="21">
        <f t="shared" ca="1" si="127"/>
        <v>1.558776390124874E-2</v>
      </c>
      <c r="FC93" s="21">
        <f t="shared" ca="1" si="127"/>
        <v>1.7202019026073576E-2</v>
      </c>
      <c r="FD93" s="21">
        <f t="shared" ca="1" si="127"/>
        <v>1.8303505212529977E-2</v>
      </c>
      <c r="FE93" s="21">
        <f t="shared" ca="1" si="127"/>
        <v>1.8288132265452152E-2</v>
      </c>
      <c r="FF93" s="21">
        <f t="shared" ca="1" si="127"/>
        <v>1.8169111173207828E-2</v>
      </c>
      <c r="FG93" s="21">
        <f t="shared" ca="1" si="127"/>
        <v>1.8659061708238393E-2</v>
      </c>
      <c r="FH93" s="21">
        <f t="shared" ca="1" si="127"/>
        <v>1.9468267839751079E-2</v>
      </c>
      <c r="FI93" s="21">
        <f t="shared" ca="1" si="127"/>
        <v>1.7167549407349641E-2</v>
      </c>
      <c r="FJ93" s="21">
        <f t="shared" ca="1" si="127"/>
        <v>1.5298308282906795E-2</v>
      </c>
      <c r="FK93" s="21">
        <f t="shared" ca="1" si="127"/>
        <v>1.4547391224154936E-2</v>
      </c>
      <c r="FL93" s="21">
        <f t="shared" ca="1" si="127"/>
        <v>1.4489425792496827E-2</v>
      </c>
      <c r="FM93" s="21">
        <f t="shared" ca="1" si="127"/>
        <v>1.4973334342180299E-2</v>
      </c>
      <c r="FN93" s="21">
        <f t="shared" ca="1" si="127"/>
        <v>1.4878711289282075E-2</v>
      </c>
      <c r="FO93" s="21">
        <f t="shared" ca="1" si="127"/>
        <v>1.4910073856555411E-2</v>
      </c>
      <c r="FP93" s="21">
        <f t="shared" ca="1" si="127"/>
        <v>1.3633256547801047E-2</v>
      </c>
      <c r="FQ93" s="21">
        <f t="shared" ca="1" si="127"/>
        <v>1.324954926499276E-2</v>
      </c>
      <c r="FR93" s="21">
        <f t="shared" ca="1" si="127"/>
        <v>1.391362815268278E-2</v>
      </c>
      <c r="FS93" s="21">
        <f t="shared" ca="1" si="127"/>
        <v>1.551217855808569E-2</v>
      </c>
      <c r="FT93" s="21">
        <f t="shared" ca="1" si="127"/>
        <v>1.7061181837777103E-2</v>
      </c>
      <c r="FU93" s="21">
        <f t="shared" ca="1" si="127"/>
        <v>1.8334171506481041E-2</v>
      </c>
      <c r="FV93" s="21">
        <f t="shared" ca="1" si="127"/>
        <v>1.8418572760099585E-2</v>
      </c>
      <c r="FW93" s="21">
        <f t="shared" ca="1" si="127"/>
        <v>1.8322928119605338E-2</v>
      </c>
      <c r="FX93" s="21">
        <f t="shared" ca="1" si="127"/>
        <v>1.9627911378048285E-2</v>
      </c>
      <c r="FY93" s="21">
        <f t="shared" ca="1" si="127"/>
        <v>2.0252224654111931E-2</v>
      </c>
      <c r="FZ93" s="21">
        <f t="shared" ca="1" si="127"/>
        <v>2.0075446371410316E-2</v>
      </c>
      <c r="GA93" s="21">
        <f t="shared" ca="1" si="127"/>
        <v>2.0983168874181123E-2</v>
      </c>
      <c r="GB93" s="21">
        <f t="shared" ca="1" si="127"/>
        <v>2.4835432934890218E-2</v>
      </c>
      <c r="GC93" s="21">
        <f t="shared" ca="1" si="127"/>
        <v>2.7605705495383593E-2</v>
      </c>
      <c r="GD93" s="21">
        <f t="shared" ca="1" si="127"/>
        <v>2.7949889329346739E-2</v>
      </c>
      <c r="GE93" s="21">
        <f t="shared" ca="1" si="127"/>
        <v>2.7607906976596382E-2</v>
      </c>
      <c r="GF93" s="21">
        <f t="shared" ca="1" si="127"/>
        <v>2.9824298629701169E-2</v>
      </c>
      <c r="GG93" s="21">
        <f t="shared" ca="1" si="127"/>
        <v>3.2045482097717348E-2</v>
      </c>
      <c r="GH93" s="21">
        <f t="shared" ca="1" si="127"/>
        <v>3.4202932693128858E-2</v>
      </c>
      <c r="GI93" s="21">
        <f t="shared" ca="1" si="127"/>
        <v>3.5564110035638259E-2</v>
      </c>
      <c r="GJ93" s="21">
        <f t="shared" ca="1" si="127"/>
        <v>3.5290141790099275E-2</v>
      </c>
      <c r="GK93" s="21">
        <f t="shared" ca="1" si="127"/>
        <v>3.3833522943705674E-2</v>
      </c>
      <c r="GL93" s="21">
        <f t="shared" ca="1" si="127"/>
        <v>3.3793392139593204E-2</v>
      </c>
      <c r="GM93" s="21">
        <f t="shared" ca="1" si="127"/>
        <v>3.225337624246135E-2</v>
      </c>
      <c r="GN93" s="21">
        <f t="shared" ca="1" si="127"/>
        <v>2.9084308816689185E-2</v>
      </c>
      <c r="GO93" s="21">
        <f t="shared" ca="1" si="127"/>
        <v>2.6773078918024405E-2</v>
      </c>
      <c r="GP93" s="21">
        <f t="shared" ca="1" si="127"/>
        <v>2.6606710807666308E-2</v>
      </c>
      <c r="GQ93" s="21">
        <f t="shared" ca="1" si="127"/>
        <v>2.6259224800234706E-2</v>
      </c>
      <c r="GR93" s="21">
        <f t="shared" ca="1" si="127"/>
        <v>2.3197272623928199E-2</v>
      </c>
      <c r="GS93" s="21">
        <f t="shared" ca="1" si="127"/>
        <v>2.0520325641760456E-2</v>
      </c>
      <c r="GT93" s="21">
        <f t="shared" ca="1" si="127"/>
        <v>1.8398184112185099E-2</v>
      </c>
      <c r="GU93" s="21">
        <f t="shared" ca="1" si="127"/>
        <v>1.6449231947769052E-2</v>
      </c>
      <c r="GV93" s="21">
        <f t="shared" ca="1" si="127"/>
        <v>1.5594396163732366E-2</v>
      </c>
      <c r="GW93" s="21">
        <f t="shared" ca="1" si="127"/>
        <v>1.8125617566237692E-2</v>
      </c>
      <c r="GX93" s="21">
        <f t="shared" ca="1" si="127"/>
        <v>1.6611038686341388E-2</v>
      </c>
      <c r="GY93" s="21">
        <f t="shared" ca="1" si="127"/>
        <v>1.5577428119541027E-2</v>
      </c>
      <c r="GZ93" s="21">
        <f t="shared" ca="1" si="127"/>
        <v>2.2907983386409491E-2</v>
      </c>
      <c r="HA93" s="21" t="str">
        <f t="shared" si="127"/>
        <v/>
      </c>
      <c r="HB93" s="21" t="str">
        <f t="shared" si="127"/>
        <v/>
      </c>
      <c r="HC93" s="21" t="str">
        <f t="shared" si="127"/>
        <v/>
      </c>
      <c r="HD93" s="21" t="str">
        <f t="shared" si="127"/>
        <v/>
      </c>
      <c r="HE93" s="21" t="str">
        <f t="shared" si="127"/>
        <v/>
      </c>
      <c r="HF93" s="21" t="str">
        <f t="shared" si="127"/>
        <v/>
      </c>
      <c r="HG93" s="21" t="str">
        <f t="shared" si="127"/>
        <v/>
      </c>
      <c r="HH93" s="21" t="str">
        <f t="shared" si="127"/>
        <v/>
      </c>
      <c r="HI93" s="21" t="str">
        <f t="shared" si="127"/>
        <v/>
      </c>
      <c r="HJ93" s="21" t="str">
        <f t="shared" si="127"/>
        <v/>
      </c>
      <c r="HK93" s="21" t="str">
        <f t="shared" ref="HK93:JH93" si="128">IF(HK13="","",AVERAGE(GY67:HJ67)+CONFIDENCE(0.05,STDEV(GL67:HJ67),COUNT(GL67:HJ67)))</f>
        <v/>
      </c>
      <c r="HL93" s="21" t="str">
        <f t="shared" si="128"/>
        <v/>
      </c>
      <c r="HM93" s="21" t="str">
        <f t="shared" si="128"/>
        <v/>
      </c>
      <c r="HN93" s="21" t="str">
        <f t="shared" si="128"/>
        <v/>
      </c>
      <c r="HO93" s="21" t="str">
        <f t="shared" si="128"/>
        <v/>
      </c>
      <c r="HP93" s="21" t="str">
        <f t="shared" si="128"/>
        <v/>
      </c>
      <c r="HQ93" s="21" t="str">
        <f t="shared" si="128"/>
        <v/>
      </c>
      <c r="HR93" s="21" t="str">
        <f t="shared" si="128"/>
        <v/>
      </c>
      <c r="HS93" s="21" t="str">
        <f t="shared" si="128"/>
        <v/>
      </c>
      <c r="HT93" s="21" t="str">
        <f t="shared" si="128"/>
        <v/>
      </c>
      <c r="HU93" s="21" t="str">
        <f t="shared" si="128"/>
        <v/>
      </c>
      <c r="HV93" s="21" t="str">
        <f t="shared" si="128"/>
        <v/>
      </c>
      <c r="HW93" s="21" t="str">
        <f t="shared" si="128"/>
        <v/>
      </c>
      <c r="HX93" s="21" t="str">
        <f t="shared" si="128"/>
        <v/>
      </c>
      <c r="HY93" s="21" t="str">
        <f t="shared" si="128"/>
        <v/>
      </c>
      <c r="HZ93" s="21" t="str">
        <f t="shared" si="128"/>
        <v/>
      </c>
      <c r="IA93" s="21" t="str">
        <f t="shared" si="128"/>
        <v/>
      </c>
      <c r="IB93" s="21" t="str">
        <f t="shared" si="128"/>
        <v/>
      </c>
      <c r="IC93" s="21" t="str">
        <f t="shared" si="128"/>
        <v/>
      </c>
      <c r="ID93" s="21" t="str">
        <f t="shared" si="128"/>
        <v/>
      </c>
      <c r="IE93" s="21" t="str">
        <f t="shared" si="128"/>
        <v/>
      </c>
      <c r="IF93" s="21" t="str">
        <f t="shared" si="128"/>
        <v/>
      </c>
      <c r="IG93" s="21" t="str">
        <f t="shared" si="128"/>
        <v/>
      </c>
      <c r="IH93" s="21" t="str">
        <f t="shared" si="128"/>
        <v/>
      </c>
      <c r="II93" s="21" t="str">
        <f t="shared" si="128"/>
        <v/>
      </c>
      <c r="IJ93" s="21" t="str">
        <f t="shared" si="128"/>
        <v/>
      </c>
      <c r="IK93" s="21" t="str">
        <f t="shared" si="128"/>
        <v/>
      </c>
      <c r="IL93" s="21" t="str">
        <f t="shared" si="128"/>
        <v/>
      </c>
      <c r="IM93" s="21" t="str">
        <f t="shared" si="128"/>
        <v/>
      </c>
      <c r="IN93" s="21" t="str">
        <f t="shared" si="128"/>
        <v/>
      </c>
      <c r="IO93" s="21" t="str">
        <f t="shared" si="128"/>
        <v/>
      </c>
      <c r="IP93" s="21" t="str">
        <f t="shared" si="128"/>
        <v/>
      </c>
      <c r="IQ93" s="21" t="str">
        <f t="shared" si="128"/>
        <v/>
      </c>
      <c r="IR93" s="21" t="str">
        <f t="shared" si="128"/>
        <v/>
      </c>
      <c r="IS93" s="21" t="str">
        <f t="shared" si="128"/>
        <v/>
      </c>
      <c r="IT93" s="21" t="str">
        <f t="shared" si="128"/>
        <v/>
      </c>
      <c r="IU93" s="21" t="str">
        <f t="shared" si="128"/>
        <v/>
      </c>
      <c r="IV93" s="21" t="str">
        <f t="shared" si="128"/>
        <v/>
      </c>
      <c r="IW93" s="21" t="str">
        <f t="shared" si="128"/>
        <v/>
      </c>
      <c r="IX93" s="21" t="str">
        <f t="shared" si="128"/>
        <v/>
      </c>
      <c r="IY93" s="21" t="str">
        <f t="shared" si="128"/>
        <v/>
      </c>
      <c r="IZ93" s="21" t="str">
        <f t="shared" si="128"/>
        <v/>
      </c>
      <c r="JA93" s="21" t="str">
        <f t="shared" si="128"/>
        <v/>
      </c>
      <c r="JB93" s="21" t="str">
        <f t="shared" si="128"/>
        <v/>
      </c>
      <c r="JC93" s="21" t="str">
        <f t="shared" si="128"/>
        <v/>
      </c>
      <c r="JD93" s="21" t="str">
        <f t="shared" si="128"/>
        <v/>
      </c>
      <c r="JE93" s="21" t="str">
        <f t="shared" si="128"/>
        <v/>
      </c>
      <c r="JF93" s="21" t="str">
        <f t="shared" si="128"/>
        <v/>
      </c>
      <c r="JG93" s="21" t="str">
        <f t="shared" si="128"/>
        <v/>
      </c>
      <c r="JH93" s="21" t="str">
        <f t="shared" si="128"/>
        <v/>
      </c>
    </row>
    <row r="94" spans="1:336" x14ac:dyDescent="0.25"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>
        <f t="shared" ref="AA94:CL94" ca="1" si="129">IF(AA14="","",AVERAGE(N68:Z68)+CONFIDENCE(0.05,STDEV(B68:Z68),COUNT(B68:Z68)))</f>
        <v>2.7263151687291043E-2</v>
      </c>
      <c r="AB94" s="21">
        <f t="shared" ca="1" si="129"/>
        <v>2.6411491868323041E-2</v>
      </c>
      <c r="AC94" s="21">
        <f t="shared" ca="1" si="129"/>
        <v>2.5282905999467066E-2</v>
      </c>
      <c r="AD94" s="21">
        <f t="shared" ca="1" si="129"/>
        <v>2.4128410992981672E-2</v>
      </c>
      <c r="AE94" s="21">
        <f t="shared" ca="1" si="129"/>
        <v>2.2320193813845569E-2</v>
      </c>
      <c r="AF94" s="21">
        <f t="shared" ca="1" si="129"/>
        <v>2.1053528541134296E-2</v>
      </c>
      <c r="AG94" s="21">
        <f t="shared" ca="1" si="129"/>
        <v>2.0002515767984671E-2</v>
      </c>
      <c r="AH94" s="21">
        <f t="shared" ca="1" si="129"/>
        <v>2.0007664020420663E-2</v>
      </c>
      <c r="AI94" s="21">
        <f t="shared" ca="1" si="129"/>
        <v>1.8687954184445257E-2</v>
      </c>
      <c r="AJ94" s="21">
        <f t="shared" ca="1" si="129"/>
        <v>1.731863296206012E-2</v>
      </c>
      <c r="AK94" s="21">
        <f t="shared" ca="1" si="129"/>
        <v>1.6778839462909565E-2</v>
      </c>
      <c r="AL94" s="21">
        <f t="shared" ca="1" si="129"/>
        <v>1.5972976546890377E-2</v>
      </c>
      <c r="AM94" s="21">
        <f t="shared" ca="1" si="129"/>
        <v>1.4604020041920806E-2</v>
      </c>
      <c r="AN94" s="21">
        <f t="shared" ca="1" si="129"/>
        <v>1.2978630627109902E-2</v>
      </c>
      <c r="AO94" s="21">
        <f t="shared" ca="1" si="129"/>
        <v>1.2043189957898513E-2</v>
      </c>
      <c r="AP94" s="21">
        <f t="shared" ca="1" si="129"/>
        <v>1.2097578715511396E-2</v>
      </c>
      <c r="AQ94" s="21">
        <f t="shared" ca="1" si="129"/>
        <v>1.2114102759400582E-2</v>
      </c>
      <c r="AR94" s="21">
        <f t="shared" ca="1" si="129"/>
        <v>1.3826380672566939E-2</v>
      </c>
      <c r="AS94" s="21">
        <f t="shared" ca="1" si="129"/>
        <v>1.6257775631428228E-2</v>
      </c>
      <c r="AT94" s="21">
        <f t="shared" ca="1" si="129"/>
        <v>1.9746679422558241E-2</v>
      </c>
      <c r="AU94" s="21">
        <f t="shared" ca="1" si="129"/>
        <v>2.3754352604438523E-2</v>
      </c>
      <c r="AV94" s="21">
        <f t="shared" ca="1" si="129"/>
        <v>2.8049253918369491E-2</v>
      </c>
      <c r="AW94" s="21">
        <f t="shared" ca="1" si="129"/>
        <v>3.2874152194684772E-2</v>
      </c>
      <c r="AX94" s="21">
        <f t="shared" ca="1" si="129"/>
        <v>4.0755900900301033E-2</v>
      </c>
      <c r="AY94" s="21">
        <f t="shared" ca="1" si="129"/>
        <v>5.024768701091361E-2</v>
      </c>
      <c r="AZ94" s="21">
        <f t="shared" ca="1" si="129"/>
        <v>6.0391683220425901E-2</v>
      </c>
      <c r="BA94" s="21">
        <f t="shared" ca="1" si="129"/>
        <v>7.0894775248338121E-2</v>
      </c>
      <c r="BB94" s="21">
        <f t="shared" ca="1" si="129"/>
        <v>8.1166751914753171E-2</v>
      </c>
      <c r="BC94" s="21">
        <f t="shared" ca="1" si="129"/>
        <v>9.071256403385565E-2</v>
      </c>
      <c r="BD94" s="21">
        <f t="shared" ca="1" si="129"/>
        <v>9.8258952303810529E-2</v>
      </c>
      <c r="BE94" s="21">
        <f t="shared" ca="1" si="129"/>
        <v>0.10385742519899026</v>
      </c>
      <c r="BF94" s="21">
        <f t="shared" ca="1" si="129"/>
        <v>0.10617378327034191</v>
      </c>
      <c r="BG94" s="21">
        <f t="shared" ca="1" si="129"/>
        <v>0.10553221175556206</v>
      </c>
      <c r="BH94" s="21">
        <f t="shared" ca="1" si="129"/>
        <v>0.10339670847045045</v>
      </c>
      <c r="BI94" s="21">
        <f t="shared" ca="1" si="129"/>
        <v>0.10230667620649438</v>
      </c>
      <c r="BJ94" s="21">
        <f t="shared" ca="1" si="129"/>
        <v>9.8652860753820112E-2</v>
      </c>
      <c r="BK94" s="21">
        <f t="shared" ca="1" si="129"/>
        <v>9.4306918944175422E-2</v>
      </c>
      <c r="BL94" s="21">
        <f t="shared" ca="1" si="129"/>
        <v>8.9469726188837542E-2</v>
      </c>
      <c r="BM94" s="21">
        <f t="shared" ca="1" si="129"/>
        <v>8.6556430346033955E-2</v>
      </c>
      <c r="BN94" s="21">
        <f t="shared" ca="1" si="129"/>
        <v>8.512554790678592E-2</v>
      </c>
      <c r="BO94" s="21">
        <f t="shared" ca="1" si="129"/>
        <v>8.1656497430155489E-2</v>
      </c>
      <c r="BP94" s="21">
        <f t="shared" ca="1" si="129"/>
        <v>7.6821062986469277E-2</v>
      </c>
      <c r="BQ94" s="21">
        <f t="shared" ca="1" si="129"/>
        <v>7.0497098836551364E-2</v>
      </c>
      <c r="BR94" s="21">
        <f t="shared" ca="1" si="129"/>
        <v>6.4758648939961541E-2</v>
      </c>
      <c r="BS94" s="21">
        <f t="shared" ca="1" si="129"/>
        <v>6.0577015034409362E-2</v>
      </c>
      <c r="BT94" s="21">
        <f t="shared" ca="1" si="129"/>
        <v>6.1341484564965763E-2</v>
      </c>
      <c r="BU94" s="21">
        <f t="shared" ca="1" si="129"/>
        <v>6.1459932317419044E-2</v>
      </c>
      <c r="BV94" s="21">
        <f t="shared" ca="1" si="129"/>
        <v>5.9267403928452894E-2</v>
      </c>
      <c r="BW94" s="21">
        <f t="shared" ca="1" si="129"/>
        <v>6.0255812409667597E-2</v>
      </c>
      <c r="BX94" s="21">
        <f t="shared" ca="1" si="129"/>
        <v>5.8398621479120047E-2</v>
      </c>
      <c r="BY94" s="21">
        <f t="shared" ca="1" si="129"/>
        <v>5.5584000513227427E-2</v>
      </c>
      <c r="BZ94" s="21">
        <f t="shared" ca="1" si="129"/>
        <v>4.9634262256620369E-2</v>
      </c>
      <c r="CA94" s="21">
        <f t="shared" ca="1" si="129"/>
        <v>4.1126448323829987E-2</v>
      </c>
      <c r="CB94" s="21">
        <f t="shared" ca="1" si="129"/>
        <v>3.376511778760273E-2</v>
      </c>
      <c r="CC94" s="21">
        <f t="shared" ca="1" si="129"/>
        <v>2.7584342517189376E-2</v>
      </c>
      <c r="CD94" s="21">
        <f t="shared" ca="1" si="129"/>
        <v>2.5030630587673942E-2</v>
      </c>
      <c r="CE94" s="21">
        <f t="shared" ca="1" si="129"/>
        <v>2.3697955390504604E-2</v>
      </c>
      <c r="CF94" s="21">
        <f t="shared" ca="1" si="129"/>
        <v>2.5091182364672657E-2</v>
      </c>
      <c r="CG94" s="21">
        <f t="shared" ca="1" si="129"/>
        <v>2.5688769798656207E-2</v>
      </c>
      <c r="CH94" s="21">
        <f t="shared" ca="1" si="129"/>
        <v>2.6640546559905762E-2</v>
      </c>
      <c r="CI94" s="21">
        <f t="shared" ca="1" si="129"/>
        <v>2.8537330232227098E-2</v>
      </c>
      <c r="CJ94" s="21">
        <f t="shared" ca="1" si="129"/>
        <v>3.0300728852027968E-2</v>
      </c>
      <c r="CK94" s="21">
        <f t="shared" ca="1" si="129"/>
        <v>3.1807664243677224E-2</v>
      </c>
      <c r="CL94" s="21">
        <f t="shared" ca="1" si="129"/>
        <v>3.2748030964891532E-2</v>
      </c>
      <c r="CM94" s="21">
        <f t="shared" ref="CM94:EX94" ca="1" si="130">IF(CM14="","",AVERAGE(BZ68:CL68)+CONFIDENCE(0.05,STDEV(BN68:CL68),COUNT(BN68:CL68)))</f>
        <v>3.4371196805922127E-2</v>
      </c>
      <c r="CN94" s="21">
        <f t="shared" ca="1" si="130"/>
        <v>3.7153610910587873E-2</v>
      </c>
      <c r="CO94" s="21">
        <f t="shared" ca="1" si="130"/>
        <v>3.9199072984213573E-2</v>
      </c>
      <c r="CP94" s="21">
        <f t="shared" ca="1" si="130"/>
        <v>4.224148455440651E-2</v>
      </c>
      <c r="CQ94" s="21">
        <f t="shared" ca="1" si="130"/>
        <v>4.5233824961538743E-2</v>
      </c>
      <c r="CR94" s="21">
        <f t="shared" ca="1" si="130"/>
        <v>4.8194843051384294E-2</v>
      </c>
      <c r="CS94" s="21">
        <f t="shared" ca="1" si="130"/>
        <v>4.8941362364040633E-2</v>
      </c>
      <c r="CT94" s="21">
        <f t="shared" ca="1" si="130"/>
        <v>4.8370324064234721E-2</v>
      </c>
      <c r="CU94" s="21">
        <f t="shared" ca="1" si="130"/>
        <v>5.153950433874905E-2</v>
      </c>
      <c r="CV94" s="21">
        <f t="shared" ca="1" si="130"/>
        <v>5.3225908064702246E-2</v>
      </c>
      <c r="CW94" s="21">
        <f t="shared" ca="1" si="130"/>
        <v>5.2353915544910354E-2</v>
      </c>
      <c r="CX94" s="21">
        <f t="shared" ca="1" si="130"/>
        <v>5.1669344448362103E-2</v>
      </c>
      <c r="CY94" s="21">
        <f t="shared" ca="1" si="130"/>
        <v>4.9487505492014063E-2</v>
      </c>
      <c r="CZ94" s="21">
        <f t="shared" ca="1" si="130"/>
        <v>4.5494096768599855E-2</v>
      </c>
      <c r="DA94" s="21">
        <f t="shared" ca="1" si="130"/>
        <v>4.2269955607644585E-2</v>
      </c>
      <c r="DB94" s="21">
        <f t="shared" ca="1" si="130"/>
        <v>3.9605452041856767E-2</v>
      </c>
      <c r="DC94" s="21">
        <f t="shared" ca="1" si="130"/>
        <v>3.8772707395266927E-2</v>
      </c>
      <c r="DD94" s="21">
        <f t="shared" ca="1" si="130"/>
        <v>3.6247662892478022E-2</v>
      </c>
      <c r="DE94" s="21">
        <f t="shared" ca="1" si="130"/>
        <v>3.5399525669784042E-2</v>
      </c>
      <c r="DF94" s="21">
        <f t="shared" ca="1" si="130"/>
        <v>3.8400419482662367E-2</v>
      </c>
      <c r="DG94" s="21">
        <f t="shared" ca="1" si="130"/>
        <v>4.3714012632165331E-2</v>
      </c>
      <c r="DH94" s="21">
        <f t="shared" ca="1" si="130"/>
        <v>4.6664475639878474E-2</v>
      </c>
      <c r="DI94" s="21">
        <f t="shared" ca="1" si="130"/>
        <v>4.9584459058628412E-2</v>
      </c>
      <c r="DJ94" s="21">
        <f t="shared" ca="1" si="130"/>
        <v>5.2652701061189633E-2</v>
      </c>
      <c r="DK94" s="21">
        <f t="shared" ca="1" si="130"/>
        <v>5.6173996889517963E-2</v>
      </c>
      <c r="DL94" s="21">
        <f t="shared" ca="1" si="130"/>
        <v>6.0701689795784504E-2</v>
      </c>
      <c r="DM94" s="21">
        <f t="shared" ca="1" si="130"/>
        <v>6.509984518701506E-2</v>
      </c>
      <c r="DN94" s="21">
        <f t="shared" ca="1" si="130"/>
        <v>6.8722440279980465E-2</v>
      </c>
      <c r="DO94" s="21">
        <f t="shared" ca="1" si="130"/>
        <v>7.1366248912991412E-2</v>
      </c>
      <c r="DP94" s="21">
        <f t="shared" ca="1" si="130"/>
        <v>7.3432282699876311E-2</v>
      </c>
      <c r="DQ94" s="21">
        <f t="shared" ca="1" si="130"/>
        <v>7.4354154237812886E-2</v>
      </c>
      <c r="DR94" s="21">
        <f t="shared" ca="1" si="130"/>
        <v>7.4695915816773248E-2</v>
      </c>
      <c r="DS94" s="21">
        <f t="shared" ca="1" si="130"/>
        <v>7.0826558976068613E-2</v>
      </c>
      <c r="DT94" s="21">
        <f t="shared" ca="1" si="130"/>
        <v>6.3928723627940817E-2</v>
      </c>
      <c r="DU94" s="21">
        <f t="shared" ca="1" si="130"/>
        <v>5.7831979524287543E-2</v>
      </c>
      <c r="DV94" s="21">
        <f t="shared" ca="1" si="130"/>
        <v>5.3238922284544681E-2</v>
      </c>
      <c r="DW94" s="21">
        <f t="shared" ca="1" si="130"/>
        <v>4.9761477684500219E-2</v>
      </c>
      <c r="DX94" s="21">
        <f t="shared" ca="1" si="130"/>
        <v>4.661990587544311E-2</v>
      </c>
      <c r="DY94" s="21">
        <f t="shared" ca="1" si="130"/>
        <v>4.3045716347972732E-2</v>
      </c>
      <c r="DZ94" s="21">
        <f t="shared" ca="1" si="130"/>
        <v>4.0202014421864538E-2</v>
      </c>
      <c r="EA94" s="21">
        <f t="shared" ca="1" si="130"/>
        <v>3.7375693601668709E-2</v>
      </c>
      <c r="EB94" s="21">
        <f t="shared" ca="1" si="130"/>
        <v>3.5212428787759806E-2</v>
      </c>
      <c r="EC94" s="21">
        <f t="shared" ca="1" si="130"/>
        <v>3.2902320041771488E-2</v>
      </c>
      <c r="ED94" s="21">
        <f t="shared" ca="1" si="130"/>
        <v>3.2968822495935302E-2</v>
      </c>
      <c r="EE94" s="21">
        <f t="shared" ca="1" si="130"/>
        <v>3.0951119925959301E-2</v>
      </c>
      <c r="EF94" s="21">
        <f t="shared" ca="1" si="130"/>
        <v>3.0544115282903989E-2</v>
      </c>
      <c r="EG94" s="21">
        <f t="shared" ca="1" si="130"/>
        <v>3.0520935396906524E-2</v>
      </c>
      <c r="EH94" s="21">
        <f t="shared" ca="1" si="130"/>
        <v>2.9296559670612687E-2</v>
      </c>
      <c r="EI94" s="21">
        <f t="shared" ca="1" si="130"/>
        <v>2.8269325400114911E-2</v>
      </c>
      <c r="EJ94" s="21">
        <f t="shared" ca="1" si="130"/>
        <v>2.7467145867206787E-2</v>
      </c>
      <c r="EK94" s="21">
        <f t="shared" ca="1" si="130"/>
        <v>2.5583902504354411E-2</v>
      </c>
      <c r="EL94" s="21">
        <f t="shared" ca="1" si="130"/>
        <v>2.3728611121144761E-2</v>
      </c>
      <c r="EM94" s="21">
        <f t="shared" ca="1" si="130"/>
        <v>2.3021335795919164E-2</v>
      </c>
      <c r="EN94" s="21">
        <f t="shared" ca="1" si="130"/>
        <v>2.2091603415768775E-2</v>
      </c>
      <c r="EO94" s="21">
        <f t="shared" ca="1" si="130"/>
        <v>2.3626756869776999E-2</v>
      </c>
      <c r="EP94" s="21">
        <f t="shared" ca="1" si="130"/>
        <v>2.2268408491002898E-2</v>
      </c>
      <c r="EQ94" s="21">
        <f t="shared" ca="1" si="130"/>
        <v>2.0532040880141818E-2</v>
      </c>
      <c r="ER94" s="21">
        <f t="shared" ca="1" si="130"/>
        <v>2.0100711392024795E-2</v>
      </c>
      <c r="ES94" s="21">
        <f t="shared" ca="1" si="130"/>
        <v>1.8899938732832817E-2</v>
      </c>
      <c r="ET94" s="21">
        <f t="shared" ca="1" si="130"/>
        <v>1.8899683417574871E-2</v>
      </c>
      <c r="EU94" s="21">
        <f t="shared" ca="1" si="130"/>
        <v>1.951807756080905E-2</v>
      </c>
      <c r="EV94" s="21">
        <f t="shared" ca="1" si="130"/>
        <v>1.8979969286388305E-2</v>
      </c>
      <c r="EW94" s="21">
        <f t="shared" ca="1" si="130"/>
        <v>1.8546881342053581E-2</v>
      </c>
      <c r="EX94" s="21">
        <f t="shared" ca="1" si="130"/>
        <v>1.9219258498495744E-2</v>
      </c>
      <c r="EY94" s="21">
        <f t="shared" ref="EY94:HJ94" ca="1" si="131">IF(EY14="","",AVERAGE(EL68:EX68)+CONFIDENCE(0.05,STDEV(DZ68:EX68),COUNT(DZ68:EX68)))</f>
        <v>1.9928197014414919E-2</v>
      </c>
      <c r="EZ94" s="21">
        <f t="shared" ca="1" si="131"/>
        <v>1.854653286979439E-2</v>
      </c>
      <c r="FA94" s="21">
        <f t="shared" ca="1" si="131"/>
        <v>1.7608883266278998E-2</v>
      </c>
      <c r="FB94" s="21">
        <f t="shared" ca="1" si="131"/>
        <v>1.6412843051030388E-2</v>
      </c>
      <c r="FC94" s="21">
        <f t="shared" ca="1" si="131"/>
        <v>1.7440820855411099E-2</v>
      </c>
      <c r="FD94" s="21">
        <f t="shared" ca="1" si="131"/>
        <v>1.8296436811952511E-2</v>
      </c>
      <c r="FE94" s="21">
        <f t="shared" ca="1" si="131"/>
        <v>1.8367373796883333E-2</v>
      </c>
      <c r="FF94" s="21">
        <f t="shared" ca="1" si="131"/>
        <v>1.8218218091588696E-2</v>
      </c>
      <c r="FG94" s="21">
        <f t="shared" ca="1" si="131"/>
        <v>1.7833202801747165E-2</v>
      </c>
      <c r="FH94" s="21">
        <f t="shared" ca="1" si="131"/>
        <v>1.8553435675827405E-2</v>
      </c>
      <c r="FI94" s="21">
        <f t="shared" ca="1" si="131"/>
        <v>1.8308046789120524E-2</v>
      </c>
      <c r="FJ94" s="21">
        <f t="shared" ca="1" si="131"/>
        <v>1.7420671567875735E-2</v>
      </c>
      <c r="FK94" s="21">
        <f t="shared" ca="1" si="131"/>
        <v>1.5882330633323762E-2</v>
      </c>
      <c r="FL94" s="21">
        <f t="shared" ca="1" si="131"/>
        <v>1.5469030451802306E-2</v>
      </c>
      <c r="FM94" s="21">
        <f t="shared" ca="1" si="131"/>
        <v>1.5858273189796653E-2</v>
      </c>
      <c r="FN94" s="21">
        <f t="shared" ca="1" si="131"/>
        <v>1.6512658026684678E-2</v>
      </c>
      <c r="FO94" s="21">
        <f t="shared" ca="1" si="131"/>
        <v>1.5396412732447401E-2</v>
      </c>
      <c r="FP94" s="21">
        <f t="shared" ca="1" si="131"/>
        <v>1.341627979470675E-2</v>
      </c>
      <c r="FQ94" s="21">
        <f t="shared" ca="1" si="131"/>
        <v>1.2945119856475777E-2</v>
      </c>
      <c r="FR94" s="21">
        <f t="shared" ca="1" si="131"/>
        <v>1.3496395044124671E-2</v>
      </c>
      <c r="FS94" s="21">
        <f t="shared" ca="1" si="131"/>
        <v>1.4967270935135323E-2</v>
      </c>
      <c r="FT94" s="21">
        <f t="shared" ca="1" si="131"/>
        <v>1.6394264599874916E-2</v>
      </c>
      <c r="FU94" s="21">
        <f t="shared" ca="1" si="131"/>
        <v>1.6584002006468042E-2</v>
      </c>
      <c r="FV94" s="21">
        <f t="shared" ca="1" si="131"/>
        <v>1.671802258963739E-2</v>
      </c>
      <c r="FW94" s="21">
        <f t="shared" ca="1" si="131"/>
        <v>1.6484707412614711E-2</v>
      </c>
      <c r="FX94" s="21">
        <f t="shared" ca="1" si="131"/>
        <v>1.7106593005462946E-2</v>
      </c>
      <c r="FY94" s="21">
        <f t="shared" ca="1" si="131"/>
        <v>1.7860073676887647E-2</v>
      </c>
      <c r="FZ94" s="21">
        <f t="shared" ca="1" si="131"/>
        <v>1.7858133741831917E-2</v>
      </c>
      <c r="GA94" s="21">
        <f t="shared" ca="1" si="131"/>
        <v>1.8988434555144332E-2</v>
      </c>
      <c r="GB94" s="21">
        <f t="shared" ca="1" si="131"/>
        <v>2.2517111448081901E-2</v>
      </c>
      <c r="GC94" s="21">
        <f t="shared" ca="1" si="131"/>
        <v>2.5537049961731069E-2</v>
      </c>
      <c r="GD94" s="21">
        <f t="shared" ca="1" si="131"/>
        <v>2.8439131168393014E-2</v>
      </c>
      <c r="GE94" s="21">
        <f t="shared" ca="1" si="131"/>
        <v>3.2673235785134452E-2</v>
      </c>
      <c r="GF94" s="21">
        <f t="shared" ca="1" si="131"/>
        <v>3.4100281916748992E-2</v>
      </c>
      <c r="GG94" s="21">
        <f t="shared" ca="1" si="131"/>
        <v>3.4356364868551481E-2</v>
      </c>
      <c r="GH94" s="21">
        <f t="shared" ca="1" si="131"/>
        <v>3.4859126526966613E-2</v>
      </c>
      <c r="GI94" s="21">
        <f t="shared" ca="1" si="131"/>
        <v>3.5589323331878246E-2</v>
      </c>
      <c r="GJ94" s="21">
        <f t="shared" ca="1" si="131"/>
        <v>3.5150963373372465E-2</v>
      </c>
      <c r="GK94" s="21">
        <f t="shared" ca="1" si="131"/>
        <v>3.4455336943510759E-2</v>
      </c>
      <c r="GL94" s="21">
        <f t="shared" ca="1" si="131"/>
        <v>3.3592277939700481E-2</v>
      </c>
      <c r="GM94" s="21">
        <f t="shared" ca="1" si="131"/>
        <v>3.3675377630876149E-2</v>
      </c>
      <c r="GN94" s="21">
        <f t="shared" ca="1" si="131"/>
        <v>3.1787784994645019E-2</v>
      </c>
      <c r="GO94" s="21">
        <f t="shared" ca="1" si="131"/>
        <v>2.9989444290412507E-2</v>
      </c>
      <c r="GP94" s="21">
        <f t="shared" ca="1" si="131"/>
        <v>2.9112591849441791E-2</v>
      </c>
      <c r="GQ94" s="21">
        <f t="shared" ca="1" si="131"/>
        <v>2.7443758665418851E-2</v>
      </c>
      <c r="GR94" s="21">
        <f t="shared" ca="1" si="131"/>
        <v>2.3288811828560886E-2</v>
      </c>
      <c r="GS94" s="21">
        <f t="shared" ca="1" si="131"/>
        <v>2.0249563693293938E-2</v>
      </c>
      <c r="GT94" s="21">
        <f t="shared" ca="1" si="131"/>
        <v>1.7918545676309433E-2</v>
      </c>
      <c r="GU94" s="21">
        <f t="shared" ca="1" si="131"/>
        <v>1.5092298675148271E-2</v>
      </c>
      <c r="GV94" s="21">
        <f t="shared" ca="1" si="131"/>
        <v>1.4075398187824318E-2</v>
      </c>
      <c r="GW94" s="21">
        <f t="shared" ca="1" si="131"/>
        <v>1.5718275484879057E-2</v>
      </c>
      <c r="GX94" s="21">
        <f t="shared" ca="1" si="131"/>
        <v>1.8245342730051579E-2</v>
      </c>
      <c r="GY94" s="21">
        <f t="shared" ca="1" si="131"/>
        <v>1.8947864657237207E-2</v>
      </c>
      <c r="GZ94" s="21">
        <f t="shared" ca="1" si="131"/>
        <v>1.8478584135737421E-2</v>
      </c>
      <c r="HA94" s="21" t="str">
        <f t="shared" si="131"/>
        <v/>
      </c>
      <c r="HB94" s="21" t="str">
        <f t="shared" si="131"/>
        <v/>
      </c>
      <c r="HC94" s="21" t="str">
        <f t="shared" si="131"/>
        <v/>
      </c>
      <c r="HD94" s="21" t="str">
        <f t="shared" si="131"/>
        <v/>
      </c>
      <c r="HE94" s="21" t="str">
        <f t="shared" si="131"/>
        <v/>
      </c>
      <c r="HF94" s="21" t="str">
        <f t="shared" si="131"/>
        <v/>
      </c>
      <c r="HG94" s="21" t="str">
        <f t="shared" si="131"/>
        <v/>
      </c>
      <c r="HH94" s="21" t="str">
        <f t="shared" si="131"/>
        <v/>
      </c>
      <c r="HI94" s="21" t="str">
        <f t="shared" si="131"/>
        <v/>
      </c>
      <c r="HJ94" s="21" t="str">
        <f t="shared" si="131"/>
        <v/>
      </c>
      <c r="HK94" s="21" t="str">
        <f t="shared" ref="HK94:JH94" si="132">IF(HK14="","",AVERAGE(GX68:HJ68)+CONFIDENCE(0.05,STDEV(GL68:HJ68),COUNT(GL68:HJ68)))</f>
        <v/>
      </c>
      <c r="HL94" s="21" t="str">
        <f t="shared" si="132"/>
        <v/>
      </c>
      <c r="HM94" s="21" t="str">
        <f t="shared" si="132"/>
        <v/>
      </c>
      <c r="HN94" s="21" t="str">
        <f t="shared" si="132"/>
        <v/>
      </c>
      <c r="HO94" s="21" t="str">
        <f t="shared" si="132"/>
        <v/>
      </c>
      <c r="HP94" s="21" t="str">
        <f t="shared" si="132"/>
        <v/>
      </c>
      <c r="HQ94" s="21" t="str">
        <f t="shared" si="132"/>
        <v/>
      </c>
      <c r="HR94" s="21" t="str">
        <f t="shared" si="132"/>
        <v/>
      </c>
      <c r="HS94" s="21" t="str">
        <f t="shared" si="132"/>
        <v/>
      </c>
      <c r="HT94" s="21" t="str">
        <f t="shared" si="132"/>
        <v/>
      </c>
      <c r="HU94" s="21" t="str">
        <f t="shared" si="132"/>
        <v/>
      </c>
      <c r="HV94" s="21" t="str">
        <f t="shared" si="132"/>
        <v/>
      </c>
      <c r="HW94" s="21" t="str">
        <f t="shared" si="132"/>
        <v/>
      </c>
      <c r="HX94" s="21" t="str">
        <f t="shared" si="132"/>
        <v/>
      </c>
      <c r="HY94" s="21" t="str">
        <f t="shared" si="132"/>
        <v/>
      </c>
      <c r="HZ94" s="21" t="str">
        <f t="shared" si="132"/>
        <v/>
      </c>
      <c r="IA94" s="21" t="str">
        <f t="shared" si="132"/>
        <v/>
      </c>
      <c r="IB94" s="21" t="str">
        <f t="shared" si="132"/>
        <v/>
      </c>
      <c r="IC94" s="21" t="str">
        <f t="shared" si="132"/>
        <v/>
      </c>
      <c r="ID94" s="21" t="str">
        <f t="shared" si="132"/>
        <v/>
      </c>
      <c r="IE94" s="21" t="str">
        <f t="shared" si="132"/>
        <v/>
      </c>
      <c r="IF94" s="21" t="str">
        <f t="shared" si="132"/>
        <v/>
      </c>
      <c r="IG94" s="21" t="str">
        <f t="shared" si="132"/>
        <v/>
      </c>
      <c r="IH94" s="21" t="str">
        <f t="shared" si="132"/>
        <v/>
      </c>
      <c r="II94" s="21" t="str">
        <f t="shared" si="132"/>
        <v/>
      </c>
      <c r="IJ94" s="21" t="str">
        <f t="shared" si="132"/>
        <v/>
      </c>
      <c r="IK94" s="21" t="str">
        <f t="shared" si="132"/>
        <v/>
      </c>
      <c r="IL94" s="21" t="str">
        <f t="shared" si="132"/>
        <v/>
      </c>
      <c r="IM94" s="21" t="str">
        <f t="shared" si="132"/>
        <v/>
      </c>
      <c r="IN94" s="21" t="str">
        <f t="shared" si="132"/>
        <v/>
      </c>
      <c r="IO94" s="21" t="str">
        <f t="shared" si="132"/>
        <v/>
      </c>
      <c r="IP94" s="21" t="str">
        <f t="shared" si="132"/>
        <v/>
      </c>
      <c r="IQ94" s="21" t="str">
        <f t="shared" si="132"/>
        <v/>
      </c>
      <c r="IR94" s="21" t="str">
        <f t="shared" si="132"/>
        <v/>
      </c>
      <c r="IS94" s="21" t="str">
        <f t="shared" si="132"/>
        <v/>
      </c>
      <c r="IT94" s="21" t="str">
        <f t="shared" si="132"/>
        <v/>
      </c>
      <c r="IU94" s="21" t="str">
        <f t="shared" si="132"/>
        <v/>
      </c>
      <c r="IV94" s="21" t="str">
        <f t="shared" si="132"/>
        <v/>
      </c>
      <c r="IW94" s="21" t="str">
        <f t="shared" si="132"/>
        <v/>
      </c>
      <c r="IX94" s="21" t="str">
        <f t="shared" si="132"/>
        <v/>
      </c>
      <c r="IY94" s="21" t="str">
        <f t="shared" si="132"/>
        <v/>
      </c>
      <c r="IZ94" s="21" t="str">
        <f t="shared" si="132"/>
        <v/>
      </c>
      <c r="JA94" s="21" t="str">
        <f t="shared" si="132"/>
        <v/>
      </c>
      <c r="JB94" s="21" t="str">
        <f t="shared" si="132"/>
        <v/>
      </c>
      <c r="JC94" s="21" t="str">
        <f t="shared" si="132"/>
        <v/>
      </c>
      <c r="JD94" s="21" t="str">
        <f t="shared" si="132"/>
        <v/>
      </c>
      <c r="JE94" s="21" t="str">
        <f t="shared" si="132"/>
        <v/>
      </c>
      <c r="JF94" s="21" t="str">
        <f t="shared" si="132"/>
        <v/>
      </c>
      <c r="JG94" s="21" t="str">
        <f t="shared" si="132"/>
        <v/>
      </c>
      <c r="JH94" s="21" t="str">
        <f t="shared" si="132"/>
        <v/>
      </c>
    </row>
  </sheetData>
  <conditionalFormatting sqref="B30:JH41">
    <cfRule type="expression" dxfId="3" priority="9">
      <formula>B30&gt;$JN30</formula>
    </cfRule>
    <cfRule type="expression" dxfId="2" priority="10">
      <formula>B30&lt;-$JN30</formula>
    </cfRule>
  </conditionalFormatting>
  <conditionalFormatting sqref="B30:JH41 B57:JH68">
    <cfRule type="cellIs" dxfId="1" priority="8" operator="equal">
      <formula>""</formula>
    </cfRule>
  </conditionalFormatting>
  <conditionalFormatting sqref="B57:JH68">
    <cfRule type="expression" dxfId="0" priority="11">
      <formula>B57&gt;$CB57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445"/>
  <sheetViews>
    <sheetView topLeftCell="A27" workbookViewId="0">
      <selection activeCell="D64" sqref="D64"/>
    </sheetView>
  </sheetViews>
  <sheetFormatPr baseColWidth="10" defaultRowHeight="15" x14ac:dyDescent="0.25"/>
  <cols>
    <col min="1" max="1" width="10.7109375" style="2" bestFit="1" customWidth="1"/>
    <col min="2" max="2" width="12" bestFit="1" customWidth="1"/>
  </cols>
  <sheetData>
    <row r="1" spans="1:2" x14ac:dyDescent="0.25">
      <c r="A1" s="2" t="s">
        <v>0</v>
      </c>
      <c r="B1" t="s">
        <v>7</v>
      </c>
    </row>
    <row r="2" spans="1:2" x14ac:dyDescent="0.25">
      <c r="A2" s="2">
        <v>35095</v>
      </c>
      <c r="B2" s="1"/>
    </row>
    <row r="3" spans="1:2" x14ac:dyDescent="0.25">
      <c r="A3" s="2">
        <v>35124</v>
      </c>
      <c r="B3" s="1"/>
    </row>
    <row r="4" spans="1:2" x14ac:dyDescent="0.25">
      <c r="A4" s="2">
        <v>35155</v>
      </c>
      <c r="B4" s="1"/>
    </row>
    <row r="5" spans="1:2" x14ac:dyDescent="0.25">
      <c r="A5" s="2">
        <v>35185</v>
      </c>
      <c r="B5" s="1"/>
    </row>
    <row r="6" spans="1:2" x14ac:dyDescent="0.25">
      <c r="A6" s="2">
        <v>35216</v>
      </c>
      <c r="B6" s="1"/>
    </row>
    <row r="7" spans="1:2" x14ac:dyDescent="0.25">
      <c r="A7" s="2">
        <v>35246</v>
      </c>
      <c r="B7" s="1"/>
    </row>
    <row r="8" spans="1:2" x14ac:dyDescent="0.25">
      <c r="A8" s="2">
        <v>35277</v>
      </c>
      <c r="B8" s="1"/>
    </row>
    <row r="9" spans="1:2" x14ac:dyDescent="0.25">
      <c r="A9" s="2">
        <v>35308</v>
      </c>
      <c r="B9" s="1"/>
    </row>
    <row r="10" spans="1:2" x14ac:dyDescent="0.25">
      <c r="A10" s="2">
        <v>35338</v>
      </c>
      <c r="B10" s="1"/>
    </row>
    <row r="11" spans="1:2" x14ac:dyDescent="0.25">
      <c r="A11" s="2">
        <v>35369</v>
      </c>
      <c r="B11" s="1"/>
    </row>
    <row r="12" spans="1:2" x14ac:dyDescent="0.25">
      <c r="A12" s="2">
        <v>35399</v>
      </c>
      <c r="B12" s="1"/>
    </row>
    <row r="13" spans="1:2" x14ac:dyDescent="0.25">
      <c r="A13" s="2">
        <v>35430</v>
      </c>
      <c r="B13" s="1"/>
    </row>
    <row r="14" spans="1:2" x14ac:dyDescent="0.25">
      <c r="A14" s="2">
        <v>35461</v>
      </c>
      <c r="B14" s="1"/>
    </row>
    <row r="15" spans="1:2" x14ac:dyDescent="0.25">
      <c r="A15" s="2">
        <v>35489</v>
      </c>
      <c r="B15" s="1"/>
    </row>
    <row r="16" spans="1:2" x14ac:dyDescent="0.25">
      <c r="A16" s="2">
        <v>35520</v>
      </c>
      <c r="B16" s="1"/>
    </row>
    <row r="17" spans="1:2" x14ac:dyDescent="0.25">
      <c r="A17" s="2">
        <v>35550</v>
      </c>
      <c r="B17" s="1"/>
    </row>
    <row r="18" spans="1:2" x14ac:dyDescent="0.25">
      <c r="A18" s="2">
        <v>35581</v>
      </c>
      <c r="B18" s="1"/>
    </row>
    <row r="19" spans="1:2" x14ac:dyDescent="0.25">
      <c r="A19" s="2">
        <v>35611</v>
      </c>
      <c r="B19" s="1"/>
    </row>
    <row r="20" spans="1:2" x14ac:dyDescent="0.25">
      <c r="A20" s="2">
        <v>35642</v>
      </c>
      <c r="B20" s="1"/>
    </row>
    <row r="21" spans="1:2" x14ac:dyDescent="0.25">
      <c r="A21" s="2">
        <v>35673</v>
      </c>
      <c r="B21" s="1"/>
    </row>
    <row r="22" spans="1:2" x14ac:dyDescent="0.25">
      <c r="A22" s="2">
        <v>35703</v>
      </c>
      <c r="B22" s="1"/>
    </row>
    <row r="23" spans="1:2" x14ac:dyDescent="0.25">
      <c r="A23" s="2">
        <v>35734</v>
      </c>
      <c r="B23" s="1"/>
    </row>
    <row r="24" spans="1:2" x14ac:dyDescent="0.25">
      <c r="A24" s="2">
        <v>35764</v>
      </c>
      <c r="B24" s="1"/>
    </row>
    <row r="25" spans="1:2" x14ac:dyDescent="0.25">
      <c r="A25" s="2">
        <v>35795</v>
      </c>
      <c r="B25" s="1"/>
    </row>
    <row r="26" spans="1:2" x14ac:dyDescent="0.25">
      <c r="A26" s="2">
        <v>35826</v>
      </c>
      <c r="B26" s="1"/>
    </row>
    <row r="27" spans="1:2" x14ac:dyDescent="0.25">
      <c r="A27" s="2">
        <v>35854</v>
      </c>
      <c r="B27" s="1"/>
    </row>
    <row r="28" spans="1:2" x14ac:dyDescent="0.25">
      <c r="A28" s="2">
        <v>35885</v>
      </c>
      <c r="B28" s="1"/>
    </row>
    <row r="29" spans="1:2" x14ac:dyDescent="0.25">
      <c r="A29" s="2">
        <v>35915</v>
      </c>
      <c r="B29" s="1"/>
    </row>
    <row r="30" spans="1:2" x14ac:dyDescent="0.25">
      <c r="A30" s="2">
        <v>35946</v>
      </c>
      <c r="B30" s="1"/>
    </row>
    <row r="31" spans="1:2" x14ac:dyDescent="0.25">
      <c r="A31" s="2">
        <v>35976</v>
      </c>
      <c r="B31" s="1"/>
    </row>
    <row r="32" spans="1:2" x14ac:dyDescent="0.25">
      <c r="A32" s="2">
        <v>36007</v>
      </c>
      <c r="B32" s="1"/>
    </row>
    <row r="33" spans="1:2" x14ac:dyDescent="0.25">
      <c r="A33" s="2">
        <v>36038</v>
      </c>
      <c r="B33" s="1"/>
    </row>
    <row r="34" spans="1:2" x14ac:dyDescent="0.25">
      <c r="A34" s="2">
        <v>36068</v>
      </c>
      <c r="B34" s="1"/>
    </row>
    <row r="35" spans="1:2" x14ac:dyDescent="0.25">
      <c r="A35" s="2">
        <v>36099</v>
      </c>
      <c r="B35" s="1"/>
    </row>
    <row r="36" spans="1:2" x14ac:dyDescent="0.25">
      <c r="A36" s="2">
        <v>36129</v>
      </c>
      <c r="B36" s="1"/>
    </row>
    <row r="37" spans="1:2" x14ac:dyDescent="0.25">
      <c r="A37" s="2">
        <v>36160</v>
      </c>
      <c r="B37" s="1"/>
    </row>
    <row r="38" spans="1:2" x14ac:dyDescent="0.25">
      <c r="A38" s="2">
        <v>36191</v>
      </c>
      <c r="B38" s="1"/>
    </row>
    <row r="39" spans="1:2" x14ac:dyDescent="0.25">
      <c r="A39" s="2">
        <v>36219</v>
      </c>
      <c r="B39" s="1"/>
    </row>
    <row r="40" spans="1:2" x14ac:dyDescent="0.25">
      <c r="A40" s="2">
        <v>36250</v>
      </c>
      <c r="B40" s="1"/>
    </row>
    <row r="41" spans="1:2" x14ac:dyDescent="0.25">
      <c r="A41" s="2">
        <v>36280</v>
      </c>
      <c r="B41" s="1"/>
    </row>
    <row r="42" spans="1:2" x14ac:dyDescent="0.25">
      <c r="A42" s="2">
        <v>36311</v>
      </c>
      <c r="B42" s="1"/>
    </row>
    <row r="43" spans="1:2" x14ac:dyDescent="0.25">
      <c r="A43" s="2">
        <v>36341</v>
      </c>
      <c r="B43" s="1"/>
    </row>
    <row r="44" spans="1:2" x14ac:dyDescent="0.25">
      <c r="A44" s="2">
        <v>36372</v>
      </c>
      <c r="B44" s="1"/>
    </row>
    <row r="45" spans="1:2" x14ac:dyDescent="0.25">
      <c r="A45" s="2">
        <v>36403</v>
      </c>
      <c r="B45" s="1"/>
    </row>
    <row r="46" spans="1:2" x14ac:dyDescent="0.25">
      <c r="A46" s="2">
        <v>36433</v>
      </c>
      <c r="B46" s="1"/>
    </row>
    <row r="47" spans="1:2" x14ac:dyDescent="0.25">
      <c r="A47" s="2">
        <v>36464</v>
      </c>
      <c r="B47" s="1"/>
    </row>
    <row r="48" spans="1:2" x14ac:dyDescent="0.25">
      <c r="A48" s="2">
        <v>36494</v>
      </c>
      <c r="B48" s="1"/>
    </row>
    <row r="49" spans="1:5" x14ac:dyDescent="0.25">
      <c r="A49" s="2">
        <v>36525</v>
      </c>
      <c r="B49" s="1"/>
    </row>
    <row r="50" spans="1:5" x14ac:dyDescent="0.25">
      <c r="A50" s="2">
        <v>36556</v>
      </c>
      <c r="B50" s="1"/>
    </row>
    <row r="51" spans="1:5" x14ac:dyDescent="0.25">
      <c r="A51" s="2">
        <v>36585</v>
      </c>
      <c r="B51" s="1"/>
    </row>
    <row r="52" spans="1:5" x14ac:dyDescent="0.25">
      <c r="A52" s="2">
        <v>36616</v>
      </c>
      <c r="B52" s="1"/>
    </row>
    <row r="53" spans="1:5" x14ac:dyDescent="0.25">
      <c r="A53" s="2">
        <v>36646</v>
      </c>
      <c r="B53" s="1"/>
    </row>
    <row r="54" spans="1:5" x14ac:dyDescent="0.25">
      <c r="A54" s="2">
        <v>36677</v>
      </c>
      <c r="B54" s="1"/>
    </row>
    <row r="55" spans="1:5" x14ac:dyDescent="0.25">
      <c r="A55" s="2">
        <v>36707</v>
      </c>
      <c r="B55" s="1"/>
    </row>
    <row r="56" spans="1:5" x14ac:dyDescent="0.25">
      <c r="A56" s="2">
        <v>36738</v>
      </c>
      <c r="B56" s="1"/>
    </row>
    <row r="57" spans="1:5" x14ac:dyDescent="0.25">
      <c r="A57" s="2">
        <v>36769</v>
      </c>
      <c r="B57" s="1"/>
    </row>
    <row r="58" spans="1:5" x14ac:dyDescent="0.25">
      <c r="A58" s="2">
        <v>36799</v>
      </c>
      <c r="B58" s="1"/>
    </row>
    <row r="59" spans="1:5" x14ac:dyDescent="0.25">
      <c r="A59" s="2">
        <v>36830</v>
      </c>
      <c r="B59" s="1"/>
    </row>
    <row r="60" spans="1:5" x14ac:dyDescent="0.25">
      <c r="A60" s="2">
        <v>36860</v>
      </c>
      <c r="B60" s="1"/>
    </row>
    <row r="61" spans="1:5" x14ac:dyDescent="0.25">
      <c r="A61" s="2">
        <v>36891</v>
      </c>
      <c r="B61" s="1"/>
    </row>
    <row r="62" spans="1:5" x14ac:dyDescent="0.25">
      <c r="A62" s="2">
        <v>36922</v>
      </c>
      <c r="B62" s="1">
        <f>IF([1]Rseries!D7="","",[1]Rseries!D7)</f>
        <v>533555</v>
      </c>
      <c r="D62" t="s">
        <v>8</v>
      </c>
      <c r="E62" t="s">
        <v>9</v>
      </c>
    </row>
    <row r="63" spans="1:5" x14ac:dyDescent="0.25">
      <c r="A63" s="2">
        <v>36950</v>
      </c>
      <c r="B63" s="1">
        <f>IF([1]Rseries!D8="","",[1]Rseries!D8)</f>
        <v>536962</v>
      </c>
      <c r="D63">
        <f>COUNT(Mediana!3:3)-Amplitud</f>
        <v>172</v>
      </c>
      <c r="E63">
        <v>36</v>
      </c>
    </row>
    <row r="64" spans="1:5" x14ac:dyDescent="0.25">
      <c r="A64" s="2">
        <v>36981</v>
      </c>
      <c r="B64" s="1">
        <f>IF([1]Rseries!D9="","",[1]Rseries!D9)</f>
        <v>541748</v>
      </c>
    </row>
    <row r="65" spans="1:2" x14ac:dyDescent="0.25">
      <c r="A65" s="2">
        <v>37011</v>
      </c>
      <c r="B65" s="1">
        <f>IF([1]Rseries!D10="","",[1]Rseries!D10)</f>
        <v>544034</v>
      </c>
    </row>
    <row r="66" spans="1:2" x14ac:dyDescent="0.25">
      <c r="A66" s="2">
        <v>37042</v>
      </c>
      <c r="B66" s="1">
        <f>IF([1]Rseries!D11="","",[1]Rseries!D11)</f>
        <v>549958</v>
      </c>
    </row>
    <row r="67" spans="1:2" x14ac:dyDescent="0.25">
      <c r="A67" s="2">
        <v>37072</v>
      </c>
      <c r="B67" s="1">
        <f>IF([1]Rseries!D12="","",[1]Rseries!D12)</f>
        <v>559169</v>
      </c>
    </row>
    <row r="68" spans="1:2" x14ac:dyDescent="0.25">
      <c r="A68" s="2">
        <v>37103</v>
      </c>
      <c r="B68" s="1">
        <f>IF([1]Rseries!D13="","",[1]Rseries!D13)</f>
        <v>564199</v>
      </c>
    </row>
    <row r="69" spans="1:2" x14ac:dyDescent="0.25">
      <c r="A69" s="2">
        <v>37134</v>
      </c>
      <c r="B69" s="1">
        <f>IF([1]Rseries!D14="","",[1]Rseries!D14)</f>
        <v>557992</v>
      </c>
    </row>
    <row r="70" spans="1:2" x14ac:dyDescent="0.25">
      <c r="A70" s="2">
        <v>37164</v>
      </c>
      <c r="B70" s="1">
        <f>IF([1]Rseries!D15="","",[1]Rseries!D15)</f>
        <v>559246</v>
      </c>
    </row>
    <row r="71" spans="1:2" x14ac:dyDescent="0.25">
      <c r="A71" s="2">
        <v>37195</v>
      </c>
      <c r="B71" s="1">
        <f>IF([1]Rseries!D16="","",[1]Rseries!D16)</f>
        <v>561211</v>
      </c>
    </row>
    <row r="72" spans="1:2" x14ac:dyDescent="0.25">
      <c r="A72" s="2">
        <v>37225</v>
      </c>
      <c r="B72" s="1">
        <f>IF([1]Rseries!D17="","",[1]Rseries!D17)</f>
        <v>564645</v>
      </c>
    </row>
    <row r="73" spans="1:2" x14ac:dyDescent="0.25">
      <c r="A73" s="2">
        <v>37256</v>
      </c>
      <c r="B73" s="1">
        <f>IF([1]Rseries!D18="","",[1]Rseries!D18)</f>
        <v>556619</v>
      </c>
    </row>
    <row r="74" spans="1:2" x14ac:dyDescent="0.25">
      <c r="A74" s="2">
        <v>37287</v>
      </c>
      <c r="B74" s="1">
        <f>IF([1]Rseries!D19="","",[1]Rseries!D19)</f>
        <v>555787</v>
      </c>
    </row>
    <row r="75" spans="1:2" x14ac:dyDescent="0.25">
      <c r="A75" s="2">
        <v>37315</v>
      </c>
      <c r="B75" s="1">
        <f>IF([1]Rseries!D20="","",[1]Rseries!D20)</f>
        <v>559538</v>
      </c>
    </row>
    <row r="76" spans="1:2" x14ac:dyDescent="0.25">
      <c r="A76" s="2">
        <v>37346</v>
      </c>
      <c r="B76" s="1">
        <f>IF([1]Rseries!D21="","",[1]Rseries!D21)</f>
        <v>561113</v>
      </c>
    </row>
    <row r="77" spans="1:2" x14ac:dyDescent="0.25">
      <c r="A77" s="2">
        <v>37376</v>
      </c>
      <c r="B77" s="1">
        <f>IF([1]Rseries!D22="","",[1]Rseries!D22)</f>
        <v>566649</v>
      </c>
    </row>
    <row r="78" spans="1:2" x14ac:dyDescent="0.25">
      <c r="A78" s="2">
        <v>37407</v>
      </c>
      <c r="B78" s="1">
        <f>IF([1]Rseries!D23="","",[1]Rseries!D23)</f>
        <v>571708</v>
      </c>
    </row>
    <row r="79" spans="1:2" x14ac:dyDescent="0.25">
      <c r="A79" s="2">
        <v>37437</v>
      </c>
      <c r="B79" s="1">
        <f>IF([1]Rseries!D24="","",[1]Rseries!D24)</f>
        <v>579678</v>
      </c>
    </row>
    <row r="80" spans="1:2" x14ac:dyDescent="0.25">
      <c r="A80" s="2">
        <v>37468</v>
      </c>
      <c r="B80" s="1">
        <f>IF([1]Rseries!D25="","",[1]Rseries!D25)</f>
        <v>585110</v>
      </c>
    </row>
    <row r="81" spans="1:2" x14ac:dyDescent="0.25">
      <c r="A81" s="2">
        <v>37499</v>
      </c>
      <c r="B81" s="1">
        <f>IF([1]Rseries!D26="","",[1]Rseries!D26)</f>
        <v>584502</v>
      </c>
    </row>
    <row r="82" spans="1:2" x14ac:dyDescent="0.25">
      <c r="A82" s="2">
        <v>37529</v>
      </c>
      <c r="B82" s="1">
        <f>IF([1]Rseries!D27="","",[1]Rseries!D27)</f>
        <v>579990</v>
      </c>
    </row>
    <row r="83" spans="1:2" x14ac:dyDescent="0.25">
      <c r="A83" s="2">
        <v>37560</v>
      </c>
      <c r="B83" s="1">
        <f>IF([1]Rseries!D28="","",[1]Rseries!D28)</f>
        <v>583989</v>
      </c>
    </row>
    <row r="84" spans="1:2" x14ac:dyDescent="0.25">
      <c r="A84" s="2">
        <v>37590</v>
      </c>
      <c r="B84" s="1">
        <f>IF([1]Rseries!D29="","",[1]Rseries!D29)</f>
        <v>587418</v>
      </c>
    </row>
    <row r="85" spans="1:2" x14ac:dyDescent="0.25">
      <c r="A85" s="2">
        <v>37621</v>
      </c>
      <c r="B85" s="1">
        <f>IF([1]Rseries!D30="","",[1]Rseries!D30)</f>
        <v>575519</v>
      </c>
    </row>
    <row r="86" spans="1:2" x14ac:dyDescent="0.25">
      <c r="A86" s="2">
        <v>37652</v>
      </c>
      <c r="B86" s="1">
        <f>IF([1]Rseries!D31="","",[1]Rseries!D31)</f>
        <v>579057</v>
      </c>
    </row>
    <row r="87" spans="1:2" x14ac:dyDescent="0.25">
      <c r="A87" s="2">
        <v>37680</v>
      </c>
      <c r="B87" s="1">
        <f>IF([1]Rseries!D32="","",[1]Rseries!D32)</f>
        <v>583852</v>
      </c>
    </row>
    <row r="88" spans="1:2" x14ac:dyDescent="0.25">
      <c r="A88" s="2">
        <v>37711</v>
      </c>
      <c r="B88" s="1">
        <f>IF([1]Rseries!D33="","",[1]Rseries!D33)</f>
        <v>586727</v>
      </c>
    </row>
    <row r="89" spans="1:2" x14ac:dyDescent="0.25">
      <c r="A89" s="2">
        <v>37741</v>
      </c>
      <c r="B89" s="1">
        <f>IF([1]Rseries!D34="","",[1]Rseries!D34)</f>
        <v>591002</v>
      </c>
    </row>
    <row r="90" spans="1:2" x14ac:dyDescent="0.25">
      <c r="A90" s="2">
        <v>37772</v>
      </c>
      <c r="B90" s="1">
        <f>IF([1]Rseries!D35="","",[1]Rseries!D35)</f>
        <v>596976</v>
      </c>
    </row>
    <row r="91" spans="1:2" x14ac:dyDescent="0.25">
      <c r="A91" s="2">
        <v>37802</v>
      </c>
      <c r="B91" s="1">
        <f>IF([1]Rseries!D36="","",[1]Rseries!D36)</f>
        <v>601217</v>
      </c>
    </row>
    <row r="92" spans="1:2" x14ac:dyDescent="0.25">
      <c r="A92" s="2">
        <v>37833</v>
      </c>
      <c r="B92" s="1">
        <f>IF([1]Rseries!D37="","",[1]Rseries!D37)</f>
        <v>609982</v>
      </c>
    </row>
    <row r="93" spans="1:2" x14ac:dyDescent="0.25">
      <c r="A93" s="2">
        <v>37864</v>
      </c>
      <c r="B93" s="1">
        <f>IF([1]Rseries!D38="","",[1]Rseries!D38)</f>
        <v>604901</v>
      </c>
    </row>
    <row r="94" spans="1:2" x14ac:dyDescent="0.25">
      <c r="A94" s="2">
        <v>37894</v>
      </c>
      <c r="B94" s="1">
        <f>IF([1]Rseries!D39="","",[1]Rseries!D39)</f>
        <v>606282</v>
      </c>
    </row>
    <row r="95" spans="1:2" x14ac:dyDescent="0.25">
      <c r="A95" s="2">
        <v>37925</v>
      </c>
      <c r="B95" s="1">
        <f>IF([1]Rseries!D40="","",[1]Rseries!D40)</f>
        <v>608447</v>
      </c>
    </row>
    <row r="96" spans="1:2" x14ac:dyDescent="0.25">
      <c r="A96" s="2">
        <v>37955</v>
      </c>
      <c r="B96" s="1">
        <f>IF([1]Rseries!D41="","",[1]Rseries!D41)</f>
        <v>613372</v>
      </c>
    </row>
    <row r="97" spans="1:2" x14ac:dyDescent="0.25">
      <c r="A97" s="2">
        <v>37986</v>
      </c>
      <c r="B97" s="1">
        <f>IF([1]Rseries!D42="","",[1]Rseries!D42)</f>
        <v>596443</v>
      </c>
    </row>
    <row r="98" spans="1:2" x14ac:dyDescent="0.25">
      <c r="A98" s="2">
        <v>38017</v>
      </c>
      <c r="B98" s="1">
        <f>IF([1]Rseries!D43="","",[1]Rseries!D43)</f>
        <v>601261.96773999999</v>
      </c>
    </row>
    <row r="99" spans="1:2" x14ac:dyDescent="0.25">
      <c r="A99" s="2">
        <v>38046</v>
      </c>
      <c r="B99" s="1">
        <f>IF([1]Rseries!D44="","",[1]Rseries!D44)</f>
        <v>609380.06897000002</v>
      </c>
    </row>
    <row r="100" spans="1:2" x14ac:dyDescent="0.25">
      <c r="A100" s="2">
        <v>38077</v>
      </c>
      <c r="B100" s="1">
        <f>IF([1]Rseries!D45="","",[1]Rseries!D45)</f>
        <v>612392.12902999995</v>
      </c>
    </row>
    <row r="101" spans="1:2" x14ac:dyDescent="0.25">
      <c r="A101" s="2">
        <v>38107</v>
      </c>
      <c r="B101" s="1">
        <f>IF([1]Rseries!D46="","",[1]Rseries!D46)</f>
        <v>614083.33333000005</v>
      </c>
    </row>
    <row r="102" spans="1:2" x14ac:dyDescent="0.25">
      <c r="A102" s="2">
        <v>38138</v>
      </c>
      <c r="B102" s="1">
        <f>IF([1]Rseries!D47="","",[1]Rseries!D47)</f>
        <v>622065.41934999998</v>
      </c>
    </row>
    <row r="103" spans="1:2" x14ac:dyDescent="0.25">
      <c r="A103" s="2">
        <v>38168</v>
      </c>
      <c r="B103" s="1">
        <f>IF([1]Rseries!D48="","",[1]Rseries!D48)</f>
        <v>630944.4</v>
      </c>
    </row>
    <row r="104" spans="1:2" x14ac:dyDescent="0.25">
      <c r="A104" s="2">
        <v>38199</v>
      </c>
      <c r="B104" s="1">
        <f>IF([1]Rseries!D49="","",[1]Rseries!D49)</f>
        <v>643304.83871000004</v>
      </c>
    </row>
    <row r="105" spans="1:2" x14ac:dyDescent="0.25">
      <c r="A105" s="2">
        <v>38230</v>
      </c>
      <c r="B105" s="1">
        <f>IF([1]Rseries!D50="","",[1]Rseries!D50)</f>
        <v>640629.69999999995</v>
      </c>
    </row>
    <row r="106" spans="1:2" x14ac:dyDescent="0.25">
      <c r="A106" s="2">
        <v>38260</v>
      </c>
      <c r="B106" s="1">
        <f>IF([1]Rseries!D51="","",[1]Rseries!D51)</f>
        <v>639447</v>
      </c>
    </row>
    <row r="107" spans="1:2" x14ac:dyDescent="0.25">
      <c r="A107" s="2">
        <v>38291</v>
      </c>
      <c r="B107" s="1">
        <f>IF([1]Rseries!D52="","",[1]Rseries!D52)</f>
        <v>641884.30000000005</v>
      </c>
    </row>
    <row r="108" spans="1:2" x14ac:dyDescent="0.25">
      <c r="A108" s="2">
        <v>38321</v>
      </c>
      <c r="B108" s="1">
        <f>IF([1]Rseries!D53="","",[1]Rseries!D53)</f>
        <v>644032</v>
      </c>
    </row>
    <row r="109" spans="1:2" x14ac:dyDescent="0.25">
      <c r="A109" s="2">
        <v>38352</v>
      </c>
      <c r="B109" s="1">
        <f>IF([1]Rseries!D54="","",[1]Rseries!D54)</f>
        <v>640742.19999999995</v>
      </c>
    </row>
    <row r="110" spans="1:2" x14ac:dyDescent="0.25">
      <c r="A110" s="2">
        <v>38383</v>
      </c>
      <c r="B110" s="1">
        <f>IF([1]Rseries!D55="","",[1]Rseries!D55)</f>
        <v>632730.30000000005</v>
      </c>
    </row>
    <row r="111" spans="1:2" x14ac:dyDescent="0.25">
      <c r="A111" s="2">
        <v>38411</v>
      </c>
      <c r="B111" s="1">
        <f>IF([1]Rseries!D56="","",[1]Rseries!D56)</f>
        <v>639772</v>
      </c>
    </row>
    <row r="112" spans="1:2" x14ac:dyDescent="0.25">
      <c r="A112" s="2">
        <v>38442</v>
      </c>
      <c r="B112" s="1">
        <f>IF([1]Rseries!D57="","",[1]Rseries!D57)</f>
        <v>644283</v>
      </c>
    </row>
    <row r="113" spans="1:2" x14ac:dyDescent="0.25">
      <c r="A113" s="2">
        <v>38472</v>
      </c>
      <c r="B113" s="1">
        <f>IF([1]Rseries!D58="","",[1]Rseries!D58)</f>
        <v>651492</v>
      </c>
    </row>
    <row r="114" spans="1:2" x14ac:dyDescent="0.25">
      <c r="A114" s="2">
        <v>38503</v>
      </c>
      <c r="B114" s="1">
        <f>IF([1]Rseries!D59="","",[1]Rseries!D59)</f>
        <v>662324</v>
      </c>
    </row>
    <row r="115" spans="1:2" x14ac:dyDescent="0.25">
      <c r="A115" s="2">
        <v>38533</v>
      </c>
      <c r="B115" s="1">
        <f>IF([1]Rseries!D60="","",[1]Rseries!D60)</f>
        <v>676770</v>
      </c>
    </row>
    <row r="116" spans="1:2" x14ac:dyDescent="0.25">
      <c r="A116" s="2">
        <v>38564</v>
      </c>
      <c r="B116" s="1">
        <f>IF([1]Rseries!D61="","",[1]Rseries!D61)</f>
        <v>690679</v>
      </c>
    </row>
    <row r="117" spans="1:2" x14ac:dyDescent="0.25">
      <c r="A117" s="2">
        <v>38595</v>
      </c>
      <c r="B117" s="1">
        <f>IF([1]Rseries!D62="","",[1]Rseries!D62)</f>
        <v>689564</v>
      </c>
    </row>
    <row r="118" spans="1:2" x14ac:dyDescent="0.25">
      <c r="A118" s="2">
        <v>38625</v>
      </c>
      <c r="B118" s="1">
        <f>IF([1]Rseries!D63="","",[1]Rseries!D63)</f>
        <v>686318</v>
      </c>
    </row>
    <row r="119" spans="1:2" x14ac:dyDescent="0.25">
      <c r="A119" s="2">
        <v>38656</v>
      </c>
      <c r="B119" s="1">
        <f>IF([1]Rseries!D64="","",[1]Rseries!D64)</f>
        <v>690616</v>
      </c>
    </row>
    <row r="120" spans="1:2" x14ac:dyDescent="0.25">
      <c r="A120" s="2">
        <v>38686</v>
      </c>
      <c r="B120" s="1">
        <f>IF([1]Rseries!D65="","",[1]Rseries!D65)</f>
        <v>695028</v>
      </c>
    </row>
    <row r="121" spans="1:2" x14ac:dyDescent="0.25">
      <c r="A121" s="2">
        <v>38717</v>
      </c>
      <c r="B121" s="1">
        <f>IF([1]Rseries!D66="","",[1]Rseries!D66)</f>
        <v>692315</v>
      </c>
    </row>
    <row r="122" spans="1:2" x14ac:dyDescent="0.25">
      <c r="A122" s="2">
        <v>38748</v>
      </c>
      <c r="B122" s="1">
        <f>IF([1]Rseries!D67="","",[1]Rseries!D67)</f>
        <v>685066</v>
      </c>
    </row>
    <row r="123" spans="1:2" x14ac:dyDescent="0.25">
      <c r="A123" s="2">
        <v>38776</v>
      </c>
      <c r="B123" s="1">
        <f>IF([1]Rseries!D68="","",[1]Rseries!D68)</f>
        <v>692071</v>
      </c>
    </row>
    <row r="124" spans="1:2" x14ac:dyDescent="0.25">
      <c r="A124" s="2">
        <v>38807</v>
      </c>
      <c r="B124" s="1">
        <f>IF([1]Rseries!D69="","",[1]Rseries!D69)</f>
        <v>698158</v>
      </c>
    </row>
    <row r="125" spans="1:2" x14ac:dyDescent="0.25">
      <c r="A125" s="2">
        <v>38837</v>
      </c>
      <c r="B125" s="1">
        <f>IF([1]Rseries!D70="","",[1]Rseries!D70)</f>
        <v>702198</v>
      </c>
    </row>
    <row r="126" spans="1:2" x14ac:dyDescent="0.25">
      <c r="A126" s="2">
        <v>38868</v>
      </c>
      <c r="B126" s="1">
        <f>IF([1]Rseries!D71="","",[1]Rseries!D71)</f>
        <v>710186</v>
      </c>
    </row>
    <row r="127" spans="1:2" x14ac:dyDescent="0.25">
      <c r="A127" s="2">
        <v>38898</v>
      </c>
      <c r="B127" s="1">
        <f>IF([1]Rseries!D72="","",[1]Rseries!D72)</f>
        <v>717900</v>
      </c>
    </row>
    <row r="128" spans="1:2" x14ac:dyDescent="0.25">
      <c r="A128" s="2">
        <v>38929</v>
      </c>
      <c r="B128" s="1">
        <f>IF([1]Rseries!D73="","",[1]Rseries!D73)</f>
        <v>725825</v>
      </c>
    </row>
    <row r="129" spans="1:2" x14ac:dyDescent="0.25">
      <c r="A129" s="2">
        <v>38960</v>
      </c>
      <c r="B129" s="1">
        <f>IF([1]Rseries!D74="","",[1]Rseries!D74)</f>
        <v>722076</v>
      </c>
    </row>
    <row r="130" spans="1:2" x14ac:dyDescent="0.25">
      <c r="A130" s="2">
        <v>38990</v>
      </c>
      <c r="B130" s="1">
        <f>IF([1]Rseries!D75="","",[1]Rseries!D75)</f>
        <v>720201</v>
      </c>
    </row>
    <row r="131" spans="1:2" x14ac:dyDescent="0.25">
      <c r="A131" s="2">
        <v>39021</v>
      </c>
      <c r="B131" s="1">
        <f>IF([1]Rseries!D76="","",[1]Rseries!D76)</f>
        <v>724841</v>
      </c>
    </row>
    <row r="132" spans="1:2" x14ac:dyDescent="0.25">
      <c r="A132" s="2">
        <v>39051</v>
      </c>
      <c r="B132" s="1">
        <f>IF([1]Rseries!D77="","",[1]Rseries!D77)</f>
        <v>728923</v>
      </c>
    </row>
    <row r="133" spans="1:2" x14ac:dyDescent="0.25">
      <c r="A133" s="2">
        <v>39082</v>
      </c>
      <c r="B133" s="1">
        <f>IF([1]Rseries!D78="","",[1]Rseries!D78)</f>
        <v>727543</v>
      </c>
    </row>
    <row r="134" spans="1:2" x14ac:dyDescent="0.25">
      <c r="A134" s="2">
        <v>39113</v>
      </c>
      <c r="B134" s="1">
        <f>IF([1]Rseries!D79="","",[1]Rseries!D79)</f>
        <v>723249</v>
      </c>
    </row>
    <row r="135" spans="1:2" x14ac:dyDescent="0.25">
      <c r="A135" s="2">
        <v>39141</v>
      </c>
      <c r="B135" s="1">
        <f>IF([1]Rseries!D80="","",[1]Rseries!D80)</f>
        <v>731270</v>
      </c>
    </row>
    <row r="136" spans="1:2" x14ac:dyDescent="0.25">
      <c r="A136" s="2">
        <v>39172</v>
      </c>
      <c r="B136" s="1">
        <f>IF([1]Rseries!D81="","",[1]Rseries!D81)</f>
        <v>737934</v>
      </c>
    </row>
    <row r="137" spans="1:2" x14ac:dyDescent="0.25">
      <c r="A137" s="2">
        <v>39202</v>
      </c>
      <c r="B137" s="1">
        <f>IF([1]Rseries!D82="","",[1]Rseries!D82)</f>
        <v>742479</v>
      </c>
    </row>
    <row r="138" spans="1:2" x14ac:dyDescent="0.25">
      <c r="A138" s="2">
        <v>39233</v>
      </c>
      <c r="B138" s="1">
        <f>IF([1]Rseries!D83="","",[1]Rseries!D83)</f>
        <v>750961</v>
      </c>
    </row>
    <row r="139" spans="1:2" x14ac:dyDescent="0.25">
      <c r="A139" s="2">
        <v>39263</v>
      </c>
      <c r="B139" s="1">
        <f>IF([1]Rseries!D84="","",[1]Rseries!D84)</f>
        <v>757224</v>
      </c>
    </row>
    <row r="140" spans="1:2" x14ac:dyDescent="0.25">
      <c r="A140" s="2">
        <v>39294</v>
      </c>
      <c r="B140" s="1">
        <f>IF([1]Rseries!D85="","",[1]Rseries!D85)</f>
        <v>766234</v>
      </c>
    </row>
    <row r="141" spans="1:2" x14ac:dyDescent="0.25">
      <c r="A141" s="2">
        <v>39325</v>
      </c>
      <c r="B141" s="1">
        <f>IF([1]Rseries!D86="","",[1]Rseries!D86)</f>
        <v>761548</v>
      </c>
    </row>
    <row r="142" spans="1:2" x14ac:dyDescent="0.25">
      <c r="A142" s="2">
        <v>39355</v>
      </c>
      <c r="B142" s="1">
        <f>IF([1]Rseries!D87="","",[1]Rseries!D87)</f>
        <v>760991</v>
      </c>
    </row>
    <row r="143" spans="1:2" x14ac:dyDescent="0.25">
      <c r="A143" s="2">
        <v>39386</v>
      </c>
      <c r="B143" s="1">
        <f>IF([1]Rseries!D88="","",[1]Rseries!D88)</f>
        <v>769173</v>
      </c>
    </row>
    <row r="144" spans="1:2" x14ac:dyDescent="0.25">
      <c r="A144" s="2">
        <v>39416</v>
      </c>
      <c r="B144" s="1">
        <f>IF([1]Rseries!D89="","",[1]Rseries!D89)</f>
        <v>771525</v>
      </c>
    </row>
    <row r="145" spans="1:2" x14ac:dyDescent="0.25">
      <c r="A145" s="2">
        <v>39447</v>
      </c>
      <c r="B145" s="1">
        <f>IF([1]Rseries!D90="","",[1]Rseries!D90)</f>
        <v>769340</v>
      </c>
    </row>
    <row r="146" spans="1:2" x14ac:dyDescent="0.25">
      <c r="A146" s="2">
        <v>39478</v>
      </c>
      <c r="B146" s="1">
        <f>IF([1]Rseries!D91="","",[1]Rseries!D91)</f>
        <v>761025</v>
      </c>
    </row>
    <row r="147" spans="1:2" x14ac:dyDescent="0.25">
      <c r="A147" s="2">
        <v>39507</v>
      </c>
      <c r="B147" s="1">
        <f>IF([1]Rseries!D92="","",[1]Rseries!D92)</f>
        <v>764634</v>
      </c>
    </row>
    <row r="148" spans="1:2" x14ac:dyDescent="0.25">
      <c r="A148" s="2">
        <v>39538</v>
      </c>
      <c r="B148" s="1">
        <f>IF([1]Rseries!D93="","",[1]Rseries!D93)</f>
        <v>764746</v>
      </c>
    </row>
    <row r="149" spans="1:2" x14ac:dyDescent="0.25">
      <c r="A149" s="2">
        <v>39568</v>
      </c>
      <c r="B149" s="1">
        <f>IF([1]Rseries!D94="","",[1]Rseries!D94)</f>
        <v>767112</v>
      </c>
    </row>
    <row r="150" spans="1:2" x14ac:dyDescent="0.25">
      <c r="A150" s="2">
        <v>39599</v>
      </c>
      <c r="B150" s="1">
        <f>IF([1]Rseries!D95="","",[1]Rseries!D95)</f>
        <v>769213</v>
      </c>
    </row>
    <row r="151" spans="1:2" x14ac:dyDescent="0.25">
      <c r="A151" s="2">
        <v>39629</v>
      </c>
      <c r="B151" s="1">
        <f>IF([1]Rseries!D96="","",[1]Rseries!D96)</f>
        <v>769863</v>
      </c>
    </row>
    <row r="152" spans="1:2" x14ac:dyDescent="0.25">
      <c r="A152" s="2">
        <v>39660</v>
      </c>
      <c r="B152" s="1">
        <f>IF([1]Rseries!D97="","",[1]Rseries!D97)</f>
        <v>773093.54</v>
      </c>
    </row>
    <row r="153" spans="1:2" x14ac:dyDescent="0.25">
      <c r="A153" s="2">
        <v>39691</v>
      </c>
      <c r="B153" s="1">
        <f>IF([1]Rseries!D98="","",[1]Rseries!D98)</f>
        <v>763979</v>
      </c>
    </row>
    <row r="154" spans="1:2" x14ac:dyDescent="0.25">
      <c r="A154" s="2">
        <v>39721</v>
      </c>
      <c r="B154" s="1">
        <f>IF([1]Rseries!D99="","",[1]Rseries!D99)</f>
        <v>760332.97</v>
      </c>
    </row>
    <row r="155" spans="1:2" x14ac:dyDescent="0.25">
      <c r="A155" s="2">
        <v>39752</v>
      </c>
      <c r="B155" s="1">
        <f>IF([1]Rseries!D100="","",[1]Rseries!D100)</f>
        <v>763565.34</v>
      </c>
    </row>
    <row r="156" spans="1:2" x14ac:dyDescent="0.25">
      <c r="A156" s="2">
        <v>39782</v>
      </c>
      <c r="B156" s="1">
        <f>IF([1]Rseries!D101="","",[1]Rseries!D101)</f>
        <v>745864.15</v>
      </c>
    </row>
    <row r="157" spans="1:2" x14ac:dyDescent="0.25">
      <c r="A157" s="2">
        <v>39813</v>
      </c>
      <c r="B157" s="1">
        <f>IF([1]Rseries!D102="","",[1]Rseries!D102)</f>
        <v>734571.71</v>
      </c>
    </row>
    <row r="158" spans="1:2" x14ac:dyDescent="0.25">
      <c r="A158" s="2">
        <v>39844</v>
      </c>
      <c r="B158" s="1">
        <f>IF([1]Rseries!D103="","",[1]Rseries!D103)</f>
        <v>720944.75</v>
      </c>
    </row>
    <row r="159" spans="1:2" x14ac:dyDescent="0.25">
      <c r="A159" s="2">
        <v>39872</v>
      </c>
      <c r="B159" s="1">
        <f>IF([1]Rseries!D104="","",[1]Rseries!D104)</f>
        <v>717526.6</v>
      </c>
    </row>
    <row r="160" spans="1:2" x14ac:dyDescent="0.25">
      <c r="A160" s="2">
        <v>39903</v>
      </c>
      <c r="B160" s="1">
        <f>IF([1]Rseries!D105="","",[1]Rseries!D105)</f>
        <v>710918.63</v>
      </c>
    </row>
    <row r="161" spans="1:2" x14ac:dyDescent="0.25">
      <c r="A161" s="2">
        <v>39933</v>
      </c>
      <c r="B161" s="1">
        <f>IF([1]Rseries!D106="","",[1]Rseries!D106)</f>
        <v>708464.7</v>
      </c>
    </row>
    <row r="162" spans="1:2" x14ac:dyDescent="0.25">
      <c r="A162" s="2">
        <v>39964</v>
      </c>
      <c r="B162" s="1">
        <f>IF([1]Rseries!D107="","",[1]Rseries!D107)</f>
        <v>713923.5</v>
      </c>
    </row>
    <row r="163" spans="1:2" x14ac:dyDescent="0.25">
      <c r="A163" s="2">
        <v>39994</v>
      </c>
      <c r="B163" s="1">
        <f>IF([1]Rseries!D108="","",[1]Rseries!D108)</f>
        <v>717438.5</v>
      </c>
    </row>
    <row r="164" spans="1:2" x14ac:dyDescent="0.25">
      <c r="A164" s="2">
        <v>40025</v>
      </c>
      <c r="B164" s="1">
        <f>IF([1]Rseries!D109="","",[1]Rseries!D109)</f>
        <v>723936.3</v>
      </c>
    </row>
    <row r="165" spans="1:2" x14ac:dyDescent="0.25">
      <c r="A165" s="2">
        <v>40056</v>
      </c>
      <c r="B165" s="1">
        <f>IF([1]Rseries!D110="","",[1]Rseries!D110)</f>
        <v>719478.76</v>
      </c>
    </row>
    <row r="166" spans="1:2" x14ac:dyDescent="0.25">
      <c r="A166" s="2">
        <v>40086</v>
      </c>
      <c r="B166" s="1">
        <f>IF([1]Rseries!D111="","",[1]Rseries!D111)</f>
        <v>729141.09</v>
      </c>
    </row>
    <row r="167" spans="1:2" x14ac:dyDescent="0.25">
      <c r="A167" s="2">
        <v>40117</v>
      </c>
      <c r="B167" s="1">
        <f>IF([1]Rseries!D112="","",[1]Rseries!D112)</f>
        <v>724272.38</v>
      </c>
    </row>
    <row r="168" spans="1:2" x14ac:dyDescent="0.25">
      <c r="A168" s="2">
        <v>40147</v>
      </c>
      <c r="B168" s="1">
        <f>IF([1]Rseries!D113="","",[1]Rseries!D113)</f>
        <v>719193.8</v>
      </c>
    </row>
    <row r="169" spans="1:2" x14ac:dyDescent="0.25">
      <c r="A169" s="2">
        <v>40178</v>
      </c>
      <c r="B169" s="1">
        <f>IF([1]Rseries!D114="","",[1]Rseries!D114)</f>
        <v>715966.68</v>
      </c>
    </row>
    <row r="170" spans="1:2" x14ac:dyDescent="0.25">
      <c r="A170" s="2">
        <v>40209</v>
      </c>
      <c r="B170" s="1">
        <f>IF([1]Rseries!D115="","",[1]Rseries!D115)</f>
        <v>703651.36</v>
      </c>
    </row>
    <row r="171" spans="1:2" x14ac:dyDescent="0.25">
      <c r="A171" s="2">
        <v>40237</v>
      </c>
      <c r="B171" s="1">
        <f>IF([1]Rseries!D116="","",[1]Rseries!D116)</f>
        <v>704517.9</v>
      </c>
    </row>
    <row r="172" spans="1:2" x14ac:dyDescent="0.25">
      <c r="A172" s="2">
        <v>40268</v>
      </c>
      <c r="B172" s="1">
        <f>IF([1]Rseries!D117="","",[1]Rseries!D117)</f>
        <v>702261.17</v>
      </c>
    </row>
    <row r="173" spans="1:2" x14ac:dyDescent="0.25">
      <c r="A173" s="2">
        <v>40298</v>
      </c>
      <c r="B173" s="1">
        <f>IF([1]Rseries!D118="","",[1]Rseries!D118)</f>
        <v>700005.95</v>
      </c>
    </row>
    <row r="174" spans="1:2" x14ac:dyDescent="0.25">
      <c r="A174" s="2">
        <v>40329</v>
      </c>
      <c r="B174" s="1">
        <f>IF([1]Rseries!D119="","",[1]Rseries!D119)</f>
        <v>704996.71</v>
      </c>
    </row>
    <row r="175" spans="1:2" x14ac:dyDescent="0.25">
      <c r="A175" s="2">
        <v>40359</v>
      </c>
      <c r="B175" s="1">
        <f>IF([1]Rseries!D120="","",[1]Rseries!D120)</f>
        <v>706618.77</v>
      </c>
    </row>
    <row r="176" spans="1:2" x14ac:dyDescent="0.25">
      <c r="A176" s="2">
        <v>40390</v>
      </c>
      <c r="B176" s="1">
        <f>IF([1]Rseries!D121="","",[1]Rseries!D121)</f>
        <v>711844.95</v>
      </c>
    </row>
    <row r="177" spans="1:2" x14ac:dyDescent="0.25">
      <c r="A177" s="2">
        <v>40421</v>
      </c>
      <c r="B177" s="1">
        <f>IF([1]Rseries!D122="","",[1]Rseries!D122)</f>
        <v>706184.22</v>
      </c>
    </row>
    <row r="178" spans="1:2" x14ac:dyDescent="0.25">
      <c r="A178" s="2">
        <v>40451</v>
      </c>
      <c r="B178" s="1">
        <f>IF([1]Rseries!D123="","",[1]Rseries!D123)</f>
        <v>712928.13</v>
      </c>
    </row>
    <row r="179" spans="1:2" x14ac:dyDescent="0.25">
      <c r="A179" s="2">
        <v>40482</v>
      </c>
      <c r="B179" s="1">
        <f>IF([1]Rseries!D124="","",[1]Rseries!D124)</f>
        <v>714661.7</v>
      </c>
    </row>
    <row r="180" spans="1:2" x14ac:dyDescent="0.25">
      <c r="A180" s="2">
        <v>40512</v>
      </c>
      <c r="B180" s="1">
        <f>IF([1]Rseries!D125="","",[1]Rseries!D125)</f>
        <v>704121.47</v>
      </c>
    </row>
    <row r="181" spans="1:2" x14ac:dyDescent="0.25">
      <c r="A181" s="2">
        <v>40543</v>
      </c>
      <c r="B181" s="1">
        <f>IF([1]Rseries!D126="","",[1]Rseries!D126)</f>
        <v>700294.21</v>
      </c>
    </row>
    <row r="182" spans="1:2" x14ac:dyDescent="0.25">
      <c r="A182" s="2">
        <v>40574</v>
      </c>
      <c r="B182" s="1">
        <f>IF([1]Rseries!D127="","",[1]Rseries!D127)</f>
        <v>690224.15</v>
      </c>
    </row>
    <row r="183" spans="1:2" x14ac:dyDescent="0.25">
      <c r="A183" s="2">
        <v>40602</v>
      </c>
      <c r="B183" s="1">
        <f>IF([1]Rseries!D128="","",[1]Rseries!D128)</f>
        <v>686246.6</v>
      </c>
    </row>
    <row r="184" spans="1:2" x14ac:dyDescent="0.25">
      <c r="A184" s="2">
        <v>40633</v>
      </c>
      <c r="B184" s="1">
        <f>IF([1]Rseries!D129="","",[1]Rseries!D129)</f>
        <v>684767.52</v>
      </c>
    </row>
    <row r="185" spans="1:2" x14ac:dyDescent="0.25">
      <c r="A185" s="2">
        <v>40663</v>
      </c>
      <c r="B185" s="1">
        <f>IF([1]Rseries!D130="","",[1]Rseries!D130)</f>
        <v>684798.57</v>
      </c>
    </row>
    <row r="186" spans="1:2" x14ac:dyDescent="0.25">
      <c r="A186" s="2">
        <v>40694</v>
      </c>
      <c r="B186" s="1">
        <f>IF([1]Rseries!D131="","",[1]Rseries!D131)</f>
        <v>688540.72</v>
      </c>
    </row>
    <row r="187" spans="1:2" x14ac:dyDescent="0.25">
      <c r="A187" s="2">
        <v>40724</v>
      </c>
      <c r="B187" s="1">
        <f>IF([1]Rseries!D132="","",[1]Rseries!D132)</f>
        <v>689117</v>
      </c>
    </row>
    <row r="188" spans="1:2" x14ac:dyDescent="0.25">
      <c r="A188" s="2">
        <v>40755</v>
      </c>
      <c r="B188" s="1">
        <f>IF([1]Rseries!D133="","",[1]Rseries!D133)</f>
        <v>691855</v>
      </c>
    </row>
    <row r="189" spans="1:2" x14ac:dyDescent="0.25">
      <c r="A189" s="2">
        <v>40786</v>
      </c>
      <c r="B189" s="1">
        <f>IF([1]Rseries!D134="","",[1]Rseries!D134)</f>
        <v>685385.27</v>
      </c>
    </row>
    <row r="190" spans="1:2" x14ac:dyDescent="0.25">
      <c r="A190" s="2">
        <v>40816</v>
      </c>
      <c r="B190" s="1">
        <f>IF([1]Rseries!D135="","",[1]Rseries!D135)</f>
        <v>693533.59</v>
      </c>
    </row>
    <row r="191" spans="1:2" x14ac:dyDescent="0.25">
      <c r="A191" s="2">
        <v>40847</v>
      </c>
      <c r="B191" s="1">
        <f>IF([1]Rseries!D136="","",[1]Rseries!D136)</f>
        <v>678149.9</v>
      </c>
    </row>
    <row r="192" spans="1:2" x14ac:dyDescent="0.25">
      <c r="A192" s="2">
        <v>40877</v>
      </c>
      <c r="B192" s="1">
        <f>IF([1]Rseries!D137="","",[1]Rseries!D137)</f>
        <v>669531.04</v>
      </c>
    </row>
    <row r="193" spans="1:2" x14ac:dyDescent="0.25">
      <c r="A193" s="2">
        <v>40908</v>
      </c>
      <c r="B193" s="1">
        <f>IF([1]Rseries!D138="","",[1]Rseries!D138)</f>
        <v>668120.05000000005</v>
      </c>
    </row>
    <row r="194" spans="1:2" x14ac:dyDescent="0.25">
      <c r="A194" s="2">
        <v>40939</v>
      </c>
      <c r="B194" s="1">
        <f>IF([1]Rseries!D139="","",[1]Rseries!D139)</f>
        <v>652970.04</v>
      </c>
    </row>
    <row r="195" spans="1:2" x14ac:dyDescent="0.25">
      <c r="A195" s="2">
        <v>40968</v>
      </c>
      <c r="B195" s="1">
        <f>IF([1]Rseries!D140="","",[1]Rseries!D140)</f>
        <v>646074.19999999995</v>
      </c>
    </row>
    <row r="196" spans="1:2" x14ac:dyDescent="0.25">
      <c r="A196" s="2">
        <v>40999</v>
      </c>
      <c r="B196" s="1">
        <f>IF([1]Rseries!D141="","",[1]Rseries!D141)</f>
        <v>642174.76</v>
      </c>
    </row>
    <row r="197" spans="1:2" x14ac:dyDescent="0.25">
      <c r="A197" s="2">
        <v>41029</v>
      </c>
      <c r="B197" s="1">
        <f>IF([1]Rseries!D142="","",[1]Rseries!D142)</f>
        <v>638085.47</v>
      </c>
    </row>
    <row r="198" spans="1:2" x14ac:dyDescent="0.25">
      <c r="A198" s="2">
        <v>41060</v>
      </c>
      <c r="B198" s="1">
        <f>IF([1]Rseries!D143="","",[1]Rseries!D143)</f>
        <v>639652.9</v>
      </c>
    </row>
    <row r="199" spans="1:2" x14ac:dyDescent="0.25">
      <c r="A199" s="2">
        <v>41090</v>
      </c>
      <c r="B199" s="1">
        <f>IF([1]Rseries!D144="","",[1]Rseries!D144)</f>
        <v>644085.38</v>
      </c>
    </row>
    <row r="200" spans="1:2" x14ac:dyDescent="0.25">
      <c r="A200" s="2">
        <v>41121</v>
      </c>
      <c r="B200" s="1">
        <f>IF([1]Rseries!D145="","",[1]Rseries!D145)</f>
        <v>642184.9</v>
      </c>
    </row>
    <row r="201" spans="1:2" x14ac:dyDescent="0.25">
      <c r="A201" s="2">
        <v>41152</v>
      </c>
      <c r="B201" s="1">
        <f>IF([1]Rseries!D146="","",[1]Rseries!D146)</f>
        <v>632235.4</v>
      </c>
    </row>
    <row r="202" spans="1:2" x14ac:dyDescent="0.25">
      <c r="A202" s="2">
        <v>41182</v>
      </c>
      <c r="B202" s="1">
        <f>IF([1]Rseries!D147="","",[1]Rseries!D147)</f>
        <v>648786.35</v>
      </c>
    </row>
    <row r="203" spans="1:2" x14ac:dyDescent="0.25">
      <c r="A203" s="2">
        <v>41213</v>
      </c>
      <c r="B203" s="1">
        <f>IF([1]Rseries!D148="","",[1]Rseries!D148)</f>
        <v>632611</v>
      </c>
    </row>
    <row r="204" spans="1:2" x14ac:dyDescent="0.25">
      <c r="A204" s="2">
        <v>41243</v>
      </c>
      <c r="B204" s="1">
        <f>IF([1]Rseries!D149="","",[1]Rseries!D149)</f>
        <v>612091</v>
      </c>
    </row>
    <row r="205" spans="1:2" x14ac:dyDescent="0.25">
      <c r="A205" s="2">
        <v>41274</v>
      </c>
      <c r="B205" s="1">
        <f>IF([1]Rseries!D150="","",[1]Rseries!D150)</f>
        <v>605144</v>
      </c>
    </row>
    <row r="206" spans="1:2" x14ac:dyDescent="0.25">
      <c r="A206" s="2">
        <v>41305</v>
      </c>
      <c r="B206" s="1">
        <f>IF([1]Rseries!D151="","",[1]Rseries!D151)</f>
        <v>594636</v>
      </c>
    </row>
    <row r="207" spans="1:2" x14ac:dyDescent="0.25">
      <c r="A207" s="2">
        <v>41333</v>
      </c>
      <c r="B207" s="1">
        <f>IF([1]Rseries!D152="","",[1]Rseries!D152)</f>
        <v>592412</v>
      </c>
    </row>
    <row r="208" spans="1:2" x14ac:dyDescent="0.25">
      <c r="A208" s="2">
        <v>41364</v>
      </c>
      <c r="B208" s="1">
        <f>IF([1]Rseries!D153="","",[1]Rseries!D153)</f>
        <v>592358</v>
      </c>
    </row>
    <row r="209" spans="1:2" x14ac:dyDescent="0.25">
      <c r="A209" s="2">
        <v>41394</v>
      </c>
      <c r="B209" s="1">
        <f>IF([1]Rseries!D154="","",[1]Rseries!D154)</f>
        <v>592264</v>
      </c>
    </row>
    <row r="210" spans="1:2" x14ac:dyDescent="0.25">
      <c r="A210" s="2">
        <v>41425</v>
      </c>
      <c r="B210" s="1">
        <f>IF([1]Rseries!D155="","",[1]Rseries!D155)</f>
        <v>597592</v>
      </c>
    </row>
    <row r="211" spans="1:2" x14ac:dyDescent="0.25">
      <c r="A211" s="2">
        <v>41455</v>
      </c>
      <c r="B211" s="1">
        <f>IF([1]Rseries!D156="","",[1]Rseries!D156)</f>
        <v>603940</v>
      </c>
    </row>
    <row r="212" spans="1:2" x14ac:dyDescent="0.25">
      <c r="A212" s="2">
        <v>41486</v>
      </c>
      <c r="B212" s="1">
        <f>IF([1]Rseries!D157="","",[1]Rseries!D157)</f>
        <v>606878</v>
      </c>
    </row>
    <row r="213" spans="1:2" x14ac:dyDescent="0.25">
      <c r="A213" s="2">
        <v>41517</v>
      </c>
      <c r="B213" s="1">
        <f>IF([1]Rseries!D158="","",[1]Rseries!D158)</f>
        <v>602043</v>
      </c>
    </row>
    <row r="214" spans="1:2" x14ac:dyDescent="0.25">
      <c r="A214" s="2">
        <v>41547</v>
      </c>
      <c r="B214" s="1">
        <f>IF([1]Rseries!D159="","",[1]Rseries!D159)</f>
        <v>616141</v>
      </c>
    </row>
    <row r="215" spans="1:2" x14ac:dyDescent="0.25">
      <c r="A215" s="2">
        <v>41578</v>
      </c>
      <c r="B215" s="1">
        <f>IF([1]Rseries!D160="","",[1]Rseries!D160)</f>
        <v>619678</v>
      </c>
    </row>
    <row r="216" spans="1:2" x14ac:dyDescent="0.25">
      <c r="A216" s="2">
        <v>41608</v>
      </c>
      <c r="B216" s="1">
        <f>IF([1]Rseries!D161="","",[1]Rseries!D161)</f>
        <v>595066</v>
      </c>
    </row>
    <row r="217" spans="1:2" x14ac:dyDescent="0.25">
      <c r="A217" s="2">
        <v>41639</v>
      </c>
      <c r="B217" s="1">
        <f>IF([1]Rseries!D162="","",[1]Rseries!D162)</f>
        <v>600059</v>
      </c>
    </row>
    <row r="218" spans="1:2" x14ac:dyDescent="0.25">
      <c r="A218" s="2">
        <v>41670</v>
      </c>
      <c r="B218" s="1">
        <f>IF([1]Rseries!D163="","",[1]Rseries!D163)</f>
        <v>595608</v>
      </c>
    </row>
    <row r="219" spans="1:2" x14ac:dyDescent="0.25">
      <c r="A219" s="2">
        <v>41698</v>
      </c>
      <c r="B219" s="1">
        <f>IF([1]Rseries!D164="","",[1]Rseries!D164)</f>
        <v>594306</v>
      </c>
    </row>
    <row r="220" spans="1:2" x14ac:dyDescent="0.25">
      <c r="A220" s="2">
        <v>41729</v>
      </c>
      <c r="B220" s="1">
        <f>IF([1]Rseries!D165="","",[1]Rseries!D165)</f>
        <v>594281</v>
      </c>
    </row>
    <row r="221" spans="1:2" x14ac:dyDescent="0.25">
      <c r="A221" s="2">
        <v>41759</v>
      </c>
      <c r="B221" s="1">
        <f>IF([1]Rseries!D166="","",[1]Rseries!D166)</f>
        <v>596967</v>
      </c>
    </row>
    <row r="222" spans="1:2" x14ac:dyDescent="0.25">
      <c r="A222" s="2">
        <v>41790</v>
      </c>
      <c r="B222" s="1">
        <f>IF([1]Rseries!D167="","",[1]Rseries!D167)</f>
        <v>604556</v>
      </c>
    </row>
    <row r="223" spans="1:2" x14ac:dyDescent="0.25">
      <c r="A223" s="2">
        <v>41820</v>
      </c>
      <c r="B223" s="1">
        <f>IF([1]Rseries!D168="","",[1]Rseries!D168)</f>
        <v>613683</v>
      </c>
    </row>
    <row r="224" spans="1:2" x14ac:dyDescent="0.25">
      <c r="A224" s="2">
        <v>41851</v>
      </c>
      <c r="B224" s="1">
        <f>IF([1]Rseries!D169="","",[1]Rseries!D169)</f>
        <v>616879</v>
      </c>
    </row>
    <row r="225" spans="1:2" x14ac:dyDescent="0.25">
      <c r="A225" s="2">
        <v>41882</v>
      </c>
      <c r="B225" s="1">
        <f>IF([1]Rseries!D170="","",[1]Rseries!D170)</f>
        <v>611908</v>
      </c>
    </row>
    <row r="226" spans="1:2" x14ac:dyDescent="0.25">
      <c r="A226" s="2">
        <v>41912</v>
      </c>
      <c r="B226" s="1">
        <f>IF([1]Rseries!D171="","",[1]Rseries!D171)</f>
        <v>635035</v>
      </c>
    </row>
    <row r="227" spans="1:2" x14ac:dyDescent="0.25">
      <c r="A227" s="2">
        <v>41943</v>
      </c>
      <c r="B227" s="1">
        <f>IF([1]Rseries!D172="","",[1]Rseries!D172)</f>
        <v>612879</v>
      </c>
    </row>
    <row r="228" spans="1:2" x14ac:dyDescent="0.25">
      <c r="A228" s="2">
        <v>41973</v>
      </c>
      <c r="B228" s="1">
        <f>IF([1]Rseries!D173="","",[1]Rseries!D173)</f>
        <v>610645</v>
      </c>
    </row>
    <row r="229" spans="1:2" x14ac:dyDescent="0.25">
      <c r="A229" s="2">
        <v>42004</v>
      </c>
      <c r="B229" s="1">
        <f>IF([1]Rseries!D174="","",[1]Rseries!D174)</f>
        <v>612741</v>
      </c>
    </row>
    <row r="230" spans="1:2" x14ac:dyDescent="0.25">
      <c r="A230" s="2">
        <v>42035</v>
      </c>
      <c r="B230" s="1">
        <f>IF([1]Rseries!D175="","",[1]Rseries!D175)</f>
        <v>603123</v>
      </c>
    </row>
    <row r="231" spans="1:2" x14ac:dyDescent="0.25">
      <c r="A231" s="2">
        <v>42063</v>
      </c>
      <c r="B231" s="1">
        <f>IF([1]Rseries!D176="","",[1]Rseries!D176)</f>
        <v>606599</v>
      </c>
    </row>
    <row r="232" spans="1:2" x14ac:dyDescent="0.25">
      <c r="A232" s="2">
        <v>42094</v>
      </c>
      <c r="B232" s="1">
        <f>IF([1]Rseries!D177="","",[1]Rseries!D177)</f>
        <v>611615</v>
      </c>
    </row>
    <row r="233" spans="1:2" x14ac:dyDescent="0.25">
      <c r="A233" s="2">
        <v>42124</v>
      </c>
      <c r="B233" s="1">
        <f>IF([1]Rseries!D178="","",[1]Rseries!D178)</f>
        <v>618481</v>
      </c>
    </row>
    <row r="234" spans="1:2" x14ac:dyDescent="0.25">
      <c r="A234" s="2">
        <v>42155</v>
      </c>
      <c r="B234" s="1">
        <f>IF([1]Rseries!D179="","",[1]Rseries!D179)</f>
        <v>630757</v>
      </c>
    </row>
    <row r="235" spans="1:2" x14ac:dyDescent="0.25">
      <c r="A235" s="2">
        <v>42185</v>
      </c>
      <c r="B235" s="1">
        <f>IF([1]Rseries!D180="","",[1]Rseries!D180)</f>
        <v>639631</v>
      </c>
    </row>
    <row r="236" spans="1:2" x14ac:dyDescent="0.25">
      <c r="A236" s="2">
        <v>42216</v>
      </c>
      <c r="B236" s="1">
        <f>IF([1]Rseries!D181="","",[1]Rseries!D181)</f>
        <v>638847</v>
      </c>
    </row>
    <row r="237" spans="1:2" x14ac:dyDescent="0.25">
      <c r="A237" s="2">
        <v>42247</v>
      </c>
      <c r="B237" s="1">
        <f>IF([1]Rseries!D182="","",[1]Rseries!D182)</f>
        <v>632601</v>
      </c>
    </row>
    <row r="238" spans="1:2" x14ac:dyDescent="0.25">
      <c r="A238" s="2">
        <v>42277</v>
      </c>
      <c r="B238" s="1">
        <f>IF([1]Rseries!D183="","",[1]Rseries!D183)</f>
        <v>649763</v>
      </c>
    </row>
    <row r="239" spans="1:2" x14ac:dyDescent="0.25">
      <c r="A239" s="2">
        <v>42308</v>
      </c>
      <c r="B239" s="1">
        <f>IF([1]Rseries!D184="","",[1]Rseries!D184)</f>
        <v>632288</v>
      </c>
    </row>
    <row r="240" spans="1:2" x14ac:dyDescent="0.25">
      <c r="A240" s="2">
        <v>42338</v>
      </c>
      <c r="B240" s="1">
        <f>IF([1]Rseries!D185="","",[1]Rseries!D185)</f>
        <v>631186</v>
      </c>
    </row>
    <row r="241" spans="1:2" x14ac:dyDescent="0.25">
      <c r="A241" s="2">
        <v>42369</v>
      </c>
      <c r="B241" s="1">
        <f>IF([1]Rseries!D186="","",[1]Rseries!D186)</f>
        <v>633650</v>
      </c>
    </row>
    <row r="242" spans="1:2" x14ac:dyDescent="0.25">
      <c r="A242" s="2">
        <v>42400</v>
      </c>
      <c r="B242" s="1">
        <f>IF([1]Rseries!D187="","",[1]Rseries!D187)</f>
        <v>625440</v>
      </c>
    </row>
    <row r="243" spans="1:2" x14ac:dyDescent="0.25">
      <c r="A243" s="2">
        <v>42429</v>
      </c>
      <c r="B243" s="1">
        <f>IF([1]Rseries!D188="","",[1]Rseries!D188)</f>
        <v>625910</v>
      </c>
    </row>
    <row r="244" spans="1:2" x14ac:dyDescent="0.25">
      <c r="A244" s="2">
        <v>42460</v>
      </c>
      <c r="B244" s="1">
        <f>IF([1]Rseries!D189="","",[1]Rseries!D189)</f>
        <v>628179</v>
      </c>
    </row>
    <row r="245" spans="1:2" x14ac:dyDescent="0.25">
      <c r="A245" s="2">
        <v>42490</v>
      </c>
      <c r="B245" s="1">
        <f>IF([1]Rseries!D190="","",[1]Rseries!D190)</f>
        <v>634535</v>
      </c>
    </row>
    <row r="246" spans="1:2" x14ac:dyDescent="0.25">
      <c r="A246" s="2">
        <v>42521</v>
      </c>
      <c r="B246" s="1">
        <f>IF([1]Rseries!D191="","",[1]Rseries!D191)</f>
        <v>647124</v>
      </c>
    </row>
    <row r="247" spans="1:2" x14ac:dyDescent="0.25">
      <c r="A247" s="2">
        <v>42551</v>
      </c>
      <c r="B247" s="1">
        <f>IF([1]Rseries!D192="","",[1]Rseries!D192)</f>
        <v>661218</v>
      </c>
    </row>
    <row r="248" spans="1:2" x14ac:dyDescent="0.25">
      <c r="A248" s="2">
        <v>42582</v>
      </c>
      <c r="B248" s="1">
        <f>IF([1]Rseries!D193="","",[1]Rseries!D193)</f>
        <v>663989</v>
      </c>
    </row>
    <row r="249" spans="1:2" x14ac:dyDescent="0.25">
      <c r="A249" s="2">
        <v>42613</v>
      </c>
      <c r="B249" s="1">
        <f>IF([1]Rseries!D194="","",[1]Rseries!D194)</f>
        <v>657186</v>
      </c>
    </row>
    <row r="250" spans="1:2" x14ac:dyDescent="0.25">
      <c r="A250" s="2">
        <v>42643</v>
      </c>
      <c r="B250" s="1">
        <f>IF([1]Rseries!D195="","",[1]Rseries!D195)</f>
        <v>671356</v>
      </c>
    </row>
    <row r="251" spans="1:2" x14ac:dyDescent="0.25">
      <c r="A251" s="2">
        <v>42674</v>
      </c>
      <c r="B251" s="1">
        <f>IF([1]Rseries!D196="","",[1]Rseries!D196)</f>
        <v>662111</v>
      </c>
    </row>
    <row r="252" spans="1:2" x14ac:dyDescent="0.25">
      <c r="A252" s="2">
        <v>42704</v>
      </c>
      <c r="B252" s="1">
        <f>IF([1]Rseries!D197="","",[1]Rseries!D197)</f>
        <v>651387</v>
      </c>
    </row>
    <row r="253" spans="1:2" x14ac:dyDescent="0.25">
      <c r="A253" s="2">
        <v>42735</v>
      </c>
      <c r="B253" s="1">
        <f>IF([1]Rseries!D198="","",[1]Rseries!D198)</f>
        <v>653281</v>
      </c>
    </row>
    <row r="254" spans="1:2" x14ac:dyDescent="0.25">
      <c r="A254" s="2">
        <v>42766</v>
      </c>
      <c r="B254" s="1">
        <f>IF([1]Rseries!D199="","",[1]Rseries!D199)</f>
        <v>648189</v>
      </c>
    </row>
    <row r="255" spans="1:2" x14ac:dyDescent="0.25">
      <c r="A255" s="2">
        <v>42794</v>
      </c>
      <c r="B255" s="1">
        <f>IF([1]Rseries!D200="","",[1]Rseries!D200)</f>
        <v>648182.85</v>
      </c>
    </row>
    <row r="256" spans="1:2" x14ac:dyDescent="0.25">
      <c r="A256" s="2">
        <v>42825</v>
      </c>
      <c r="B256" s="1">
        <f>IF([1]Rseries!D201="","",[1]Rseries!D201)</f>
        <v>649913.06000000006</v>
      </c>
    </row>
    <row r="257" spans="1:2" x14ac:dyDescent="0.25">
      <c r="A257" s="2">
        <v>42855</v>
      </c>
      <c r="B257" s="1">
        <f>IF([1]Rseries!D202="","",[1]Rseries!D202)</f>
        <v>653468</v>
      </c>
    </row>
    <row r="258" spans="1:2" x14ac:dyDescent="0.25">
      <c r="A258" s="2">
        <v>42886</v>
      </c>
      <c r="B258" s="1">
        <f>IF([1]Rseries!D203="","",[1]Rseries!D203)</f>
        <v>663468</v>
      </c>
    </row>
    <row r="259" spans="1:2" x14ac:dyDescent="0.25">
      <c r="A259" s="2">
        <v>42916</v>
      </c>
      <c r="B259" s="1">
        <f>IF([1]Rseries!D204="","",[1]Rseries!D204)</f>
        <v>677210</v>
      </c>
    </row>
    <row r="260" spans="1:2" x14ac:dyDescent="0.25">
      <c r="A260" s="2">
        <v>42947</v>
      </c>
      <c r="B260" s="1">
        <f>IF([1]Rseries!D205="","",[1]Rseries!D205)</f>
        <v>679267</v>
      </c>
    </row>
    <row r="261" spans="1:2" x14ac:dyDescent="0.25">
      <c r="A261" s="2">
        <v>42978</v>
      </c>
      <c r="B261" s="1">
        <f>IF([1]Rseries!D206="","",[1]Rseries!D206)</f>
        <v>673974</v>
      </c>
    </row>
    <row r="262" spans="1:2" x14ac:dyDescent="0.25">
      <c r="A262" s="2">
        <v>43008</v>
      </c>
      <c r="B262" s="1">
        <f>IF([1]Rseries!D207="","",[1]Rseries!D207)</f>
        <v>690388</v>
      </c>
    </row>
    <row r="263" spans="1:2" x14ac:dyDescent="0.25">
      <c r="A263" s="2">
        <v>43039</v>
      </c>
      <c r="B263" s="1">
        <f>IF([1]Rseries!D208="","",[1]Rseries!D208)</f>
        <v>679521</v>
      </c>
    </row>
    <row r="264" spans="1:2" x14ac:dyDescent="0.25">
      <c r="A264" s="2">
        <v>43069</v>
      </c>
      <c r="B264" s="1">
        <f>IF([1]Rseries!D209="","",[1]Rseries!D209)</f>
        <v>681737</v>
      </c>
    </row>
    <row r="265" spans="1:2" x14ac:dyDescent="0.25">
      <c r="A265" s="2">
        <v>43100</v>
      </c>
      <c r="B265" s="1">
        <f>IF([1]Rseries!D210="","",[1]Rseries!D210)</f>
        <v>682497</v>
      </c>
    </row>
    <row r="266" spans="1:2" x14ac:dyDescent="0.25">
      <c r="A266" s="2">
        <v>43131</v>
      </c>
      <c r="B266" s="1">
        <f>IF([1]Rseries!D211="","",[1]Rseries!D211)</f>
        <v>673915</v>
      </c>
    </row>
    <row r="267" spans="1:2" x14ac:dyDescent="0.25">
      <c r="A267" s="2">
        <v>43159</v>
      </c>
      <c r="B267" s="1">
        <f>IF([1]Rseries!D212="","",[1]Rseries!D212)</f>
        <v>671808</v>
      </c>
    </row>
    <row r="268" spans="1:2" x14ac:dyDescent="0.25">
      <c r="A268" s="2">
        <v>43190</v>
      </c>
      <c r="B268" s="1">
        <f>IF([1]Rseries!D213="","",[1]Rseries!D213)</f>
        <v>671590</v>
      </c>
    </row>
    <row r="269" spans="1:2" x14ac:dyDescent="0.25">
      <c r="A269" s="2">
        <v>43220</v>
      </c>
      <c r="B269" s="1">
        <f>IF([1]Rseries!D214="","",[1]Rseries!D214)</f>
        <v>672551</v>
      </c>
    </row>
    <row r="270" spans="1:2" x14ac:dyDescent="0.25">
      <c r="A270" s="2">
        <v>43251</v>
      </c>
      <c r="B270" s="1">
        <f>IF([1]Rseries!D215="","",[1]Rseries!D215)</f>
        <v>681815</v>
      </c>
    </row>
    <row r="271" spans="1:2" x14ac:dyDescent="0.25">
      <c r="A271" s="2">
        <v>43281</v>
      </c>
      <c r="B271" s="1">
        <f>IF([1]Rseries!D216="","",[1]Rseries!D216)</f>
        <v>694273</v>
      </c>
    </row>
    <row r="272" spans="1:2" x14ac:dyDescent="0.25">
      <c r="A272" s="2">
        <v>43312</v>
      </c>
      <c r="B272" s="1">
        <f>IF([1]Rseries!D217="","",[1]Rseries!D217)</f>
        <v>702314</v>
      </c>
    </row>
    <row r="273" spans="1:2" x14ac:dyDescent="0.25">
      <c r="A273" s="2">
        <v>43343</v>
      </c>
      <c r="B273" s="1">
        <f>IF([1]Rseries!D218="","",[1]Rseries!D218)</f>
        <v>695247</v>
      </c>
    </row>
    <row r="274" spans="1:2" x14ac:dyDescent="0.25">
      <c r="A274" s="2">
        <v>43373</v>
      </c>
      <c r="B274" s="1">
        <f>IF([1]Rseries!D219="","",[1]Rseries!D219)</f>
        <v>702607</v>
      </c>
    </row>
    <row r="275" spans="1:2" x14ac:dyDescent="0.25">
      <c r="A275" s="2">
        <v>43404</v>
      </c>
      <c r="B275" s="1">
        <f>IF([1]Rseries!D220="","",[1]Rseries!D220)</f>
        <v>704536</v>
      </c>
    </row>
    <row r="276" spans="1:2" x14ac:dyDescent="0.25">
      <c r="A276" s="2">
        <v>43434</v>
      </c>
      <c r="B276" s="1">
        <f>IF([1]Rseries!D221="","",[1]Rseries!D221)</f>
        <v>698643</v>
      </c>
    </row>
    <row r="277" spans="1:2" x14ac:dyDescent="0.25">
      <c r="A277" s="2">
        <v>43465</v>
      </c>
      <c r="B277" s="1">
        <f>IF([1]Rseries!D222="","",[1]Rseries!D222)</f>
        <v>706197</v>
      </c>
    </row>
    <row r="278" spans="1:2" x14ac:dyDescent="0.25">
      <c r="A278" s="2">
        <v>43496</v>
      </c>
      <c r="B278" s="1">
        <f>IF([1]Rseries!D223="","",[1]Rseries!D223)</f>
        <v>701074</v>
      </c>
    </row>
    <row r="279" spans="1:2" x14ac:dyDescent="0.25">
      <c r="A279" s="2">
        <v>43524</v>
      </c>
      <c r="B279" s="1">
        <f>IF([1]Rseries!D224="","",[1]Rseries!D224)</f>
        <v>698703</v>
      </c>
    </row>
    <row r="280" spans="1:2" x14ac:dyDescent="0.25">
      <c r="A280" s="2">
        <v>43555</v>
      </c>
      <c r="B280" s="1">
        <f>IF([1]Rseries!D225="","",[1]Rseries!D225)</f>
        <v>698234</v>
      </c>
    </row>
    <row r="281" spans="1:2" x14ac:dyDescent="0.25">
      <c r="A281" s="2">
        <v>43585</v>
      </c>
      <c r="B281" s="1">
        <f>IF([1]Rseries!D226="","",[1]Rseries!D226)</f>
        <v>698421</v>
      </c>
    </row>
    <row r="282" spans="1:2" x14ac:dyDescent="0.25">
      <c r="A282" s="2">
        <v>43616</v>
      </c>
      <c r="B282" s="1">
        <f>IF([1]Rseries!D227="","",[1]Rseries!D227)</f>
        <v>704185</v>
      </c>
    </row>
    <row r="283" spans="1:2" x14ac:dyDescent="0.25">
      <c r="A283" s="2">
        <v>43646</v>
      </c>
      <c r="B283" s="1">
        <f>IF([1]Rseries!D228="","",[1]Rseries!D228)</f>
        <v>714916</v>
      </c>
    </row>
    <row r="284" spans="1:2" x14ac:dyDescent="0.25">
      <c r="A284" s="2">
        <v>43677</v>
      </c>
      <c r="B284" s="1">
        <f>IF([1]Rseries!D229="","",[1]Rseries!D229)</f>
        <v>719049</v>
      </c>
    </row>
    <row r="285" spans="1:2" x14ac:dyDescent="0.25">
      <c r="A285" s="2">
        <v>43708</v>
      </c>
      <c r="B285" s="1">
        <f>IF([1]Rseries!D230="","",[1]Rseries!D230)</f>
        <v>710494</v>
      </c>
    </row>
    <row r="286" spans="1:2" x14ac:dyDescent="0.25">
      <c r="A286" s="2">
        <v>43738</v>
      </c>
      <c r="B286" s="1">
        <f>IF([1]Rseries!D231="","",[1]Rseries!D231)</f>
        <v>717801</v>
      </c>
    </row>
    <row r="287" spans="1:2" x14ac:dyDescent="0.25">
      <c r="A287" s="2">
        <v>43769</v>
      </c>
      <c r="B287" s="1">
        <f>IF([1]Rseries!D232="","",[1]Rseries!D232)</f>
        <v>712497</v>
      </c>
    </row>
    <row r="288" spans="1:2" x14ac:dyDescent="0.25">
      <c r="A288" s="2">
        <v>43799</v>
      </c>
      <c r="B288" s="1">
        <f>IF([1]Rseries!D233="","",[1]Rseries!D233)</f>
        <v>711466</v>
      </c>
    </row>
    <row r="289" spans="1:2" x14ac:dyDescent="0.25">
      <c r="A289" s="2">
        <v>43830</v>
      </c>
      <c r="B289" s="1">
        <f>IF([1]Rseries!D234="","",[1]Rseries!D234)</f>
        <v>714036</v>
      </c>
    </row>
    <row r="290" spans="1:2" x14ac:dyDescent="0.25">
      <c r="A290" s="2">
        <v>43861</v>
      </c>
      <c r="B290" s="1">
        <f>IF([1]Rseries!D235="","",[1]Rseries!D235)</f>
        <v>703384</v>
      </c>
    </row>
    <row r="291" spans="1:2" x14ac:dyDescent="0.25">
      <c r="A291" s="2">
        <v>43890</v>
      </c>
      <c r="B291" s="1">
        <f>IF([1]Rseries!D236="","",[1]Rseries!D236)</f>
        <v>704776.05</v>
      </c>
    </row>
    <row r="292" spans="1:2" x14ac:dyDescent="0.25">
      <c r="A292" s="2">
        <v>43921</v>
      </c>
      <c r="B292" s="1">
        <f>IF([1]Rseries!D237="","",[1]Rseries!D237)</f>
        <v>694045.8</v>
      </c>
    </row>
    <row r="293" spans="1:2" x14ac:dyDescent="0.25">
      <c r="A293" s="2">
        <v>43951</v>
      </c>
      <c r="B293" s="1">
        <f>IF([1]Rseries!D238="","",[1]Rseries!D238)</f>
        <v>674237.15</v>
      </c>
    </row>
    <row r="294" spans="1:2" x14ac:dyDescent="0.25">
      <c r="A294" s="2">
        <v>43982</v>
      </c>
      <c r="B294" s="1">
        <f>IF([1]Rseries!D239="","",[1]Rseries!D239)</f>
        <v>684346.25</v>
      </c>
    </row>
    <row r="295" spans="1:2" x14ac:dyDescent="0.25">
      <c r="A295" s="2">
        <v>44012</v>
      </c>
      <c r="B295" s="1">
        <f>IF([1]Rseries!D240="","",[1]Rseries!D240)</f>
        <v>699467.22727000003</v>
      </c>
    </row>
    <row r="296" spans="1:2" x14ac:dyDescent="0.25">
      <c r="A296" s="2">
        <v>44043</v>
      </c>
      <c r="B296" s="1">
        <f>IF([1]Rseries!D241="","",[1]Rseries!D241)</f>
        <v>705599.43</v>
      </c>
    </row>
    <row r="297" spans="1:2" x14ac:dyDescent="0.25">
      <c r="A297" s="2">
        <v>44074</v>
      </c>
      <c r="B297" s="1">
        <f>IF([1]Rseries!D242="","",[1]Rseries!D242)</f>
        <v>704434.63</v>
      </c>
    </row>
    <row r="298" spans="1:2" x14ac:dyDescent="0.25">
      <c r="A298" s="2">
        <v>44104</v>
      </c>
      <c r="B298" s="1">
        <f>IF([1]Rseries!D243="","",[1]Rseries!D243)</f>
        <v>720601.01</v>
      </c>
    </row>
    <row r="299" spans="1:2" x14ac:dyDescent="0.25">
      <c r="A299" s="2">
        <v>44135</v>
      </c>
      <c r="B299" s="1">
        <f>IF([1]Rseries!D244="","",[1]Rseries!D244)</f>
        <v>713131.64000000013</v>
      </c>
    </row>
    <row r="300" spans="1:2" x14ac:dyDescent="0.25">
      <c r="A300" s="2">
        <v>44165</v>
      </c>
      <c r="B300" s="1">
        <f>IF([1]Rseries!D245="","",[1]Rseries!D245)</f>
        <v>715002.44</v>
      </c>
    </row>
    <row r="301" spans="1:2" x14ac:dyDescent="0.25">
      <c r="A301" s="2">
        <v>44196</v>
      </c>
      <c r="B301" s="1">
        <f>IF([1]Rseries!D246="","",[1]Rseries!D246)</f>
        <v>717898.93</v>
      </c>
    </row>
    <row r="302" spans="1:2" x14ac:dyDescent="0.25">
      <c r="A302" s="2">
        <v>44227</v>
      </c>
      <c r="B302" s="1">
        <f>IF([1]Rseries!D247="","",[1]Rseries!D247)</f>
        <v>705213.32000000007</v>
      </c>
    </row>
    <row r="303" spans="1:2" x14ac:dyDescent="0.25">
      <c r="A303" s="2">
        <v>44255</v>
      </c>
      <c r="B303" s="1">
        <f>IF([1]Rseries!D248="","",[1]Rseries!D248)</f>
        <v>704489.25</v>
      </c>
    </row>
    <row r="304" spans="1:2" x14ac:dyDescent="0.25">
      <c r="A304" s="2">
        <v>44286</v>
      </c>
      <c r="B304" s="1" t="str">
        <f>IF([1]Rseries!D249="","",[1]Rseries!D249)</f>
        <v/>
      </c>
    </row>
    <row r="305" spans="1:2" x14ac:dyDescent="0.25">
      <c r="A305" s="2">
        <v>44316</v>
      </c>
      <c r="B305" s="1" t="str">
        <f>IF([1]Rseries!D250="","",[1]Rseries!D250)</f>
        <v/>
      </c>
    </row>
    <row r="306" spans="1:2" x14ac:dyDescent="0.25">
      <c r="A306" s="2">
        <v>44347</v>
      </c>
      <c r="B306" s="1" t="str">
        <f>IF([1]Rseries!D251="","",[1]Rseries!D251)</f>
        <v/>
      </c>
    </row>
    <row r="307" spans="1:2" x14ac:dyDescent="0.25">
      <c r="A307" s="2">
        <v>44377</v>
      </c>
      <c r="B307" s="1" t="str">
        <f>IF([1]Rseries!D252="","",[1]Rseries!D252)</f>
        <v/>
      </c>
    </row>
    <row r="308" spans="1:2" x14ac:dyDescent="0.25">
      <c r="A308" s="2">
        <v>44408</v>
      </c>
      <c r="B308" s="1" t="str">
        <f>IF([1]Rseries!D253="","",[1]Rseries!D253)</f>
        <v/>
      </c>
    </row>
    <row r="309" spans="1:2" x14ac:dyDescent="0.25">
      <c r="A309" s="2">
        <v>44439</v>
      </c>
      <c r="B309" s="1" t="str">
        <f>IF([1]Rseries!D254="","",[1]Rseries!D254)</f>
        <v/>
      </c>
    </row>
    <row r="310" spans="1:2" x14ac:dyDescent="0.25">
      <c r="A310" s="2">
        <v>44469</v>
      </c>
      <c r="B310" s="1" t="str">
        <f>IF([1]Rseries!D255="","",[1]Rseries!D255)</f>
        <v/>
      </c>
    </row>
    <row r="311" spans="1:2" x14ac:dyDescent="0.25">
      <c r="A311" s="2">
        <v>44500</v>
      </c>
      <c r="B311" s="1" t="str">
        <f>IF([1]Rseries!D256="","",[1]Rseries!D256)</f>
        <v/>
      </c>
    </row>
    <row r="312" spans="1:2" x14ac:dyDescent="0.25">
      <c r="A312" s="2">
        <v>44530</v>
      </c>
      <c r="B312" s="1" t="str">
        <f>IF([1]Rseries!D257="","",[1]Rseries!D257)</f>
        <v/>
      </c>
    </row>
    <row r="313" spans="1:2" x14ac:dyDescent="0.25">
      <c r="A313" s="2">
        <v>44561</v>
      </c>
      <c r="B313" s="1" t="str">
        <f>IF([1]Rseries!D258="","",[1]Rseries!D258)</f>
        <v/>
      </c>
    </row>
    <row r="314" spans="1:2" x14ac:dyDescent="0.25">
      <c r="A314" s="2">
        <v>44592</v>
      </c>
      <c r="B314" s="1" t="str">
        <f>IF([1]Rseries!D259="","",[1]Rseries!D259)</f>
        <v/>
      </c>
    </row>
    <row r="315" spans="1:2" x14ac:dyDescent="0.25">
      <c r="A315" s="2">
        <v>44620</v>
      </c>
      <c r="B315" s="1" t="str">
        <f>IF([1]Rseries!D260="","",[1]Rseries!D260)</f>
        <v/>
      </c>
    </row>
    <row r="316" spans="1:2" x14ac:dyDescent="0.25">
      <c r="A316" s="2">
        <v>44651</v>
      </c>
      <c r="B316" s="1" t="str">
        <f>IF([1]Rseries!D261="","",[1]Rseries!D261)</f>
        <v/>
      </c>
    </row>
    <row r="317" spans="1:2" x14ac:dyDescent="0.25">
      <c r="A317" s="2">
        <v>44681</v>
      </c>
      <c r="B317" s="1" t="str">
        <f>IF([1]Rseries!D262="","",[1]Rseries!D262)</f>
        <v/>
      </c>
    </row>
    <row r="318" spans="1:2" x14ac:dyDescent="0.25">
      <c r="A318" s="2">
        <v>44712</v>
      </c>
      <c r="B318" s="1" t="str">
        <f>IF([1]Rseries!D263="","",[1]Rseries!D263)</f>
        <v/>
      </c>
    </row>
    <row r="319" spans="1:2" x14ac:dyDescent="0.25">
      <c r="A319" s="2">
        <v>44742</v>
      </c>
      <c r="B319" s="1" t="str">
        <f>IF([1]Rseries!D264="","",[1]Rseries!D264)</f>
        <v/>
      </c>
    </row>
    <row r="320" spans="1:2" x14ac:dyDescent="0.25">
      <c r="A320" s="2">
        <v>44773</v>
      </c>
      <c r="B320" s="1" t="str">
        <f>IF([1]Rseries!D265="","",[1]Rseries!D265)</f>
        <v/>
      </c>
    </row>
    <row r="321" spans="1:2" x14ac:dyDescent="0.25">
      <c r="A321" s="2">
        <v>44804</v>
      </c>
      <c r="B321" s="1" t="str">
        <f>IF([1]Rseries!D266="","",[1]Rseries!D266)</f>
        <v/>
      </c>
    </row>
    <row r="322" spans="1:2" x14ac:dyDescent="0.25">
      <c r="A322" s="2">
        <v>44834</v>
      </c>
      <c r="B322" s="1" t="str">
        <f>IF([1]Rseries!D267="","",[1]Rseries!D267)</f>
        <v/>
      </c>
    </row>
    <row r="323" spans="1:2" x14ac:dyDescent="0.25">
      <c r="A323" s="2">
        <v>44865</v>
      </c>
      <c r="B323" s="1" t="str">
        <f>IF([1]Rseries!D268="","",[1]Rseries!D268)</f>
        <v/>
      </c>
    </row>
    <row r="324" spans="1:2" x14ac:dyDescent="0.25">
      <c r="A324" s="2">
        <v>44895</v>
      </c>
      <c r="B324" s="1" t="str">
        <f>IF([1]Rseries!D269="","",[1]Rseries!D269)</f>
        <v/>
      </c>
    </row>
    <row r="325" spans="1:2" x14ac:dyDescent="0.25">
      <c r="A325" s="2">
        <v>44926</v>
      </c>
      <c r="B325" s="1" t="str">
        <f>IF([1]Rseries!D270="","",[1]Rseries!D270)</f>
        <v/>
      </c>
    </row>
    <row r="326" spans="1:2" x14ac:dyDescent="0.25">
      <c r="A326" s="2">
        <v>44957</v>
      </c>
      <c r="B326" s="1" t="str">
        <f>IF([1]Rseries!D271="","",[1]Rseries!D271)</f>
        <v/>
      </c>
    </row>
    <row r="327" spans="1:2" x14ac:dyDescent="0.25">
      <c r="A327" s="2">
        <v>44985</v>
      </c>
      <c r="B327" s="1" t="str">
        <f>IF([1]Rseries!D272="","",[1]Rseries!D272)</f>
        <v/>
      </c>
    </row>
    <row r="328" spans="1:2" x14ac:dyDescent="0.25">
      <c r="A328" s="2">
        <v>45016</v>
      </c>
      <c r="B328" s="1" t="str">
        <f>IF([1]Rseries!D273="","",[1]Rseries!D273)</f>
        <v/>
      </c>
    </row>
    <row r="329" spans="1:2" x14ac:dyDescent="0.25">
      <c r="A329" s="2">
        <v>45046</v>
      </c>
      <c r="B329" s="1" t="str">
        <f>IF([1]Rseries!D274="","",[1]Rseries!D274)</f>
        <v/>
      </c>
    </row>
    <row r="330" spans="1:2" x14ac:dyDescent="0.25">
      <c r="A330" s="2">
        <v>45077</v>
      </c>
      <c r="B330" s="1" t="str">
        <f>IF([1]Rseries!D275="","",[1]Rseries!D275)</f>
        <v/>
      </c>
    </row>
    <row r="331" spans="1:2" x14ac:dyDescent="0.25">
      <c r="A331" s="2">
        <v>45107</v>
      </c>
      <c r="B331" s="1" t="str">
        <f>IF([1]Rseries!D276="","",[1]Rseries!D276)</f>
        <v/>
      </c>
    </row>
    <row r="332" spans="1:2" x14ac:dyDescent="0.25">
      <c r="A332" s="2">
        <v>45138</v>
      </c>
      <c r="B332" s="1" t="str">
        <f>IF([1]Rseries!D277="","",[1]Rseries!D277)</f>
        <v/>
      </c>
    </row>
    <row r="333" spans="1:2" x14ac:dyDescent="0.25">
      <c r="A333" s="2">
        <v>45169</v>
      </c>
      <c r="B333" s="1" t="str">
        <f>IF([1]Rseries!D278="","",[1]Rseries!D278)</f>
        <v/>
      </c>
    </row>
    <row r="334" spans="1:2" x14ac:dyDescent="0.25">
      <c r="A334" s="2">
        <v>45199</v>
      </c>
      <c r="B334" s="1" t="str">
        <f>IF([1]Rseries!D279="","",[1]Rseries!D279)</f>
        <v/>
      </c>
    </row>
    <row r="335" spans="1:2" x14ac:dyDescent="0.25">
      <c r="A335" s="2">
        <v>45230</v>
      </c>
      <c r="B335" s="1" t="str">
        <f>IF([1]Rseries!D280="","",[1]Rseries!D280)</f>
        <v/>
      </c>
    </row>
    <row r="336" spans="1:2" x14ac:dyDescent="0.25">
      <c r="A336" s="2">
        <v>45260</v>
      </c>
      <c r="B336" s="1" t="str">
        <f>IF([1]Rseries!D281="","",[1]Rseries!D281)</f>
        <v/>
      </c>
    </row>
    <row r="337" spans="1:2" x14ac:dyDescent="0.25">
      <c r="A337" s="2">
        <v>45291</v>
      </c>
      <c r="B337" s="1" t="str">
        <f>IF([1]Rseries!D282="","",[1]Rseries!D282)</f>
        <v/>
      </c>
    </row>
    <row r="338" spans="1:2" x14ac:dyDescent="0.25">
      <c r="A338" s="2">
        <v>45322</v>
      </c>
      <c r="B338" s="1" t="str">
        <f>IF([1]Rseries!D283="","",[1]Rseries!D283)</f>
        <v/>
      </c>
    </row>
    <row r="339" spans="1:2" x14ac:dyDescent="0.25">
      <c r="A339" s="2">
        <v>45351</v>
      </c>
      <c r="B339" s="1" t="str">
        <f>IF([1]Rseries!D284="","",[1]Rseries!D284)</f>
        <v/>
      </c>
    </row>
    <row r="340" spans="1:2" x14ac:dyDescent="0.25">
      <c r="A340" s="2">
        <v>45382</v>
      </c>
      <c r="B340" s="1" t="str">
        <f>IF([1]Rseries!D285="","",[1]Rseries!D285)</f>
        <v/>
      </c>
    </row>
    <row r="341" spans="1:2" x14ac:dyDescent="0.25">
      <c r="A341" s="2">
        <v>45412</v>
      </c>
      <c r="B341" s="1" t="str">
        <f>IF([1]Rseries!D286="","",[1]Rseries!D286)</f>
        <v/>
      </c>
    </row>
    <row r="342" spans="1:2" x14ac:dyDescent="0.25">
      <c r="A342" s="2">
        <v>45443</v>
      </c>
      <c r="B342" s="1" t="str">
        <f>IF([1]Rseries!D287="","",[1]Rseries!D287)</f>
        <v/>
      </c>
    </row>
    <row r="343" spans="1:2" x14ac:dyDescent="0.25">
      <c r="A343" s="2">
        <v>45473</v>
      </c>
      <c r="B343" s="1" t="str">
        <f>IF([1]Rseries!D288="","",[1]Rseries!D288)</f>
        <v/>
      </c>
    </row>
    <row r="344" spans="1:2" x14ac:dyDescent="0.25">
      <c r="A344" s="2">
        <v>45504</v>
      </c>
      <c r="B344" s="1" t="str">
        <f>IF([1]Rseries!D289="","",[1]Rseries!D289)</f>
        <v/>
      </c>
    </row>
    <row r="345" spans="1:2" x14ac:dyDescent="0.25">
      <c r="A345" s="2">
        <v>45535</v>
      </c>
      <c r="B345" s="1" t="str">
        <f>IF([1]Rseries!D290="","",[1]Rseries!D290)</f>
        <v/>
      </c>
    </row>
    <row r="346" spans="1:2" x14ac:dyDescent="0.25">
      <c r="A346" s="2">
        <v>45565</v>
      </c>
      <c r="B346" s="1" t="str">
        <f>IF([1]Rseries!D291="","",[1]Rseries!D291)</f>
        <v/>
      </c>
    </row>
    <row r="347" spans="1:2" x14ac:dyDescent="0.25">
      <c r="A347" s="2">
        <v>45596</v>
      </c>
      <c r="B347" s="1" t="str">
        <f>IF([1]Rseries!D292="","",[1]Rseries!D292)</f>
        <v/>
      </c>
    </row>
    <row r="348" spans="1:2" x14ac:dyDescent="0.25">
      <c r="A348" s="2">
        <v>45626</v>
      </c>
      <c r="B348" s="1" t="str">
        <f>IF([1]Rseries!D293="","",[1]Rseries!D293)</f>
        <v/>
      </c>
    </row>
    <row r="349" spans="1:2" x14ac:dyDescent="0.25">
      <c r="A349" s="2">
        <v>45657</v>
      </c>
      <c r="B349" s="1" t="str">
        <f>IF([1]Rseries!D294="","",[1]Rseries!D294)</f>
        <v/>
      </c>
    </row>
    <row r="350" spans="1:2" x14ac:dyDescent="0.25">
      <c r="A350" s="2">
        <v>45688</v>
      </c>
      <c r="B350" s="1" t="str">
        <f>IF([1]Rseries!D295="","",[1]Rseries!D295)</f>
        <v/>
      </c>
    </row>
    <row r="351" spans="1:2" x14ac:dyDescent="0.25">
      <c r="A351" s="2">
        <v>45716</v>
      </c>
      <c r="B351" s="1" t="str">
        <f>IF([1]Rseries!D296="","",[1]Rseries!D296)</f>
        <v/>
      </c>
    </row>
    <row r="352" spans="1:2" x14ac:dyDescent="0.25">
      <c r="A352" s="2">
        <v>45747</v>
      </c>
      <c r="B352" s="1" t="str">
        <f>IF([1]Rseries!D297="","",[1]Rseries!D297)</f>
        <v/>
      </c>
    </row>
    <row r="353" spans="1:2" x14ac:dyDescent="0.25">
      <c r="A353" s="2">
        <v>45777</v>
      </c>
      <c r="B353" s="1" t="str">
        <f>IF([1]Rseries!D298="","",[1]Rseries!D298)</f>
        <v/>
      </c>
    </row>
    <row r="354" spans="1:2" x14ac:dyDescent="0.25">
      <c r="A354" s="2">
        <v>45808</v>
      </c>
      <c r="B354" s="1" t="str">
        <f>IF([1]Rseries!D299="","",[1]Rseries!D299)</f>
        <v/>
      </c>
    </row>
    <row r="355" spans="1:2" x14ac:dyDescent="0.25">
      <c r="A355" s="2">
        <v>45838</v>
      </c>
      <c r="B355" s="1" t="str">
        <f>IF([1]Rseries!D300="","",[1]Rseries!D300)</f>
        <v/>
      </c>
    </row>
    <row r="356" spans="1:2" x14ac:dyDescent="0.25">
      <c r="A356" s="2">
        <v>45869</v>
      </c>
      <c r="B356" s="1" t="str">
        <f>IF([1]Rseries!D301="","",[1]Rseries!D301)</f>
        <v/>
      </c>
    </row>
    <row r="357" spans="1:2" x14ac:dyDescent="0.25">
      <c r="A357" s="2">
        <v>45900</v>
      </c>
      <c r="B357" s="1" t="str">
        <f>IF([1]Rseries!D302="","",[1]Rseries!D302)</f>
        <v/>
      </c>
    </row>
    <row r="358" spans="1:2" x14ac:dyDescent="0.25">
      <c r="A358" s="2">
        <v>45930</v>
      </c>
      <c r="B358" s="1" t="str">
        <f>IF([1]Rseries!D303="","",[1]Rseries!D303)</f>
        <v/>
      </c>
    </row>
    <row r="359" spans="1:2" x14ac:dyDescent="0.25">
      <c r="A359" s="2">
        <v>45961</v>
      </c>
      <c r="B359" s="1" t="str">
        <f>IF([1]Rseries!D304="","",[1]Rseries!D304)</f>
        <v/>
      </c>
    </row>
    <row r="360" spans="1:2" x14ac:dyDescent="0.25">
      <c r="A360" s="2">
        <v>45991</v>
      </c>
      <c r="B360" s="1" t="str">
        <f>IF([1]Rseries!D305="","",[1]Rseries!D305)</f>
        <v/>
      </c>
    </row>
    <row r="361" spans="1:2" x14ac:dyDescent="0.25">
      <c r="A361" s="2">
        <v>46022</v>
      </c>
      <c r="B361" s="1" t="str">
        <f>IF([1]Rseries!D306="","",[1]Rseries!D306)</f>
        <v/>
      </c>
    </row>
    <row r="362" spans="1:2" x14ac:dyDescent="0.25">
      <c r="A362" s="2">
        <v>46053</v>
      </c>
      <c r="B362" s="1" t="str">
        <f>IF([1]Rseries!D307="","",[1]Rseries!D307)</f>
        <v/>
      </c>
    </row>
    <row r="363" spans="1:2" x14ac:dyDescent="0.25">
      <c r="A363" s="2">
        <v>46081</v>
      </c>
      <c r="B363" s="1" t="str">
        <f>IF([1]Rseries!D308="","",[1]Rseries!D308)</f>
        <v/>
      </c>
    </row>
    <row r="364" spans="1:2" x14ac:dyDescent="0.25">
      <c r="A364" s="2">
        <v>46112</v>
      </c>
      <c r="B364" s="1" t="str">
        <f>IF([1]Rseries!D309="","",[1]Rseries!D309)</f>
        <v/>
      </c>
    </row>
    <row r="365" spans="1:2" x14ac:dyDescent="0.25">
      <c r="A365" s="2">
        <v>46142</v>
      </c>
      <c r="B365" s="1" t="str">
        <f>IF([1]Rseries!D310="","",[1]Rseries!D310)</f>
        <v/>
      </c>
    </row>
    <row r="366" spans="1:2" x14ac:dyDescent="0.25">
      <c r="A366" s="2">
        <v>46173</v>
      </c>
      <c r="B366" s="1" t="str">
        <f>IF([1]Rseries!D311="","",[1]Rseries!D311)</f>
        <v/>
      </c>
    </row>
    <row r="367" spans="1:2" x14ac:dyDescent="0.25">
      <c r="A367" s="2">
        <v>46203</v>
      </c>
      <c r="B367" s="1" t="str">
        <f>IF([1]Rseries!D312="","",[1]Rseries!D312)</f>
        <v/>
      </c>
    </row>
    <row r="368" spans="1:2" x14ac:dyDescent="0.25">
      <c r="A368" s="2">
        <v>46234</v>
      </c>
      <c r="B368" s="1" t="str">
        <f>IF([1]Rseries!D313="","",[1]Rseries!D313)</f>
        <v/>
      </c>
    </row>
    <row r="369" spans="1:2" x14ac:dyDescent="0.25">
      <c r="A369" s="2">
        <v>46265</v>
      </c>
      <c r="B369" s="1" t="str">
        <f>IF([1]Rseries!D314="","",[1]Rseries!D314)</f>
        <v/>
      </c>
    </row>
    <row r="370" spans="1:2" x14ac:dyDescent="0.25">
      <c r="A370" s="2">
        <v>46295</v>
      </c>
      <c r="B370" s="1" t="str">
        <f>IF([1]Rseries!D315="","",[1]Rseries!D315)</f>
        <v/>
      </c>
    </row>
    <row r="371" spans="1:2" x14ac:dyDescent="0.25">
      <c r="A371" s="2">
        <v>46326</v>
      </c>
      <c r="B371" s="1" t="str">
        <f>IF([1]Rseries!D316="","",[1]Rseries!D316)</f>
        <v/>
      </c>
    </row>
    <row r="372" spans="1:2" x14ac:dyDescent="0.25">
      <c r="A372" s="2">
        <v>46356</v>
      </c>
      <c r="B372" s="1" t="str">
        <f>IF([1]Rseries!D317="","",[1]Rseries!D317)</f>
        <v/>
      </c>
    </row>
    <row r="373" spans="1:2" x14ac:dyDescent="0.25">
      <c r="A373" s="2">
        <v>46387</v>
      </c>
      <c r="B373" s="1" t="str">
        <f>IF([1]Rseries!D318="","",[1]Rseries!D318)</f>
        <v/>
      </c>
    </row>
    <row r="374" spans="1:2" x14ac:dyDescent="0.25">
      <c r="A374" s="2">
        <v>46418</v>
      </c>
      <c r="B374" s="1" t="str">
        <f>IF([1]Rseries!D319="","",[1]Rseries!D319)</f>
        <v/>
      </c>
    </row>
    <row r="375" spans="1:2" x14ac:dyDescent="0.25">
      <c r="A375" s="2">
        <v>46446</v>
      </c>
      <c r="B375" s="1" t="str">
        <f>IF([1]Rseries!D320="","",[1]Rseries!D320)</f>
        <v/>
      </c>
    </row>
    <row r="376" spans="1:2" x14ac:dyDescent="0.25">
      <c r="A376" s="2">
        <v>46477</v>
      </c>
      <c r="B376" s="1" t="str">
        <f>IF([1]Rseries!D321="","",[1]Rseries!D321)</f>
        <v/>
      </c>
    </row>
    <row r="377" spans="1:2" x14ac:dyDescent="0.25">
      <c r="A377" s="2">
        <v>46507</v>
      </c>
      <c r="B377" s="1" t="str">
        <f>IF([1]Rseries!D322="","",[1]Rseries!D322)</f>
        <v/>
      </c>
    </row>
    <row r="378" spans="1:2" x14ac:dyDescent="0.25">
      <c r="A378" s="2">
        <v>46538</v>
      </c>
      <c r="B378" s="1" t="str">
        <f>IF([1]Rseries!D323="","",[1]Rseries!D323)</f>
        <v/>
      </c>
    </row>
    <row r="379" spans="1:2" x14ac:dyDescent="0.25">
      <c r="A379" s="2">
        <v>46568</v>
      </c>
      <c r="B379" s="1" t="str">
        <f>IF([1]Rseries!D324="","",[1]Rseries!D324)</f>
        <v/>
      </c>
    </row>
    <row r="380" spans="1:2" x14ac:dyDescent="0.25">
      <c r="A380" s="2">
        <v>46599</v>
      </c>
      <c r="B380" s="1" t="str">
        <f>IF([1]Rseries!D325="","",[1]Rseries!D325)</f>
        <v/>
      </c>
    </row>
    <row r="381" spans="1:2" x14ac:dyDescent="0.25">
      <c r="A381" s="2">
        <v>46630</v>
      </c>
      <c r="B381" s="1" t="str">
        <f>IF([1]Rseries!D326="","",[1]Rseries!D326)</f>
        <v/>
      </c>
    </row>
    <row r="382" spans="1:2" x14ac:dyDescent="0.25">
      <c r="A382" s="2">
        <v>46660</v>
      </c>
      <c r="B382" s="1" t="str">
        <f>IF([1]Rseries!D327="","",[1]Rseries!D327)</f>
        <v/>
      </c>
    </row>
    <row r="383" spans="1:2" x14ac:dyDescent="0.25">
      <c r="A383" s="2">
        <v>46691</v>
      </c>
      <c r="B383" s="1" t="str">
        <f>IF([1]Rseries!D328="","",[1]Rseries!D328)</f>
        <v/>
      </c>
    </row>
    <row r="384" spans="1:2" x14ac:dyDescent="0.25">
      <c r="A384" s="2">
        <v>46721</v>
      </c>
      <c r="B384" s="1" t="str">
        <f>IF([1]Rseries!D329="","",[1]Rseries!D329)</f>
        <v/>
      </c>
    </row>
    <row r="385" spans="1:2" x14ac:dyDescent="0.25">
      <c r="A385" s="2">
        <v>46752</v>
      </c>
      <c r="B385" s="1" t="str">
        <f>IF([1]Rseries!D330="","",[1]Rseries!D330)</f>
        <v/>
      </c>
    </row>
    <row r="386" spans="1:2" x14ac:dyDescent="0.25">
      <c r="A386" s="2">
        <v>46783</v>
      </c>
      <c r="B386" s="1" t="str">
        <f>IF([1]Rseries!D331="","",[1]Rseries!D331)</f>
        <v/>
      </c>
    </row>
    <row r="387" spans="1:2" x14ac:dyDescent="0.25">
      <c r="A387" s="2">
        <v>46812</v>
      </c>
      <c r="B387" s="1" t="str">
        <f>IF([1]Rseries!D332="","",[1]Rseries!D332)</f>
        <v/>
      </c>
    </row>
    <row r="388" spans="1:2" x14ac:dyDescent="0.25">
      <c r="A388" s="2">
        <v>46843</v>
      </c>
      <c r="B388" s="1" t="str">
        <f>IF([1]Rseries!D333="","",[1]Rseries!D333)</f>
        <v/>
      </c>
    </row>
    <row r="389" spans="1:2" x14ac:dyDescent="0.25">
      <c r="A389" s="2">
        <v>46873</v>
      </c>
      <c r="B389" s="1" t="str">
        <f>IF([1]Rseries!D334="","",[1]Rseries!D334)</f>
        <v/>
      </c>
    </row>
    <row r="390" spans="1:2" x14ac:dyDescent="0.25">
      <c r="A390" s="2">
        <v>46904</v>
      </c>
      <c r="B390" s="1" t="str">
        <f>IF([1]Rseries!D335="","",[1]Rseries!D335)</f>
        <v/>
      </c>
    </row>
    <row r="391" spans="1:2" x14ac:dyDescent="0.25">
      <c r="A391" s="2">
        <v>46934</v>
      </c>
      <c r="B391" s="1" t="str">
        <f>IF([1]Rseries!D336="","",[1]Rseries!D336)</f>
        <v/>
      </c>
    </row>
    <row r="392" spans="1:2" x14ac:dyDescent="0.25">
      <c r="A392" s="2">
        <v>46965</v>
      </c>
      <c r="B392" s="1" t="str">
        <f>IF([1]Rseries!D337="","",[1]Rseries!D337)</f>
        <v/>
      </c>
    </row>
    <row r="393" spans="1:2" x14ac:dyDescent="0.25">
      <c r="A393" s="2">
        <v>46996</v>
      </c>
      <c r="B393" s="1" t="str">
        <f>IF([1]Rseries!D338="","",[1]Rseries!D338)</f>
        <v/>
      </c>
    </row>
    <row r="394" spans="1:2" x14ac:dyDescent="0.25">
      <c r="A394" s="2">
        <v>47026</v>
      </c>
      <c r="B394" s="1" t="str">
        <f>IF([1]Rseries!D339="","",[1]Rseries!D339)</f>
        <v/>
      </c>
    </row>
    <row r="395" spans="1:2" x14ac:dyDescent="0.25">
      <c r="A395" s="2">
        <v>47057</v>
      </c>
      <c r="B395" s="1" t="str">
        <f>IF([1]Rseries!D340="","",[1]Rseries!D340)</f>
        <v/>
      </c>
    </row>
    <row r="396" spans="1:2" x14ac:dyDescent="0.25">
      <c r="A396" s="2">
        <v>47087</v>
      </c>
      <c r="B396" s="1" t="str">
        <f>IF([1]Rseries!D341="","",[1]Rseries!D341)</f>
        <v/>
      </c>
    </row>
    <row r="397" spans="1:2" x14ac:dyDescent="0.25">
      <c r="A397" s="2">
        <v>47118</v>
      </c>
      <c r="B397" s="1" t="str">
        <f>IF([1]Rseries!D342="","",[1]Rseries!D342)</f>
        <v/>
      </c>
    </row>
    <row r="398" spans="1:2" x14ac:dyDescent="0.25">
      <c r="A398" s="2">
        <v>47149</v>
      </c>
      <c r="B398" s="1" t="str">
        <f>IF([1]Rseries!D343="","",[1]Rseries!D343)</f>
        <v/>
      </c>
    </row>
    <row r="399" spans="1:2" x14ac:dyDescent="0.25">
      <c r="A399" s="2">
        <v>47177</v>
      </c>
      <c r="B399" s="1" t="str">
        <f>IF([1]Rseries!D344="","",[1]Rseries!D344)</f>
        <v/>
      </c>
    </row>
    <row r="400" spans="1:2" x14ac:dyDescent="0.25">
      <c r="A400" s="2">
        <v>47208</v>
      </c>
      <c r="B400" s="1" t="str">
        <f>IF([1]Rseries!D345="","",[1]Rseries!D345)</f>
        <v/>
      </c>
    </row>
    <row r="401" spans="1:2" x14ac:dyDescent="0.25">
      <c r="A401" s="2">
        <v>47238</v>
      </c>
      <c r="B401" s="1" t="str">
        <f>IF([1]Rseries!D346="","",[1]Rseries!D346)</f>
        <v/>
      </c>
    </row>
    <row r="402" spans="1:2" x14ac:dyDescent="0.25">
      <c r="A402" s="2">
        <v>47269</v>
      </c>
      <c r="B402" s="1" t="str">
        <f>IF([1]Rseries!D347="","",[1]Rseries!D347)</f>
        <v/>
      </c>
    </row>
    <row r="403" spans="1:2" x14ac:dyDescent="0.25">
      <c r="A403" s="2">
        <v>47299</v>
      </c>
      <c r="B403" s="1" t="str">
        <f>IF([1]Rseries!D348="","",[1]Rseries!D348)</f>
        <v/>
      </c>
    </row>
    <row r="404" spans="1:2" x14ac:dyDescent="0.25">
      <c r="A404" s="2">
        <v>47330</v>
      </c>
      <c r="B404" s="1" t="str">
        <f>IF([1]Rseries!D349="","",[1]Rseries!D349)</f>
        <v/>
      </c>
    </row>
    <row r="405" spans="1:2" x14ac:dyDescent="0.25">
      <c r="A405" s="2">
        <v>47361</v>
      </c>
      <c r="B405" s="1" t="str">
        <f>IF([1]Rseries!D350="","",[1]Rseries!D350)</f>
        <v/>
      </c>
    </row>
    <row r="406" spans="1:2" x14ac:dyDescent="0.25">
      <c r="A406" s="2">
        <v>47391</v>
      </c>
      <c r="B406" s="1" t="str">
        <f>IF([1]Rseries!D351="","",[1]Rseries!D351)</f>
        <v/>
      </c>
    </row>
    <row r="407" spans="1:2" x14ac:dyDescent="0.25">
      <c r="A407" s="2">
        <v>47422</v>
      </c>
      <c r="B407" s="1" t="str">
        <f>IF([1]Rseries!D352="","",[1]Rseries!D352)</f>
        <v/>
      </c>
    </row>
    <row r="408" spans="1:2" x14ac:dyDescent="0.25">
      <c r="A408" s="2">
        <v>47452</v>
      </c>
      <c r="B408" s="1" t="str">
        <f>IF([1]Rseries!D353="","",[1]Rseries!D353)</f>
        <v/>
      </c>
    </row>
    <row r="409" spans="1:2" x14ac:dyDescent="0.25">
      <c r="A409" s="2">
        <v>47483</v>
      </c>
      <c r="B409" s="1" t="str">
        <f>IF([1]Rseries!D354="","",[1]Rseries!D354)</f>
        <v/>
      </c>
    </row>
    <row r="410" spans="1:2" x14ac:dyDescent="0.25">
      <c r="A410" s="2">
        <v>47514</v>
      </c>
      <c r="B410" s="1" t="str">
        <f>IF([1]Rseries!D355="","",[1]Rseries!D355)</f>
        <v/>
      </c>
    </row>
    <row r="411" spans="1:2" x14ac:dyDescent="0.25">
      <c r="A411" s="2">
        <v>47542</v>
      </c>
      <c r="B411" s="1" t="str">
        <f>IF([1]Rseries!D356="","",[1]Rseries!D356)</f>
        <v/>
      </c>
    </row>
    <row r="412" spans="1:2" x14ac:dyDescent="0.25">
      <c r="A412" s="2">
        <v>47573</v>
      </c>
      <c r="B412" s="1" t="str">
        <f>IF([1]Rseries!D357="","",[1]Rseries!D357)</f>
        <v/>
      </c>
    </row>
    <row r="413" spans="1:2" x14ac:dyDescent="0.25">
      <c r="A413" s="2">
        <v>47603</v>
      </c>
      <c r="B413" s="1" t="str">
        <f>IF([1]Rseries!D358="","",[1]Rseries!D358)</f>
        <v/>
      </c>
    </row>
    <row r="414" spans="1:2" x14ac:dyDescent="0.25">
      <c r="A414" s="2">
        <v>47634</v>
      </c>
      <c r="B414" s="1" t="str">
        <f>IF([1]Rseries!D359="","",[1]Rseries!D359)</f>
        <v/>
      </c>
    </row>
    <row r="415" spans="1:2" x14ac:dyDescent="0.25">
      <c r="A415" s="2">
        <v>47664</v>
      </c>
      <c r="B415" s="1" t="str">
        <f>IF([1]Rseries!D360="","",[1]Rseries!D360)</f>
        <v/>
      </c>
    </row>
    <row r="416" spans="1:2" x14ac:dyDescent="0.25">
      <c r="A416" s="2">
        <v>47695</v>
      </c>
      <c r="B416" s="1" t="str">
        <f>IF([1]Rseries!D361="","",[1]Rseries!D361)</f>
        <v/>
      </c>
    </row>
    <row r="417" spans="1:2" x14ac:dyDescent="0.25">
      <c r="A417" s="2">
        <v>47726</v>
      </c>
      <c r="B417" s="1" t="str">
        <f>IF([1]Rseries!D362="","",[1]Rseries!D362)</f>
        <v/>
      </c>
    </row>
    <row r="418" spans="1:2" x14ac:dyDescent="0.25">
      <c r="A418" s="2">
        <v>47756</v>
      </c>
      <c r="B418" s="1" t="str">
        <f>IF([1]Rseries!D363="","",[1]Rseries!D363)</f>
        <v/>
      </c>
    </row>
    <row r="419" spans="1:2" x14ac:dyDescent="0.25">
      <c r="A419" s="2">
        <v>47787</v>
      </c>
      <c r="B419" s="1" t="str">
        <f>IF([1]Rseries!D364="","",[1]Rseries!D364)</f>
        <v/>
      </c>
    </row>
    <row r="420" spans="1:2" x14ac:dyDescent="0.25">
      <c r="A420" s="2">
        <v>47817</v>
      </c>
      <c r="B420" s="1" t="str">
        <f>IF([1]Rseries!D365="","",[1]Rseries!D365)</f>
        <v/>
      </c>
    </row>
    <row r="421" spans="1:2" x14ac:dyDescent="0.25">
      <c r="A421" s="2">
        <v>47848</v>
      </c>
      <c r="B421" s="1" t="str">
        <f>IF([1]Rseries!D366="","",[1]Rseries!D366)</f>
        <v/>
      </c>
    </row>
    <row r="422" spans="1:2" x14ac:dyDescent="0.25">
      <c r="A422" s="2">
        <v>47879</v>
      </c>
      <c r="B422" s="1" t="str">
        <f>IF([1]Rseries!D367="","",[1]Rseries!D367)</f>
        <v/>
      </c>
    </row>
    <row r="423" spans="1:2" x14ac:dyDescent="0.25">
      <c r="A423" s="2">
        <v>47907</v>
      </c>
      <c r="B423" s="1" t="str">
        <f>IF([1]Rseries!D368="","",[1]Rseries!D368)</f>
        <v/>
      </c>
    </row>
    <row r="424" spans="1:2" x14ac:dyDescent="0.25">
      <c r="A424" s="2">
        <v>47938</v>
      </c>
      <c r="B424" s="1" t="str">
        <f>IF([1]Rseries!D369="","",[1]Rseries!D369)</f>
        <v/>
      </c>
    </row>
    <row r="425" spans="1:2" x14ac:dyDescent="0.25">
      <c r="A425" s="2">
        <v>47968</v>
      </c>
      <c r="B425" s="1" t="str">
        <f>IF([1]Rseries!D370="","",[1]Rseries!D370)</f>
        <v/>
      </c>
    </row>
    <row r="426" spans="1:2" x14ac:dyDescent="0.25">
      <c r="A426" s="2">
        <v>47999</v>
      </c>
      <c r="B426" s="1" t="str">
        <f>IF([1]Rseries!D371="","",[1]Rseries!D371)</f>
        <v/>
      </c>
    </row>
    <row r="427" spans="1:2" x14ac:dyDescent="0.25">
      <c r="A427" s="2">
        <v>48029</v>
      </c>
      <c r="B427" s="1" t="str">
        <f>IF([1]Rseries!D372="","",[1]Rseries!D372)</f>
        <v/>
      </c>
    </row>
    <row r="428" spans="1:2" x14ac:dyDescent="0.25">
      <c r="A428" s="2">
        <v>48060</v>
      </c>
      <c r="B428" s="1" t="str">
        <f>IF([1]Rseries!D373="","",[1]Rseries!D373)</f>
        <v/>
      </c>
    </row>
    <row r="429" spans="1:2" x14ac:dyDescent="0.25">
      <c r="A429" s="2">
        <v>48091</v>
      </c>
      <c r="B429" s="1" t="str">
        <f>IF([1]Rseries!D374="","",[1]Rseries!D374)</f>
        <v/>
      </c>
    </row>
    <row r="430" spans="1:2" x14ac:dyDescent="0.25">
      <c r="A430" s="2">
        <v>48121</v>
      </c>
      <c r="B430" s="1" t="str">
        <f>IF([1]Rseries!D375="","",[1]Rseries!D375)</f>
        <v/>
      </c>
    </row>
    <row r="431" spans="1:2" x14ac:dyDescent="0.25">
      <c r="A431" s="2">
        <v>48152</v>
      </c>
      <c r="B431" s="1" t="str">
        <f>IF([1]Rseries!D376="","",[1]Rseries!D376)</f>
        <v/>
      </c>
    </row>
    <row r="432" spans="1:2" x14ac:dyDescent="0.25">
      <c r="A432" s="2">
        <v>48182</v>
      </c>
      <c r="B432" s="1" t="str">
        <f>IF([1]Rseries!D377="","",[1]Rseries!D377)</f>
        <v/>
      </c>
    </row>
    <row r="433" spans="1:2" x14ac:dyDescent="0.25">
      <c r="A433" s="2">
        <v>48213</v>
      </c>
      <c r="B433" s="1" t="str">
        <f>IF([1]Rseries!D378="","",[1]Rseries!D378)</f>
        <v/>
      </c>
    </row>
    <row r="434" spans="1:2" x14ac:dyDescent="0.25">
      <c r="A434" s="2">
        <v>48244</v>
      </c>
      <c r="B434" s="1" t="str">
        <f>IF([1]Rseries!D379="","",[1]Rseries!D379)</f>
        <v/>
      </c>
    </row>
    <row r="435" spans="1:2" x14ac:dyDescent="0.25">
      <c r="A435" s="2">
        <v>48273</v>
      </c>
      <c r="B435" s="1" t="str">
        <f>IF([1]Rseries!D380="","",[1]Rseries!D380)</f>
        <v/>
      </c>
    </row>
    <row r="436" spans="1:2" x14ac:dyDescent="0.25">
      <c r="A436" s="2">
        <v>48304</v>
      </c>
      <c r="B436" s="1" t="str">
        <f>IF([1]Rseries!D381="","",[1]Rseries!D381)</f>
        <v/>
      </c>
    </row>
    <row r="437" spans="1:2" x14ac:dyDescent="0.25">
      <c r="A437" s="2">
        <v>48334</v>
      </c>
      <c r="B437" s="1" t="str">
        <f>IF([1]Rseries!D382="","",[1]Rseries!D382)</f>
        <v/>
      </c>
    </row>
    <row r="438" spans="1:2" x14ac:dyDescent="0.25">
      <c r="A438" s="2">
        <v>48365</v>
      </c>
      <c r="B438" s="1" t="str">
        <f>IF([1]Rseries!D383="","",[1]Rseries!D383)</f>
        <v/>
      </c>
    </row>
    <row r="439" spans="1:2" x14ac:dyDescent="0.25">
      <c r="A439" s="2">
        <v>48395</v>
      </c>
      <c r="B439" s="1" t="str">
        <f>IF([1]Rseries!D384="","",[1]Rseries!D384)</f>
        <v/>
      </c>
    </row>
    <row r="440" spans="1:2" x14ac:dyDescent="0.25">
      <c r="A440" s="2">
        <v>48426</v>
      </c>
      <c r="B440" s="1" t="str">
        <f>IF([1]Rseries!D385="","",[1]Rseries!D385)</f>
        <v/>
      </c>
    </row>
    <row r="441" spans="1:2" x14ac:dyDescent="0.25">
      <c r="A441" s="2">
        <v>48457</v>
      </c>
      <c r="B441" s="1" t="str">
        <f>IF([1]Rseries!D386="","",[1]Rseries!D386)</f>
        <v/>
      </c>
    </row>
    <row r="442" spans="1:2" x14ac:dyDescent="0.25">
      <c r="A442" s="2">
        <v>48487</v>
      </c>
      <c r="B442" s="1" t="str">
        <f>IF([1]Rseries!D387="","",[1]Rseries!D387)</f>
        <v/>
      </c>
    </row>
    <row r="443" spans="1:2" x14ac:dyDescent="0.25">
      <c r="A443" s="2">
        <v>48518</v>
      </c>
      <c r="B443" s="1" t="str">
        <f>IF([1]Rseries!D388="","",[1]Rseries!D388)</f>
        <v/>
      </c>
    </row>
    <row r="444" spans="1:2" x14ac:dyDescent="0.25">
      <c r="A444" s="2">
        <v>48548</v>
      </c>
      <c r="B444" s="1" t="str">
        <f>IF([1]Rseries!D389="","",[1]Rseries!D389)</f>
        <v/>
      </c>
    </row>
    <row r="445" spans="1:2" x14ac:dyDescent="0.25">
      <c r="A445" s="2">
        <v>48579</v>
      </c>
      <c r="B445" s="1" t="str">
        <f>IF([1]Rseries!D390="","",[1]Rseries!D390)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SSTotalCLM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2012-08-28T12:21:50Z</cp:lastPrinted>
  <dcterms:created xsi:type="dcterms:W3CDTF">2012-03-02T12:51:06Z</dcterms:created>
  <dcterms:modified xsi:type="dcterms:W3CDTF">2021-03-05T11:47:15Z</dcterms:modified>
</cp:coreProperties>
</file>