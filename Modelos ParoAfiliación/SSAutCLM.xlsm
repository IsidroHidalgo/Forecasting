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jclm.es\PROS\SC\OBSERVATORIOEMPLEO\Análisis\Previsiones\Mensuales - paro registrado y afiliación\Modelos ParoAfiliación\"/>
    </mc:Choice>
  </mc:AlternateContent>
  <bookViews>
    <workbookView xWindow="120" yWindow="105" windowWidth="18915" windowHeight="11760" tabRatio="429"/>
  </bookViews>
  <sheets>
    <sheet name="Mediana" sheetId="139" r:id="rId1"/>
    <sheet name="SSAutCLM" sheetId="1" r:id="rId2"/>
  </sheets>
  <externalReferences>
    <externalReference r:id="rId3"/>
  </externalReferences>
  <definedNames>
    <definedName name="Amplitud">SSAutCLM!$F$62</definedName>
    <definedName name="Inicio">SSAutCLM!$E$62</definedName>
  </definedNames>
  <calcPr calcId="162913"/>
</workbook>
</file>

<file path=xl/calcChain.xml><?xml version="1.0" encoding="utf-8"?>
<calcChain xmlns="http://schemas.openxmlformats.org/spreadsheetml/2006/main">
  <c r="B445" i="1" l="1"/>
  <c r="B444" i="1"/>
  <c r="B443" i="1"/>
  <c r="B442" i="1"/>
  <c r="B441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HA14" i="139" l="1"/>
  <c r="HB14" i="139" s="1"/>
  <c r="HC14" i="139" s="1"/>
  <c r="HD14" i="139" s="1"/>
  <c r="HE14" i="139" s="1"/>
  <c r="HF14" i="139" s="1"/>
  <c r="HG14" i="139" s="1"/>
  <c r="HH14" i="139" s="1"/>
  <c r="HI14" i="139" s="1"/>
  <c r="HJ14" i="139" s="1"/>
  <c r="HK14" i="139" s="1"/>
  <c r="HL14" i="139" s="1"/>
  <c r="HM14" i="139" s="1"/>
  <c r="HN14" i="139" s="1"/>
  <c r="HO14" i="139" s="1"/>
  <c r="HP14" i="139" s="1"/>
  <c r="HQ14" i="139" s="1"/>
  <c r="HR14" i="139" s="1"/>
  <c r="HS14" i="139" s="1"/>
  <c r="HT14" i="139" s="1"/>
  <c r="HU14" i="139" s="1"/>
  <c r="HV14" i="139" s="1"/>
  <c r="HW14" i="139" s="1"/>
  <c r="HX14" i="139" s="1"/>
  <c r="HY14" i="139" s="1"/>
  <c r="HZ14" i="139" s="1"/>
  <c r="IA14" i="139" s="1"/>
  <c r="IB14" i="139" s="1"/>
  <c r="IC14" i="139" s="1"/>
  <c r="ID14" i="139" s="1"/>
  <c r="IE14" i="139" s="1"/>
  <c r="IF14" i="139" s="1"/>
  <c r="IG14" i="139" s="1"/>
  <c r="IH14" i="139" s="1"/>
  <c r="II14" i="139" s="1"/>
  <c r="IJ14" i="139" s="1"/>
  <c r="IK14" i="139" s="1"/>
  <c r="IL14" i="139" s="1"/>
  <c r="IM14" i="139" s="1"/>
  <c r="IN14" i="139" s="1"/>
  <c r="IO14" i="139" s="1"/>
  <c r="IP14" i="139" s="1"/>
  <c r="IQ14" i="139" s="1"/>
  <c r="IR14" i="139" s="1"/>
  <c r="IS14" i="139" s="1"/>
  <c r="IT14" i="139" s="1"/>
  <c r="IU14" i="139" s="1"/>
  <c r="IV14" i="139" s="1"/>
  <c r="IW14" i="139" s="1"/>
  <c r="IX14" i="139" s="1"/>
  <c r="IY14" i="139" s="1"/>
  <c r="IZ14" i="139" s="1"/>
  <c r="JA14" i="139" s="1"/>
  <c r="JB14" i="139" s="1"/>
  <c r="JC14" i="139" s="1"/>
  <c r="JD14" i="139" s="1"/>
  <c r="JE14" i="139" s="1"/>
  <c r="JF14" i="139" s="1"/>
  <c r="JG14" i="139" s="1"/>
  <c r="JH14" i="139" s="1"/>
  <c r="HA13" i="139"/>
  <c r="HB13" i="139" s="1"/>
  <c r="HC13" i="139" s="1"/>
  <c r="HD13" i="139" s="1"/>
  <c r="HE13" i="139" s="1"/>
  <c r="HF13" i="139" s="1"/>
  <c r="HG13" i="139" s="1"/>
  <c r="HH13" i="139" s="1"/>
  <c r="HI13" i="139" s="1"/>
  <c r="HJ13" i="139" s="1"/>
  <c r="HK13" i="139" s="1"/>
  <c r="HL13" i="139" s="1"/>
  <c r="HM13" i="139" s="1"/>
  <c r="HN13" i="139" s="1"/>
  <c r="HO13" i="139" s="1"/>
  <c r="HP13" i="139" s="1"/>
  <c r="HQ13" i="139" s="1"/>
  <c r="HR13" i="139" s="1"/>
  <c r="HS13" i="139" s="1"/>
  <c r="HT13" i="139" s="1"/>
  <c r="HU13" i="139" s="1"/>
  <c r="HV13" i="139" s="1"/>
  <c r="HW13" i="139" s="1"/>
  <c r="HX13" i="139" s="1"/>
  <c r="HY13" i="139" s="1"/>
  <c r="HZ13" i="139" s="1"/>
  <c r="IA13" i="139" s="1"/>
  <c r="IB13" i="139" s="1"/>
  <c r="IC13" i="139" s="1"/>
  <c r="ID13" i="139" s="1"/>
  <c r="IE13" i="139" s="1"/>
  <c r="IF13" i="139" s="1"/>
  <c r="IG13" i="139" s="1"/>
  <c r="IH13" i="139" s="1"/>
  <c r="II13" i="139" s="1"/>
  <c r="IJ13" i="139" s="1"/>
  <c r="IK13" i="139" s="1"/>
  <c r="IL13" i="139" s="1"/>
  <c r="IM13" i="139" s="1"/>
  <c r="IN13" i="139" s="1"/>
  <c r="IO13" i="139" s="1"/>
  <c r="IP13" i="139" s="1"/>
  <c r="IQ13" i="139" s="1"/>
  <c r="IR13" i="139" s="1"/>
  <c r="IS13" i="139" s="1"/>
  <c r="IT13" i="139" s="1"/>
  <c r="IU13" i="139" s="1"/>
  <c r="IV13" i="139" s="1"/>
  <c r="IW13" i="139" s="1"/>
  <c r="IX13" i="139" s="1"/>
  <c r="IY13" i="139" s="1"/>
  <c r="IZ13" i="139" s="1"/>
  <c r="JA13" i="139" s="1"/>
  <c r="JB13" i="139" s="1"/>
  <c r="JC13" i="139" s="1"/>
  <c r="JD13" i="139" s="1"/>
  <c r="JE13" i="139" s="1"/>
  <c r="JF13" i="139" s="1"/>
  <c r="JG13" i="139" s="1"/>
  <c r="JH13" i="139" s="1"/>
  <c r="HA12" i="139"/>
  <c r="HB12" i="139" s="1"/>
  <c r="HC12" i="139" s="1"/>
  <c r="HD12" i="139" s="1"/>
  <c r="HE12" i="139" s="1"/>
  <c r="HF12" i="139" s="1"/>
  <c r="HG12" i="139" s="1"/>
  <c r="HH12" i="139" s="1"/>
  <c r="HI12" i="139" s="1"/>
  <c r="HJ12" i="139" s="1"/>
  <c r="HK12" i="139" s="1"/>
  <c r="HL12" i="139" s="1"/>
  <c r="HM12" i="139" s="1"/>
  <c r="HN12" i="139" s="1"/>
  <c r="HO12" i="139" s="1"/>
  <c r="HP12" i="139" s="1"/>
  <c r="HQ12" i="139" s="1"/>
  <c r="HR12" i="139" s="1"/>
  <c r="HS12" i="139" s="1"/>
  <c r="HT12" i="139" s="1"/>
  <c r="HU12" i="139" s="1"/>
  <c r="HV12" i="139" s="1"/>
  <c r="HW12" i="139" s="1"/>
  <c r="HX12" i="139" s="1"/>
  <c r="HY12" i="139" s="1"/>
  <c r="HZ12" i="139" s="1"/>
  <c r="IA12" i="139" s="1"/>
  <c r="IB12" i="139" s="1"/>
  <c r="IC12" i="139" s="1"/>
  <c r="ID12" i="139" s="1"/>
  <c r="IE12" i="139" s="1"/>
  <c r="IF12" i="139" s="1"/>
  <c r="IG12" i="139" s="1"/>
  <c r="IH12" i="139" s="1"/>
  <c r="II12" i="139" s="1"/>
  <c r="IJ12" i="139" s="1"/>
  <c r="IK12" i="139" s="1"/>
  <c r="IL12" i="139" s="1"/>
  <c r="IM12" i="139" s="1"/>
  <c r="IN12" i="139" s="1"/>
  <c r="IO12" i="139" s="1"/>
  <c r="IP12" i="139" s="1"/>
  <c r="IQ12" i="139" s="1"/>
  <c r="IR12" i="139" s="1"/>
  <c r="IS12" i="139" s="1"/>
  <c r="IT12" i="139" s="1"/>
  <c r="IU12" i="139" s="1"/>
  <c r="IV12" i="139" s="1"/>
  <c r="IW12" i="139" s="1"/>
  <c r="IX12" i="139" s="1"/>
  <c r="IY12" i="139" s="1"/>
  <c r="IZ12" i="139" s="1"/>
  <c r="JA12" i="139" s="1"/>
  <c r="JB12" i="139" s="1"/>
  <c r="JC12" i="139" s="1"/>
  <c r="JD12" i="139" s="1"/>
  <c r="JE12" i="139" s="1"/>
  <c r="JF12" i="139" s="1"/>
  <c r="JG12" i="139" s="1"/>
  <c r="JH12" i="139" s="1"/>
  <c r="HA11" i="139"/>
  <c r="HB11" i="139" s="1"/>
  <c r="HC11" i="139" s="1"/>
  <c r="HD11" i="139" s="1"/>
  <c r="HE11" i="139" s="1"/>
  <c r="HF11" i="139" s="1"/>
  <c r="HG11" i="139" s="1"/>
  <c r="HH11" i="139" s="1"/>
  <c r="HI11" i="139" s="1"/>
  <c r="HJ11" i="139" s="1"/>
  <c r="HK11" i="139" s="1"/>
  <c r="HL11" i="139" s="1"/>
  <c r="HM11" i="139" s="1"/>
  <c r="HN11" i="139" s="1"/>
  <c r="HO11" i="139" s="1"/>
  <c r="HP11" i="139" s="1"/>
  <c r="HQ11" i="139" s="1"/>
  <c r="HR11" i="139" s="1"/>
  <c r="HS11" i="139" s="1"/>
  <c r="HT11" i="139" s="1"/>
  <c r="HU11" i="139" s="1"/>
  <c r="HV11" i="139" s="1"/>
  <c r="HW11" i="139" s="1"/>
  <c r="HX11" i="139" s="1"/>
  <c r="HY11" i="139" s="1"/>
  <c r="HZ11" i="139" s="1"/>
  <c r="IA11" i="139" s="1"/>
  <c r="IB11" i="139" s="1"/>
  <c r="IC11" i="139" s="1"/>
  <c r="ID11" i="139" s="1"/>
  <c r="IE11" i="139" s="1"/>
  <c r="IF11" i="139" s="1"/>
  <c r="IG11" i="139" s="1"/>
  <c r="IH11" i="139" s="1"/>
  <c r="II11" i="139" s="1"/>
  <c r="IJ11" i="139" s="1"/>
  <c r="IK11" i="139" s="1"/>
  <c r="IL11" i="139" s="1"/>
  <c r="IM11" i="139" s="1"/>
  <c r="IN11" i="139" s="1"/>
  <c r="IO11" i="139" s="1"/>
  <c r="IP11" i="139" s="1"/>
  <c r="IQ11" i="139" s="1"/>
  <c r="IR11" i="139" s="1"/>
  <c r="IS11" i="139" s="1"/>
  <c r="IT11" i="139" s="1"/>
  <c r="IU11" i="139" s="1"/>
  <c r="IV11" i="139" s="1"/>
  <c r="IW11" i="139" s="1"/>
  <c r="IX11" i="139" s="1"/>
  <c r="IY11" i="139" s="1"/>
  <c r="IZ11" i="139" s="1"/>
  <c r="JA11" i="139" s="1"/>
  <c r="JB11" i="139" s="1"/>
  <c r="JC11" i="139" s="1"/>
  <c r="JD11" i="139" s="1"/>
  <c r="JE11" i="139" s="1"/>
  <c r="JF11" i="139" s="1"/>
  <c r="JG11" i="139" s="1"/>
  <c r="JH11" i="139" s="1"/>
  <c r="HA10" i="139"/>
  <c r="HB10" i="139" s="1"/>
  <c r="HC10" i="139" s="1"/>
  <c r="HD10" i="139" s="1"/>
  <c r="HE10" i="139" s="1"/>
  <c r="HF10" i="139" s="1"/>
  <c r="HG10" i="139" s="1"/>
  <c r="HH10" i="139" s="1"/>
  <c r="HI10" i="139" s="1"/>
  <c r="HJ10" i="139" s="1"/>
  <c r="HK10" i="139" s="1"/>
  <c r="HL10" i="139" s="1"/>
  <c r="HM10" i="139" s="1"/>
  <c r="HN10" i="139" s="1"/>
  <c r="HO10" i="139" s="1"/>
  <c r="HP10" i="139" s="1"/>
  <c r="HQ10" i="139" s="1"/>
  <c r="HR10" i="139" s="1"/>
  <c r="HS10" i="139" s="1"/>
  <c r="HT10" i="139" s="1"/>
  <c r="HU10" i="139" s="1"/>
  <c r="HV10" i="139" s="1"/>
  <c r="HW10" i="139" s="1"/>
  <c r="HX10" i="139" s="1"/>
  <c r="HY10" i="139" s="1"/>
  <c r="HZ10" i="139" s="1"/>
  <c r="IA10" i="139" s="1"/>
  <c r="IB10" i="139" s="1"/>
  <c r="IC10" i="139" s="1"/>
  <c r="ID10" i="139" s="1"/>
  <c r="IE10" i="139" s="1"/>
  <c r="IF10" i="139" s="1"/>
  <c r="IG10" i="139" s="1"/>
  <c r="IH10" i="139" s="1"/>
  <c r="II10" i="139" s="1"/>
  <c r="IJ10" i="139" s="1"/>
  <c r="IK10" i="139" s="1"/>
  <c r="IL10" i="139" s="1"/>
  <c r="IM10" i="139" s="1"/>
  <c r="IN10" i="139" s="1"/>
  <c r="IO10" i="139" s="1"/>
  <c r="IP10" i="139" s="1"/>
  <c r="IQ10" i="139" s="1"/>
  <c r="IR10" i="139" s="1"/>
  <c r="IS10" i="139" s="1"/>
  <c r="IT10" i="139" s="1"/>
  <c r="IU10" i="139" s="1"/>
  <c r="IV10" i="139" s="1"/>
  <c r="IW10" i="139" s="1"/>
  <c r="IX10" i="139" s="1"/>
  <c r="IY10" i="139" s="1"/>
  <c r="IZ10" i="139" s="1"/>
  <c r="JA10" i="139" s="1"/>
  <c r="JB10" i="139" s="1"/>
  <c r="JC10" i="139" s="1"/>
  <c r="JD10" i="139" s="1"/>
  <c r="JE10" i="139" s="1"/>
  <c r="JF10" i="139" s="1"/>
  <c r="JG10" i="139" s="1"/>
  <c r="JH10" i="139" s="1"/>
  <c r="HA9" i="139"/>
  <c r="HB9" i="139" s="1"/>
  <c r="HC9" i="139" s="1"/>
  <c r="HD9" i="139" s="1"/>
  <c r="HE9" i="139" s="1"/>
  <c r="HF9" i="139" s="1"/>
  <c r="HG9" i="139" s="1"/>
  <c r="HH9" i="139" s="1"/>
  <c r="HI9" i="139" s="1"/>
  <c r="HJ9" i="139" s="1"/>
  <c r="HK9" i="139" s="1"/>
  <c r="HL9" i="139" s="1"/>
  <c r="HM9" i="139" s="1"/>
  <c r="HN9" i="139" s="1"/>
  <c r="HO9" i="139" s="1"/>
  <c r="HP9" i="139" s="1"/>
  <c r="HQ9" i="139" s="1"/>
  <c r="HR9" i="139" s="1"/>
  <c r="HS9" i="139" s="1"/>
  <c r="HT9" i="139" s="1"/>
  <c r="HU9" i="139" s="1"/>
  <c r="HV9" i="139" s="1"/>
  <c r="HW9" i="139" s="1"/>
  <c r="HX9" i="139" s="1"/>
  <c r="HY9" i="139" s="1"/>
  <c r="HZ9" i="139" s="1"/>
  <c r="IA9" i="139" s="1"/>
  <c r="IB9" i="139" s="1"/>
  <c r="IC9" i="139" s="1"/>
  <c r="ID9" i="139" s="1"/>
  <c r="IE9" i="139" s="1"/>
  <c r="IF9" i="139" s="1"/>
  <c r="IG9" i="139" s="1"/>
  <c r="IH9" i="139" s="1"/>
  <c r="II9" i="139" s="1"/>
  <c r="IJ9" i="139" s="1"/>
  <c r="IK9" i="139" s="1"/>
  <c r="IL9" i="139" s="1"/>
  <c r="IM9" i="139" s="1"/>
  <c r="IN9" i="139" s="1"/>
  <c r="IO9" i="139" s="1"/>
  <c r="IP9" i="139" s="1"/>
  <c r="IQ9" i="139" s="1"/>
  <c r="IR9" i="139" s="1"/>
  <c r="IS9" i="139" s="1"/>
  <c r="IT9" i="139" s="1"/>
  <c r="IU9" i="139" s="1"/>
  <c r="IV9" i="139" s="1"/>
  <c r="IW9" i="139" s="1"/>
  <c r="IX9" i="139" s="1"/>
  <c r="IY9" i="139" s="1"/>
  <c r="IZ9" i="139" s="1"/>
  <c r="JA9" i="139" s="1"/>
  <c r="JB9" i="139" s="1"/>
  <c r="JC9" i="139" s="1"/>
  <c r="JD9" i="139" s="1"/>
  <c r="JE9" i="139" s="1"/>
  <c r="JF9" i="139" s="1"/>
  <c r="JG9" i="139" s="1"/>
  <c r="JH9" i="139" s="1"/>
  <c r="HA8" i="139"/>
  <c r="HB8" i="139" s="1"/>
  <c r="HC8" i="139" s="1"/>
  <c r="HD8" i="139" s="1"/>
  <c r="HE8" i="139" s="1"/>
  <c r="HF8" i="139" s="1"/>
  <c r="HG8" i="139" s="1"/>
  <c r="HH8" i="139" s="1"/>
  <c r="HI8" i="139" s="1"/>
  <c r="HJ8" i="139" s="1"/>
  <c r="HK8" i="139" s="1"/>
  <c r="HL8" i="139" s="1"/>
  <c r="HM8" i="139" s="1"/>
  <c r="HN8" i="139" s="1"/>
  <c r="HO8" i="139" s="1"/>
  <c r="HP8" i="139" s="1"/>
  <c r="HQ8" i="139" s="1"/>
  <c r="HR8" i="139" s="1"/>
  <c r="HS8" i="139" s="1"/>
  <c r="HT8" i="139" s="1"/>
  <c r="HU8" i="139" s="1"/>
  <c r="HV8" i="139" s="1"/>
  <c r="HW8" i="139" s="1"/>
  <c r="HX8" i="139" s="1"/>
  <c r="HY8" i="139" s="1"/>
  <c r="HZ8" i="139" s="1"/>
  <c r="IA8" i="139" s="1"/>
  <c r="IB8" i="139" s="1"/>
  <c r="IC8" i="139" s="1"/>
  <c r="ID8" i="139" s="1"/>
  <c r="IE8" i="139" s="1"/>
  <c r="IF8" i="139" s="1"/>
  <c r="IG8" i="139" s="1"/>
  <c r="IH8" i="139" s="1"/>
  <c r="II8" i="139" s="1"/>
  <c r="IJ8" i="139" s="1"/>
  <c r="IK8" i="139" s="1"/>
  <c r="IL8" i="139" s="1"/>
  <c r="IM8" i="139" s="1"/>
  <c r="IN8" i="139" s="1"/>
  <c r="IO8" i="139" s="1"/>
  <c r="IP8" i="139" s="1"/>
  <c r="IQ8" i="139" s="1"/>
  <c r="IR8" i="139" s="1"/>
  <c r="IS8" i="139" s="1"/>
  <c r="IT8" i="139" s="1"/>
  <c r="IU8" i="139" s="1"/>
  <c r="IV8" i="139" s="1"/>
  <c r="IW8" i="139" s="1"/>
  <c r="IX8" i="139" s="1"/>
  <c r="IY8" i="139" s="1"/>
  <c r="IZ8" i="139" s="1"/>
  <c r="JA8" i="139" s="1"/>
  <c r="JB8" i="139" s="1"/>
  <c r="JC8" i="139" s="1"/>
  <c r="JD8" i="139" s="1"/>
  <c r="JE8" i="139" s="1"/>
  <c r="JF8" i="139" s="1"/>
  <c r="JG8" i="139" s="1"/>
  <c r="JH8" i="139" s="1"/>
  <c r="HA7" i="139"/>
  <c r="HB7" i="139" s="1"/>
  <c r="HC7" i="139" s="1"/>
  <c r="HD7" i="139" s="1"/>
  <c r="HE7" i="139" s="1"/>
  <c r="HF7" i="139" s="1"/>
  <c r="HG7" i="139" s="1"/>
  <c r="HH7" i="139" s="1"/>
  <c r="HI7" i="139" s="1"/>
  <c r="HJ7" i="139" s="1"/>
  <c r="HK7" i="139" s="1"/>
  <c r="HL7" i="139" s="1"/>
  <c r="HM7" i="139" s="1"/>
  <c r="HN7" i="139" s="1"/>
  <c r="HO7" i="139" s="1"/>
  <c r="HP7" i="139" s="1"/>
  <c r="HQ7" i="139" s="1"/>
  <c r="HR7" i="139" s="1"/>
  <c r="HS7" i="139" s="1"/>
  <c r="HT7" i="139" s="1"/>
  <c r="HU7" i="139" s="1"/>
  <c r="HV7" i="139" s="1"/>
  <c r="HW7" i="139" s="1"/>
  <c r="HX7" i="139" s="1"/>
  <c r="HY7" i="139" s="1"/>
  <c r="HZ7" i="139" s="1"/>
  <c r="IA7" i="139" s="1"/>
  <c r="IB7" i="139" s="1"/>
  <c r="IC7" i="139" s="1"/>
  <c r="ID7" i="139" s="1"/>
  <c r="IE7" i="139" s="1"/>
  <c r="IF7" i="139" s="1"/>
  <c r="IG7" i="139" s="1"/>
  <c r="IH7" i="139" s="1"/>
  <c r="II7" i="139" s="1"/>
  <c r="IJ7" i="139" s="1"/>
  <c r="IK7" i="139" s="1"/>
  <c r="IL7" i="139" s="1"/>
  <c r="IM7" i="139" s="1"/>
  <c r="IN7" i="139" s="1"/>
  <c r="IO7" i="139" s="1"/>
  <c r="IP7" i="139" s="1"/>
  <c r="IQ7" i="139" s="1"/>
  <c r="IR7" i="139" s="1"/>
  <c r="IS7" i="139" s="1"/>
  <c r="IT7" i="139" s="1"/>
  <c r="IU7" i="139" s="1"/>
  <c r="IV7" i="139" s="1"/>
  <c r="IW7" i="139" s="1"/>
  <c r="IX7" i="139" s="1"/>
  <c r="IY7" i="139" s="1"/>
  <c r="IZ7" i="139" s="1"/>
  <c r="JA7" i="139" s="1"/>
  <c r="JB7" i="139" s="1"/>
  <c r="JC7" i="139" s="1"/>
  <c r="JD7" i="139" s="1"/>
  <c r="JE7" i="139" s="1"/>
  <c r="JF7" i="139" s="1"/>
  <c r="JG7" i="139" s="1"/>
  <c r="JH7" i="139" s="1"/>
  <c r="HA6" i="139"/>
  <c r="HB6" i="139" s="1"/>
  <c r="HC6" i="139" s="1"/>
  <c r="HD6" i="139" s="1"/>
  <c r="HE6" i="139" s="1"/>
  <c r="HF6" i="139" s="1"/>
  <c r="HG6" i="139" s="1"/>
  <c r="HH6" i="139" s="1"/>
  <c r="HI6" i="139" s="1"/>
  <c r="HJ6" i="139" s="1"/>
  <c r="HK6" i="139" s="1"/>
  <c r="HL6" i="139" s="1"/>
  <c r="HM6" i="139" s="1"/>
  <c r="HN6" i="139" s="1"/>
  <c r="HO6" i="139" s="1"/>
  <c r="HP6" i="139" s="1"/>
  <c r="HQ6" i="139" s="1"/>
  <c r="HR6" i="139" s="1"/>
  <c r="HS6" i="139" s="1"/>
  <c r="HT6" i="139" s="1"/>
  <c r="HU6" i="139" s="1"/>
  <c r="HV6" i="139" s="1"/>
  <c r="HW6" i="139" s="1"/>
  <c r="HX6" i="139" s="1"/>
  <c r="HY6" i="139" s="1"/>
  <c r="HZ6" i="139" s="1"/>
  <c r="IA6" i="139" s="1"/>
  <c r="IB6" i="139" s="1"/>
  <c r="IC6" i="139" s="1"/>
  <c r="ID6" i="139" s="1"/>
  <c r="IE6" i="139" s="1"/>
  <c r="IF6" i="139" s="1"/>
  <c r="IG6" i="139" s="1"/>
  <c r="IH6" i="139" s="1"/>
  <c r="II6" i="139" s="1"/>
  <c r="IJ6" i="139" s="1"/>
  <c r="IK6" i="139" s="1"/>
  <c r="IL6" i="139" s="1"/>
  <c r="IM6" i="139" s="1"/>
  <c r="IN6" i="139" s="1"/>
  <c r="IO6" i="139" s="1"/>
  <c r="IP6" i="139" s="1"/>
  <c r="IQ6" i="139" s="1"/>
  <c r="IR6" i="139" s="1"/>
  <c r="IS6" i="139" s="1"/>
  <c r="IT6" i="139" s="1"/>
  <c r="IU6" i="139" s="1"/>
  <c r="IV6" i="139" s="1"/>
  <c r="IW6" i="139" s="1"/>
  <c r="IX6" i="139" s="1"/>
  <c r="IY6" i="139" s="1"/>
  <c r="IZ6" i="139" s="1"/>
  <c r="JA6" i="139" s="1"/>
  <c r="JB6" i="139" s="1"/>
  <c r="JC6" i="139" s="1"/>
  <c r="JD6" i="139" s="1"/>
  <c r="JE6" i="139" s="1"/>
  <c r="JF6" i="139" s="1"/>
  <c r="JG6" i="139" s="1"/>
  <c r="JH6" i="139" s="1"/>
  <c r="HA5" i="139"/>
  <c r="HB5" i="139" s="1"/>
  <c r="HC5" i="139" s="1"/>
  <c r="HD5" i="139" s="1"/>
  <c r="HE5" i="139" s="1"/>
  <c r="HF5" i="139" s="1"/>
  <c r="HG5" i="139" s="1"/>
  <c r="HH5" i="139" s="1"/>
  <c r="HI5" i="139" s="1"/>
  <c r="HJ5" i="139" s="1"/>
  <c r="HK5" i="139" s="1"/>
  <c r="HL5" i="139" s="1"/>
  <c r="HM5" i="139" s="1"/>
  <c r="HN5" i="139" s="1"/>
  <c r="HO5" i="139" s="1"/>
  <c r="HP5" i="139" s="1"/>
  <c r="HQ5" i="139" s="1"/>
  <c r="HR5" i="139" s="1"/>
  <c r="HS5" i="139" s="1"/>
  <c r="HT5" i="139" s="1"/>
  <c r="HU5" i="139" s="1"/>
  <c r="HV5" i="139" s="1"/>
  <c r="HW5" i="139" s="1"/>
  <c r="HX5" i="139" s="1"/>
  <c r="HY5" i="139" s="1"/>
  <c r="HZ5" i="139" s="1"/>
  <c r="IA5" i="139" s="1"/>
  <c r="IB5" i="139" s="1"/>
  <c r="IC5" i="139" s="1"/>
  <c r="ID5" i="139" s="1"/>
  <c r="IE5" i="139" s="1"/>
  <c r="IF5" i="139" s="1"/>
  <c r="IG5" i="139" s="1"/>
  <c r="IH5" i="139" s="1"/>
  <c r="II5" i="139" s="1"/>
  <c r="IJ5" i="139" s="1"/>
  <c r="IK5" i="139" s="1"/>
  <c r="IL5" i="139" s="1"/>
  <c r="IM5" i="139" s="1"/>
  <c r="IN5" i="139" s="1"/>
  <c r="IO5" i="139" s="1"/>
  <c r="IP5" i="139" s="1"/>
  <c r="IQ5" i="139" s="1"/>
  <c r="IR5" i="139" s="1"/>
  <c r="IS5" i="139" s="1"/>
  <c r="IT5" i="139" s="1"/>
  <c r="IU5" i="139" s="1"/>
  <c r="IV5" i="139" s="1"/>
  <c r="IW5" i="139" s="1"/>
  <c r="IX5" i="139" s="1"/>
  <c r="IY5" i="139" s="1"/>
  <c r="IZ5" i="139" s="1"/>
  <c r="JA5" i="139" s="1"/>
  <c r="JB5" i="139" s="1"/>
  <c r="JC5" i="139" s="1"/>
  <c r="JD5" i="139" s="1"/>
  <c r="JE5" i="139" s="1"/>
  <c r="JF5" i="139" s="1"/>
  <c r="JG5" i="139" s="1"/>
  <c r="JH5" i="139" s="1"/>
  <c r="HA4" i="139"/>
  <c r="HB4" i="139" s="1"/>
  <c r="HC4" i="139" s="1"/>
  <c r="HD4" i="139" s="1"/>
  <c r="HE4" i="139" s="1"/>
  <c r="HF4" i="139" s="1"/>
  <c r="HG4" i="139" s="1"/>
  <c r="HH4" i="139" s="1"/>
  <c r="HI4" i="139" s="1"/>
  <c r="HJ4" i="139" s="1"/>
  <c r="HK4" i="139" s="1"/>
  <c r="HL4" i="139" s="1"/>
  <c r="HM4" i="139" s="1"/>
  <c r="HN4" i="139" s="1"/>
  <c r="HO4" i="139" s="1"/>
  <c r="HP4" i="139" s="1"/>
  <c r="HQ4" i="139" s="1"/>
  <c r="HR4" i="139" s="1"/>
  <c r="HS4" i="139" s="1"/>
  <c r="HT4" i="139" s="1"/>
  <c r="HU4" i="139" s="1"/>
  <c r="HV4" i="139" s="1"/>
  <c r="HW4" i="139" s="1"/>
  <c r="HX4" i="139" s="1"/>
  <c r="HY4" i="139" s="1"/>
  <c r="HZ4" i="139" s="1"/>
  <c r="IA4" i="139" s="1"/>
  <c r="IB4" i="139" s="1"/>
  <c r="IC4" i="139" s="1"/>
  <c r="ID4" i="139" s="1"/>
  <c r="IE4" i="139" s="1"/>
  <c r="IF4" i="139" s="1"/>
  <c r="IG4" i="139" s="1"/>
  <c r="IH4" i="139" s="1"/>
  <c r="II4" i="139" s="1"/>
  <c r="IJ4" i="139" s="1"/>
  <c r="IK4" i="139" s="1"/>
  <c r="IL4" i="139" s="1"/>
  <c r="IM4" i="139" s="1"/>
  <c r="IN4" i="139" s="1"/>
  <c r="IO4" i="139" s="1"/>
  <c r="IP4" i="139" s="1"/>
  <c r="IQ4" i="139" s="1"/>
  <c r="IR4" i="139" s="1"/>
  <c r="IS4" i="139" s="1"/>
  <c r="IT4" i="139" s="1"/>
  <c r="IU4" i="139" s="1"/>
  <c r="IV4" i="139" s="1"/>
  <c r="IW4" i="139" s="1"/>
  <c r="IX4" i="139" s="1"/>
  <c r="IY4" i="139" s="1"/>
  <c r="IZ4" i="139" s="1"/>
  <c r="JA4" i="139" s="1"/>
  <c r="JB4" i="139" s="1"/>
  <c r="JC4" i="139" s="1"/>
  <c r="JD4" i="139" s="1"/>
  <c r="JE4" i="139" s="1"/>
  <c r="JF4" i="139" s="1"/>
  <c r="JG4" i="139" s="1"/>
  <c r="JH4" i="139" s="1"/>
  <c r="HA3" i="139"/>
  <c r="HB3" i="139" s="1"/>
  <c r="HC3" i="139" s="1"/>
  <c r="HD3" i="139" s="1"/>
  <c r="HE3" i="139" s="1"/>
  <c r="HF3" i="139" s="1"/>
  <c r="HG3" i="139" s="1"/>
  <c r="HH3" i="139" s="1"/>
  <c r="HI3" i="139" s="1"/>
  <c r="HJ3" i="139" s="1"/>
  <c r="HK3" i="139" s="1"/>
  <c r="HL3" i="139" s="1"/>
  <c r="HM3" i="139" s="1"/>
  <c r="HN3" i="139" s="1"/>
  <c r="HO3" i="139" s="1"/>
  <c r="HP3" i="139" s="1"/>
  <c r="HQ3" i="139" s="1"/>
  <c r="HR3" i="139" s="1"/>
  <c r="HS3" i="139" s="1"/>
  <c r="HT3" i="139" s="1"/>
  <c r="HU3" i="139" s="1"/>
  <c r="HV3" i="139" s="1"/>
  <c r="HW3" i="139" s="1"/>
  <c r="HX3" i="139" s="1"/>
  <c r="HY3" i="139" s="1"/>
  <c r="HZ3" i="139" s="1"/>
  <c r="IA3" i="139" s="1"/>
  <c r="IB3" i="139" s="1"/>
  <c r="IC3" i="139" s="1"/>
  <c r="ID3" i="139" s="1"/>
  <c r="IE3" i="139" s="1"/>
  <c r="IF3" i="139" s="1"/>
  <c r="IG3" i="139" s="1"/>
  <c r="IH3" i="139" s="1"/>
  <c r="II3" i="139" s="1"/>
  <c r="IJ3" i="139" s="1"/>
  <c r="IK3" i="139" s="1"/>
  <c r="IL3" i="139" s="1"/>
  <c r="IM3" i="139" s="1"/>
  <c r="IN3" i="139" s="1"/>
  <c r="IO3" i="139" s="1"/>
  <c r="IP3" i="139" s="1"/>
  <c r="IQ3" i="139" s="1"/>
  <c r="IR3" i="139" s="1"/>
  <c r="IS3" i="139" s="1"/>
  <c r="IT3" i="139" s="1"/>
  <c r="IU3" i="139" s="1"/>
  <c r="IV3" i="139" s="1"/>
  <c r="IW3" i="139" s="1"/>
  <c r="IX3" i="139" s="1"/>
  <c r="IY3" i="139" s="1"/>
  <c r="IZ3" i="139" s="1"/>
  <c r="JA3" i="139" s="1"/>
  <c r="JB3" i="139" s="1"/>
  <c r="JC3" i="139" s="1"/>
  <c r="JD3" i="139" s="1"/>
  <c r="JE3" i="139" s="1"/>
  <c r="JF3" i="139" s="1"/>
  <c r="JG3" i="139" s="1"/>
  <c r="JH3" i="139" s="1"/>
  <c r="GZ28" i="139" l="1"/>
  <c r="GZ30" i="139" s="1"/>
  <c r="GZ57" i="139" s="1"/>
  <c r="HA28" i="139"/>
  <c r="HA34" i="139" s="1"/>
  <c r="HA61" i="139" s="1"/>
  <c r="HD28" i="139"/>
  <c r="HD35" i="139" s="1"/>
  <c r="HD62" i="139" s="1"/>
  <c r="HE28" i="139"/>
  <c r="HE34" i="139" s="1"/>
  <c r="HE61" i="139" s="1"/>
  <c r="HH28" i="139"/>
  <c r="HH36" i="139" s="1"/>
  <c r="HH63" i="139" s="1"/>
  <c r="HI28" i="139"/>
  <c r="HI31" i="139" s="1"/>
  <c r="HI58" i="139" s="1"/>
  <c r="HL28" i="139"/>
  <c r="HL30" i="139" s="1"/>
  <c r="HL57" i="139" s="1"/>
  <c r="HM28" i="139"/>
  <c r="HM30" i="139" s="1"/>
  <c r="HM57" i="139" s="1"/>
  <c r="HP28" i="139"/>
  <c r="HP32" i="139" s="1"/>
  <c r="HP59" i="139" s="1"/>
  <c r="HQ28" i="139"/>
  <c r="HQ34" i="139" s="1"/>
  <c r="HQ61" i="139" s="1"/>
  <c r="HT28" i="139"/>
  <c r="HT31" i="139" s="1"/>
  <c r="HT58" i="139" s="1"/>
  <c r="HU28" i="139"/>
  <c r="HU31" i="139" s="1"/>
  <c r="HU58" i="139" s="1"/>
  <c r="HX28" i="139"/>
  <c r="HX30" i="139" s="1"/>
  <c r="HX57" i="139" s="1"/>
  <c r="HY28" i="139"/>
  <c r="HY31" i="139" s="1"/>
  <c r="HY58" i="139" s="1"/>
  <c r="IB28" i="139"/>
  <c r="IB35" i="139" s="1"/>
  <c r="IB62" i="139" s="1"/>
  <c r="IC28" i="139"/>
  <c r="IC34" i="139" s="1"/>
  <c r="IC61" i="139" s="1"/>
  <c r="IF28" i="139"/>
  <c r="IF32" i="139" s="1"/>
  <c r="IF59" i="139" s="1"/>
  <c r="IG28" i="139"/>
  <c r="IG31" i="139" s="1"/>
  <c r="IG58" i="139" s="1"/>
  <c r="IJ28" i="139"/>
  <c r="IJ30" i="139" s="1"/>
  <c r="IJ57" i="139" s="1"/>
  <c r="IK28" i="139"/>
  <c r="IK34" i="139" s="1"/>
  <c r="IK61" i="139" s="1"/>
  <c r="IN28" i="139"/>
  <c r="IN32" i="139" s="1"/>
  <c r="IN59" i="139" s="1"/>
  <c r="IO28" i="139"/>
  <c r="IO34" i="139" s="1"/>
  <c r="IO61" i="139" s="1"/>
  <c r="IR28" i="139"/>
  <c r="IR32" i="139" s="1"/>
  <c r="IR59" i="139" s="1"/>
  <c r="IS28" i="139"/>
  <c r="IS31" i="139" s="1"/>
  <c r="IS58" i="139" s="1"/>
  <c r="IV28" i="139"/>
  <c r="IV30" i="139" s="1"/>
  <c r="IV57" i="139" s="1"/>
  <c r="IW28" i="139"/>
  <c r="IW41" i="139" s="1"/>
  <c r="IW68" i="139" s="1"/>
  <c r="IZ28" i="139"/>
  <c r="IZ31" i="139" s="1"/>
  <c r="IZ58" i="139" s="1"/>
  <c r="JA28" i="139"/>
  <c r="JA34" i="139" s="1"/>
  <c r="JA61" i="139" s="1"/>
  <c r="JD28" i="139"/>
  <c r="JD34" i="139" s="1"/>
  <c r="JD61" i="139" s="1"/>
  <c r="JE28" i="139"/>
  <c r="JE31" i="139" s="1"/>
  <c r="JE58" i="139" s="1"/>
  <c r="JH28" i="139"/>
  <c r="JH30" i="139" s="1"/>
  <c r="JH57" i="139" s="1"/>
  <c r="HA30" i="139"/>
  <c r="HA57" i="139" s="1"/>
  <c r="HD30" i="139"/>
  <c r="HD57" i="139" s="1"/>
  <c r="HT30" i="139"/>
  <c r="HT57" i="139" s="1"/>
  <c r="IW30" i="139"/>
  <c r="IW57" i="139" s="1"/>
  <c r="HL31" i="139"/>
  <c r="HL58" i="139" s="1"/>
  <c r="HM31" i="139"/>
  <c r="HM58" i="139" s="1"/>
  <c r="HP31" i="139"/>
  <c r="HP58" i="139" s="1"/>
  <c r="HX31" i="139"/>
  <c r="HX58" i="139" s="1"/>
  <c r="IJ31" i="139"/>
  <c r="IJ58" i="139" s="1"/>
  <c r="IR31" i="139"/>
  <c r="IR58" i="139" s="1"/>
  <c r="IW31" i="139"/>
  <c r="IW58" i="139" s="1"/>
  <c r="GZ32" i="139"/>
  <c r="GZ59" i="139" s="1"/>
  <c r="HX32" i="139"/>
  <c r="HX59" i="139" s="1"/>
  <c r="IB32" i="139"/>
  <c r="IB59" i="139" s="1"/>
  <c r="IJ32" i="139"/>
  <c r="IJ59" i="139" s="1"/>
  <c r="JH32" i="139"/>
  <c r="JH59" i="139" s="1"/>
  <c r="HA33" i="139"/>
  <c r="HA60" i="139" s="1"/>
  <c r="HM33" i="139"/>
  <c r="HM60" i="139" s="1"/>
  <c r="IO33" i="139"/>
  <c r="IO60" i="139" s="1"/>
  <c r="GZ34" i="139"/>
  <c r="GZ61" i="139" s="1"/>
  <c r="HM34" i="139"/>
  <c r="HM61" i="139" s="1"/>
  <c r="HT34" i="139"/>
  <c r="HT61" i="139" s="1"/>
  <c r="HX34" i="139"/>
  <c r="HX61" i="139" s="1"/>
  <c r="HY34" i="139"/>
  <c r="HY61" i="139" s="1"/>
  <c r="IJ34" i="139"/>
  <c r="IJ61" i="139" s="1"/>
  <c r="IV34" i="139"/>
  <c r="IV61" i="139" s="1"/>
  <c r="JH34" i="139"/>
  <c r="JH61" i="139" s="1"/>
  <c r="GZ35" i="139"/>
  <c r="GZ62" i="139" s="1"/>
  <c r="HA35" i="139"/>
  <c r="HA62" i="139" s="1"/>
  <c r="HM35" i="139"/>
  <c r="HM62" i="139" s="1"/>
  <c r="HX35" i="139"/>
  <c r="HX62" i="139" s="1"/>
  <c r="HY35" i="139"/>
  <c r="HY62" i="139" s="1"/>
  <c r="IW35" i="139"/>
  <c r="IW62" i="139" s="1"/>
  <c r="JH35" i="139"/>
  <c r="JH62" i="139" s="1"/>
  <c r="GZ36" i="139"/>
  <c r="GZ63" i="139" s="1"/>
  <c r="HP36" i="139"/>
  <c r="HP63" i="139" s="1"/>
  <c r="HX36" i="139"/>
  <c r="HX63" i="139" s="1"/>
  <c r="IR36" i="139"/>
  <c r="IR63" i="139" s="1"/>
  <c r="JH36" i="139"/>
  <c r="JH63" i="139" s="1"/>
  <c r="HY37" i="139"/>
  <c r="HY64" i="139" s="1"/>
  <c r="GZ38" i="139"/>
  <c r="GZ65" i="139" s="1"/>
  <c r="HA38" i="139"/>
  <c r="HA65" i="139" s="1"/>
  <c r="HH38" i="139"/>
  <c r="HH65" i="139" s="1"/>
  <c r="HL38" i="139"/>
  <c r="HL65" i="139" s="1"/>
  <c r="HM38" i="139"/>
  <c r="HM65" i="139" s="1"/>
  <c r="HY38" i="139"/>
  <c r="HY65" i="139" s="1"/>
  <c r="IC38" i="139"/>
  <c r="IC65" i="139" s="1"/>
  <c r="IF38" i="139"/>
  <c r="IF65" i="139" s="1"/>
  <c r="IJ38" i="139"/>
  <c r="IJ65" i="139" s="1"/>
  <c r="IV38" i="139"/>
  <c r="IV65" i="139" s="1"/>
  <c r="IW38" i="139"/>
  <c r="IW65" i="139" s="1"/>
  <c r="JA38" i="139"/>
  <c r="JA65" i="139" s="1"/>
  <c r="JD38" i="139"/>
  <c r="JD65" i="139" s="1"/>
  <c r="HD39" i="139"/>
  <c r="HD66" i="139" s="1"/>
  <c r="HL39" i="139"/>
  <c r="HL66" i="139" s="1"/>
  <c r="HM39" i="139"/>
  <c r="HM66" i="139" s="1"/>
  <c r="HY39" i="139"/>
  <c r="HY66" i="139" s="1"/>
  <c r="IB39" i="139"/>
  <c r="IB66" i="139" s="1"/>
  <c r="IN39" i="139"/>
  <c r="IN66" i="139" s="1"/>
  <c r="IW39" i="139"/>
  <c r="IW66" i="139" s="1"/>
  <c r="IZ39" i="139"/>
  <c r="IZ66" i="139" s="1"/>
  <c r="JH39" i="139"/>
  <c r="JH66" i="139" s="1"/>
  <c r="GZ40" i="139"/>
  <c r="GZ67" i="139" s="1"/>
  <c r="HD40" i="139"/>
  <c r="HD67" i="139" s="1"/>
  <c r="HL40" i="139"/>
  <c r="HL67" i="139" s="1"/>
  <c r="HX40" i="139"/>
  <c r="HX67" i="139" s="1"/>
  <c r="IB40" i="139"/>
  <c r="IB67" i="139" s="1"/>
  <c r="IJ40" i="139"/>
  <c r="IJ67" i="139" s="1"/>
  <c r="JH40" i="139"/>
  <c r="JH67" i="139" s="1"/>
  <c r="HA41" i="139"/>
  <c r="HA68" i="139" s="1"/>
  <c r="HY41" i="139"/>
  <c r="HY68" i="139" s="1"/>
  <c r="HA83" i="139"/>
  <c r="HB83" i="139"/>
  <c r="HC83" i="139"/>
  <c r="HD83" i="139"/>
  <c r="HE83" i="139"/>
  <c r="HF83" i="139"/>
  <c r="HG83" i="139"/>
  <c r="HH83" i="139"/>
  <c r="HI83" i="139"/>
  <c r="HJ83" i="139"/>
  <c r="HK83" i="139"/>
  <c r="HL83" i="139"/>
  <c r="HM83" i="139"/>
  <c r="HN83" i="139"/>
  <c r="HO83" i="139"/>
  <c r="HP83" i="139"/>
  <c r="HQ83" i="139"/>
  <c r="HR83" i="139"/>
  <c r="HS83" i="139"/>
  <c r="HT83" i="139"/>
  <c r="HU83" i="139"/>
  <c r="HV83" i="139"/>
  <c r="HW83" i="139"/>
  <c r="HX83" i="139"/>
  <c r="HY83" i="139"/>
  <c r="HZ83" i="139"/>
  <c r="IA83" i="139"/>
  <c r="IB83" i="139"/>
  <c r="IC83" i="139"/>
  <c r="ID83" i="139"/>
  <c r="IE83" i="139"/>
  <c r="IF83" i="139"/>
  <c r="IG83" i="139"/>
  <c r="IH83" i="139"/>
  <c r="II83" i="139"/>
  <c r="IJ83" i="139"/>
  <c r="IK83" i="139"/>
  <c r="IL83" i="139"/>
  <c r="IM83" i="139"/>
  <c r="IN83" i="139"/>
  <c r="IO83" i="139"/>
  <c r="IP83" i="139"/>
  <c r="IQ83" i="139"/>
  <c r="IR83" i="139"/>
  <c r="IS83" i="139"/>
  <c r="IT83" i="139"/>
  <c r="IU83" i="139"/>
  <c r="IV83" i="139"/>
  <c r="IW83" i="139"/>
  <c r="IX83" i="139"/>
  <c r="IY83" i="139"/>
  <c r="IZ83" i="139"/>
  <c r="JA83" i="139"/>
  <c r="JB83" i="139"/>
  <c r="JC83" i="139"/>
  <c r="JD83" i="139"/>
  <c r="JE83" i="139"/>
  <c r="JF83" i="139"/>
  <c r="JG83" i="139"/>
  <c r="JH83" i="139"/>
  <c r="HA84" i="139"/>
  <c r="HB84" i="139"/>
  <c r="HC84" i="139"/>
  <c r="HD84" i="139"/>
  <c r="HE84" i="139"/>
  <c r="HF84" i="139"/>
  <c r="HG84" i="139"/>
  <c r="HH84" i="139"/>
  <c r="HI84" i="139"/>
  <c r="HJ84" i="139"/>
  <c r="HK84" i="139"/>
  <c r="HL84" i="139"/>
  <c r="HM84" i="139"/>
  <c r="HN84" i="139"/>
  <c r="HO84" i="139"/>
  <c r="HP84" i="139"/>
  <c r="HQ84" i="139"/>
  <c r="HR84" i="139"/>
  <c r="HS84" i="139"/>
  <c r="HT84" i="139"/>
  <c r="HU84" i="139"/>
  <c r="HV84" i="139"/>
  <c r="HW84" i="139"/>
  <c r="HX84" i="139"/>
  <c r="HY84" i="139"/>
  <c r="HZ84" i="139"/>
  <c r="IA84" i="139"/>
  <c r="IB84" i="139"/>
  <c r="IC84" i="139"/>
  <c r="ID84" i="139"/>
  <c r="IE84" i="139"/>
  <c r="IF84" i="139"/>
  <c r="IG84" i="139"/>
  <c r="IH84" i="139"/>
  <c r="II84" i="139"/>
  <c r="IJ84" i="139"/>
  <c r="IK84" i="139"/>
  <c r="IL84" i="139"/>
  <c r="IM84" i="139"/>
  <c r="IN84" i="139"/>
  <c r="IO84" i="139"/>
  <c r="IP84" i="139"/>
  <c r="IQ84" i="139"/>
  <c r="IR84" i="139"/>
  <c r="IS84" i="139"/>
  <c r="IT84" i="139"/>
  <c r="IU84" i="139"/>
  <c r="IV84" i="139"/>
  <c r="IW84" i="139"/>
  <c r="IX84" i="139"/>
  <c r="IY84" i="139"/>
  <c r="IZ84" i="139"/>
  <c r="JA84" i="139"/>
  <c r="JB84" i="139"/>
  <c r="JC84" i="139"/>
  <c r="JD84" i="139"/>
  <c r="JE84" i="139"/>
  <c r="JF84" i="139"/>
  <c r="JG84" i="139"/>
  <c r="JH84" i="139"/>
  <c r="HA85" i="139"/>
  <c r="HB85" i="139"/>
  <c r="HC85" i="139"/>
  <c r="HD85" i="139"/>
  <c r="HE85" i="139"/>
  <c r="HF85" i="139"/>
  <c r="HG85" i="139"/>
  <c r="HH85" i="139"/>
  <c r="HI85" i="139"/>
  <c r="HJ85" i="139"/>
  <c r="HK85" i="139"/>
  <c r="HL85" i="139"/>
  <c r="HM85" i="139"/>
  <c r="HN85" i="139"/>
  <c r="HO85" i="139"/>
  <c r="HP85" i="139"/>
  <c r="HQ85" i="139"/>
  <c r="HR85" i="139"/>
  <c r="HS85" i="139"/>
  <c r="HT85" i="139"/>
  <c r="HU85" i="139"/>
  <c r="HV85" i="139"/>
  <c r="HW85" i="139"/>
  <c r="HX85" i="139"/>
  <c r="HY85" i="139"/>
  <c r="HZ85" i="139"/>
  <c r="IA85" i="139"/>
  <c r="IB85" i="139"/>
  <c r="IC85" i="139"/>
  <c r="ID85" i="139"/>
  <c r="IE85" i="139"/>
  <c r="IF85" i="139"/>
  <c r="IG85" i="139"/>
  <c r="IH85" i="139"/>
  <c r="II85" i="139"/>
  <c r="IJ85" i="139"/>
  <c r="IK85" i="139"/>
  <c r="IL85" i="139"/>
  <c r="IM85" i="139"/>
  <c r="IN85" i="139"/>
  <c r="IO85" i="139"/>
  <c r="IP85" i="139"/>
  <c r="IQ85" i="139"/>
  <c r="IR85" i="139"/>
  <c r="IS85" i="139"/>
  <c r="IT85" i="139"/>
  <c r="IU85" i="139"/>
  <c r="IV85" i="139"/>
  <c r="IW85" i="139"/>
  <c r="IX85" i="139"/>
  <c r="IY85" i="139"/>
  <c r="IZ85" i="139"/>
  <c r="JA85" i="139"/>
  <c r="JB85" i="139"/>
  <c r="JC85" i="139"/>
  <c r="JD85" i="139"/>
  <c r="JE85" i="139"/>
  <c r="JF85" i="139"/>
  <c r="JG85" i="139"/>
  <c r="JH85" i="139"/>
  <c r="HA86" i="139"/>
  <c r="HB86" i="139"/>
  <c r="HC86" i="139"/>
  <c r="HD86" i="139"/>
  <c r="HE86" i="139"/>
  <c r="HF86" i="139"/>
  <c r="HG86" i="139"/>
  <c r="HH86" i="139"/>
  <c r="HI86" i="139"/>
  <c r="HJ86" i="139"/>
  <c r="HK86" i="139"/>
  <c r="HL86" i="139"/>
  <c r="HM86" i="139"/>
  <c r="HN86" i="139"/>
  <c r="HO86" i="139"/>
  <c r="HP86" i="139"/>
  <c r="HQ86" i="139"/>
  <c r="HR86" i="139"/>
  <c r="HS86" i="139"/>
  <c r="HT86" i="139"/>
  <c r="HU86" i="139"/>
  <c r="HV86" i="139"/>
  <c r="HW86" i="139"/>
  <c r="HX86" i="139"/>
  <c r="HY86" i="139"/>
  <c r="HZ86" i="139"/>
  <c r="IA86" i="139"/>
  <c r="IB86" i="139"/>
  <c r="IC86" i="139"/>
  <c r="ID86" i="139"/>
  <c r="IE86" i="139"/>
  <c r="IF86" i="139"/>
  <c r="IG86" i="139"/>
  <c r="IH86" i="139"/>
  <c r="II86" i="139"/>
  <c r="IJ86" i="139"/>
  <c r="IK86" i="139"/>
  <c r="IL86" i="139"/>
  <c r="IM86" i="139"/>
  <c r="IN86" i="139"/>
  <c r="IO86" i="139"/>
  <c r="IP86" i="139"/>
  <c r="IQ86" i="139"/>
  <c r="IR86" i="139"/>
  <c r="IS86" i="139"/>
  <c r="IT86" i="139"/>
  <c r="IU86" i="139"/>
  <c r="IV86" i="139"/>
  <c r="IW86" i="139"/>
  <c r="IX86" i="139"/>
  <c r="IY86" i="139"/>
  <c r="IZ86" i="139"/>
  <c r="JA86" i="139"/>
  <c r="JB86" i="139"/>
  <c r="JC86" i="139"/>
  <c r="JD86" i="139"/>
  <c r="JE86" i="139"/>
  <c r="JF86" i="139"/>
  <c r="JG86" i="139"/>
  <c r="JH86" i="139"/>
  <c r="HA87" i="139"/>
  <c r="HB87" i="139"/>
  <c r="HC87" i="139"/>
  <c r="HD87" i="139"/>
  <c r="HE87" i="139"/>
  <c r="HF87" i="139"/>
  <c r="HG87" i="139"/>
  <c r="HH87" i="139"/>
  <c r="HI87" i="139"/>
  <c r="HJ87" i="139"/>
  <c r="HK87" i="139"/>
  <c r="HL87" i="139"/>
  <c r="HM87" i="139"/>
  <c r="HN87" i="139"/>
  <c r="HO87" i="139"/>
  <c r="HP87" i="139"/>
  <c r="HQ87" i="139"/>
  <c r="HR87" i="139"/>
  <c r="HS87" i="139"/>
  <c r="HT87" i="139"/>
  <c r="HU87" i="139"/>
  <c r="HV87" i="139"/>
  <c r="HW87" i="139"/>
  <c r="HX87" i="139"/>
  <c r="HY87" i="139"/>
  <c r="HZ87" i="139"/>
  <c r="IA87" i="139"/>
  <c r="IB87" i="139"/>
  <c r="IC87" i="139"/>
  <c r="ID87" i="139"/>
  <c r="IE87" i="139"/>
  <c r="IF87" i="139"/>
  <c r="IG87" i="139"/>
  <c r="IH87" i="139"/>
  <c r="II87" i="139"/>
  <c r="IJ87" i="139"/>
  <c r="IK87" i="139"/>
  <c r="IL87" i="139"/>
  <c r="IM87" i="139"/>
  <c r="IN87" i="139"/>
  <c r="IO87" i="139"/>
  <c r="IP87" i="139"/>
  <c r="IQ87" i="139"/>
  <c r="IR87" i="139"/>
  <c r="IS87" i="139"/>
  <c r="IT87" i="139"/>
  <c r="IU87" i="139"/>
  <c r="IV87" i="139"/>
  <c r="IW87" i="139"/>
  <c r="IX87" i="139"/>
  <c r="IY87" i="139"/>
  <c r="IZ87" i="139"/>
  <c r="JA87" i="139"/>
  <c r="JB87" i="139"/>
  <c r="JC87" i="139"/>
  <c r="JD87" i="139"/>
  <c r="JE87" i="139"/>
  <c r="JF87" i="139"/>
  <c r="JG87" i="139"/>
  <c r="JH87" i="139"/>
  <c r="HA88" i="139"/>
  <c r="HB88" i="139"/>
  <c r="HC88" i="139"/>
  <c r="HD88" i="139"/>
  <c r="HE88" i="139"/>
  <c r="HF88" i="139"/>
  <c r="HG88" i="139"/>
  <c r="HH88" i="139"/>
  <c r="HI88" i="139"/>
  <c r="HJ88" i="139"/>
  <c r="HK88" i="139"/>
  <c r="HL88" i="139"/>
  <c r="HM88" i="139"/>
  <c r="HN88" i="139"/>
  <c r="HO88" i="139"/>
  <c r="HP88" i="139"/>
  <c r="HQ88" i="139"/>
  <c r="HR88" i="139"/>
  <c r="HS88" i="139"/>
  <c r="HT88" i="139"/>
  <c r="HU88" i="139"/>
  <c r="HV88" i="139"/>
  <c r="HW88" i="139"/>
  <c r="HX88" i="139"/>
  <c r="HY88" i="139"/>
  <c r="HZ88" i="139"/>
  <c r="IA88" i="139"/>
  <c r="IB88" i="139"/>
  <c r="IC88" i="139"/>
  <c r="ID88" i="139"/>
  <c r="IE88" i="139"/>
  <c r="IF88" i="139"/>
  <c r="IG88" i="139"/>
  <c r="IH88" i="139"/>
  <c r="II88" i="139"/>
  <c r="IJ88" i="139"/>
  <c r="IK88" i="139"/>
  <c r="IL88" i="139"/>
  <c r="IM88" i="139"/>
  <c r="IN88" i="139"/>
  <c r="IO88" i="139"/>
  <c r="IP88" i="139"/>
  <c r="IQ88" i="139"/>
  <c r="IR88" i="139"/>
  <c r="IS88" i="139"/>
  <c r="IT88" i="139"/>
  <c r="IU88" i="139"/>
  <c r="IV88" i="139"/>
  <c r="IW88" i="139"/>
  <c r="IX88" i="139"/>
  <c r="IY88" i="139"/>
  <c r="IZ88" i="139"/>
  <c r="JA88" i="139"/>
  <c r="JB88" i="139"/>
  <c r="JC88" i="139"/>
  <c r="JD88" i="139"/>
  <c r="JE88" i="139"/>
  <c r="JF88" i="139"/>
  <c r="JG88" i="139"/>
  <c r="JH88" i="139"/>
  <c r="HA89" i="139"/>
  <c r="HB89" i="139"/>
  <c r="HC89" i="139"/>
  <c r="HD89" i="139"/>
  <c r="HE89" i="139"/>
  <c r="HF89" i="139"/>
  <c r="HG89" i="139"/>
  <c r="HH89" i="139"/>
  <c r="HI89" i="139"/>
  <c r="HJ89" i="139"/>
  <c r="HK89" i="139"/>
  <c r="HL89" i="139"/>
  <c r="HM89" i="139"/>
  <c r="HN89" i="139"/>
  <c r="HO89" i="139"/>
  <c r="HP89" i="139"/>
  <c r="HQ89" i="139"/>
  <c r="HR89" i="139"/>
  <c r="HS89" i="139"/>
  <c r="HT89" i="139"/>
  <c r="HU89" i="139"/>
  <c r="HV89" i="139"/>
  <c r="HW89" i="139"/>
  <c r="HX89" i="139"/>
  <c r="HY89" i="139"/>
  <c r="HZ89" i="139"/>
  <c r="IA89" i="139"/>
  <c r="IB89" i="139"/>
  <c r="IC89" i="139"/>
  <c r="ID89" i="139"/>
  <c r="IE89" i="139"/>
  <c r="IF89" i="139"/>
  <c r="IG89" i="139"/>
  <c r="IH89" i="139"/>
  <c r="II89" i="139"/>
  <c r="IJ89" i="139"/>
  <c r="IK89" i="139"/>
  <c r="IL89" i="139"/>
  <c r="IM89" i="139"/>
  <c r="IN89" i="139"/>
  <c r="IO89" i="139"/>
  <c r="IP89" i="139"/>
  <c r="IQ89" i="139"/>
  <c r="IR89" i="139"/>
  <c r="IS89" i="139"/>
  <c r="IT89" i="139"/>
  <c r="IU89" i="139"/>
  <c r="IV89" i="139"/>
  <c r="IW89" i="139"/>
  <c r="IX89" i="139"/>
  <c r="IY89" i="139"/>
  <c r="IZ89" i="139"/>
  <c r="JA89" i="139"/>
  <c r="JB89" i="139"/>
  <c r="JC89" i="139"/>
  <c r="JD89" i="139"/>
  <c r="JE89" i="139"/>
  <c r="JF89" i="139"/>
  <c r="JG89" i="139"/>
  <c r="JH89" i="139"/>
  <c r="HA90" i="139"/>
  <c r="HB90" i="139"/>
  <c r="HC90" i="139"/>
  <c r="HD90" i="139"/>
  <c r="HE90" i="139"/>
  <c r="HF90" i="139"/>
  <c r="HG90" i="139"/>
  <c r="HH90" i="139"/>
  <c r="HI90" i="139"/>
  <c r="HJ90" i="139"/>
  <c r="HK90" i="139"/>
  <c r="HL90" i="139"/>
  <c r="HM90" i="139"/>
  <c r="HN90" i="139"/>
  <c r="HO90" i="139"/>
  <c r="HP90" i="139"/>
  <c r="HQ90" i="139"/>
  <c r="HR90" i="139"/>
  <c r="HS90" i="139"/>
  <c r="HT90" i="139"/>
  <c r="HU90" i="139"/>
  <c r="HV90" i="139"/>
  <c r="HW90" i="139"/>
  <c r="HX90" i="139"/>
  <c r="HY90" i="139"/>
  <c r="HZ90" i="139"/>
  <c r="IA90" i="139"/>
  <c r="IB90" i="139"/>
  <c r="IC90" i="139"/>
  <c r="ID90" i="139"/>
  <c r="IE90" i="139"/>
  <c r="IF90" i="139"/>
  <c r="IG90" i="139"/>
  <c r="IH90" i="139"/>
  <c r="II90" i="139"/>
  <c r="IJ90" i="139"/>
  <c r="IK90" i="139"/>
  <c r="IL90" i="139"/>
  <c r="IM90" i="139"/>
  <c r="IN90" i="139"/>
  <c r="IO90" i="139"/>
  <c r="IP90" i="139"/>
  <c r="IQ90" i="139"/>
  <c r="IR90" i="139"/>
  <c r="IS90" i="139"/>
  <c r="IT90" i="139"/>
  <c r="IU90" i="139"/>
  <c r="IV90" i="139"/>
  <c r="IW90" i="139"/>
  <c r="IX90" i="139"/>
  <c r="IY90" i="139"/>
  <c r="IZ90" i="139"/>
  <c r="JA90" i="139"/>
  <c r="JB90" i="139"/>
  <c r="JC90" i="139"/>
  <c r="JD90" i="139"/>
  <c r="JE90" i="139"/>
  <c r="JF90" i="139"/>
  <c r="JG90" i="139"/>
  <c r="JH90" i="139"/>
  <c r="HA91" i="139"/>
  <c r="HB91" i="139"/>
  <c r="HC91" i="139"/>
  <c r="HD91" i="139"/>
  <c r="HE91" i="139"/>
  <c r="HF91" i="139"/>
  <c r="HG91" i="139"/>
  <c r="HH91" i="139"/>
  <c r="HI91" i="139"/>
  <c r="HJ91" i="139"/>
  <c r="HK91" i="139"/>
  <c r="HL91" i="139"/>
  <c r="HM91" i="139"/>
  <c r="HN91" i="139"/>
  <c r="HO91" i="139"/>
  <c r="HP91" i="139"/>
  <c r="HQ91" i="139"/>
  <c r="HR91" i="139"/>
  <c r="HS91" i="139"/>
  <c r="HT91" i="139"/>
  <c r="HU91" i="139"/>
  <c r="HV91" i="139"/>
  <c r="HW91" i="139"/>
  <c r="HX91" i="139"/>
  <c r="HY91" i="139"/>
  <c r="HZ91" i="139"/>
  <c r="IA91" i="139"/>
  <c r="IB91" i="139"/>
  <c r="IC91" i="139"/>
  <c r="ID91" i="139"/>
  <c r="IE91" i="139"/>
  <c r="IF91" i="139"/>
  <c r="IG91" i="139"/>
  <c r="IH91" i="139"/>
  <c r="II91" i="139"/>
  <c r="IJ91" i="139"/>
  <c r="IK91" i="139"/>
  <c r="IL91" i="139"/>
  <c r="IM91" i="139"/>
  <c r="IN91" i="139"/>
  <c r="IO91" i="139"/>
  <c r="IP91" i="139"/>
  <c r="IQ91" i="139"/>
  <c r="IR91" i="139"/>
  <c r="IS91" i="139"/>
  <c r="IT91" i="139"/>
  <c r="IU91" i="139"/>
  <c r="IV91" i="139"/>
  <c r="IW91" i="139"/>
  <c r="IX91" i="139"/>
  <c r="IY91" i="139"/>
  <c r="IZ91" i="139"/>
  <c r="JA91" i="139"/>
  <c r="JB91" i="139"/>
  <c r="JC91" i="139"/>
  <c r="JD91" i="139"/>
  <c r="JE91" i="139"/>
  <c r="JF91" i="139"/>
  <c r="JG91" i="139"/>
  <c r="JH91" i="139"/>
  <c r="HA92" i="139"/>
  <c r="HB92" i="139"/>
  <c r="HC92" i="139"/>
  <c r="HD92" i="139"/>
  <c r="HE92" i="139"/>
  <c r="HF92" i="139"/>
  <c r="HG92" i="139"/>
  <c r="HH92" i="139"/>
  <c r="HI92" i="139"/>
  <c r="HJ92" i="139"/>
  <c r="HK92" i="139"/>
  <c r="HL92" i="139"/>
  <c r="HM92" i="139"/>
  <c r="HN92" i="139"/>
  <c r="HO92" i="139"/>
  <c r="HP92" i="139"/>
  <c r="HQ92" i="139"/>
  <c r="HR92" i="139"/>
  <c r="HS92" i="139"/>
  <c r="HT92" i="139"/>
  <c r="HU92" i="139"/>
  <c r="HV92" i="139"/>
  <c r="HW92" i="139"/>
  <c r="HX92" i="139"/>
  <c r="HY92" i="139"/>
  <c r="HZ92" i="139"/>
  <c r="IA92" i="139"/>
  <c r="IB92" i="139"/>
  <c r="IC92" i="139"/>
  <c r="ID92" i="139"/>
  <c r="IE92" i="139"/>
  <c r="IF92" i="139"/>
  <c r="IG92" i="139"/>
  <c r="IH92" i="139"/>
  <c r="II92" i="139"/>
  <c r="IJ92" i="139"/>
  <c r="IK92" i="139"/>
  <c r="IL92" i="139"/>
  <c r="IM92" i="139"/>
  <c r="IN92" i="139"/>
  <c r="IO92" i="139"/>
  <c r="IP92" i="139"/>
  <c r="IQ92" i="139"/>
  <c r="IR92" i="139"/>
  <c r="IS92" i="139"/>
  <c r="IT92" i="139"/>
  <c r="IU92" i="139"/>
  <c r="IV92" i="139"/>
  <c r="IW92" i="139"/>
  <c r="IX92" i="139"/>
  <c r="IY92" i="139"/>
  <c r="IZ92" i="139"/>
  <c r="JA92" i="139"/>
  <c r="JB92" i="139"/>
  <c r="JC92" i="139"/>
  <c r="JD92" i="139"/>
  <c r="JE92" i="139"/>
  <c r="JF92" i="139"/>
  <c r="JG92" i="139"/>
  <c r="JH92" i="139"/>
  <c r="HA93" i="139"/>
  <c r="HB93" i="139"/>
  <c r="HC93" i="139"/>
  <c r="HD93" i="139"/>
  <c r="HE93" i="139"/>
  <c r="HF93" i="139"/>
  <c r="HG93" i="139"/>
  <c r="HH93" i="139"/>
  <c r="HI93" i="139"/>
  <c r="HJ93" i="139"/>
  <c r="HK93" i="139"/>
  <c r="HL93" i="139"/>
  <c r="HM93" i="139"/>
  <c r="HN93" i="139"/>
  <c r="HO93" i="139"/>
  <c r="HP93" i="139"/>
  <c r="HQ93" i="139"/>
  <c r="HR93" i="139"/>
  <c r="HS93" i="139"/>
  <c r="HT93" i="139"/>
  <c r="HU93" i="139"/>
  <c r="HV93" i="139"/>
  <c r="HW93" i="139"/>
  <c r="HX93" i="139"/>
  <c r="HY93" i="139"/>
  <c r="HZ93" i="139"/>
  <c r="IA93" i="139"/>
  <c r="IB93" i="139"/>
  <c r="IC93" i="139"/>
  <c r="ID93" i="139"/>
  <c r="IE93" i="139"/>
  <c r="IF93" i="139"/>
  <c r="IG93" i="139"/>
  <c r="IH93" i="139"/>
  <c r="II93" i="139"/>
  <c r="IJ93" i="139"/>
  <c r="IK93" i="139"/>
  <c r="IL93" i="139"/>
  <c r="IM93" i="139"/>
  <c r="IN93" i="139"/>
  <c r="IO93" i="139"/>
  <c r="IP93" i="139"/>
  <c r="IQ93" i="139"/>
  <c r="IR93" i="139"/>
  <c r="IS93" i="139"/>
  <c r="IT93" i="139"/>
  <c r="IU93" i="139"/>
  <c r="IV93" i="139"/>
  <c r="IW93" i="139"/>
  <c r="IX93" i="139"/>
  <c r="IY93" i="139"/>
  <c r="IZ93" i="139"/>
  <c r="JA93" i="139"/>
  <c r="JB93" i="139"/>
  <c r="JC93" i="139"/>
  <c r="JD93" i="139"/>
  <c r="JE93" i="139"/>
  <c r="JF93" i="139"/>
  <c r="JG93" i="139"/>
  <c r="JH93" i="139"/>
  <c r="HA94" i="139"/>
  <c r="HB94" i="139"/>
  <c r="HC94" i="139"/>
  <c r="HD94" i="139"/>
  <c r="HE94" i="139"/>
  <c r="HF94" i="139"/>
  <c r="HG94" i="139"/>
  <c r="HH94" i="139"/>
  <c r="HI94" i="139"/>
  <c r="HJ94" i="139"/>
  <c r="HK94" i="139"/>
  <c r="HL94" i="139"/>
  <c r="HM94" i="139"/>
  <c r="HN94" i="139"/>
  <c r="HO94" i="139"/>
  <c r="HP94" i="139"/>
  <c r="HQ94" i="139"/>
  <c r="HR94" i="139"/>
  <c r="HS94" i="139"/>
  <c r="HT94" i="139"/>
  <c r="HU94" i="139"/>
  <c r="HV94" i="139"/>
  <c r="HW94" i="139"/>
  <c r="HX94" i="139"/>
  <c r="HY94" i="139"/>
  <c r="HZ94" i="139"/>
  <c r="IA94" i="139"/>
  <c r="IB94" i="139"/>
  <c r="IC94" i="139"/>
  <c r="ID94" i="139"/>
  <c r="IE94" i="139"/>
  <c r="IF94" i="139"/>
  <c r="IG94" i="139"/>
  <c r="IH94" i="139"/>
  <c r="II94" i="139"/>
  <c r="IJ94" i="139"/>
  <c r="IK94" i="139"/>
  <c r="IL94" i="139"/>
  <c r="IM94" i="139"/>
  <c r="IN94" i="139"/>
  <c r="IO94" i="139"/>
  <c r="IP94" i="139"/>
  <c r="IQ94" i="139"/>
  <c r="IR94" i="139"/>
  <c r="IS94" i="139"/>
  <c r="IT94" i="139"/>
  <c r="IU94" i="139"/>
  <c r="IV94" i="139"/>
  <c r="IW94" i="139"/>
  <c r="IX94" i="139"/>
  <c r="IY94" i="139"/>
  <c r="IZ94" i="139"/>
  <c r="JA94" i="139"/>
  <c r="JB94" i="139"/>
  <c r="JC94" i="139"/>
  <c r="JD94" i="139"/>
  <c r="JE94" i="139"/>
  <c r="JF94" i="139"/>
  <c r="JG94" i="139"/>
  <c r="JH94" i="139"/>
  <c r="JD36" i="139" l="1"/>
  <c r="JD63" i="139" s="1"/>
  <c r="IF30" i="139"/>
  <c r="IF57" i="139" s="1"/>
  <c r="JD40" i="139"/>
  <c r="JD67" i="139" s="1"/>
  <c r="HT39" i="139"/>
  <c r="HT66" i="139" s="1"/>
  <c r="IF36" i="139"/>
  <c r="IF63" i="139" s="1"/>
  <c r="JD35" i="139"/>
  <c r="JD62" i="139" s="1"/>
  <c r="IR34" i="139"/>
  <c r="IR61" i="139" s="1"/>
  <c r="HT32" i="139"/>
  <c r="HT59" i="139" s="1"/>
  <c r="HH31" i="139"/>
  <c r="HH58" i="139" s="1"/>
  <c r="HH30" i="139"/>
  <c r="HH57" i="139" s="1"/>
  <c r="IR40" i="139"/>
  <c r="IR67" i="139" s="1"/>
  <c r="HH40" i="139"/>
  <c r="HH67" i="139" s="1"/>
  <c r="IR39" i="139"/>
  <c r="IR66" i="139" s="1"/>
  <c r="HH35" i="139"/>
  <c r="HH62" i="139" s="1"/>
  <c r="HH34" i="139"/>
  <c r="HH61" i="139" s="1"/>
  <c r="JD32" i="139"/>
  <c r="JD59" i="139" s="1"/>
  <c r="HH32" i="139"/>
  <c r="HH59" i="139" s="1"/>
  <c r="IF31" i="139"/>
  <c r="IF58" i="139" s="1"/>
  <c r="JD30" i="139"/>
  <c r="JD57" i="139" s="1"/>
  <c r="HT38" i="139"/>
  <c r="HT65" i="139" s="1"/>
  <c r="HT36" i="139"/>
  <c r="HT63" i="139" s="1"/>
  <c r="IR35" i="139"/>
  <c r="IR62" i="139" s="1"/>
  <c r="IF34" i="139"/>
  <c r="IF61" i="139" s="1"/>
  <c r="IF40" i="139"/>
  <c r="IF67" i="139" s="1"/>
  <c r="IF39" i="139"/>
  <c r="IF66" i="139" s="1"/>
  <c r="HH39" i="139"/>
  <c r="HH66" i="139" s="1"/>
  <c r="IR38" i="139"/>
  <c r="IR65" i="139" s="1"/>
  <c r="IF35" i="139"/>
  <c r="IF62" i="139" s="1"/>
  <c r="JD31" i="139"/>
  <c r="JD58" i="139" s="1"/>
  <c r="IR30" i="139"/>
  <c r="IR57" i="139" s="1"/>
  <c r="IC31" i="139"/>
  <c r="IC58" i="139" s="1"/>
  <c r="JE41" i="139"/>
  <c r="JE68" i="139" s="1"/>
  <c r="IV39" i="139"/>
  <c r="IV66" i="139" s="1"/>
  <c r="HX39" i="139"/>
  <c r="HX66" i="139" s="1"/>
  <c r="GZ39" i="139"/>
  <c r="GZ66" i="139" s="1"/>
  <c r="IK38" i="139"/>
  <c r="IK65" i="139" s="1"/>
  <c r="HQ38" i="139"/>
  <c r="HQ65" i="139" s="1"/>
  <c r="IW37" i="139"/>
  <c r="IW64" i="139" s="1"/>
  <c r="IV36" i="139"/>
  <c r="IV63" i="139" s="1"/>
  <c r="HL36" i="139"/>
  <c r="HL63" i="139" s="1"/>
  <c r="IJ35" i="139"/>
  <c r="IJ62" i="139" s="1"/>
  <c r="HP34" i="139"/>
  <c r="HP61" i="139" s="1"/>
  <c r="IK33" i="139"/>
  <c r="IK60" i="139" s="1"/>
  <c r="IB31" i="139"/>
  <c r="IB58" i="139" s="1"/>
  <c r="HA31" i="139"/>
  <c r="HA58" i="139" s="1"/>
  <c r="IS37" i="139"/>
  <c r="IS64" i="139" s="1"/>
  <c r="IG35" i="139"/>
  <c r="IG62" i="139" s="1"/>
  <c r="HU41" i="139"/>
  <c r="HU68" i="139" s="1"/>
  <c r="HI37" i="139"/>
  <c r="HI64" i="139" s="1"/>
  <c r="IW34" i="139"/>
  <c r="IW61" i="139" s="1"/>
  <c r="IW33" i="139"/>
  <c r="IW60" i="139" s="1"/>
  <c r="IK30" i="139"/>
  <c r="IK57" i="139" s="1"/>
  <c r="IK41" i="139"/>
  <c r="IK68" i="139" s="1"/>
  <c r="IZ40" i="139"/>
  <c r="IZ67" i="139" s="1"/>
  <c r="HT40" i="139"/>
  <c r="HT67" i="139" s="1"/>
  <c r="JD39" i="139"/>
  <c r="JD66" i="139" s="1"/>
  <c r="IJ39" i="139"/>
  <c r="IJ66" i="139" s="1"/>
  <c r="HP39" i="139"/>
  <c r="HP66" i="139" s="1"/>
  <c r="JH38" i="139"/>
  <c r="JH65" i="139" s="1"/>
  <c r="IO38" i="139"/>
  <c r="IO65" i="139" s="1"/>
  <c r="HX38" i="139"/>
  <c r="HX65" i="139" s="1"/>
  <c r="HE38" i="139"/>
  <c r="HE65" i="139" s="1"/>
  <c r="HM37" i="139"/>
  <c r="HM64" i="139" s="1"/>
  <c r="IN36" i="139"/>
  <c r="IN63" i="139" s="1"/>
  <c r="IK35" i="139"/>
  <c r="IK62" i="139" s="1"/>
  <c r="HT35" i="139"/>
  <c r="HT62" i="139" s="1"/>
  <c r="IB34" i="139"/>
  <c r="IB61" i="139" s="1"/>
  <c r="HL34" i="139"/>
  <c r="HL61" i="139" s="1"/>
  <c r="HY33" i="139"/>
  <c r="HY60" i="139" s="1"/>
  <c r="HL32" i="139"/>
  <c r="HL59" i="139" s="1"/>
  <c r="IK31" i="139"/>
  <c r="IK58" i="139" s="1"/>
  <c r="GZ31" i="139"/>
  <c r="GZ58" i="139" s="1"/>
  <c r="HY30" i="139"/>
  <c r="HY57" i="139" s="1"/>
  <c r="IZ32" i="139"/>
  <c r="IZ59" i="139" s="1"/>
  <c r="HM41" i="139"/>
  <c r="HM68" i="139" s="1"/>
  <c r="IV40" i="139"/>
  <c r="IV67" i="139" s="1"/>
  <c r="IK39" i="139"/>
  <c r="IK66" i="139" s="1"/>
  <c r="HA39" i="139"/>
  <c r="HA66" i="139" s="1"/>
  <c r="IZ38" i="139"/>
  <c r="IZ65" i="139" s="1"/>
  <c r="IN38" i="139"/>
  <c r="IN65" i="139" s="1"/>
  <c r="IB38" i="139"/>
  <c r="IB65" i="139" s="1"/>
  <c r="HP38" i="139"/>
  <c r="HP65" i="139" s="1"/>
  <c r="HD38" i="139"/>
  <c r="HD65" i="139" s="1"/>
  <c r="IK37" i="139"/>
  <c r="IK64" i="139" s="1"/>
  <c r="HA37" i="139"/>
  <c r="HA64" i="139" s="1"/>
  <c r="IJ36" i="139"/>
  <c r="IJ63" i="139" s="1"/>
  <c r="IV35" i="139"/>
  <c r="IV62" i="139" s="1"/>
  <c r="HL35" i="139"/>
  <c r="HL62" i="139" s="1"/>
  <c r="JE34" i="139"/>
  <c r="JE61" i="139" s="1"/>
  <c r="HU34" i="139"/>
  <c r="HU61" i="139" s="1"/>
  <c r="HQ33" i="139"/>
  <c r="HQ60" i="139" s="1"/>
  <c r="IV32" i="139"/>
  <c r="IV59" i="139" s="1"/>
  <c r="IN30" i="139"/>
  <c r="IN57" i="139" s="1"/>
  <c r="IS41" i="139"/>
  <c r="IS68" i="139" s="1"/>
  <c r="HI41" i="139"/>
  <c r="HI68" i="139" s="1"/>
  <c r="IG37" i="139"/>
  <c r="IG64" i="139" s="1"/>
  <c r="IS35" i="139"/>
  <c r="IS62" i="139" s="1"/>
  <c r="HI35" i="139"/>
  <c r="HI62" i="139" s="1"/>
  <c r="IG41" i="139"/>
  <c r="IG68" i="139" s="1"/>
  <c r="JE38" i="139"/>
  <c r="JE65" i="139" s="1"/>
  <c r="IS38" i="139"/>
  <c r="IS65" i="139" s="1"/>
  <c r="IG38" i="139"/>
  <c r="IG65" i="139" s="1"/>
  <c r="HU38" i="139"/>
  <c r="HU65" i="139" s="1"/>
  <c r="HI38" i="139"/>
  <c r="HI65" i="139" s="1"/>
  <c r="JE37" i="139"/>
  <c r="JE64" i="139" s="1"/>
  <c r="HU37" i="139"/>
  <c r="HU64" i="139" s="1"/>
  <c r="JE35" i="139"/>
  <c r="JE62" i="139" s="1"/>
  <c r="HU35" i="139"/>
  <c r="HU62" i="139" s="1"/>
  <c r="IS34" i="139"/>
  <c r="IS61" i="139" s="1"/>
  <c r="HU30" i="139"/>
  <c r="HU57" i="139" s="1"/>
  <c r="HE31" i="139"/>
  <c r="HE58" i="139" s="1"/>
  <c r="IZ30" i="139"/>
  <c r="IZ57" i="139" s="1"/>
  <c r="IO41" i="139"/>
  <c r="IO68" i="139" s="1"/>
  <c r="HQ41" i="139"/>
  <c r="HQ68" i="139" s="1"/>
  <c r="JA39" i="139"/>
  <c r="JA66" i="139" s="1"/>
  <c r="IO39" i="139"/>
  <c r="IO66" i="139" s="1"/>
  <c r="IC39" i="139"/>
  <c r="IC66" i="139" s="1"/>
  <c r="HQ39" i="139"/>
  <c r="HQ66" i="139" s="1"/>
  <c r="HE39" i="139"/>
  <c r="HE66" i="139" s="1"/>
  <c r="JA37" i="139"/>
  <c r="JA64" i="139" s="1"/>
  <c r="IC37" i="139"/>
  <c r="IC64" i="139" s="1"/>
  <c r="HE37" i="139"/>
  <c r="HE64" i="139" s="1"/>
  <c r="IG34" i="139"/>
  <c r="IG61" i="139" s="1"/>
  <c r="HD34" i="139"/>
  <c r="HD61" i="139" s="1"/>
  <c r="IS33" i="139"/>
  <c r="IS60" i="139" s="1"/>
  <c r="HU33" i="139"/>
  <c r="HU60" i="139" s="1"/>
  <c r="HD32" i="139"/>
  <c r="HD59" i="139" s="1"/>
  <c r="IV31" i="139"/>
  <c r="IV58" i="139" s="1"/>
  <c r="HQ31" i="139"/>
  <c r="HQ58" i="139" s="1"/>
  <c r="HD31" i="139"/>
  <c r="HD58" i="139" s="1"/>
  <c r="IB30" i="139"/>
  <c r="IB57" i="139" s="1"/>
  <c r="HI30" i="139"/>
  <c r="HI57" i="139" s="1"/>
  <c r="IO31" i="139"/>
  <c r="IO58" i="139" s="1"/>
  <c r="JA41" i="139"/>
  <c r="JA68" i="139" s="1"/>
  <c r="IC41" i="139"/>
  <c r="IC68" i="139" s="1"/>
  <c r="HE41" i="139"/>
  <c r="HE68" i="139" s="1"/>
  <c r="IO37" i="139"/>
  <c r="IO64" i="139" s="1"/>
  <c r="HQ37" i="139"/>
  <c r="HQ64" i="139" s="1"/>
  <c r="JA35" i="139"/>
  <c r="JA62" i="139" s="1"/>
  <c r="IO35" i="139"/>
  <c r="IO62" i="139" s="1"/>
  <c r="IC35" i="139"/>
  <c r="IC62" i="139" s="1"/>
  <c r="HQ35" i="139"/>
  <c r="HQ62" i="139" s="1"/>
  <c r="HE35" i="139"/>
  <c r="HE62" i="139" s="1"/>
  <c r="IN34" i="139"/>
  <c r="IN61" i="139" s="1"/>
  <c r="JE33" i="139"/>
  <c r="JE60" i="139" s="1"/>
  <c r="IG33" i="139"/>
  <c r="IG60" i="139" s="1"/>
  <c r="HI33" i="139"/>
  <c r="HI60" i="139" s="1"/>
  <c r="JA31" i="139"/>
  <c r="JA58" i="139" s="1"/>
  <c r="IN31" i="139"/>
  <c r="IN58" i="139" s="1"/>
  <c r="JE30" i="139"/>
  <c r="JE57" i="139" s="1"/>
  <c r="IN40" i="139"/>
  <c r="IN67" i="139" s="1"/>
  <c r="HP40" i="139"/>
  <c r="HP67" i="139" s="1"/>
  <c r="JE39" i="139"/>
  <c r="JE66" i="139" s="1"/>
  <c r="IS39" i="139"/>
  <c r="IS66" i="139" s="1"/>
  <c r="IG39" i="139"/>
  <c r="IG66" i="139" s="1"/>
  <c r="HU39" i="139"/>
  <c r="HU66" i="139" s="1"/>
  <c r="HI39" i="139"/>
  <c r="HI66" i="139" s="1"/>
  <c r="IZ36" i="139"/>
  <c r="IZ63" i="139" s="1"/>
  <c r="IB36" i="139"/>
  <c r="IB63" i="139" s="1"/>
  <c r="HD36" i="139"/>
  <c r="HD63" i="139" s="1"/>
  <c r="IZ35" i="139"/>
  <c r="IZ62" i="139" s="1"/>
  <c r="IN35" i="139"/>
  <c r="IN62" i="139" s="1"/>
  <c r="HP35" i="139"/>
  <c r="HP62" i="139" s="1"/>
  <c r="IZ34" i="139"/>
  <c r="IZ61" i="139" s="1"/>
  <c r="HI34" i="139"/>
  <c r="HI61" i="139" s="1"/>
  <c r="JA33" i="139"/>
  <c r="JA60" i="139" s="1"/>
  <c r="IC33" i="139"/>
  <c r="IC60" i="139" s="1"/>
  <c r="HE33" i="139"/>
  <c r="HE60" i="139" s="1"/>
  <c r="IG30" i="139"/>
  <c r="IG57" i="139" s="1"/>
  <c r="HP30" i="139"/>
  <c r="HP57" i="139" s="1"/>
  <c r="JH31" i="139"/>
  <c r="JH58" i="139" s="1"/>
  <c r="IS30" i="139"/>
  <c r="IS57" i="139" s="1"/>
  <c r="JH41" i="139"/>
  <c r="JH68" i="139" s="1"/>
  <c r="IV41" i="139"/>
  <c r="IV68" i="139" s="1"/>
  <c r="IJ41" i="139"/>
  <c r="IJ68" i="139" s="1"/>
  <c r="HX41" i="139"/>
  <c r="HX68" i="139" s="1"/>
  <c r="HL41" i="139"/>
  <c r="HL68" i="139" s="1"/>
  <c r="GZ41" i="139"/>
  <c r="GZ68" i="139" s="1"/>
  <c r="IW40" i="139"/>
  <c r="IW67" i="139" s="1"/>
  <c r="IK40" i="139"/>
  <c r="IK67" i="139" s="1"/>
  <c r="HY40" i="139"/>
  <c r="HY67" i="139" s="1"/>
  <c r="HM40" i="139"/>
  <c r="HM67" i="139" s="1"/>
  <c r="HA40" i="139"/>
  <c r="HA67" i="139" s="1"/>
  <c r="IZ37" i="139"/>
  <c r="IZ64" i="139" s="1"/>
  <c r="IN37" i="139"/>
  <c r="IN64" i="139" s="1"/>
  <c r="IB37" i="139"/>
  <c r="IB64" i="139" s="1"/>
  <c r="HP37" i="139"/>
  <c r="HP64" i="139" s="1"/>
  <c r="HD37" i="139"/>
  <c r="HD64" i="139" s="1"/>
  <c r="JA36" i="139"/>
  <c r="JA63" i="139" s="1"/>
  <c r="IO36" i="139"/>
  <c r="IO63" i="139" s="1"/>
  <c r="IC36" i="139"/>
  <c r="IC63" i="139" s="1"/>
  <c r="HQ36" i="139"/>
  <c r="HQ63" i="139" s="1"/>
  <c r="HE36" i="139"/>
  <c r="HE63" i="139" s="1"/>
  <c r="JD33" i="139"/>
  <c r="JD60" i="139" s="1"/>
  <c r="IR33" i="139"/>
  <c r="IR60" i="139" s="1"/>
  <c r="IF33" i="139"/>
  <c r="IF60" i="139" s="1"/>
  <c r="HT33" i="139"/>
  <c r="HT60" i="139" s="1"/>
  <c r="HH33" i="139"/>
  <c r="HH60" i="139" s="1"/>
  <c r="JE32" i="139"/>
  <c r="JE59" i="139" s="1"/>
  <c r="IS32" i="139"/>
  <c r="IS59" i="139" s="1"/>
  <c r="IG32" i="139"/>
  <c r="IG59" i="139" s="1"/>
  <c r="HU32" i="139"/>
  <c r="HU59" i="139" s="1"/>
  <c r="HI32" i="139"/>
  <c r="HI59" i="139" s="1"/>
  <c r="JA30" i="139"/>
  <c r="JA57" i="139" s="1"/>
  <c r="IO30" i="139"/>
  <c r="IO57" i="139" s="1"/>
  <c r="IC30" i="139"/>
  <c r="IC57" i="139" s="1"/>
  <c r="HQ30" i="139"/>
  <c r="HQ57" i="139" s="1"/>
  <c r="HE30" i="139"/>
  <c r="HE57" i="139" s="1"/>
  <c r="IZ41" i="139"/>
  <c r="IZ68" i="139" s="1"/>
  <c r="IN41" i="139"/>
  <c r="IN68" i="139" s="1"/>
  <c r="IB41" i="139"/>
  <c r="IB68" i="139" s="1"/>
  <c r="HP41" i="139"/>
  <c r="HP68" i="139" s="1"/>
  <c r="HD41" i="139"/>
  <c r="HD68" i="139" s="1"/>
  <c r="JA40" i="139"/>
  <c r="JA67" i="139" s="1"/>
  <c r="IO40" i="139"/>
  <c r="IO67" i="139" s="1"/>
  <c r="IC40" i="139"/>
  <c r="IC67" i="139" s="1"/>
  <c r="HQ40" i="139"/>
  <c r="HQ67" i="139" s="1"/>
  <c r="HE40" i="139"/>
  <c r="HE67" i="139" s="1"/>
  <c r="JD37" i="139"/>
  <c r="JD64" i="139" s="1"/>
  <c r="IR37" i="139"/>
  <c r="IR64" i="139" s="1"/>
  <c r="IF37" i="139"/>
  <c r="IF64" i="139" s="1"/>
  <c r="HT37" i="139"/>
  <c r="HT64" i="139" s="1"/>
  <c r="HH37" i="139"/>
  <c r="HH64" i="139" s="1"/>
  <c r="JE36" i="139"/>
  <c r="JE63" i="139" s="1"/>
  <c r="IS36" i="139"/>
  <c r="IS63" i="139" s="1"/>
  <c r="IG36" i="139"/>
  <c r="IG63" i="139" s="1"/>
  <c r="HU36" i="139"/>
  <c r="HU63" i="139" s="1"/>
  <c r="HI36" i="139"/>
  <c r="HI63" i="139" s="1"/>
  <c r="JH33" i="139"/>
  <c r="JH60" i="139" s="1"/>
  <c r="IV33" i="139"/>
  <c r="IV60" i="139" s="1"/>
  <c r="IJ33" i="139"/>
  <c r="IJ60" i="139" s="1"/>
  <c r="HX33" i="139"/>
  <c r="HX60" i="139" s="1"/>
  <c r="HL33" i="139"/>
  <c r="HL60" i="139" s="1"/>
  <c r="GZ33" i="139"/>
  <c r="GZ60" i="139" s="1"/>
  <c r="IW32" i="139"/>
  <c r="IW59" i="139" s="1"/>
  <c r="IK32" i="139"/>
  <c r="IK59" i="139" s="1"/>
  <c r="HY32" i="139"/>
  <c r="HY59" i="139" s="1"/>
  <c r="HM32" i="139"/>
  <c r="HM59" i="139" s="1"/>
  <c r="HA32" i="139"/>
  <c r="HA59" i="139" s="1"/>
  <c r="JD41" i="139"/>
  <c r="JD68" i="139" s="1"/>
  <c r="IR41" i="139"/>
  <c r="IR68" i="139" s="1"/>
  <c r="IF41" i="139"/>
  <c r="IF68" i="139" s="1"/>
  <c r="HT41" i="139"/>
  <c r="HT68" i="139" s="1"/>
  <c r="HH41" i="139"/>
  <c r="HH68" i="139" s="1"/>
  <c r="JE40" i="139"/>
  <c r="JE67" i="139" s="1"/>
  <c r="IS40" i="139"/>
  <c r="IS67" i="139" s="1"/>
  <c r="IG40" i="139"/>
  <c r="IG67" i="139" s="1"/>
  <c r="HU40" i="139"/>
  <c r="HU67" i="139" s="1"/>
  <c r="HI40" i="139"/>
  <c r="HI67" i="139" s="1"/>
  <c r="JH37" i="139"/>
  <c r="JH64" i="139" s="1"/>
  <c r="IV37" i="139"/>
  <c r="IV64" i="139" s="1"/>
  <c r="IJ37" i="139"/>
  <c r="IJ64" i="139" s="1"/>
  <c r="HX37" i="139"/>
  <c r="HX64" i="139" s="1"/>
  <c r="HL37" i="139"/>
  <c r="HL64" i="139" s="1"/>
  <c r="GZ37" i="139"/>
  <c r="GZ64" i="139" s="1"/>
  <c r="IW36" i="139"/>
  <c r="IW63" i="139" s="1"/>
  <c r="IK36" i="139"/>
  <c r="IK63" i="139" s="1"/>
  <c r="HY36" i="139"/>
  <c r="HY63" i="139" s="1"/>
  <c r="HM36" i="139"/>
  <c r="HM63" i="139" s="1"/>
  <c r="HA36" i="139"/>
  <c r="HA63" i="139" s="1"/>
  <c r="IZ33" i="139"/>
  <c r="IZ60" i="139" s="1"/>
  <c r="IN33" i="139"/>
  <c r="IN60" i="139" s="1"/>
  <c r="IB33" i="139"/>
  <c r="IB60" i="139" s="1"/>
  <c r="HP33" i="139"/>
  <c r="HP60" i="139" s="1"/>
  <c r="HD33" i="139"/>
  <c r="HD60" i="139" s="1"/>
  <c r="JA32" i="139"/>
  <c r="JA59" i="139" s="1"/>
  <c r="IO32" i="139"/>
  <c r="IO59" i="139" s="1"/>
  <c r="IC32" i="139"/>
  <c r="IC59" i="139" s="1"/>
  <c r="HQ32" i="139"/>
  <c r="HQ59" i="139" s="1"/>
  <c r="HE32" i="139"/>
  <c r="HE59" i="139" s="1"/>
  <c r="JF28" i="139"/>
  <c r="JG28" i="139"/>
  <c r="JB28" i="139"/>
  <c r="JB39" i="139" s="1"/>
  <c r="JB66" i="139" s="1"/>
  <c r="JC28" i="139"/>
  <c r="IX28" i="139"/>
  <c r="IY28" i="139"/>
  <c r="IY38" i="139" s="1"/>
  <c r="IY65" i="139" s="1"/>
  <c r="IT28" i="139"/>
  <c r="IU28" i="139"/>
  <c r="IP28" i="139"/>
  <c r="IQ28" i="139"/>
  <c r="IQ30" i="139" s="1"/>
  <c r="IQ57" i="139" s="1"/>
  <c r="IL28" i="139"/>
  <c r="IL39" i="139" s="1"/>
  <c r="IL66" i="139" s="1"/>
  <c r="IM28" i="139"/>
  <c r="IH28" i="139"/>
  <c r="II28" i="139"/>
  <c r="II38" i="139" s="1"/>
  <c r="II65" i="139" s="1"/>
  <c r="ID28" i="139"/>
  <c r="IE28" i="139"/>
  <c r="HZ28" i="139"/>
  <c r="IA28" i="139"/>
  <c r="IA30" i="139" s="1"/>
  <c r="IA57" i="139" s="1"/>
  <c r="HV28" i="139"/>
  <c r="HV39" i="139" s="1"/>
  <c r="HV66" i="139" s="1"/>
  <c r="HW28" i="139"/>
  <c r="HR28" i="139"/>
  <c r="HS28" i="139"/>
  <c r="HS38" i="139" s="1"/>
  <c r="HS65" i="139" s="1"/>
  <c r="HN28" i="139"/>
  <c r="HO28" i="139"/>
  <c r="HJ28" i="139"/>
  <c r="HK28" i="139"/>
  <c r="HK30" i="139" s="1"/>
  <c r="HK57" i="139" s="1"/>
  <c r="HF28" i="139"/>
  <c r="HF39" i="139" s="1"/>
  <c r="HF66" i="139" s="1"/>
  <c r="HG28" i="139"/>
  <c r="HB28" i="139"/>
  <c r="HC28" i="139"/>
  <c r="HC38" i="139" s="1"/>
  <c r="HC65" i="139" s="1"/>
  <c r="IE30" i="139" l="1"/>
  <c r="IE57" i="139" s="1"/>
  <c r="IU30" i="139"/>
  <c r="IU57" i="139" s="1"/>
  <c r="HO30" i="139"/>
  <c r="HO57" i="139" s="1"/>
  <c r="HC30" i="139"/>
  <c r="HC57" i="139" s="1"/>
  <c r="HK31" i="139"/>
  <c r="HK58" i="139" s="1"/>
  <c r="HK32" i="139"/>
  <c r="HK59" i="139" s="1"/>
  <c r="HK33" i="139"/>
  <c r="HK60" i="139" s="1"/>
  <c r="HK36" i="139"/>
  <c r="HK63" i="139" s="1"/>
  <c r="HK35" i="139"/>
  <c r="HK62" i="139" s="1"/>
  <c r="HK37" i="139"/>
  <c r="HK64" i="139" s="1"/>
  <c r="HK40" i="139"/>
  <c r="HK67" i="139" s="1"/>
  <c r="HK39" i="139"/>
  <c r="HK66" i="139" s="1"/>
  <c r="HK41" i="139"/>
  <c r="HK68" i="139" s="1"/>
  <c r="HN32" i="139"/>
  <c r="HN59" i="139" s="1"/>
  <c r="HN34" i="139"/>
  <c r="HN61" i="139" s="1"/>
  <c r="HN30" i="139"/>
  <c r="HN57" i="139" s="1"/>
  <c r="HN36" i="139"/>
  <c r="HN63" i="139" s="1"/>
  <c r="HN33" i="139"/>
  <c r="HN60" i="139" s="1"/>
  <c r="HN37" i="139"/>
  <c r="HN64" i="139" s="1"/>
  <c r="HN38" i="139"/>
  <c r="HN65" i="139" s="1"/>
  <c r="HN41" i="139"/>
  <c r="HN68" i="139" s="1"/>
  <c r="HN40" i="139"/>
  <c r="HN67" i="139" s="1"/>
  <c r="HS30" i="139"/>
  <c r="HS57" i="139" s="1"/>
  <c r="IA31" i="139"/>
  <c r="IA58" i="139" s="1"/>
  <c r="IA33" i="139"/>
  <c r="IA60" i="139" s="1"/>
  <c r="IA32" i="139"/>
  <c r="IA59" i="139" s="1"/>
  <c r="IA36" i="139"/>
  <c r="IA63" i="139" s="1"/>
  <c r="IA37" i="139"/>
  <c r="IA64" i="139" s="1"/>
  <c r="IA35" i="139"/>
  <c r="IA62" i="139" s="1"/>
  <c r="IA40" i="139"/>
  <c r="IA67" i="139" s="1"/>
  <c r="IA39" i="139"/>
  <c r="IA66" i="139" s="1"/>
  <c r="IA41" i="139"/>
  <c r="IA68" i="139" s="1"/>
  <c r="ID32" i="139"/>
  <c r="ID59" i="139" s="1"/>
  <c r="ID34" i="139"/>
  <c r="ID61" i="139" s="1"/>
  <c r="ID30" i="139"/>
  <c r="ID57" i="139" s="1"/>
  <c r="ID36" i="139"/>
  <c r="ID63" i="139" s="1"/>
  <c r="ID33" i="139"/>
  <c r="ID60" i="139" s="1"/>
  <c r="ID37" i="139"/>
  <c r="ID64" i="139" s="1"/>
  <c r="ID38" i="139"/>
  <c r="ID65" i="139" s="1"/>
  <c r="ID41" i="139"/>
  <c r="ID68" i="139" s="1"/>
  <c r="ID40" i="139"/>
  <c r="ID67" i="139" s="1"/>
  <c r="II30" i="139"/>
  <c r="II57" i="139" s="1"/>
  <c r="IQ31" i="139"/>
  <c r="IQ58" i="139" s="1"/>
  <c r="IQ33" i="139"/>
  <c r="IQ60" i="139" s="1"/>
  <c r="IQ35" i="139"/>
  <c r="IQ62" i="139" s="1"/>
  <c r="IQ32" i="139"/>
  <c r="IQ59" i="139" s="1"/>
  <c r="IQ36" i="139"/>
  <c r="IQ63" i="139" s="1"/>
  <c r="IQ37" i="139"/>
  <c r="IQ64" i="139" s="1"/>
  <c r="IQ40" i="139"/>
  <c r="IQ67" i="139" s="1"/>
  <c r="IQ39" i="139"/>
  <c r="IQ66" i="139" s="1"/>
  <c r="IQ41" i="139"/>
  <c r="IQ68" i="139" s="1"/>
  <c r="IT32" i="139"/>
  <c r="IT59" i="139" s="1"/>
  <c r="IT34" i="139"/>
  <c r="IT61" i="139" s="1"/>
  <c r="IT30" i="139"/>
  <c r="IT57" i="139" s="1"/>
  <c r="IT36" i="139"/>
  <c r="IT63" i="139" s="1"/>
  <c r="IT33" i="139"/>
  <c r="IT60" i="139" s="1"/>
  <c r="IT37" i="139"/>
  <c r="IT64" i="139" s="1"/>
  <c r="IT38" i="139"/>
  <c r="IT65" i="139" s="1"/>
  <c r="IT41" i="139"/>
  <c r="IT68" i="139" s="1"/>
  <c r="IT40" i="139"/>
  <c r="IT67" i="139" s="1"/>
  <c r="IY30" i="139"/>
  <c r="IY57" i="139" s="1"/>
  <c r="JG31" i="139"/>
  <c r="JG58" i="139" s="1"/>
  <c r="JG33" i="139"/>
  <c r="JG60" i="139" s="1"/>
  <c r="JG35" i="139"/>
  <c r="JG62" i="139" s="1"/>
  <c r="JG32" i="139"/>
  <c r="JG59" i="139" s="1"/>
  <c r="JG36" i="139"/>
  <c r="JG63" i="139" s="1"/>
  <c r="JG37" i="139"/>
  <c r="JG64" i="139" s="1"/>
  <c r="JG40" i="139"/>
  <c r="JG67" i="139" s="1"/>
  <c r="JG41" i="139"/>
  <c r="JG68" i="139" s="1"/>
  <c r="JG39" i="139"/>
  <c r="JG66" i="139" s="1"/>
  <c r="HF31" i="139"/>
  <c r="HF58" i="139" s="1"/>
  <c r="HV31" i="139"/>
  <c r="HV58" i="139" s="1"/>
  <c r="IL31" i="139"/>
  <c r="IL58" i="139" s="1"/>
  <c r="JB31" i="139"/>
  <c r="JB58" i="139" s="1"/>
  <c r="HK34" i="139"/>
  <c r="HK61" i="139" s="1"/>
  <c r="IA34" i="139"/>
  <c r="IA61" i="139" s="1"/>
  <c r="IQ34" i="139"/>
  <c r="IQ61" i="139" s="1"/>
  <c r="JG34" i="139"/>
  <c r="JG61" i="139" s="1"/>
  <c r="HN35" i="139"/>
  <c r="HN62" i="139" s="1"/>
  <c r="ID35" i="139"/>
  <c r="ID62" i="139" s="1"/>
  <c r="IT35" i="139"/>
  <c r="IT62" i="139" s="1"/>
  <c r="HG31" i="139"/>
  <c r="HG58" i="139" s="1"/>
  <c r="HG35" i="139"/>
  <c r="HG62" i="139" s="1"/>
  <c r="HG33" i="139"/>
  <c r="HG60" i="139" s="1"/>
  <c r="HG32" i="139"/>
  <c r="HG59" i="139" s="1"/>
  <c r="HG36" i="139"/>
  <c r="HG63" i="139" s="1"/>
  <c r="HG39" i="139"/>
  <c r="HG66" i="139" s="1"/>
  <c r="HG37" i="139"/>
  <c r="HG64" i="139" s="1"/>
  <c r="HG40" i="139"/>
  <c r="HG67" i="139" s="1"/>
  <c r="HG41" i="139"/>
  <c r="HG68" i="139" s="1"/>
  <c r="HJ32" i="139"/>
  <c r="HJ59" i="139" s="1"/>
  <c r="HJ34" i="139"/>
  <c r="HJ61" i="139" s="1"/>
  <c r="HJ36" i="139"/>
  <c r="HJ63" i="139" s="1"/>
  <c r="HJ30" i="139"/>
  <c r="HJ57" i="139" s="1"/>
  <c r="HJ37" i="139"/>
  <c r="HJ64" i="139" s="1"/>
  <c r="HJ33" i="139"/>
  <c r="HJ60" i="139" s="1"/>
  <c r="HJ40" i="139"/>
  <c r="HJ67" i="139" s="1"/>
  <c r="HJ38" i="139"/>
  <c r="HJ65" i="139" s="1"/>
  <c r="HJ41" i="139"/>
  <c r="HJ68" i="139" s="1"/>
  <c r="HW31" i="139"/>
  <c r="HW58" i="139" s="1"/>
  <c r="HW35" i="139"/>
  <c r="HW62" i="139" s="1"/>
  <c r="HW33" i="139"/>
  <c r="HW60" i="139" s="1"/>
  <c r="HW36" i="139"/>
  <c r="HW63" i="139" s="1"/>
  <c r="HW39" i="139"/>
  <c r="HW66" i="139" s="1"/>
  <c r="HW32" i="139"/>
  <c r="HW59" i="139" s="1"/>
  <c r="HW37" i="139"/>
  <c r="HW64" i="139" s="1"/>
  <c r="HW40" i="139"/>
  <c r="HW67" i="139" s="1"/>
  <c r="HW41" i="139"/>
  <c r="HW68" i="139" s="1"/>
  <c r="HZ32" i="139"/>
  <c r="HZ59" i="139" s="1"/>
  <c r="HZ34" i="139"/>
  <c r="HZ61" i="139" s="1"/>
  <c r="HZ36" i="139"/>
  <c r="HZ63" i="139" s="1"/>
  <c r="HZ30" i="139"/>
  <c r="HZ57" i="139" s="1"/>
  <c r="HZ37" i="139"/>
  <c r="HZ64" i="139" s="1"/>
  <c r="HZ40" i="139"/>
  <c r="HZ67" i="139" s="1"/>
  <c r="HZ38" i="139"/>
  <c r="HZ65" i="139" s="1"/>
  <c r="HZ33" i="139"/>
  <c r="HZ60" i="139" s="1"/>
  <c r="HZ41" i="139"/>
  <c r="HZ68" i="139" s="1"/>
  <c r="IM31" i="139"/>
  <c r="IM58" i="139" s="1"/>
  <c r="IM33" i="139"/>
  <c r="IM60" i="139" s="1"/>
  <c r="IM35" i="139"/>
  <c r="IM62" i="139" s="1"/>
  <c r="IM36" i="139"/>
  <c r="IM63" i="139" s="1"/>
  <c r="IM32" i="139"/>
  <c r="IM59" i="139" s="1"/>
  <c r="IM39" i="139"/>
  <c r="IM66" i="139" s="1"/>
  <c r="IM37" i="139"/>
  <c r="IM64" i="139" s="1"/>
  <c r="IM40" i="139"/>
  <c r="IM67" i="139" s="1"/>
  <c r="IM41" i="139"/>
  <c r="IM68" i="139" s="1"/>
  <c r="IP32" i="139"/>
  <c r="IP59" i="139" s="1"/>
  <c r="IP34" i="139"/>
  <c r="IP61" i="139" s="1"/>
  <c r="IP36" i="139"/>
  <c r="IP63" i="139" s="1"/>
  <c r="IP30" i="139"/>
  <c r="IP57" i="139" s="1"/>
  <c r="IP37" i="139"/>
  <c r="IP64" i="139" s="1"/>
  <c r="IP33" i="139"/>
  <c r="IP60" i="139" s="1"/>
  <c r="IP38" i="139"/>
  <c r="IP65" i="139" s="1"/>
  <c r="IP41" i="139"/>
  <c r="IP68" i="139" s="1"/>
  <c r="IP40" i="139"/>
  <c r="IP67" i="139" s="1"/>
  <c r="JC31" i="139"/>
  <c r="JC58" i="139" s="1"/>
  <c r="JC33" i="139"/>
  <c r="JC60" i="139" s="1"/>
  <c r="JC35" i="139"/>
  <c r="JC62" i="139" s="1"/>
  <c r="JC36" i="139"/>
  <c r="JC63" i="139" s="1"/>
  <c r="JC39" i="139"/>
  <c r="JC66" i="139" s="1"/>
  <c r="JC32" i="139"/>
  <c r="JC59" i="139" s="1"/>
  <c r="JC37" i="139"/>
  <c r="JC64" i="139" s="1"/>
  <c r="JC40" i="139"/>
  <c r="JC67" i="139" s="1"/>
  <c r="JC41" i="139"/>
  <c r="JC68" i="139" s="1"/>
  <c r="JF32" i="139"/>
  <c r="JF59" i="139" s="1"/>
  <c r="JF34" i="139"/>
  <c r="JF61" i="139" s="1"/>
  <c r="JF36" i="139"/>
  <c r="JF63" i="139" s="1"/>
  <c r="JF30" i="139"/>
  <c r="JF57" i="139" s="1"/>
  <c r="JF37" i="139"/>
  <c r="JF64" i="139" s="1"/>
  <c r="JF38" i="139"/>
  <c r="JF65" i="139" s="1"/>
  <c r="JF33" i="139"/>
  <c r="JF60" i="139" s="1"/>
  <c r="JF41" i="139"/>
  <c r="JF68" i="139" s="1"/>
  <c r="JF40" i="139"/>
  <c r="JF67" i="139" s="1"/>
  <c r="HJ31" i="139"/>
  <c r="HJ58" i="139" s="1"/>
  <c r="HZ31" i="139"/>
  <c r="HZ58" i="139" s="1"/>
  <c r="IP31" i="139"/>
  <c r="IP58" i="139" s="1"/>
  <c r="JF31" i="139"/>
  <c r="JF58" i="139" s="1"/>
  <c r="HO34" i="139"/>
  <c r="HO61" i="139" s="1"/>
  <c r="IE34" i="139"/>
  <c r="IE61" i="139" s="1"/>
  <c r="IU34" i="139"/>
  <c r="IU61" i="139" s="1"/>
  <c r="HB35" i="139"/>
  <c r="HB62" i="139" s="1"/>
  <c r="HR35" i="139"/>
  <c r="HR62" i="139" s="1"/>
  <c r="IH35" i="139"/>
  <c r="IH62" i="139" s="1"/>
  <c r="IX35" i="139"/>
  <c r="IX62" i="139" s="1"/>
  <c r="HG38" i="139"/>
  <c r="HG65" i="139" s="1"/>
  <c r="HW38" i="139"/>
  <c r="HW65" i="139" s="1"/>
  <c r="IM38" i="139"/>
  <c r="IM65" i="139" s="1"/>
  <c r="JC38" i="139"/>
  <c r="JC65" i="139" s="1"/>
  <c r="HJ39" i="139"/>
  <c r="HJ66" i="139" s="1"/>
  <c r="HZ39" i="139"/>
  <c r="HZ66" i="139" s="1"/>
  <c r="IP39" i="139"/>
  <c r="IP66" i="139" s="1"/>
  <c r="JF39" i="139"/>
  <c r="JF66" i="139" s="1"/>
  <c r="HC31" i="139"/>
  <c r="HC58" i="139" s="1"/>
  <c r="HC32" i="139"/>
  <c r="HC59" i="139" s="1"/>
  <c r="HC35" i="139"/>
  <c r="HC62" i="139" s="1"/>
  <c r="HC33" i="139"/>
  <c r="HC60" i="139" s="1"/>
  <c r="HC36" i="139"/>
  <c r="HC63" i="139" s="1"/>
  <c r="HC37" i="139"/>
  <c r="HC64" i="139" s="1"/>
  <c r="HC39" i="139"/>
  <c r="HC66" i="139" s="1"/>
  <c r="HC41" i="139"/>
  <c r="HC68" i="139" s="1"/>
  <c r="HC40" i="139"/>
  <c r="HC67" i="139" s="1"/>
  <c r="HF32" i="139"/>
  <c r="HF59" i="139" s="1"/>
  <c r="HF33" i="139"/>
  <c r="HF60" i="139" s="1"/>
  <c r="HF36" i="139"/>
  <c r="HF63" i="139" s="1"/>
  <c r="HF34" i="139"/>
  <c r="HF61" i="139" s="1"/>
  <c r="HF37" i="139"/>
  <c r="HF64" i="139" s="1"/>
  <c r="HF40" i="139"/>
  <c r="HF67" i="139" s="1"/>
  <c r="HF30" i="139"/>
  <c r="HF57" i="139" s="1"/>
  <c r="HF38" i="139"/>
  <c r="HF65" i="139" s="1"/>
  <c r="HF41" i="139"/>
  <c r="HF68" i="139" s="1"/>
  <c r="HS31" i="139"/>
  <c r="HS58" i="139" s="1"/>
  <c r="HS32" i="139"/>
  <c r="HS59" i="139" s="1"/>
  <c r="HS35" i="139"/>
  <c r="HS62" i="139" s="1"/>
  <c r="HS33" i="139"/>
  <c r="HS60" i="139" s="1"/>
  <c r="HS36" i="139"/>
  <c r="HS63" i="139" s="1"/>
  <c r="HS37" i="139"/>
  <c r="HS64" i="139" s="1"/>
  <c r="HS39" i="139"/>
  <c r="HS66" i="139" s="1"/>
  <c r="HS41" i="139"/>
  <c r="HS68" i="139" s="1"/>
  <c r="HS40" i="139"/>
  <c r="HS67" i="139" s="1"/>
  <c r="HV33" i="139"/>
  <c r="HV60" i="139" s="1"/>
  <c r="HV36" i="139"/>
  <c r="HV63" i="139" s="1"/>
  <c r="HV32" i="139"/>
  <c r="HV59" i="139" s="1"/>
  <c r="HV34" i="139"/>
  <c r="HV61" i="139" s="1"/>
  <c r="HV37" i="139"/>
  <c r="HV64" i="139" s="1"/>
  <c r="HV40" i="139"/>
  <c r="HV67" i="139" s="1"/>
  <c r="HV38" i="139"/>
  <c r="HV65" i="139" s="1"/>
  <c r="HV41" i="139"/>
  <c r="HV68" i="139" s="1"/>
  <c r="HV30" i="139"/>
  <c r="HV57" i="139" s="1"/>
  <c r="II31" i="139"/>
  <c r="II58" i="139" s="1"/>
  <c r="II32" i="139"/>
  <c r="II59" i="139" s="1"/>
  <c r="II35" i="139"/>
  <c r="II62" i="139" s="1"/>
  <c r="II33" i="139"/>
  <c r="II60" i="139" s="1"/>
  <c r="II36" i="139"/>
  <c r="II63" i="139" s="1"/>
  <c r="II37" i="139"/>
  <c r="II64" i="139" s="1"/>
  <c r="II39" i="139"/>
  <c r="II66" i="139" s="1"/>
  <c r="II41" i="139"/>
  <c r="II68" i="139" s="1"/>
  <c r="II40" i="139"/>
  <c r="II67" i="139" s="1"/>
  <c r="IL33" i="139"/>
  <c r="IL60" i="139" s="1"/>
  <c r="IL36" i="139"/>
  <c r="IL63" i="139" s="1"/>
  <c r="IL32" i="139"/>
  <c r="IL59" i="139" s="1"/>
  <c r="IL34" i="139"/>
  <c r="IL61" i="139" s="1"/>
  <c r="IL37" i="139"/>
  <c r="IL64" i="139" s="1"/>
  <c r="IL30" i="139"/>
  <c r="IL57" i="139" s="1"/>
  <c r="IL40" i="139"/>
  <c r="IL67" i="139" s="1"/>
  <c r="IL38" i="139"/>
  <c r="IL65" i="139" s="1"/>
  <c r="IL41" i="139"/>
  <c r="IL68" i="139" s="1"/>
  <c r="IY31" i="139"/>
  <c r="IY58" i="139" s="1"/>
  <c r="IY32" i="139"/>
  <c r="IY59" i="139" s="1"/>
  <c r="IY35" i="139"/>
  <c r="IY62" i="139" s="1"/>
  <c r="IY33" i="139"/>
  <c r="IY60" i="139" s="1"/>
  <c r="IY36" i="139"/>
  <c r="IY63" i="139" s="1"/>
  <c r="IY37" i="139"/>
  <c r="IY64" i="139" s="1"/>
  <c r="IY39" i="139"/>
  <c r="IY66" i="139" s="1"/>
  <c r="IY41" i="139"/>
  <c r="IY68" i="139" s="1"/>
  <c r="IY40" i="139"/>
  <c r="IY67" i="139" s="1"/>
  <c r="JB33" i="139"/>
  <c r="JB60" i="139" s="1"/>
  <c r="JB36" i="139"/>
  <c r="JB63" i="139" s="1"/>
  <c r="JB32" i="139"/>
  <c r="JB59" i="139" s="1"/>
  <c r="JB34" i="139"/>
  <c r="JB61" i="139" s="1"/>
  <c r="JB37" i="139"/>
  <c r="JB64" i="139" s="1"/>
  <c r="JB30" i="139"/>
  <c r="JB57" i="139" s="1"/>
  <c r="JB40" i="139"/>
  <c r="JB67" i="139" s="1"/>
  <c r="JB38" i="139"/>
  <c r="JB65" i="139" s="1"/>
  <c r="JB41" i="139"/>
  <c r="JB68" i="139" s="1"/>
  <c r="JG30" i="139"/>
  <c r="JG57" i="139" s="1"/>
  <c r="HN31" i="139"/>
  <c r="HN58" i="139" s="1"/>
  <c r="ID31" i="139"/>
  <c r="ID58" i="139" s="1"/>
  <c r="IT31" i="139"/>
  <c r="IT58" i="139" s="1"/>
  <c r="HC34" i="139"/>
  <c r="HC61" i="139" s="1"/>
  <c r="HS34" i="139"/>
  <c r="HS61" i="139" s="1"/>
  <c r="II34" i="139"/>
  <c r="II61" i="139" s="1"/>
  <c r="IY34" i="139"/>
  <c r="IY61" i="139" s="1"/>
  <c r="HF35" i="139"/>
  <c r="HF62" i="139" s="1"/>
  <c r="HV35" i="139"/>
  <c r="HV62" i="139" s="1"/>
  <c r="IL35" i="139"/>
  <c r="IL62" i="139" s="1"/>
  <c r="JB35" i="139"/>
  <c r="JB62" i="139" s="1"/>
  <c r="HK38" i="139"/>
  <c r="HK65" i="139" s="1"/>
  <c r="IA38" i="139"/>
  <c r="IA65" i="139" s="1"/>
  <c r="IQ38" i="139"/>
  <c r="IQ65" i="139" s="1"/>
  <c r="JG38" i="139"/>
  <c r="JG65" i="139" s="1"/>
  <c r="HN39" i="139"/>
  <c r="HN66" i="139" s="1"/>
  <c r="ID39" i="139"/>
  <c r="ID66" i="139" s="1"/>
  <c r="IT39" i="139"/>
  <c r="IT66" i="139" s="1"/>
  <c r="HB32" i="139"/>
  <c r="HB59" i="139" s="1"/>
  <c r="HB30" i="139"/>
  <c r="HB57" i="139" s="1"/>
  <c r="HB33" i="139"/>
  <c r="HB60" i="139" s="1"/>
  <c r="HB36" i="139"/>
  <c r="HB63" i="139" s="1"/>
  <c r="HB37" i="139"/>
  <c r="HB64" i="139" s="1"/>
  <c r="HB34" i="139"/>
  <c r="HB61" i="139" s="1"/>
  <c r="HB40" i="139"/>
  <c r="HB67" i="139" s="1"/>
  <c r="HB41" i="139"/>
  <c r="HB68" i="139" s="1"/>
  <c r="HB38" i="139"/>
  <c r="HB65" i="139" s="1"/>
  <c r="HG30" i="139"/>
  <c r="HG57" i="139" s="1"/>
  <c r="HO31" i="139"/>
  <c r="HO58" i="139" s="1"/>
  <c r="HO32" i="139"/>
  <c r="HO59" i="139" s="1"/>
  <c r="HO35" i="139"/>
  <c r="HO62" i="139" s="1"/>
  <c r="HO36" i="139"/>
  <c r="HO63" i="139" s="1"/>
  <c r="HO40" i="139"/>
  <c r="HO67" i="139" s="1"/>
  <c r="HO33" i="139"/>
  <c r="HO60" i="139" s="1"/>
  <c r="HO37" i="139"/>
  <c r="HO64" i="139" s="1"/>
  <c r="HO39" i="139"/>
  <c r="HO66" i="139" s="1"/>
  <c r="HO41" i="139"/>
  <c r="HO68" i="139" s="1"/>
  <c r="HR32" i="139"/>
  <c r="HR59" i="139" s="1"/>
  <c r="HR30" i="139"/>
  <c r="HR57" i="139" s="1"/>
  <c r="HR33" i="139"/>
  <c r="HR60" i="139" s="1"/>
  <c r="HR36" i="139"/>
  <c r="HR63" i="139" s="1"/>
  <c r="HR37" i="139"/>
  <c r="HR64" i="139" s="1"/>
  <c r="HR34" i="139"/>
  <c r="HR61" i="139" s="1"/>
  <c r="HR40" i="139"/>
  <c r="HR67" i="139" s="1"/>
  <c r="HR38" i="139"/>
  <c r="HR65" i="139" s="1"/>
  <c r="HR41" i="139"/>
  <c r="HR68" i="139" s="1"/>
  <c r="HW30" i="139"/>
  <c r="HW57" i="139" s="1"/>
  <c r="IE31" i="139"/>
  <c r="IE58" i="139" s="1"/>
  <c r="IE32" i="139"/>
  <c r="IE59" i="139" s="1"/>
  <c r="IE35" i="139"/>
  <c r="IE62" i="139" s="1"/>
  <c r="IE36" i="139"/>
  <c r="IE63" i="139" s="1"/>
  <c r="IE33" i="139"/>
  <c r="IE60" i="139" s="1"/>
  <c r="IE40" i="139"/>
  <c r="IE67" i="139" s="1"/>
  <c r="IE37" i="139"/>
  <c r="IE64" i="139" s="1"/>
  <c r="IE39" i="139"/>
  <c r="IE66" i="139" s="1"/>
  <c r="IE41" i="139"/>
  <c r="IE68" i="139" s="1"/>
  <c r="IH30" i="139"/>
  <c r="IH57" i="139" s="1"/>
  <c r="IH33" i="139"/>
  <c r="IH60" i="139" s="1"/>
  <c r="IH36" i="139"/>
  <c r="IH63" i="139" s="1"/>
  <c r="IH37" i="139"/>
  <c r="IH64" i="139" s="1"/>
  <c r="IH32" i="139"/>
  <c r="IH59" i="139" s="1"/>
  <c r="IH40" i="139"/>
  <c r="IH67" i="139" s="1"/>
  <c r="IH34" i="139"/>
  <c r="IH61" i="139" s="1"/>
  <c r="IH38" i="139"/>
  <c r="IH65" i="139" s="1"/>
  <c r="IH41" i="139"/>
  <c r="IH68" i="139" s="1"/>
  <c r="IM30" i="139"/>
  <c r="IM57" i="139" s="1"/>
  <c r="IU31" i="139"/>
  <c r="IU58" i="139" s="1"/>
  <c r="IU32" i="139"/>
  <c r="IU59" i="139" s="1"/>
  <c r="IU35" i="139"/>
  <c r="IU62" i="139" s="1"/>
  <c r="IU36" i="139"/>
  <c r="IU63" i="139" s="1"/>
  <c r="IU33" i="139"/>
  <c r="IU60" i="139" s="1"/>
  <c r="IU37" i="139"/>
  <c r="IU64" i="139" s="1"/>
  <c r="IU39" i="139"/>
  <c r="IU66" i="139" s="1"/>
  <c r="IU41" i="139"/>
  <c r="IU68" i="139" s="1"/>
  <c r="IU40" i="139"/>
  <c r="IU67" i="139" s="1"/>
  <c r="IX30" i="139"/>
  <c r="IX57" i="139" s="1"/>
  <c r="IX33" i="139"/>
  <c r="IX60" i="139" s="1"/>
  <c r="IX36" i="139"/>
  <c r="IX63" i="139" s="1"/>
  <c r="IX37" i="139"/>
  <c r="IX64" i="139" s="1"/>
  <c r="IX32" i="139"/>
  <c r="IX59" i="139" s="1"/>
  <c r="IX34" i="139"/>
  <c r="IX61" i="139" s="1"/>
  <c r="IX40" i="139"/>
  <c r="IX67" i="139" s="1"/>
  <c r="IX38" i="139"/>
  <c r="IX65" i="139" s="1"/>
  <c r="IX41" i="139"/>
  <c r="IX68" i="139" s="1"/>
  <c r="JC30" i="139"/>
  <c r="JC57" i="139" s="1"/>
  <c r="HB31" i="139"/>
  <c r="HB58" i="139" s="1"/>
  <c r="HR31" i="139"/>
  <c r="HR58" i="139" s="1"/>
  <c r="IH31" i="139"/>
  <c r="IH58" i="139" s="1"/>
  <c r="IX31" i="139"/>
  <c r="IX58" i="139" s="1"/>
  <c r="HG34" i="139"/>
  <c r="HG61" i="139" s="1"/>
  <c r="HW34" i="139"/>
  <c r="HW61" i="139" s="1"/>
  <c r="IM34" i="139"/>
  <c r="IM61" i="139" s="1"/>
  <c r="JC34" i="139"/>
  <c r="JC61" i="139" s="1"/>
  <c r="HJ35" i="139"/>
  <c r="HJ62" i="139" s="1"/>
  <c r="HZ35" i="139"/>
  <c r="HZ62" i="139" s="1"/>
  <c r="IP35" i="139"/>
  <c r="IP62" i="139" s="1"/>
  <c r="JF35" i="139"/>
  <c r="JF62" i="139" s="1"/>
  <c r="HO38" i="139"/>
  <c r="HO65" i="139" s="1"/>
  <c r="IE38" i="139"/>
  <c r="IE65" i="139" s="1"/>
  <c r="IU38" i="139"/>
  <c r="IU65" i="139" s="1"/>
  <c r="HB39" i="139"/>
  <c r="HB66" i="139" s="1"/>
  <c r="HR39" i="139"/>
  <c r="HR66" i="139" s="1"/>
  <c r="IH39" i="139"/>
  <c r="IH66" i="139" s="1"/>
  <c r="IX39" i="139"/>
  <c r="IX66" i="139" s="1"/>
  <c r="GY28" i="139" l="1"/>
  <c r="GY30" i="139" s="1"/>
  <c r="GY57" i="139" s="1"/>
  <c r="GY38" i="139" l="1"/>
  <c r="GY65" i="139" s="1"/>
  <c r="GY35" i="139"/>
  <c r="GY62" i="139" s="1"/>
  <c r="GY33" i="139"/>
  <c r="GY60" i="139" s="1"/>
  <c r="GY41" i="139"/>
  <c r="GY68" i="139" s="1"/>
  <c r="GY39" i="139"/>
  <c r="GY66" i="139" s="1"/>
  <c r="GY34" i="139"/>
  <c r="GY61" i="139" s="1"/>
  <c r="GY31" i="139"/>
  <c r="GY58" i="139" s="1"/>
  <c r="GY37" i="139"/>
  <c r="GY64" i="139" s="1"/>
  <c r="GY40" i="139"/>
  <c r="GY67" i="139" s="1"/>
  <c r="GY36" i="139"/>
  <c r="GY63" i="139" s="1"/>
  <c r="GY32" i="139"/>
  <c r="GY59" i="139" s="1"/>
  <c r="GX28" i="139"/>
  <c r="GX36" i="139" s="1"/>
  <c r="GX63" i="139" s="1"/>
  <c r="GW28" i="139" l="1"/>
  <c r="GV28" i="139" s="1"/>
  <c r="GV34" i="139" s="1"/>
  <c r="GV61" i="139" s="1"/>
  <c r="GV32" i="139"/>
  <c r="GV59" i="139" s="1"/>
  <c r="GX38" i="139"/>
  <c r="GX65" i="139" s="1"/>
  <c r="GV39" i="139"/>
  <c r="GV66" i="139" s="1"/>
  <c r="GV31" i="139"/>
  <c r="GV58" i="139" s="1"/>
  <c r="GV40" i="139"/>
  <c r="GV67" i="139" s="1"/>
  <c r="GV35" i="139"/>
  <c r="GV62" i="139" s="1"/>
  <c r="GV37" i="139"/>
  <c r="GV64" i="139" s="1"/>
  <c r="GV33" i="139"/>
  <c r="GV60" i="139" s="1"/>
  <c r="GU28" i="139"/>
  <c r="GX32" i="139"/>
  <c r="GX59" i="139" s="1"/>
  <c r="GX30" i="139"/>
  <c r="GX57" i="139" s="1"/>
  <c r="GX34" i="139"/>
  <c r="GX61" i="139" s="1"/>
  <c r="GW30" i="139"/>
  <c r="GW57" i="139" s="1"/>
  <c r="GW32" i="139"/>
  <c r="GW59" i="139" s="1"/>
  <c r="GW34" i="139"/>
  <c r="GW61" i="139" s="1"/>
  <c r="GW36" i="139"/>
  <c r="GW63" i="139" s="1"/>
  <c r="GW31" i="139"/>
  <c r="GW58" i="139" s="1"/>
  <c r="GW33" i="139"/>
  <c r="GW60" i="139" s="1"/>
  <c r="GW35" i="139"/>
  <c r="GW62" i="139" s="1"/>
  <c r="GW37" i="139"/>
  <c r="GW64" i="139" s="1"/>
  <c r="GW38" i="139"/>
  <c r="GW65" i="139" s="1"/>
  <c r="GW41" i="139"/>
  <c r="GW68" i="139" s="1"/>
  <c r="GW39" i="139"/>
  <c r="GW66" i="139" s="1"/>
  <c r="GW40" i="139"/>
  <c r="GW67" i="139" s="1"/>
  <c r="GX35" i="139"/>
  <c r="GX62" i="139" s="1"/>
  <c r="GX39" i="139"/>
  <c r="GX66" i="139" s="1"/>
  <c r="GX33" i="139"/>
  <c r="GX60" i="139" s="1"/>
  <c r="GX37" i="139"/>
  <c r="GX64" i="139" s="1"/>
  <c r="GX31" i="139"/>
  <c r="GX58" i="139" s="1"/>
  <c r="GX41" i="139"/>
  <c r="GX68" i="139" s="1"/>
  <c r="GX40" i="139"/>
  <c r="GX67" i="139" s="1"/>
  <c r="GV38" i="139" l="1"/>
  <c r="GV65" i="139" s="1"/>
  <c r="GV36" i="139"/>
  <c r="GV63" i="139" s="1"/>
  <c r="GV30" i="139"/>
  <c r="GV57" i="139" s="1"/>
  <c r="GV41" i="139"/>
  <c r="GV68" i="139" s="1"/>
  <c r="GU30" i="139"/>
  <c r="GU57" i="139" s="1"/>
  <c r="GU40" i="139"/>
  <c r="GU67" i="139" s="1"/>
  <c r="GU38" i="139"/>
  <c r="GU65" i="139" s="1"/>
  <c r="GU37" i="139"/>
  <c r="GU64" i="139" s="1"/>
  <c r="GT28" i="139"/>
  <c r="GU39" i="139"/>
  <c r="GU66" i="139" s="1"/>
  <c r="GU41" i="139"/>
  <c r="GU68" i="139" s="1"/>
  <c r="GU36" i="139"/>
  <c r="GU63" i="139" s="1"/>
  <c r="GU34" i="139"/>
  <c r="GU61" i="139" s="1"/>
  <c r="GU32" i="139"/>
  <c r="GU59" i="139" s="1"/>
  <c r="GU35" i="139"/>
  <c r="GU62" i="139" s="1"/>
  <c r="GU31" i="139"/>
  <c r="GU58" i="139" s="1"/>
  <c r="GU33" i="139"/>
  <c r="GU60" i="139" s="1"/>
  <c r="GS28" i="139" l="1"/>
  <c r="GT31" i="139"/>
  <c r="GT58" i="139" s="1"/>
  <c r="GT34" i="139"/>
  <c r="GT61" i="139" s="1"/>
  <c r="GT41" i="139"/>
  <c r="GT68" i="139" s="1"/>
  <c r="GT39" i="139"/>
  <c r="GT66" i="139" s="1"/>
  <c r="GT32" i="139"/>
  <c r="GT59" i="139" s="1"/>
  <c r="GT35" i="139"/>
  <c r="GT62" i="139" s="1"/>
  <c r="GT40" i="139"/>
  <c r="GT67" i="139" s="1"/>
  <c r="GT38" i="139"/>
  <c r="GT65" i="139" s="1"/>
  <c r="GT37" i="139"/>
  <c r="GT64" i="139" s="1"/>
  <c r="GT36" i="139"/>
  <c r="GT63" i="139" s="1"/>
  <c r="GT33" i="139"/>
  <c r="GT60" i="139" s="1"/>
  <c r="GS31" i="139"/>
  <c r="GS58" i="139" s="1"/>
  <c r="GT30" i="139"/>
  <c r="GT57" i="139" s="1"/>
  <c r="GS30" i="139"/>
  <c r="GS57" i="139" s="1"/>
  <c r="GR28" i="139" l="1"/>
  <c r="GS34" i="139"/>
  <c r="GS61" i="139" s="1"/>
  <c r="GS37" i="139"/>
  <c r="GS64" i="139" s="1"/>
  <c r="GS36" i="139"/>
  <c r="GS63" i="139" s="1"/>
  <c r="GS38" i="139"/>
  <c r="GS65" i="139" s="1"/>
  <c r="GS33" i="139"/>
  <c r="GS60" i="139" s="1"/>
  <c r="GS41" i="139"/>
  <c r="GS68" i="139" s="1"/>
  <c r="GS35" i="139"/>
  <c r="GS62" i="139" s="1"/>
  <c r="GS39" i="139"/>
  <c r="GS66" i="139" s="1"/>
  <c r="GS32" i="139"/>
  <c r="GS59" i="139" s="1"/>
  <c r="GS40" i="139"/>
  <c r="GS67" i="139" s="1"/>
  <c r="GR38" i="139" l="1"/>
  <c r="GR65" i="139" s="1"/>
  <c r="GR34" i="139"/>
  <c r="GR61" i="139" s="1"/>
  <c r="GR37" i="139"/>
  <c r="GR64" i="139" s="1"/>
  <c r="GR40" i="139"/>
  <c r="GR67" i="139" s="1"/>
  <c r="GR39" i="139"/>
  <c r="GR66" i="139" s="1"/>
  <c r="GR41" i="139"/>
  <c r="GR68" i="139" s="1"/>
  <c r="GR33" i="139"/>
  <c r="GR60" i="139" s="1"/>
  <c r="GR35" i="139"/>
  <c r="GR62" i="139" s="1"/>
  <c r="GR36" i="139"/>
  <c r="GR63" i="139" s="1"/>
  <c r="GQ28" i="139"/>
  <c r="GR31" i="139"/>
  <c r="GR58" i="139" s="1"/>
  <c r="GR32" i="139"/>
  <c r="GR59" i="139" s="1"/>
  <c r="GR30" i="139"/>
  <c r="GR57" i="139" s="1"/>
  <c r="JN56" i="139"/>
  <c r="GQ34" i="139" l="1"/>
  <c r="GQ61" i="139" s="1"/>
  <c r="GQ41" i="139"/>
  <c r="GQ68" i="139" s="1"/>
  <c r="GQ40" i="139"/>
  <c r="GQ67" i="139" s="1"/>
  <c r="GQ37" i="139"/>
  <c r="GQ64" i="139" s="1"/>
  <c r="GQ32" i="139"/>
  <c r="GQ59" i="139" s="1"/>
  <c r="GQ38" i="139"/>
  <c r="GQ65" i="139" s="1"/>
  <c r="GQ35" i="139"/>
  <c r="GQ62" i="139" s="1"/>
  <c r="GQ39" i="139"/>
  <c r="GQ66" i="139" s="1"/>
  <c r="GP28" i="139"/>
  <c r="GQ36" i="139"/>
  <c r="GQ63" i="139" s="1"/>
  <c r="GQ31" i="139"/>
  <c r="GQ58" i="139" s="1"/>
  <c r="GQ30" i="139"/>
  <c r="GQ57" i="139" s="1"/>
  <c r="GQ33" i="139"/>
  <c r="GQ60" i="139" s="1"/>
  <c r="GP32" i="139" l="1"/>
  <c r="GP59" i="139" s="1"/>
  <c r="GP36" i="139"/>
  <c r="GP63" i="139" s="1"/>
  <c r="GP41" i="139"/>
  <c r="GP68" i="139" s="1"/>
  <c r="GP38" i="139"/>
  <c r="GP65" i="139" s="1"/>
  <c r="GP37" i="139"/>
  <c r="GP64" i="139" s="1"/>
  <c r="GP34" i="139"/>
  <c r="GP61" i="139" s="1"/>
  <c r="GP39" i="139"/>
  <c r="GP66" i="139" s="1"/>
  <c r="GO28" i="139"/>
  <c r="GP31" i="139"/>
  <c r="GP58" i="139" s="1"/>
  <c r="GP33" i="139"/>
  <c r="GP60" i="139" s="1"/>
  <c r="GP40" i="139"/>
  <c r="GP67" i="139" s="1"/>
  <c r="GP30" i="139"/>
  <c r="GP57" i="139" s="1"/>
  <c r="GP35" i="139"/>
  <c r="GP62" i="139" s="1"/>
  <c r="E62" i="1"/>
  <c r="GO32" i="139" l="1"/>
  <c r="GO59" i="139" s="1"/>
  <c r="GO31" i="139"/>
  <c r="GO58" i="139" s="1"/>
  <c r="GO40" i="139"/>
  <c r="GO67" i="139" s="1"/>
  <c r="GO38" i="139"/>
  <c r="GO65" i="139" s="1"/>
  <c r="GO39" i="139"/>
  <c r="GO66" i="139" s="1"/>
  <c r="GO34" i="139"/>
  <c r="GO61" i="139" s="1"/>
  <c r="GO36" i="139"/>
  <c r="GO63" i="139" s="1"/>
  <c r="GO30" i="139"/>
  <c r="GO57" i="139" s="1"/>
  <c r="GO35" i="139"/>
  <c r="GO62" i="139" s="1"/>
  <c r="GN28" i="139"/>
  <c r="GO41" i="139"/>
  <c r="GO68" i="139" s="1"/>
  <c r="GO37" i="139"/>
  <c r="GO64" i="139" s="1"/>
  <c r="GO33" i="139"/>
  <c r="GO60" i="139" s="1"/>
  <c r="GN40" i="139" l="1"/>
  <c r="GN67" i="139" s="1"/>
  <c r="GN32" i="139"/>
  <c r="GN59" i="139" s="1"/>
  <c r="GN36" i="139"/>
  <c r="GN63" i="139" s="1"/>
  <c r="GN38" i="139"/>
  <c r="GN65" i="139" s="1"/>
  <c r="GN30" i="139"/>
  <c r="GN57" i="139" s="1"/>
  <c r="GN37" i="139"/>
  <c r="GN64" i="139" s="1"/>
  <c r="GN34" i="139"/>
  <c r="GN61" i="139" s="1"/>
  <c r="GN41" i="139"/>
  <c r="GN68" i="139" s="1"/>
  <c r="GN31" i="139"/>
  <c r="GN58" i="139" s="1"/>
  <c r="GM28" i="139"/>
  <c r="GN35" i="139"/>
  <c r="GN62" i="139" s="1"/>
  <c r="GN39" i="139"/>
  <c r="GN66" i="139" s="1"/>
  <c r="GN33" i="139"/>
  <c r="GN60" i="139" s="1"/>
  <c r="GM38" i="139" l="1"/>
  <c r="GM65" i="139" s="1"/>
  <c r="GM34" i="139"/>
  <c r="GM61" i="139" s="1"/>
  <c r="GM35" i="139"/>
  <c r="GM62" i="139" s="1"/>
  <c r="GM32" i="139"/>
  <c r="GM59" i="139" s="1"/>
  <c r="GM41" i="139"/>
  <c r="GM68" i="139" s="1"/>
  <c r="GM39" i="139"/>
  <c r="GM66" i="139" s="1"/>
  <c r="GM36" i="139"/>
  <c r="GM63" i="139" s="1"/>
  <c r="GM30" i="139"/>
  <c r="GM57" i="139" s="1"/>
  <c r="GL28" i="139"/>
  <c r="GM37" i="139"/>
  <c r="GM64" i="139" s="1"/>
  <c r="GM31" i="139"/>
  <c r="GM58" i="139" s="1"/>
  <c r="GM40" i="139"/>
  <c r="GM67" i="139" s="1"/>
  <c r="GM33" i="139"/>
  <c r="GM60" i="139" s="1"/>
  <c r="GL34" i="139" l="1"/>
  <c r="GL61" i="139" s="1"/>
  <c r="GL40" i="139"/>
  <c r="GL67" i="139" s="1"/>
  <c r="GL39" i="139"/>
  <c r="GL66" i="139" s="1"/>
  <c r="GL30" i="139"/>
  <c r="GL57" i="139" s="1"/>
  <c r="GL38" i="139"/>
  <c r="GL65" i="139" s="1"/>
  <c r="GL41" i="139"/>
  <c r="GL68" i="139" s="1"/>
  <c r="GL33" i="139"/>
  <c r="GL60" i="139" s="1"/>
  <c r="GL36" i="139"/>
  <c r="GL63" i="139" s="1"/>
  <c r="GL37" i="139"/>
  <c r="GL64" i="139" s="1"/>
  <c r="GL31" i="139"/>
  <c r="GL58" i="139" s="1"/>
  <c r="GK28" i="139"/>
  <c r="GL35" i="139"/>
  <c r="GL62" i="139" s="1"/>
  <c r="GL32" i="139"/>
  <c r="GL59" i="139" s="1"/>
  <c r="GK40" i="139" l="1"/>
  <c r="GK67" i="139" s="1"/>
  <c r="GK33" i="139"/>
  <c r="GK60" i="139" s="1"/>
  <c r="GJ28" i="139"/>
  <c r="GK34" i="139"/>
  <c r="GK61" i="139" s="1"/>
  <c r="GK31" i="139"/>
  <c r="GK58" i="139" s="1"/>
  <c r="GK35" i="139"/>
  <c r="GK62" i="139" s="1"/>
  <c r="GK32" i="139"/>
  <c r="GK59" i="139" s="1"/>
  <c r="GK37" i="139"/>
  <c r="GK64" i="139" s="1"/>
  <c r="GK30" i="139"/>
  <c r="GK57" i="139" s="1"/>
  <c r="GK41" i="139"/>
  <c r="GK68" i="139" s="1"/>
  <c r="GK39" i="139"/>
  <c r="GK66" i="139" s="1"/>
  <c r="GK38" i="139"/>
  <c r="GK65" i="139" s="1"/>
  <c r="GK36" i="139"/>
  <c r="GK63" i="139" s="1"/>
  <c r="GJ40" i="139" l="1"/>
  <c r="GJ67" i="139" s="1"/>
  <c r="GJ31" i="139"/>
  <c r="GJ58" i="139" s="1"/>
  <c r="GJ36" i="139"/>
  <c r="GJ63" i="139" s="1"/>
  <c r="GJ30" i="139"/>
  <c r="GJ57" i="139" s="1"/>
  <c r="GI28" i="139"/>
  <c r="GJ33" i="139"/>
  <c r="GJ60" i="139" s="1"/>
  <c r="GJ37" i="139"/>
  <c r="GJ64" i="139" s="1"/>
  <c r="GJ41" i="139"/>
  <c r="GJ68" i="139" s="1"/>
  <c r="GJ35" i="139"/>
  <c r="GJ62" i="139" s="1"/>
  <c r="GJ38" i="139"/>
  <c r="GJ65" i="139" s="1"/>
  <c r="GJ34" i="139"/>
  <c r="GJ61" i="139" s="1"/>
  <c r="GJ32" i="139"/>
  <c r="GJ59" i="139" s="1"/>
  <c r="GJ39" i="139"/>
  <c r="GJ66" i="139" s="1"/>
  <c r="GI41" i="139" l="1"/>
  <c r="GI68" i="139" s="1"/>
  <c r="GI32" i="139"/>
  <c r="GI59" i="139" s="1"/>
  <c r="GI39" i="139"/>
  <c r="GI66" i="139" s="1"/>
  <c r="GI33" i="139"/>
  <c r="GI60" i="139" s="1"/>
  <c r="GI31" i="139"/>
  <c r="GI58" i="139" s="1"/>
  <c r="GI30" i="139"/>
  <c r="GI57" i="139" s="1"/>
  <c r="GH28" i="139"/>
  <c r="GI38" i="139"/>
  <c r="GI65" i="139" s="1"/>
  <c r="GI40" i="139"/>
  <c r="GI67" i="139" s="1"/>
  <c r="GI35" i="139"/>
  <c r="GI62" i="139" s="1"/>
  <c r="GI34" i="139"/>
  <c r="GI61" i="139" s="1"/>
  <c r="GI36" i="139"/>
  <c r="GI63" i="139" s="1"/>
  <c r="GI37" i="139"/>
  <c r="GI64" i="139" s="1"/>
  <c r="GH41" i="139" l="1"/>
  <c r="GH68" i="139" s="1"/>
  <c r="GG28" i="139"/>
  <c r="GH33" i="139"/>
  <c r="GH60" i="139" s="1"/>
  <c r="GH39" i="139"/>
  <c r="GH66" i="139" s="1"/>
  <c r="GH35" i="139"/>
  <c r="GH62" i="139" s="1"/>
  <c r="GH34" i="139"/>
  <c r="GH61" i="139" s="1"/>
  <c r="GH36" i="139"/>
  <c r="GH63" i="139" s="1"/>
  <c r="GH40" i="139"/>
  <c r="GH67" i="139" s="1"/>
  <c r="GH32" i="139"/>
  <c r="GH59" i="139" s="1"/>
  <c r="GH37" i="139"/>
  <c r="GH64" i="139" s="1"/>
  <c r="GH31" i="139"/>
  <c r="GH58" i="139" s="1"/>
  <c r="GH38" i="139"/>
  <c r="GH65" i="139" s="1"/>
  <c r="GH30" i="139"/>
  <c r="GH57" i="139" s="1"/>
  <c r="GG38" i="139" l="1"/>
  <c r="GG65" i="139" s="1"/>
  <c r="GG35" i="139"/>
  <c r="GG62" i="139" s="1"/>
  <c r="GG40" i="139"/>
  <c r="GG67" i="139" s="1"/>
  <c r="GF28" i="139"/>
  <c r="GG34" i="139"/>
  <c r="GG61" i="139" s="1"/>
  <c r="GG32" i="139"/>
  <c r="GG59" i="139" s="1"/>
  <c r="GG37" i="139"/>
  <c r="GG64" i="139" s="1"/>
  <c r="GG36" i="139"/>
  <c r="GG63" i="139" s="1"/>
  <c r="GG33" i="139"/>
  <c r="GG60" i="139" s="1"/>
  <c r="GG31" i="139"/>
  <c r="GG58" i="139" s="1"/>
  <c r="GG41" i="139"/>
  <c r="GG68" i="139" s="1"/>
  <c r="GG39" i="139"/>
  <c r="GG66" i="139" s="1"/>
  <c r="GG30" i="139"/>
  <c r="GG57" i="139" s="1"/>
  <c r="GF35" i="139" l="1"/>
  <c r="GF62" i="139" s="1"/>
  <c r="GE28" i="139"/>
  <c r="GF34" i="139"/>
  <c r="GF61" i="139" s="1"/>
  <c r="GF30" i="139"/>
  <c r="GF57" i="139" s="1"/>
  <c r="GF36" i="139"/>
  <c r="GF63" i="139" s="1"/>
  <c r="GF37" i="139"/>
  <c r="GF64" i="139" s="1"/>
  <c r="GF33" i="139"/>
  <c r="GF60" i="139" s="1"/>
  <c r="GF40" i="139"/>
  <c r="GF67" i="139" s="1"/>
  <c r="GF38" i="139"/>
  <c r="GF65" i="139" s="1"/>
  <c r="GF31" i="139"/>
  <c r="GF58" i="139" s="1"/>
  <c r="GF39" i="139"/>
  <c r="GF66" i="139" s="1"/>
  <c r="GF41" i="139"/>
  <c r="GF68" i="139" s="1"/>
  <c r="GF32" i="139"/>
  <c r="GF59" i="139" s="1"/>
  <c r="GE41" i="139" l="1"/>
  <c r="GE68" i="139" s="1"/>
  <c r="GE40" i="139"/>
  <c r="GE67" i="139" s="1"/>
  <c r="GE37" i="139"/>
  <c r="GE64" i="139" s="1"/>
  <c r="GE38" i="139"/>
  <c r="GE65" i="139" s="1"/>
  <c r="GE30" i="139"/>
  <c r="GE57" i="139" s="1"/>
  <c r="GD28" i="139"/>
  <c r="GE39" i="139"/>
  <c r="GE66" i="139" s="1"/>
  <c r="GE32" i="139"/>
  <c r="GE59" i="139" s="1"/>
  <c r="GE34" i="139"/>
  <c r="GE61" i="139" s="1"/>
  <c r="GE35" i="139"/>
  <c r="GE62" i="139" s="1"/>
  <c r="GE36" i="139"/>
  <c r="GE63" i="139" s="1"/>
  <c r="GE31" i="139"/>
  <c r="GE58" i="139" s="1"/>
  <c r="GE33" i="139"/>
  <c r="GE60" i="139" s="1"/>
  <c r="GC28" i="139" l="1"/>
  <c r="GD32" i="139"/>
  <c r="GD59" i="139" s="1"/>
  <c r="GD35" i="139"/>
  <c r="GD62" i="139" s="1"/>
  <c r="GD37" i="139"/>
  <c r="GD64" i="139" s="1"/>
  <c r="GD41" i="139"/>
  <c r="GD68" i="139" s="1"/>
  <c r="GD39" i="139"/>
  <c r="GD66" i="139" s="1"/>
  <c r="GD30" i="139"/>
  <c r="GD57" i="139" s="1"/>
  <c r="GD40" i="139"/>
  <c r="GD67" i="139" s="1"/>
  <c r="GD34" i="139"/>
  <c r="GD61" i="139" s="1"/>
  <c r="GD38" i="139"/>
  <c r="GD65" i="139" s="1"/>
  <c r="GD33" i="139"/>
  <c r="GD60" i="139" s="1"/>
  <c r="GD31" i="139"/>
  <c r="GD58" i="139" s="1"/>
  <c r="GD36" i="139"/>
  <c r="GD63" i="139" s="1"/>
  <c r="GC39" i="139" l="1"/>
  <c r="GC66" i="139" s="1"/>
  <c r="GC30" i="139"/>
  <c r="GC57" i="139" s="1"/>
  <c r="GC36" i="139"/>
  <c r="GC63" i="139" s="1"/>
  <c r="GC41" i="139"/>
  <c r="GC68" i="139" s="1"/>
  <c r="GC38" i="139"/>
  <c r="GC65" i="139" s="1"/>
  <c r="GC40" i="139"/>
  <c r="GC67" i="139" s="1"/>
  <c r="GC37" i="139"/>
  <c r="GC64" i="139" s="1"/>
  <c r="GC32" i="139"/>
  <c r="GC59" i="139" s="1"/>
  <c r="GC35" i="139"/>
  <c r="GC62" i="139" s="1"/>
  <c r="GC31" i="139"/>
  <c r="GC58" i="139" s="1"/>
  <c r="GC34" i="139"/>
  <c r="GC61" i="139" s="1"/>
  <c r="GC33" i="139"/>
  <c r="GC60" i="139" s="1"/>
  <c r="GB28" i="139"/>
  <c r="GB40" i="139" l="1"/>
  <c r="GB67" i="139" s="1"/>
  <c r="GB34" i="139"/>
  <c r="GB61" i="139" s="1"/>
  <c r="GB39" i="139"/>
  <c r="GB66" i="139" s="1"/>
  <c r="GB32" i="139"/>
  <c r="GB59" i="139" s="1"/>
  <c r="GB31" i="139"/>
  <c r="GB58" i="139" s="1"/>
  <c r="GB41" i="139"/>
  <c r="GB68" i="139" s="1"/>
  <c r="GB37" i="139"/>
  <c r="GB64" i="139" s="1"/>
  <c r="GA28" i="139"/>
  <c r="GB33" i="139"/>
  <c r="GB60" i="139" s="1"/>
  <c r="GB35" i="139"/>
  <c r="GB62" i="139" s="1"/>
  <c r="GB36" i="139"/>
  <c r="GB63" i="139" s="1"/>
  <c r="GB38" i="139"/>
  <c r="GB65" i="139" s="1"/>
  <c r="GB30" i="139"/>
  <c r="GB57" i="139" s="1"/>
  <c r="GA37" i="139" l="1"/>
  <c r="GA64" i="139" s="1"/>
  <c r="GZ90" i="139" s="1"/>
  <c r="GA33" i="139"/>
  <c r="GA60" i="139" s="1"/>
  <c r="GZ86" i="139" s="1"/>
  <c r="GA39" i="139"/>
  <c r="GA66" i="139" s="1"/>
  <c r="GZ92" i="139" s="1"/>
  <c r="GA36" i="139"/>
  <c r="GA63" i="139" s="1"/>
  <c r="GZ89" i="139" s="1"/>
  <c r="GA38" i="139"/>
  <c r="GA65" i="139" s="1"/>
  <c r="GZ91" i="139" s="1"/>
  <c r="GA40" i="139"/>
  <c r="GA67" i="139" s="1"/>
  <c r="GZ93" i="139" s="1"/>
  <c r="GA34" i="139"/>
  <c r="GA61" i="139" s="1"/>
  <c r="GZ87" i="139" s="1"/>
  <c r="GA35" i="139"/>
  <c r="GA62" i="139" s="1"/>
  <c r="GZ88" i="139" s="1"/>
  <c r="GA41" i="139"/>
  <c r="GA68" i="139" s="1"/>
  <c r="GZ94" i="139" s="1"/>
  <c r="FZ28" i="139"/>
  <c r="GA32" i="139"/>
  <c r="GA59" i="139" s="1"/>
  <c r="GZ85" i="139" s="1"/>
  <c r="GA30" i="139"/>
  <c r="GA57" i="139" s="1"/>
  <c r="GZ83" i="139" s="1"/>
  <c r="GA31" i="139"/>
  <c r="GA58" i="139" s="1"/>
  <c r="GZ84" i="139" s="1"/>
  <c r="FZ30" i="139" l="1"/>
  <c r="FZ57" i="139" s="1"/>
  <c r="GY83" i="139" s="1"/>
  <c r="FZ34" i="139"/>
  <c r="FZ61" i="139" s="1"/>
  <c r="GY87" i="139" s="1"/>
  <c r="FZ36" i="139"/>
  <c r="FZ63" i="139" s="1"/>
  <c r="GY89" i="139" s="1"/>
  <c r="FZ41" i="139"/>
  <c r="FZ68" i="139" s="1"/>
  <c r="GY94" i="139" s="1"/>
  <c r="FZ40" i="139"/>
  <c r="FZ67" i="139" s="1"/>
  <c r="GY93" i="139" s="1"/>
  <c r="FZ33" i="139"/>
  <c r="FZ60" i="139" s="1"/>
  <c r="GY86" i="139" s="1"/>
  <c r="FZ39" i="139"/>
  <c r="FZ66" i="139" s="1"/>
  <c r="GY92" i="139" s="1"/>
  <c r="FZ32" i="139"/>
  <c r="FZ59" i="139" s="1"/>
  <c r="GY85" i="139" s="1"/>
  <c r="FZ38" i="139"/>
  <c r="FZ65" i="139" s="1"/>
  <c r="GY91" i="139" s="1"/>
  <c r="FY28" i="139"/>
  <c r="FZ37" i="139"/>
  <c r="FZ64" i="139" s="1"/>
  <c r="GY90" i="139" s="1"/>
  <c r="FZ31" i="139"/>
  <c r="FZ58" i="139" s="1"/>
  <c r="GY84" i="139" s="1"/>
  <c r="FZ35" i="139"/>
  <c r="FZ62" i="139" s="1"/>
  <c r="GY88" i="139" s="1"/>
  <c r="FY40" i="139" l="1"/>
  <c r="FY67" i="139" s="1"/>
  <c r="GX93" i="139" s="1"/>
  <c r="FY34" i="139"/>
  <c r="FY61" i="139" s="1"/>
  <c r="GX87" i="139" s="1"/>
  <c r="FY37" i="139"/>
  <c r="FY64" i="139" s="1"/>
  <c r="GX90" i="139" s="1"/>
  <c r="FX28" i="139"/>
  <c r="FY30" i="139"/>
  <c r="FY57" i="139" s="1"/>
  <c r="GX83" i="139" s="1"/>
  <c r="FY41" i="139"/>
  <c r="FY68" i="139" s="1"/>
  <c r="GX94" i="139" s="1"/>
  <c r="FY36" i="139"/>
  <c r="FY63" i="139" s="1"/>
  <c r="GX89" i="139" s="1"/>
  <c r="FY33" i="139"/>
  <c r="FY60" i="139" s="1"/>
  <c r="GX86" i="139" s="1"/>
  <c r="FY38" i="139"/>
  <c r="FY65" i="139" s="1"/>
  <c r="GX91" i="139" s="1"/>
  <c r="FY32" i="139"/>
  <c r="FY59" i="139" s="1"/>
  <c r="GX85" i="139" s="1"/>
  <c r="FY39" i="139"/>
  <c r="FY66" i="139" s="1"/>
  <c r="GX92" i="139" s="1"/>
  <c r="FY35" i="139"/>
  <c r="FY62" i="139" s="1"/>
  <c r="GX88" i="139" s="1"/>
  <c r="FY31" i="139"/>
  <c r="FY58" i="139" s="1"/>
  <c r="GX84" i="139" s="1"/>
  <c r="FX30" i="139" l="1"/>
  <c r="FX57" i="139" s="1"/>
  <c r="GW83" i="139" s="1"/>
  <c r="FX35" i="139"/>
  <c r="FX62" i="139" s="1"/>
  <c r="GW88" i="139" s="1"/>
  <c r="FW28" i="139"/>
  <c r="FX33" i="139"/>
  <c r="FX60" i="139" s="1"/>
  <c r="GW86" i="139" s="1"/>
  <c r="FX34" i="139"/>
  <c r="FX61" i="139" s="1"/>
  <c r="GW87" i="139" s="1"/>
  <c r="FX36" i="139"/>
  <c r="FX63" i="139" s="1"/>
  <c r="GW89" i="139" s="1"/>
  <c r="FX38" i="139"/>
  <c r="FX65" i="139" s="1"/>
  <c r="GW91" i="139" s="1"/>
  <c r="FX41" i="139"/>
  <c r="FX68" i="139" s="1"/>
  <c r="GW94" i="139" s="1"/>
  <c r="FX32" i="139"/>
  <c r="FX59" i="139" s="1"/>
  <c r="GW85" i="139" s="1"/>
  <c r="FX39" i="139"/>
  <c r="FX66" i="139" s="1"/>
  <c r="GW92" i="139" s="1"/>
  <c r="FX40" i="139"/>
  <c r="FX67" i="139" s="1"/>
  <c r="GW93" i="139" s="1"/>
  <c r="FX31" i="139"/>
  <c r="FX58" i="139" s="1"/>
  <c r="GW84" i="139" s="1"/>
  <c r="FX37" i="139"/>
  <c r="FX64" i="139" s="1"/>
  <c r="GW90" i="139" s="1"/>
  <c r="FW36" i="139" l="1"/>
  <c r="FW63" i="139" s="1"/>
  <c r="GV89" i="139" s="1"/>
  <c r="FV28" i="139"/>
  <c r="FW32" i="139"/>
  <c r="FW59" i="139" s="1"/>
  <c r="GV85" i="139" s="1"/>
  <c r="FW34" i="139"/>
  <c r="FW61" i="139" s="1"/>
  <c r="GV87" i="139" s="1"/>
  <c r="FW30" i="139"/>
  <c r="FW57" i="139" s="1"/>
  <c r="GV83" i="139" s="1"/>
  <c r="FW38" i="139"/>
  <c r="FW65" i="139" s="1"/>
  <c r="GV91" i="139" s="1"/>
  <c r="FW33" i="139"/>
  <c r="FW60" i="139" s="1"/>
  <c r="GV86" i="139" s="1"/>
  <c r="FW39" i="139"/>
  <c r="FW66" i="139" s="1"/>
  <c r="GV92" i="139" s="1"/>
  <c r="FW35" i="139"/>
  <c r="FW62" i="139" s="1"/>
  <c r="GV88" i="139" s="1"/>
  <c r="FW41" i="139"/>
  <c r="FW68" i="139" s="1"/>
  <c r="GV94" i="139" s="1"/>
  <c r="FW40" i="139"/>
  <c r="FW67" i="139" s="1"/>
  <c r="GV93" i="139" s="1"/>
  <c r="FW31" i="139"/>
  <c r="FW58" i="139" s="1"/>
  <c r="GV84" i="139" s="1"/>
  <c r="FW37" i="139"/>
  <c r="FW64" i="139" s="1"/>
  <c r="GV90" i="139" s="1"/>
  <c r="FV39" i="139" l="1"/>
  <c r="FV66" i="139" s="1"/>
  <c r="GU92" i="139" s="1"/>
  <c r="FV37" i="139"/>
  <c r="FV64" i="139" s="1"/>
  <c r="GU90" i="139" s="1"/>
  <c r="FV33" i="139"/>
  <c r="FV60" i="139" s="1"/>
  <c r="GU86" i="139" s="1"/>
  <c r="FV31" i="139"/>
  <c r="FV58" i="139" s="1"/>
  <c r="GU84" i="139" s="1"/>
  <c r="FV41" i="139"/>
  <c r="FV68" i="139" s="1"/>
  <c r="GU94" i="139" s="1"/>
  <c r="FV32" i="139"/>
  <c r="FV59" i="139" s="1"/>
  <c r="GU85" i="139" s="1"/>
  <c r="FV40" i="139"/>
  <c r="FV67" i="139" s="1"/>
  <c r="GU93" i="139" s="1"/>
  <c r="FV34" i="139"/>
  <c r="FV61" i="139" s="1"/>
  <c r="GU87" i="139" s="1"/>
  <c r="FV35" i="139"/>
  <c r="FV62" i="139" s="1"/>
  <c r="GU88" i="139" s="1"/>
  <c r="FV30" i="139"/>
  <c r="FV57" i="139" s="1"/>
  <c r="GU83" i="139" s="1"/>
  <c r="FV36" i="139"/>
  <c r="FV63" i="139" s="1"/>
  <c r="GU89" i="139" s="1"/>
  <c r="FV38" i="139"/>
  <c r="FV65" i="139" s="1"/>
  <c r="GU91" i="139" s="1"/>
  <c r="FU28" i="139"/>
  <c r="FU30" i="139" l="1"/>
  <c r="FU57" i="139" s="1"/>
  <c r="GT83" i="139" s="1"/>
  <c r="FU32" i="139"/>
  <c r="FU59" i="139" s="1"/>
  <c r="GT85" i="139" s="1"/>
  <c r="FU31" i="139"/>
  <c r="FU58" i="139" s="1"/>
  <c r="GT84" i="139" s="1"/>
  <c r="FU33" i="139"/>
  <c r="FU60" i="139" s="1"/>
  <c r="GT86" i="139" s="1"/>
  <c r="FU35" i="139"/>
  <c r="FU62" i="139" s="1"/>
  <c r="GT88" i="139" s="1"/>
  <c r="FU39" i="139"/>
  <c r="FU66" i="139" s="1"/>
  <c r="GT92" i="139" s="1"/>
  <c r="FT28" i="139"/>
  <c r="FU41" i="139"/>
  <c r="FU68" i="139" s="1"/>
  <c r="GT94" i="139" s="1"/>
  <c r="FU36" i="139"/>
  <c r="FU63" i="139" s="1"/>
  <c r="GT89" i="139" s="1"/>
  <c r="FU37" i="139"/>
  <c r="FU64" i="139" s="1"/>
  <c r="GT90" i="139" s="1"/>
  <c r="FU40" i="139"/>
  <c r="FU67" i="139" s="1"/>
  <c r="GT93" i="139" s="1"/>
  <c r="FU38" i="139"/>
  <c r="FU65" i="139" s="1"/>
  <c r="GT91" i="139" s="1"/>
  <c r="FU34" i="139"/>
  <c r="FU61" i="139" s="1"/>
  <c r="GT87" i="139" s="1"/>
  <c r="FS28" i="139" l="1"/>
  <c r="FT32" i="139"/>
  <c r="FT59" i="139" s="1"/>
  <c r="GS85" i="139" s="1"/>
  <c r="FT41" i="139"/>
  <c r="FT68" i="139" s="1"/>
  <c r="GS94" i="139" s="1"/>
  <c r="FT31" i="139"/>
  <c r="FT58" i="139" s="1"/>
  <c r="GS84" i="139" s="1"/>
  <c r="FT40" i="139"/>
  <c r="FT67" i="139" s="1"/>
  <c r="GS93" i="139" s="1"/>
  <c r="FT39" i="139"/>
  <c r="FT66" i="139" s="1"/>
  <c r="GS92" i="139" s="1"/>
  <c r="FT30" i="139"/>
  <c r="FT57" i="139" s="1"/>
  <c r="GS83" i="139" s="1"/>
  <c r="FT33" i="139"/>
  <c r="FT60" i="139" s="1"/>
  <c r="GS86" i="139" s="1"/>
  <c r="FT34" i="139"/>
  <c r="FT61" i="139" s="1"/>
  <c r="GS87" i="139" s="1"/>
  <c r="FT36" i="139"/>
  <c r="FT63" i="139" s="1"/>
  <c r="GS89" i="139" s="1"/>
  <c r="FT35" i="139"/>
  <c r="FT62" i="139" s="1"/>
  <c r="GS88" i="139" s="1"/>
  <c r="FT37" i="139"/>
  <c r="FT64" i="139" s="1"/>
  <c r="GS90" i="139" s="1"/>
  <c r="FT38" i="139"/>
  <c r="FT65" i="139" s="1"/>
  <c r="GS91" i="139" s="1"/>
  <c r="FS38" i="139" l="1"/>
  <c r="FS65" i="139" s="1"/>
  <c r="GR91" i="139" s="1"/>
  <c r="FS36" i="139"/>
  <c r="FS63" i="139" s="1"/>
  <c r="GR89" i="139" s="1"/>
  <c r="FS37" i="139"/>
  <c r="FS64" i="139" s="1"/>
  <c r="GR90" i="139" s="1"/>
  <c r="FS40" i="139"/>
  <c r="FS67" i="139" s="1"/>
  <c r="GR93" i="139" s="1"/>
  <c r="FS39" i="139"/>
  <c r="FS66" i="139" s="1"/>
  <c r="GR92" i="139" s="1"/>
  <c r="FS35" i="139"/>
  <c r="FS62" i="139" s="1"/>
  <c r="GR88" i="139" s="1"/>
  <c r="FS31" i="139"/>
  <c r="FS58" i="139" s="1"/>
  <c r="GR84" i="139" s="1"/>
  <c r="FS41" i="139"/>
  <c r="FS68" i="139" s="1"/>
  <c r="GR94" i="139" s="1"/>
  <c r="FS30" i="139"/>
  <c r="FS57" i="139" s="1"/>
  <c r="GR83" i="139" s="1"/>
  <c r="FS33" i="139"/>
  <c r="FS60" i="139" s="1"/>
  <c r="GR86" i="139" s="1"/>
  <c r="FR28" i="139"/>
  <c r="FS32" i="139"/>
  <c r="FS59" i="139" s="1"/>
  <c r="GR85" i="139" s="1"/>
  <c r="FS34" i="139"/>
  <c r="FS61" i="139" s="1"/>
  <c r="GR87" i="139" s="1"/>
  <c r="FR39" i="139" l="1"/>
  <c r="FR66" i="139" s="1"/>
  <c r="GQ92" i="139" s="1"/>
  <c r="FR40" i="139"/>
  <c r="FR67" i="139" s="1"/>
  <c r="GQ93" i="139" s="1"/>
  <c r="FR33" i="139"/>
  <c r="FR60" i="139" s="1"/>
  <c r="GQ86" i="139" s="1"/>
  <c r="FQ28" i="139"/>
  <c r="FR37" i="139"/>
  <c r="FR64" i="139" s="1"/>
  <c r="GQ90" i="139" s="1"/>
  <c r="FR38" i="139"/>
  <c r="FR65" i="139" s="1"/>
  <c r="GQ91" i="139" s="1"/>
  <c r="FR30" i="139"/>
  <c r="FR57" i="139" s="1"/>
  <c r="GQ83" i="139" s="1"/>
  <c r="FR41" i="139"/>
  <c r="FR68" i="139" s="1"/>
  <c r="GQ94" i="139" s="1"/>
  <c r="FR36" i="139"/>
  <c r="FR63" i="139" s="1"/>
  <c r="GQ89" i="139" s="1"/>
  <c r="FR34" i="139"/>
  <c r="FR61" i="139" s="1"/>
  <c r="GQ87" i="139" s="1"/>
  <c r="FR35" i="139"/>
  <c r="FR62" i="139" s="1"/>
  <c r="GQ88" i="139" s="1"/>
  <c r="FR32" i="139"/>
  <c r="FR59" i="139" s="1"/>
  <c r="GQ85" i="139" s="1"/>
  <c r="FR31" i="139"/>
  <c r="FR58" i="139" s="1"/>
  <c r="GQ84" i="139" s="1"/>
  <c r="FQ35" i="139" l="1"/>
  <c r="FQ62" i="139" s="1"/>
  <c r="GP88" i="139" s="1"/>
  <c r="FQ31" i="139"/>
  <c r="FQ58" i="139" s="1"/>
  <c r="GP84" i="139" s="1"/>
  <c r="FQ36" i="139"/>
  <c r="FQ63" i="139" s="1"/>
  <c r="GP89" i="139" s="1"/>
  <c r="FP28" i="139"/>
  <c r="FQ34" i="139"/>
  <c r="FQ61" i="139" s="1"/>
  <c r="GP87" i="139" s="1"/>
  <c r="FQ37" i="139"/>
  <c r="FQ64" i="139" s="1"/>
  <c r="GP90" i="139" s="1"/>
  <c r="FQ30" i="139"/>
  <c r="FQ57" i="139" s="1"/>
  <c r="GP83" i="139" s="1"/>
  <c r="FQ39" i="139"/>
  <c r="FQ66" i="139" s="1"/>
  <c r="GP92" i="139" s="1"/>
  <c r="FQ38" i="139"/>
  <c r="FQ65" i="139" s="1"/>
  <c r="GP91" i="139" s="1"/>
  <c r="FQ40" i="139"/>
  <c r="FQ67" i="139" s="1"/>
  <c r="GP93" i="139" s="1"/>
  <c r="FQ33" i="139"/>
  <c r="FQ60" i="139" s="1"/>
  <c r="GP86" i="139" s="1"/>
  <c r="FQ41" i="139"/>
  <c r="FQ68" i="139" s="1"/>
  <c r="GP94" i="139" s="1"/>
  <c r="FQ32" i="139"/>
  <c r="FQ59" i="139" s="1"/>
  <c r="GP85" i="139" s="1"/>
  <c r="FP39" i="139" l="1"/>
  <c r="FP66" i="139" s="1"/>
  <c r="GO92" i="139" s="1"/>
  <c r="FP34" i="139"/>
  <c r="FP61" i="139" s="1"/>
  <c r="GO87" i="139" s="1"/>
  <c r="FP36" i="139"/>
  <c r="FP63" i="139" s="1"/>
  <c r="GO89" i="139" s="1"/>
  <c r="FP38" i="139"/>
  <c r="FP65" i="139" s="1"/>
  <c r="GO91" i="139" s="1"/>
  <c r="FP35" i="139"/>
  <c r="FP62" i="139" s="1"/>
  <c r="GO88" i="139" s="1"/>
  <c r="FP31" i="139"/>
  <c r="FP58" i="139" s="1"/>
  <c r="GO84" i="139" s="1"/>
  <c r="FP32" i="139"/>
  <c r="FP59" i="139" s="1"/>
  <c r="GO85" i="139" s="1"/>
  <c r="FO28" i="139"/>
  <c r="FP41" i="139"/>
  <c r="FP68" i="139" s="1"/>
  <c r="GO94" i="139" s="1"/>
  <c r="FP37" i="139"/>
  <c r="FP64" i="139" s="1"/>
  <c r="GO90" i="139" s="1"/>
  <c r="FP30" i="139"/>
  <c r="FP57" i="139" s="1"/>
  <c r="GO83" i="139" s="1"/>
  <c r="FP33" i="139"/>
  <c r="FP60" i="139" s="1"/>
  <c r="GO86" i="139" s="1"/>
  <c r="FP40" i="139"/>
  <c r="FP67" i="139" s="1"/>
  <c r="GO93" i="139" s="1"/>
  <c r="FO30" i="139" l="1"/>
  <c r="FO57" i="139" s="1"/>
  <c r="GN83" i="139" s="1"/>
  <c r="FO40" i="139"/>
  <c r="FO67" i="139" s="1"/>
  <c r="GN93" i="139" s="1"/>
  <c r="FO38" i="139"/>
  <c r="FO65" i="139" s="1"/>
  <c r="GN91" i="139" s="1"/>
  <c r="FO33" i="139"/>
  <c r="FO60" i="139" s="1"/>
  <c r="GN86" i="139" s="1"/>
  <c r="FN28" i="139"/>
  <c r="FO35" i="139"/>
  <c r="FO62" i="139" s="1"/>
  <c r="GN88" i="139" s="1"/>
  <c r="FO41" i="139"/>
  <c r="FO68" i="139" s="1"/>
  <c r="GN94" i="139" s="1"/>
  <c r="FO32" i="139"/>
  <c r="FO59" i="139" s="1"/>
  <c r="GN85" i="139" s="1"/>
  <c r="FO31" i="139"/>
  <c r="FO58" i="139" s="1"/>
  <c r="GN84" i="139" s="1"/>
  <c r="FO36" i="139"/>
  <c r="FO63" i="139" s="1"/>
  <c r="GN89" i="139" s="1"/>
  <c r="FO34" i="139"/>
  <c r="FO61" i="139" s="1"/>
  <c r="GN87" i="139" s="1"/>
  <c r="FO37" i="139"/>
  <c r="FO64" i="139" s="1"/>
  <c r="GN90" i="139" s="1"/>
  <c r="FO39" i="139"/>
  <c r="FO66" i="139" s="1"/>
  <c r="GN92" i="139" s="1"/>
  <c r="FN41" i="139" l="1"/>
  <c r="FN68" i="139" s="1"/>
  <c r="GM94" i="139" s="1"/>
  <c r="FN38" i="139"/>
  <c r="FN65" i="139" s="1"/>
  <c r="GM91" i="139" s="1"/>
  <c r="FN39" i="139"/>
  <c r="FN66" i="139" s="1"/>
  <c r="GM92" i="139" s="1"/>
  <c r="FN36" i="139"/>
  <c r="FN63" i="139" s="1"/>
  <c r="GM89" i="139" s="1"/>
  <c r="FN34" i="139"/>
  <c r="FN61" i="139" s="1"/>
  <c r="GM87" i="139" s="1"/>
  <c r="FN32" i="139"/>
  <c r="FN59" i="139" s="1"/>
  <c r="GM85" i="139" s="1"/>
  <c r="FN35" i="139"/>
  <c r="FN62" i="139" s="1"/>
  <c r="GM88" i="139" s="1"/>
  <c r="FN30" i="139"/>
  <c r="FN57" i="139" s="1"/>
  <c r="GM83" i="139" s="1"/>
  <c r="FN37" i="139"/>
  <c r="FN64" i="139" s="1"/>
  <c r="GM90" i="139" s="1"/>
  <c r="FN31" i="139"/>
  <c r="FN58" i="139" s="1"/>
  <c r="GM84" i="139" s="1"/>
  <c r="FN33" i="139"/>
  <c r="FN60" i="139" s="1"/>
  <c r="GM86" i="139" s="1"/>
  <c r="FN40" i="139"/>
  <c r="FN67" i="139" s="1"/>
  <c r="GM93" i="139" s="1"/>
  <c r="FM28" i="139"/>
  <c r="FM37" i="139" l="1"/>
  <c r="FM64" i="139" s="1"/>
  <c r="GL90" i="139" s="1"/>
  <c r="FM31" i="139"/>
  <c r="FM58" i="139" s="1"/>
  <c r="GL84" i="139" s="1"/>
  <c r="FM34" i="139"/>
  <c r="FM61" i="139" s="1"/>
  <c r="GL87" i="139" s="1"/>
  <c r="FM36" i="139"/>
  <c r="FM63" i="139" s="1"/>
  <c r="GL89" i="139" s="1"/>
  <c r="FM30" i="139"/>
  <c r="FM57" i="139" s="1"/>
  <c r="GL83" i="139" s="1"/>
  <c r="FM32" i="139"/>
  <c r="FM59" i="139" s="1"/>
  <c r="GL85" i="139" s="1"/>
  <c r="FM35" i="139"/>
  <c r="FM62" i="139" s="1"/>
  <c r="GL88" i="139" s="1"/>
  <c r="FM40" i="139"/>
  <c r="FM67" i="139" s="1"/>
  <c r="GL93" i="139" s="1"/>
  <c r="FM33" i="139"/>
  <c r="FM60" i="139" s="1"/>
  <c r="GL86" i="139" s="1"/>
  <c r="FM38" i="139"/>
  <c r="FM65" i="139" s="1"/>
  <c r="GL91" i="139" s="1"/>
  <c r="FM41" i="139"/>
  <c r="FM68" i="139" s="1"/>
  <c r="GL94" i="139" s="1"/>
  <c r="FM39" i="139"/>
  <c r="FM66" i="139" s="1"/>
  <c r="GL92" i="139" s="1"/>
  <c r="FL28" i="139"/>
  <c r="FL36" i="139" l="1"/>
  <c r="FL63" i="139" s="1"/>
  <c r="GK89" i="139" s="1"/>
  <c r="FL31" i="139"/>
  <c r="FL58" i="139" s="1"/>
  <c r="GK84" i="139" s="1"/>
  <c r="FL33" i="139"/>
  <c r="FL60" i="139" s="1"/>
  <c r="GK86" i="139" s="1"/>
  <c r="FL38" i="139"/>
  <c r="FL65" i="139" s="1"/>
  <c r="GK91" i="139" s="1"/>
  <c r="FL34" i="139"/>
  <c r="FL61" i="139" s="1"/>
  <c r="GK87" i="139" s="1"/>
  <c r="FL41" i="139"/>
  <c r="FL68" i="139" s="1"/>
  <c r="GK94" i="139" s="1"/>
  <c r="FL39" i="139"/>
  <c r="FL66" i="139" s="1"/>
  <c r="GK92" i="139" s="1"/>
  <c r="FL30" i="139"/>
  <c r="FL57" i="139" s="1"/>
  <c r="GK83" i="139" s="1"/>
  <c r="FL37" i="139"/>
  <c r="FL64" i="139" s="1"/>
  <c r="GK90" i="139" s="1"/>
  <c r="FL40" i="139"/>
  <c r="FL67" i="139" s="1"/>
  <c r="GK93" i="139" s="1"/>
  <c r="FL35" i="139"/>
  <c r="FL62" i="139" s="1"/>
  <c r="GK88" i="139" s="1"/>
  <c r="FL32" i="139"/>
  <c r="FL59" i="139" s="1"/>
  <c r="GK85" i="139" s="1"/>
  <c r="FK28" i="139"/>
  <c r="FK36" i="139" l="1"/>
  <c r="FK63" i="139" s="1"/>
  <c r="GJ89" i="139" s="1"/>
  <c r="FK30" i="139"/>
  <c r="FK57" i="139" s="1"/>
  <c r="GJ83" i="139" s="1"/>
  <c r="FK33" i="139"/>
  <c r="FK60" i="139" s="1"/>
  <c r="GJ86" i="139" s="1"/>
  <c r="FK40" i="139"/>
  <c r="FK67" i="139" s="1"/>
  <c r="GJ93" i="139" s="1"/>
  <c r="FK35" i="139"/>
  <c r="FK62" i="139" s="1"/>
  <c r="GJ88" i="139" s="1"/>
  <c r="FK38" i="139"/>
  <c r="FK65" i="139" s="1"/>
  <c r="GJ91" i="139" s="1"/>
  <c r="FK32" i="139"/>
  <c r="FK59" i="139" s="1"/>
  <c r="GJ85" i="139" s="1"/>
  <c r="FK31" i="139"/>
  <c r="FK58" i="139" s="1"/>
  <c r="GJ84" i="139" s="1"/>
  <c r="FK34" i="139"/>
  <c r="FK61" i="139" s="1"/>
  <c r="GJ87" i="139" s="1"/>
  <c r="FJ28" i="139"/>
  <c r="FK37" i="139"/>
  <c r="FK64" i="139" s="1"/>
  <c r="GJ90" i="139" s="1"/>
  <c r="FK39" i="139"/>
  <c r="FK66" i="139" s="1"/>
  <c r="GJ92" i="139" s="1"/>
  <c r="FK41" i="139"/>
  <c r="FK68" i="139" s="1"/>
  <c r="GJ94" i="139" s="1"/>
  <c r="FJ32" i="139" l="1"/>
  <c r="FJ59" i="139" s="1"/>
  <c r="GI85" i="139" s="1"/>
  <c r="FJ40" i="139"/>
  <c r="FJ67" i="139" s="1"/>
  <c r="GI93" i="139" s="1"/>
  <c r="FJ37" i="139"/>
  <c r="FJ64" i="139" s="1"/>
  <c r="GI90" i="139" s="1"/>
  <c r="FJ33" i="139"/>
  <c r="FJ60" i="139" s="1"/>
  <c r="GI86" i="139" s="1"/>
  <c r="FJ38" i="139"/>
  <c r="FJ65" i="139" s="1"/>
  <c r="GI91" i="139" s="1"/>
  <c r="FJ35" i="139"/>
  <c r="FJ62" i="139" s="1"/>
  <c r="GI88" i="139" s="1"/>
  <c r="FJ41" i="139"/>
  <c r="FJ68" i="139" s="1"/>
  <c r="GI94" i="139" s="1"/>
  <c r="FJ31" i="139"/>
  <c r="FJ58" i="139" s="1"/>
  <c r="GI84" i="139" s="1"/>
  <c r="FI28" i="139"/>
  <c r="FJ39" i="139"/>
  <c r="FJ66" i="139" s="1"/>
  <c r="GI92" i="139" s="1"/>
  <c r="FJ36" i="139"/>
  <c r="FJ63" i="139" s="1"/>
  <c r="GI89" i="139" s="1"/>
  <c r="FJ34" i="139"/>
  <c r="FJ61" i="139" s="1"/>
  <c r="GI87" i="139" s="1"/>
  <c r="FJ30" i="139"/>
  <c r="FJ57" i="139" s="1"/>
  <c r="GI83" i="139" s="1"/>
  <c r="FI36" i="139" l="1"/>
  <c r="FI63" i="139" s="1"/>
  <c r="GH89" i="139" s="1"/>
  <c r="FI35" i="139"/>
  <c r="FI62" i="139" s="1"/>
  <c r="GH88" i="139" s="1"/>
  <c r="FI34" i="139"/>
  <c r="FI61" i="139" s="1"/>
  <c r="GH87" i="139" s="1"/>
  <c r="FH28" i="139"/>
  <c r="FI32" i="139"/>
  <c r="FI59" i="139" s="1"/>
  <c r="GH85" i="139" s="1"/>
  <c r="FI40" i="139"/>
  <c r="FI67" i="139" s="1"/>
  <c r="GH93" i="139" s="1"/>
  <c r="FI30" i="139"/>
  <c r="FI57" i="139" s="1"/>
  <c r="GH83" i="139" s="1"/>
  <c r="FI37" i="139"/>
  <c r="FI64" i="139" s="1"/>
  <c r="GH90" i="139" s="1"/>
  <c r="FI33" i="139"/>
  <c r="FI60" i="139" s="1"/>
  <c r="GH86" i="139" s="1"/>
  <c r="FI41" i="139"/>
  <c r="FI68" i="139" s="1"/>
  <c r="GH94" i="139" s="1"/>
  <c r="FI31" i="139"/>
  <c r="FI58" i="139" s="1"/>
  <c r="GH84" i="139" s="1"/>
  <c r="FI39" i="139"/>
  <c r="FI66" i="139" s="1"/>
  <c r="GH92" i="139" s="1"/>
  <c r="FI38" i="139"/>
  <c r="FI65" i="139" s="1"/>
  <c r="GH91" i="139" s="1"/>
  <c r="FH34" i="139" l="1"/>
  <c r="FH61" i="139" s="1"/>
  <c r="GG87" i="139" s="1"/>
  <c r="FH35" i="139"/>
  <c r="FH62" i="139" s="1"/>
  <c r="GG88" i="139" s="1"/>
  <c r="FH36" i="139"/>
  <c r="FH63" i="139" s="1"/>
  <c r="GG89" i="139" s="1"/>
  <c r="FH37" i="139"/>
  <c r="FH64" i="139" s="1"/>
  <c r="GG90" i="139" s="1"/>
  <c r="FH40" i="139"/>
  <c r="FH67" i="139" s="1"/>
  <c r="GG93" i="139" s="1"/>
  <c r="FH41" i="139"/>
  <c r="FH68" i="139" s="1"/>
  <c r="GG94" i="139" s="1"/>
  <c r="FH32" i="139"/>
  <c r="FH59" i="139" s="1"/>
  <c r="GG85" i="139" s="1"/>
  <c r="FH38" i="139"/>
  <c r="FH65" i="139" s="1"/>
  <c r="GG91" i="139" s="1"/>
  <c r="FH33" i="139"/>
  <c r="FH60" i="139" s="1"/>
  <c r="GG86" i="139" s="1"/>
  <c r="FG28" i="139"/>
  <c r="FH31" i="139"/>
  <c r="FH58" i="139" s="1"/>
  <c r="GG84" i="139" s="1"/>
  <c r="FH30" i="139"/>
  <c r="FH57" i="139" s="1"/>
  <c r="GG83" i="139" s="1"/>
  <c r="FH39" i="139"/>
  <c r="FH66" i="139" s="1"/>
  <c r="GG92" i="139" s="1"/>
  <c r="FG38" i="139" l="1"/>
  <c r="FG65" i="139" s="1"/>
  <c r="GF91" i="139" s="1"/>
  <c r="FG36" i="139"/>
  <c r="FG63" i="139" s="1"/>
  <c r="GF89" i="139" s="1"/>
  <c r="FG40" i="139"/>
  <c r="FG67" i="139" s="1"/>
  <c r="GF93" i="139" s="1"/>
  <c r="FG33" i="139"/>
  <c r="FG60" i="139" s="1"/>
  <c r="GF86" i="139" s="1"/>
  <c r="FG41" i="139"/>
  <c r="FG68" i="139" s="1"/>
  <c r="GF94" i="139" s="1"/>
  <c r="FG39" i="139"/>
  <c r="FG66" i="139" s="1"/>
  <c r="GF92" i="139" s="1"/>
  <c r="FF28" i="139"/>
  <c r="FG34" i="139"/>
  <c r="FG61" i="139" s="1"/>
  <c r="GF87" i="139" s="1"/>
  <c r="FG37" i="139"/>
  <c r="FG64" i="139" s="1"/>
  <c r="GF90" i="139" s="1"/>
  <c r="FG31" i="139"/>
  <c r="FG58" i="139" s="1"/>
  <c r="GF84" i="139" s="1"/>
  <c r="FG30" i="139"/>
  <c r="FG57" i="139" s="1"/>
  <c r="GF83" i="139" s="1"/>
  <c r="FG32" i="139"/>
  <c r="FG59" i="139" s="1"/>
  <c r="GF85" i="139" s="1"/>
  <c r="FG35" i="139"/>
  <c r="FG62" i="139" s="1"/>
  <c r="GF88" i="139" s="1"/>
  <c r="FF39" i="139" l="1"/>
  <c r="FF66" i="139" s="1"/>
  <c r="GE92" i="139" s="1"/>
  <c r="FF35" i="139"/>
  <c r="FF62" i="139" s="1"/>
  <c r="GE88" i="139" s="1"/>
  <c r="FE28" i="139"/>
  <c r="FF33" i="139"/>
  <c r="FF60" i="139" s="1"/>
  <c r="GE86" i="139" s="1"/>
  <c r="FF38" i="139"/>
  <c r="FF65" i="139" s="1"/>
  <c r="GE91" i="139" s="1"/>
  <c r="FF41" i="139"/>
  <c r="FF68" i="139" s="1"/>
  <c r="GE94" i="139" s="1"/>
  <c r="FF32" i="139"/>
  <c r="FF59" i="139" s="1"/>
  <c r="GE85" i="139" s="1"/>
  <c r="FF37" i="139"/>
  <c r="FF64" i="139" s="1"/>
  <c r="GE90" i="139" s="1"/>
  <c r="FF36" i="139"/>
  <c r="FF63" i="139" s="1"/>
  <c r="GE89" i="139" s="1"/>
  <c r="FF31" i="139"/>
  <c r="FF58" i="139" s="1"/>
  <c r="GE84" i="139" s="1"/>
  <c r="FF30" i="139"/>
  <c r="FF57" i="139" s="1"/>
  <c r="GE83" i="139" s="1"/>
  <c r="FF34" i="139"/>
  <c r="FF61" i="139" s="1"/>
  <c r="GE87" i="139" s="1"/>
  <c r="FF40" i="139"/>
  <c r="FF67" i="139" s="1"/>
  <c r="GE93" i="139" s="1"/>
  <c r="FE38" i="139" l="1"/>
  <c r="FE65" i="139" s="1"/>
  <c r="GD91" i="139" s="1"/>
  <c r="FE41" i="139"/>
  <c r="FE68" i="139" s="1"/>
  <c r="GD94" i="139" s="1"/>
  <c r="FE40" i="139"/>
  <c r="FE67" i="139" s="1"/>
  <c r="GD93" i="139" s="1"/>
  <c r="FE32" i="139"/>
  <c r="FE59" i="139" s="1"/>
  <c r="GD85" i="139" s="1"/>
  <c r="FE36" i="139"/>
  <c r="FE63" i="139" s="1"/>
  <c r="GD89" i="139" s="1"/>
  <c r="FE31" i="139"/>
  <c r="FE58" i="139" s="1"/>
  <c r="GD84" i="139" s="1"/>
  <c r="FE35" i="139"/>
  <c r="FE62" i="139" s="1"/>
  <c r="GD88" i="139" s="1"/>
  <c r="FE37" i="139"/>
  <c r="FE64" i="139" s="1"/>
  <c r="GD90" i="139" s="1"/>
  <c r="FE39" i="139"/>
  <c r="FE66" i="139" s="1"/>
  <c r="GD92" i="139" s="1"/>
  <c r="FD28" i="139"/>
  <c r="FE30" i="139"/>
  <c r="FE57" i="139" s="1"/>
  <c r="GD83" i="139" s="1"/>
  <c r="FE34" i="139"/>
  <c r="FE61" i="139" s="1"/>
  <c r="GD87" i="139" s="1"/>
  <c r="FE33" i="139"/>
  <c r="FE60" i="139" s="1"/>
  <c r="GD86" i="139" s="1"/>
  <c r="FD34" i="139" l="1"/>
  <c r="FD61" i="139" s="1"/>
  <c r="GC87" i="139" s="1"/>
  <c r="FD32" i="139"/>
  <c r="FD59" i="139" s="1"/>
  <c r="GC85" i="139" s="1"/>
  <c r="FD41" i="139"/>
  <c r="FD68" i="139" s="1"/>
  <c r="GC94" i="139" s="1"/>
  <c r="FD39" i="139"/>
  <c r="FD66" i="139" s="1"/>
  <c r="GC92" i="139" s="1"/>
  <c r="FD33" i="139"/>
  <c r="FD60" i="139" s="1"/>
  <c r="GC86" i="139" s="1"/>
  <c r="FD35" i="139"/>
  <c r="FD62" i="139" s="1"/>
  <c r="GC88" i="139" s="1"/>
  <c r="FD38" i="139"/>
  <c r="FD65" i="139" s="1"/>
  <c r="GC91" i="139" s="1"/>
  <c r="FD37" i="139"/>
  <c r="FD64" i="139" s="1"/>
  <c r="GC90" i="139" s="1"/>
  <c r="FD40" i="139"/>
  <c r="FD67" i="139" s="1"/>
  <c r="GC93" i="139" s="1"/>
  <c r="FD36" i="139"/>
  <c r="FD63" i="139" s="1"/>
  <c r="GC89" i="139" s="1"/>
  <c r="FC28" i="139"/>
  <c r="FD31" i="139"/>
  <c r="FD58" i="139" s="1"/>
  <c r="GC84" i="139" s="1"/>
  <c r="FD30" i="139"/>
  <c r="FD57" i="139" s="1"/>
  <c r="GC83" i="139" s="1"/>
  <c r="FB28" i="139" l="1"/>
  <c r="FC34" i="139"/>
  <c r="FC61" i="139" s="1"/>
  <c r="GB87" i="139" s="1"/>
  <c r="FC33" i="139"/>
  <c r="FC60" i="139" s="1"/>
  <c r="GB86" i="139" s="1"/>
  <c r="FC36" i="139"/>
  <c r="FC63" i="139" s="1"/>
  <c r="GB89" i="139" s="1"/>
  <c r="FC39" i="139"/>
  <c r="FC66" i="139" s="1"/>
  <c r="GB92" i="139" s="1"/>
  <c r="FC31" i="139"/>
  <c r="FC58" i="139" s="1"/>
  <c r="GB84" i="139" s="1"/>
  <c r="FC30" i="139"/>
  <c r="FC57" i="139" s="1"/>
  <c r="GB83" i="139" s="1"/>
  <c r="FC35" i="139"/>
  <c r="FC62" i="139" s="1"/>
  <c r="GB88" i="139" s="1"/>
  <c r="FC37" i="139"/>
  <c r="FC64" i="139" s="1"/>
  <c r="GB90" i="139" s="1"/>
  <c r="FC40" i="139"/>
  <c r="FC67" i="139" s="1"/>
  <c r="GB93" i="139" s="1"/>
  <c r="FC32" i="139"/>
  <c r="FC59" i="139" s="1"/>
  <c r="GB85" i="139" s="1"/>
  <c r="FC41" i="139"/>
  <c r="FC68" i="139" s="1"/>
  <c r="GB94" i="139" s="1"/>
  <c r="FC38" i="139"/>
  <c r="FC65" i="139" s="1"/>
  <c r="GB91" i="139" s="1"/>
  <c r="FB32" i="139" l="1"/>
  <c r="FB59" i="139" s="1"/>
  <c r="GA85" i="139" s="1"/>
  <c r="FB35" i="139"/>
  <c r="FB62" i="139" s="1"/>
  <c r="GA88" i="139" s="1"/>
  <c r="FB34" i="139"/>
  <c r="FB61" i="139" s="1"/>
  <c r="GA87" i="139" s="1"/>
  <c r="FB36" i="139"/>
  <c r="FB63" i="139" s="1"/>
  <c r="GA89" i="139" s="1"/>
  <c r="FB41" i="139"/>
  <c r="FB68" i="139" s="1"/>
  <c r="GA94" i="139" s="1"/>
  <c r="FB38" i="139"/>
  <c r="FB65" i="139" s="1"/>
  <c r="GA91" i="139" s="1"/>
  <c r="FA28" i="139"/>
  <c r="FB30" i="139"/>
  <c r="FB57" i="139" s="1"/>
  <c r="GA83" i="139" s="1"/>
  <c r="FB40" i="139"/>
  <c r="FB67" i="139" s="1"/>
  <c r="GA93" i="139" s="1"/>
  <c r="FB39" i="139"/>
  <c r="FB66" i="139" s="1"/>
  <c r="GA92" i="139" s="1"/>
  <c r="FB31" i="139"/>
  <c r="FB58" i="139" s="1"/>
  <c r="GA84" i="139" s="1"/>
  <c r="FB33" i="139"/>
  <c r="FB60" i="139" s="1"/>
  <c r="GA86" i="139" s="1"/>
  <c r="FB37" i="139"/>
  <c r="FB64" i="139" s="1"/>
  <c r="GA90" i="139" s="1"/>
  <c r="FA39" i="139" l="1"/>
  <c r="FA66" i="139" s="1"/>
  <c r="FZ92" i="139" s="1"/>
  <c r="FA33" i="139"/>
  <c r="FA60" i="139" s="1"/>
  <c r="FZ86" i="139" s="1"/>
  <c r="FA37" i="139"/>
  <c r="FA64" i="139" s="1"/>
  <c r="FZ90" i="139" s="1"/>
  <c r="FA36" i="139"/>
  <c r="FA63" i="139" s="1"/>
  <c r="FZ89" i="139" s="1"/>
  <c r="FA31" i="139"/>
  <c r="FA58" i="139" s="1"/>
  <c r="FZ84" i="139" s="1"/>
  <c r="FA34" i="139"/>
  <c r="FA61" i="139" s="1"/>
  <c r="FZ87" i="139" s="1"/>
  <c r="FA35" i="139"/>
  <c r="FA62" i="139" s="1"/>
  <c r="FZ88" i="139" s="1"/>
  <c r="FA38" i="139"/>
  <c r="FA65" i="139" s="1"/>
  <c r="FZ91" i="139" s="1"/>
  <c r="EZ28" i="139"/>
  <c r="FA30" i="139"/>
  <c r="FA57" i="139" s="1"/>
  <c r="FZ83" i="139" s="1"/>
  <c r="FA41" i="139"/>
  <c r="FA68" i="139" s="1"/>
  <c r="FZ94" i="139" s="1"/>
  <c r="FA40" i="139"/>
  <c r="FA67" i="139" s="1"/>
  <c r="FZ93" i="139" s="1"/>
  <c r="FA32" i="139"/>
  <c r="FA59" i="139" s="1"/>
  <c r="FZ85" i="139" s="1"/>
  <c r="EZ30" i="139" l="1"/>
  <c r="EZ57" i="139" s="1"/>
  <c r="FY83" i="139" s="1"/>
  <c r="EZ38" i="139"/>
  <c r="EZ65" i="139" s="1"/>
  <c r="FY91" i="139" s="1"/>
  <c r="EZ39" i="139"/>
  <c r="EZ66" i="139" s="1"/>
  <c r="FY92" i="139" s="1"/>
  <c r="EZ41" i="139"/>
  <c r="EZ68" i="139" s="1"/>
  <c r="FY94" i="139" s="1"/>
  <c r="EZ37" i="139"/>
  <c r="EZ64" i="139" s="1"/>
  <c r="FY90" i="139" s="1"/>
  <c r="EZ33" i="139"/>
  <c r="EZ60" i="139" s="1"/>
  <c r="FY86" i="139" s="1"/>
  <c r="EZ40" i="139"/>
  <c r="EZ67" i="139" s="1"/>
  <c r="FY93" i="139" s="1"/>
  <c r="EZ32" i="139"/>
  <c r="EZ59" i="139" s="1"/>
  <c r="FY85" i="139" s="1"/>
  <c r="EZ31" i="139"/>
  <c r="EZ58" i="139" s="1"/>
  <c r="FY84" i="139" s="1"/>
  <c r="EZ35" i="139"/>
  <c r="EZ62" i="139" s="1"/>
  <c r="FY88" i="139" s="1"/>
  <c r="EY28" i="139"/>
  <c r="EZ36" i="139"/>
  <c r="EZ63" i="139" s="1"/>
  <c r="FY89" i="139" s="1"/>
  <c r="EZ34" i="139"/>
  <c r="EZ61" i="139" s="1"/>
  <c r="FY87" i="139" s="1"/>
  <c r="EY40" i="139" l="1"/>
  <c r="EY67" i="139" s="1"/>
  <c r="FX93" i="139" s="1"/>
  <c r="EY39" i="139"/>
  <c r="EY66" i="139" s="1"/>
  <c r="FX92" i="139" s="1"/>
  <c r="EY38" i="139"/>
  <c r="EY65" i="139" s="1"/>
  <c r="FX91" i="139" s="1"/>
  <c r="EY30" i="139"/>
  <c r="EY57" i="139" s="1"/>
  <c r="FX83" i="139" s="1"/>
  <c r="EY36" i="139"/>
  <c r="EY63" i="139" s="1"/>
  <c r="FX89" i="139" s="1"/>
  <c r="EY35" i="139"/>
  <c r="EY62" i="139" s="1"/>
  <c r="FX88" i="139" s="1"/>
  <c r="EY41" i="139"/>
  <c r="EY68" i="139" s="1"/>
  <c r="FX94" i="139" s="1"/>
  <c r="EY34" i="139"/>
  <c r="EY61" i="139" s="1"/>
  <c r="FX87" i="139" s="1"/>
  <c r="EX28" i="139"/>
  <c r="EY37" i="139"/>
  <c r="EY64" i="139" s="1"/>
  <c r="FX90" i="139" s="1"/>
  <c r="EY32" i="139"/>
  <c r="EY59" i="139" s="1"/>
  <c r="FX85" i="139" s="1"/>
  <c r="EY33" i="139"/>
  <c r="EY60" i="139" s="1"/>
  <c r="FX86" i="139" s="1"/>
  <c r="EY31" i="139"/>
  <c r="EY58" i="139" s="1"/>
  <c r="FX84" i="139" s="1"/>
  <c r="EX39" i="139" l="1"/>
  <c r="EX66" i="139" s="1"/>
  <c r="FW92" i="139" s="1"/>
  <c r="EX40" i="139"/>
  <c r="EX67" i="139" s="1"/>
  <c r="FW93" i="139" s="1"/>
  <c r="EX36" i="139"/>
  <c r="EX63" i="139" s="1"/>
  <c r="FW89" i="139" s="1"/>
  <c r="EX37" i="139"/>
  <c r="EX64" i="139" s="1"/>
  <c r="FW90" i="139" s="1"/>
  <c r="EW28" i="139"/>
  <c r="EX41" i="139"/>
  <c r="EX68" i="139" s="1"/>
  <c r="FW94" i="139" s="1"/>
  <c r="EX38" i="139"/>
  <c r="EX65" i="139" s="1"/>
  <c r="FW91" i="139" s="1"/>
  <c r="EX31" i="139"/>
  <c r="EX58" i="139" s="1"/>
  <c r="FW84" i="139" s="1"/>
  <c r="EX33" i="139"/>
  <c r="EX60" i="139" s="1"/>
  <c r="FW86" i="139" s="1"/>
  <c r="EX35" i="139"/>
  <c r="EX62" i="139" s="1"/>
  <c r="FW88" i="139" s="1"/>
  <c r="EX34" i="139"/>
  <c r="EX61" i="139" s="1"/>
  <c r="FW87" i="139" s="1"/>
  <c r="EX32" i="139"/>
  <c r="EX59" i="139" s="1"/>
  <c r="FW85" i="139" s="1"/>
  <c r="EX30" i="139"/>
  <c r="EX57" i="139" s="1"/>
  <c r="FW83" i="139" s="1"/>
  <c r="EV28" i="139" l="1"/>
  <c r="EW34" i="139"/>
  <c r="EW61" i="139" s="1"/>
  <c r="FV87" i="139" s="1"/>
  <c r="EW32" i="139"/>
  <c r="EW59" i="139" s="1"/>
  <c r="FV85" i="139" s="1"/>
  <c r="EW36" i="139"/>
  <c r="EW63" i="139" s="1"/>
  <c r="FV89" i="139" s="1"/>
  <c r="EW33" i="139"/>
  <c r="EW60" i="139" s="1"/>
  <c r="FV86" i="139" s="1"/>
  <c r="EW35" i="139"/>
  <c r="EW62" i="139" s="1"/>
  <c r="FV88" i="139" s="1"/>
  <c r="EW37" i="139"/>
  <c r="EW64" i="139" s="1"/>
  <c r="FV90" i="139" s="1"/>
  <c r="EW38" i="139"/>
  <c r="EW65" i="139" s="1"/>
  <c r="FV91" i="139" s="1"/>
  <c r="EW39" i="139"/>
  <c r="EW66" i="139" s="1"/>
  <c r="FV92" i="139" s="1"/>
  <c r="EW40" i="139"/>
  <c r="EW67" i="139" s="1"/>
  <c r="FV93" i="139" s="1"/>
  <c r="EW41" i="139"/>
  <c r="EW68" i="139" s="1"/>
  <c r="FV94" i="139" s="1"/>
  <c r="EW30" i="139"/>
  <c r="EW57" i="139" s="1"/>
  <c r="FV83" i="139" s="1"/>
  <c r="EW31" i="139"/>
  <c r="EW58" i="139" s="1"/>
  <c r="FV84" i="139" s="1"/>
  <c r="EV32" i="139" l="1"/>
  <c r="EV59" i="139" s="1"/>
  <c r="FU85" i="139" s="1"/>
  <c r="EV33" i="139"/>
  <c r="EV60" i="139" s="1"/>
  <c r="FU86" i="139" s="1"/>
  <c r="EV41" i="139"/>
  <c r="EV68" i="139" s="1"/>
  <c r="FU94" i="139" s="1"/>
  <c r="EV40" i="139"/>
  <c r="EV67" i="139" s="1"/>
  <c r="FU93" i="139" s="1"/>
  <c r="EV35" i="139"/>
  <c r="EV62" i="139" s="1"/>
  <c r="FU88" i="139" s="1"/>
  <c r="EV38" i="139"/>
  <c r="EV65" i="139" s="1"/>
  <c r="FU91" i="139" s="1"/>
  <c r="EU28" i="139"/>
  <c r="EV34" i="139"/>
  <c r="EV61" i="139" s="1"/>
  <c r="FU87" i="139" s="1"/>
  <c r="EV31" i="139"/>
  <c r="EV58" i="139" s="1"/>
  <c r="FU84" i="139" s="1"/>
  <c r="EV37" i="139"/>
  <c r="EV64" i="139" s="1"/>
  <c r="FU90" i="139" s="1"/>
  <c r="EV30" i="139"/>
  <c r="EV57" i="139" s="1"/>
  <c r="FU83" i="139" s="1"/>
  <c r="EV39" i="139"/>
  <c r="EV66" i="139" s="1"/>
  <c r="FU92" i="139" s="1"/>
  <c r="EV36" i="139"/>
  <c r="EV63" i="139" s="1"/>
  <c r="FU89" i="139" s="1"/>
  <c r="ET28" i="139" l="1"/>
  <c r="EU41" i="139"/>
  <c r="EU68" i="139" s="1"/>
  <c r="FT94" i="139" s="1"/>
  <c r="EU35" i="139"/>
  <c r="EU62" i="139" s="1"/>
  <c r="FT88" i="139" s="1"/>
  <c r="EU40" i="139"/>
  <c r="EU67" i="139" s="1"/>
  <c r="FT93" i="139" s="1"/>
  <c r="EU37" i="139"/>
  <c r="EU64" i="139" s="1"/>
  <c r="FT90" i="139" s="1"/>
  <c r="EU36" i="139"/>
  <c r="EU63" i="139" s="1"/>
  <c r="FT89" i="139" s="1"/>
  <c r="EU33" i="139"/>
  <c r="EU60" i="139" s="1"/>
  <c r="FT86" i="139" s="1"/>
  <c r="EU31" i="139"/>
  <c r="EU58" i="139" s="1"/>
  <c r="FT84" i="139" s="1"/>
  <c r="EU34" i="139"/>
  <c r="EU61" i="139" s="1"/>
  <c r="FT87" i="139" s="1"/>
  <c r="EU38" i="139"/>
  <c r="EU65" i="139" s="1"/>
  <c r="FT91" i="139" s="1"/>
  <c r="EU30" i="139"/>
  <c r="EU57" i="139" s="1"/>
  <c r="FT83" i="139" s="1"/>
  <c r="EU32" i="139"/>
  <c r="EU59" i="139" s="1"/>
  <c r="FT85" i="139" s="1"/>
  <c r="EU39" i="139"/>
  <c r="EU66" i="139" s="1"/>
  <c r="FT92" i="139" s="1"/>
  <c r="ET41" i="139" l="1"/>
  <c r="ET68" i="139" s="1"/>
  <c r="FS94" i="139" s="1"/>
  <c r="ET35" i="139"/>
  <c r="ET62" i="139" s="1"/>
  <c r="FS88" i="139" s="1"/>
  <c r="ET32" i="139"/>
  <c r="ET59" i="139" s="1"/>
  <c r="FS85" i="139" s="1"/>
  <c r="ET31" i="139"/>
  <c r="ET58" i="139" s="1"/>
  <c r="FS84" i="139" s="1"/>
  <c r="ET34" i="139"/>
  <c r="ET61" i="139" s="1"/>
  <c r="FS87" i="139" s="1"/>
  <c r="ET36" i="139"/>
  <c r="ET63" i="139" s="1"/>
  <c r="FS89" i="139" s="1"/>
  <c r="ET38" i="139"/>
  <c r="ET65" i="139" s="1"/>
  <c r="FS91" i="139" s="1"/>
  <c r="ES28" i="139"/>
  <c r="ET39" i="139"/>
  <c r="ET66" i="139" s="1"/>
  <c r="FS92" i="139" s="1"/>
  <c r="ET30" i="139"/>
  <c r="ET57" i="139" s="1"/>
  <c r="FS83" i="139" s="1"/>
  <c r="ET37" i="139"/>
  <c r="ET64" i="139" s="1"/>
  <c r="FS90" i="139" s="1"/>
  <c r="ET33" i="139"/>
  <c r="ET60" i="139" s="1"/>
  <c r="FS86" i="139" s="1"/>
  <c r="ET40" i="139"/>
  <c r="ET67" i="139" s="1"/>
  <c r="FS93" i="139" s="1"/>
  <c r="ES30" i="139" l="1"/>
  <c r="ES57" i="139" s="1"/>
  <c r="FR83" i="139" s="1"/>
  <c r="ES32" i="139"/>
  <c r="ES59" i="139" s="1"/>
  <c r="FR85" i="139" s="1"/>
  <c r="ES39" i="139"/>
  <c r="ES66" i="139" s="1"/>
  <c r="FR92" i="139" s="1"/>
  <c r="ES33" i="139"/>
  <c r="ES60" i="139" s="1"/>
  <c r="FR86" i="139" s="1"/>
  <c r="ES37" i="139"/>
  <c r="ES64" i="139" s="1"/>
  <c r="FR90" i="139" s="1"/>
  <c r="ES38" i="139"/>
  <c r="ES65" i="139" s="1"/>
  <c r="FR91" i="139" s="1"/>
  <c r="ES35" i="139"/>
  <c r="ES62" i="139" s="1"/>
  <c r="FR88" i="139" s="1"/>
  <c r="ER28" i="139"/>
  <c r="ES36" i="139"/>
  <c r="ES63" i="139" s="1"/>
  <c r="FR89" i="139" s="1"/>
  <c r="ES40" i="139"/>
  <c r="ES67" i="139" s="1"/>
  <c r="FR93" i="139" s="1"/>
  <c r="ES41" i="139"/>
  <c r="ES68" i="139" s="1"/>
  <c r="FR94" i="139" s="1"/>
  <c r="ES34" i="139"/>
  <c r="ES61" i="139" s="1"/>
  <c r="FR87" i="139" s="1"/>
  <c r="ES31" i="139"/>
  <c r="ES58" i="139" s="1"/>
  <c r="FR84" i="139" s="1"/>
  <c r="ER39" i="139" l="1"/>
  <c r="ER66" i="139" s="1"/>
  <c r="FQ92" i="139" s="1"/>
  <c r="EQ28" i="139"/>
  <c r="ER30" i="139"/>
  <c r="ER57" i="139" s="1"/>
  <c r="FQ83" i="139" s="1"/>
  <c r="ER34" i="139"/>
  <c r="ER61" i="139" s="1"/>
  <c r="FQ87" i="139" s="1"/>
  <c r="ER38" i="139"/>
  <c r="ER65" i="139" s="1"/>
  <c r="FQ91" i="139" s="1"/>
  <c r="ER31" i="139"/>
  <c r="ER58" i="139" s="1"/>
  <c r="FQ84" i="139" s="1"/>
  <c r="ER32" i="139"/>
  <c r="ER59" i="139" s="1"/>
  <c r="FQ85" i="139" s="1"/>
  <c r="ER33" i="139"/>
  <c r="ER60" i="139" s="1"/>
  <c r="FQ86" i="139" s="1"/>
  <c r="ER35" i="139"/>
  <c r="ER62" i="139" s="1"/>
  <c r="FQ88" i="139" s="1"/>
  <c r="ER40" i="139"/>
  <c r="ER67" i="139" s="1"/>
  <c r="FQ93" i="139" s="1"/>
  <c r="ER41" i="139"/>
  <c r="ER68" i="139" s="1"/>
  <c r="FQ94" i="139" s="1"/>
  <c r="ER37" i="139"/>
  <c r="ER64" i="139" s="1"/>
  <c r="FQ90" i="139" s="1"/>
  <c r="ER36" i="139"/>
  <c r="ER63" i="139" s="1"/>
  <c r="FQ89" i="139" s="1"/>
  <c r="EQ39" i="139" l="1"/>
  <c r="EQ66" i="139" s="1"/>
  <c r="FP92" i="139" s="1"/>
  <c r="EQ37" i="139"/>
  <c r="EQ64" i="139" s="1"/>
  <c r="FP90" i="139" s="1"/>
  <c r="EQ36" i="139"/>
  <c r="EQ63" i="139" s="1"/>
  <c r="FP89" i="139" s="1"/>
  <c r="EQ31" i="139"/>
  <c r="EQ58" i="139" s="1"/>
  <c r="FP84" i="139" s="1"/>
  <c r="EQ32" i="139"/>
  <c r="EQ59" i="139" s="1"/>
  <c r="FP85" i="139" s="1"/>
  <c r="EQ30" i="139"/>
  <c r="EQ57" i="139" s="1"/>
  <c r="FP83" i="139" s="1"/>
  <c r="EQ34" i="139"/>
  <c r="EQ61" i="139" s="1"/>
  <c r="FP87" i="139" s="1"/>
  <c r="EQ35" i="139"/>
  <c r="EQ62" i="139" s="1"/>
  <c r="FP88" i="139" s="1"/>
  <c r="EQ41" i="139"/>
  <c r="EQ68" i="139" s="1"/>
  <c r="FP94" i="139" s="1"/>
  <c r="EQ40" i="139"/>
  <c r="EQ67" i="139" s="1"/>
  <c r="FP93" i="139" s="1"/>
  <c r="EQ38" i="139"/>
  <c r="EQ65" i="139" s="1"/>
  <c r="FP91" i="139" s="1"/>
  <c r="EQ33" i="139"/>
  <c r="EQ60" i="139" s="1"/>
  <c r="FP86" i="139" s="1"/>
  <c r="EP28" i="139"/>
  <c r="EP33" i="139" l="1"/>
  <c r="EP60" i="139" s="1"/>
  <c r="FO86" i="139" s="1"/>
  <c r="EP31" i="139"/>
  <c r="EP58" i="139" s="1"/>
  <c r="FO84" i="139" s="1"/>
  <c r="EP37" i="139"/>
  <c r="EP64" i="139" s="1"/>
  <c r="FO90" i="139" s="1"/>
  <c r="EP32" i="139"/>
  <c r="EP59" i="139" s="1"/>
  <c r="FO85" i="139" s="1"/>
  <c r="EP38" i="139"/>
  <c r="EP65" i="139" s="1"/>
  <c r="FO91" i="139" s="1"/>
  <c r="EP35" i="139"/>
  <c r="EP62" i="139" s="1"/>
  <c r="FO88" i="139" s="1"/>
  <c r="EP30" i="139"/>
  <c r="EP57" i="139" s="1"/>
  <c r="FO83" i="139" s="1"/>
  <c r="EP40" i="139"/>
  <c r="EP67" i="139" s="1"/>
  <c r="FO93" i="139" s="1"/>
  <c r="EP36" i="139"/>
  <c r="EP63" i="139" s="1"/>
  <c r="FO89" i="139" s="1"/>
  <c r="EO28" i="139"/>
  <c r="EP39" i="139"/>
  <c r="EP66" i="139" s="1"/>
  <c r="FO92" i="139" s="1"/>
  <c r="EP41" i="139"/>
  <c r="EP68" i="139" s="1"/>
  <c r="FO94" i="139" s="1"/>
  <c r="EP34" i="139"/>
  <c r="EP61" i="139" s="1"/>
  <c r="FO87" i="139" s="1"/>
  <c r="EO37" i="139" l="1"/>
  <c r="EO64" i="139" s="1"/>
  <c r="FN90" i="139" s="1"/>
  <c r="EO41" i="139"/>
  <c r="EO68" i="139" s="1"/>
  <c r="FN94" i="139" s="1"/>
  <c r="EO35" i="139"/>
  <c r="EO62" i="139" s="1"/>
  <c r="FN88" i="139" s="1"/>
  <c r="EO32" i="139"/>
  <c r="EO59" i="139" s="1"/>
  <c r="FN85" i="139" s="1"/>
  <c r="EO38" i="139"/>
  <c r="EO65" i="139" s="1"/>
  <c r="FN91" i="139" s="1"/>
  <c r="EN28" i="139"/>
  <c r="EO39" i="139"/>
  <c r="EO66" i="139" s="1"/>
  <c r="FN92" i="139" s="1"/>
  <c r="EO40" i="139"/>
  <c r="EO67" i="139" s="1"/>
  <c r="FN93" i="139" s="1"/>
  <c r="EO31" i="139"/>
  <c r="EO58" i="139" s="1"/>
  <c r="FN84" i="139" s="1"/>
  <c r="EO30" i="139"/>
  <c r="EO57" i="139" s="1"/>
  <c r="FN83" i="139" s="1"/>
  <c r="EO34" i="139"/>
  <c r="EO61" i="139" s="1"/>
  <c r="FN87" i="139" s="1"/>
  <c r="EO36" i="139"/>
  <c r="EO63" i="139" s="1"/>
  <c r="FN89" i="139" s="1"/>
  <c r="EO33" i="139"/>
  <c r="EO60" i="139" s="1"/>
  <c r="FN86" i="139" s="1"/>
  <c r="EN41" i="139" l="1"/>
  <c r="EN68" i="139" s="1"/>
  <c r="FM94" i="139" s="1"/>
  <c r="EN31" i="139"/>
  <c r="EN58" i="139" s="1"/>
  <c r="FM84" i="139" s="1"/>
  <c r="EN32" i="139"/>
  <c r="EN59" i="139" s="1"/>
  <c r="FM85" i="139" s="1"/>
  <c r="EN35" i="139"/>
  <c r="EN62" i="139" s="1"/>
  <c r="FM88" i="139" s="1"/>
  <c r="EN34" i="139"/>
  <c r="EN61" i="139" s="1"/>
  <c r="FM87" i="139" s="1"/>
  <c r="EN39" i="139"/>
  <c r="EN66" i="139" s="1"/>
  <c r="FM92" i="139" s="1"/>
  <c r="EN30" i="139"/>
  <c r="EN57" i="139" s="1"/>
  <c r="FM83" i="139" s="1"/>
  <c r="EN37" i="139"/>
  <c r="EN64" i="139" s="1"/>
  <c r="FM90" i="139" s="1"/>
  <c r="EN40" i="139"/>
  <c r="EN67" i="139" s="1"/>
  <c r="FM93" i="139" s="1"/>
  <c r="EN33" i="139"/>
  <c r="EN60" i="139" s="1"/>
  <c r="FM86" i="139" s="1"/>
  <c r="EN36" i="139"/>
  <c r="EN63" i="139" s="1"/>
  <c r="FM89" i="139" s="1"/>
  <c r="EN38" i="139"/>
  <c r="EN65" i="139" s="1"/>
  <c r="FM91" i="139" s="1"/>
  <c r="EM28" i="139"/>
  <c r="EL28" i="139" l="1"/>
  <c r="EM36" i="139"/>
  <c r="EM63" i="139" s="1"/>
  <c r="FL89" i="139" s="1"/>
  <c r="EM35" i="139"/>
  <c r="EM62" i="139" s="1"/>
  <c r="FL88" i="139" s="1"/>
  <c r="EM39" i="139"/>
  <c r="EM66" i="139" s="1"/>
  <c r="FL92" i="139" s="1"/>
  <c r="EM31" i="139"/>
  <c r="EM58" i="139" s="1"/>
  <c r="FL84" i="139" s="1"/>
  <c r="EM34" i="139"/>
  <c r="EM61" i="139" s="1"/>
  <c r="FL87" i="139" s="1"/>
  <c r="EM32" i="139"/>
  <c r="EM59" i="139" s="1"/>
  <c r="FL85" i="139" s="1"/>
  <c r="EM30" i="139"/>
  <c r="EM57" i="139" s="1"/>
  <c r="FL83" i="139" s="1"/>
  <c r="EM38" i="139"/>
  <c r="EM65" i="139" s="1"/>
  <c r="FL91" i="139" s="1"/>
  <c r="EM37" i="139"/>
  <c r="EM64" i="139" s="1"/>
  <c r="FL90" i="139" s="1"/>
  <c r="EM41" i="139"/>
  <c r="EM68" i="139" s="1"/>
  <c r="FL94" i="139" s="1"/>
  <c r="EM40" i="139"/>
  <c r="EM67" i="139" s="1"/>
  <c r="FL93" i="139" s="1"/>
  <c r="EM33" i="139"/>
  <c r="EM60" i="139" s="1"/>
  <c r="FL86" i="139" s="1"/>
  <c r="EL38" i="139" l="1"/>
  <c r="EL65" i="139" s="1"/>
  <c r="FK91" i="139" s="1"/>
  <c r="EL37" i="139"/>
  <c r="EL64" i="139" s="1"/>
  <c r="FK90" i="139" s="1"/>
  <c r="EL41" i="139"/>
  <c r="EL68" i="139" s="1"/>
  <c r="FK94" i="139" s="1"/>
  <c r="EL36" i="139"/>
  <c r="EL63" i="139" s="1"/>
  <c r="FK89" i="139" s="1"/>
  <c r="EL32" i="139"/>
  <c r="EL59" i="139" s="1"/>
  <c r="FK85" i="139" s="1"/>
  <c r="EL34" i="139"/>
  <c r="EL61" i="139" s="1"/>
  <c r="FK87" i="139" s="1"/>
  <c r="EL31" i="139"/>
  <c r="EL58" i="139" s="1"/>
  <c r="FK84" i="139" s="1"/>
  <c r="EL40" i="139"/>
  <c r="EL67" i="139" s="1"/>
  <c r="FK93" i="139" s="1"/>
  <c r="EL33" i="139"/>
  <c r="EL60" i="139" s="1"/>
  <c r="FK86" i="139" s="1"/>
  <c r="EL39" i="139"/>
  <c r="EL66" i="139" s="1"/>
  <c r="FK92" i="139" s="1"/>
  <c r="EK28" i="139"/>
  <c r="EL35" i="139"/>
  <c r="EL62" i="139" s="1"/>
  <c r="FK88" i="139" s="1"/>
  <c r="EL30" i="139"/>
  <c r="EL57" i="139" s="1"/>
  <c r="FK83" i="139" s="1"/>
  <c r="EK39" i="139" l="1"/>
  <c r="EK66" i="139" s="1"/>
  <c r="FJ92" i="139" s="1"/>
  <c r="EK41" i="139"/>
  <c r="EK68" i="139" s="1"/>
  <c r="FJ94" i="139" s="1"/>
  <c r="EK37" i="139"/>
  <c r="EK64" i="139" s="1"/>
  <c r="FJ90" i="139" s="1"/>
  <c r="EJ28" i="139"/>
  <c r="EK30" i="139"/>
  <c r="EK57" i="139" s="1"/>
  <c r="FJ83" i="139" s="1"/>
  <c r="EK36" i="139"/>
  <c r="EK63" i="139" s="1"/>
  <c r="FJ89" i="139" s="1"/>
  <c r="EK35" i="139"/>
  <c r="EK62" i="139" s="1"/>
  <c r="FJ88" i="139" s="1"/>
  <c r="EK40" i="139"/>
  <c r="EK67" i="139" s="1"/>
  <c r="FJ93" i="139" s="1"/>
  <c r="EK33" i="139"/>
  <c r="EK60" i="139" s="1"/>
  <c r="FJ86" i="139" s="1"/>
  <c r="EK32" i="139"/>
  <c r="EK59" i="139" s="1"/>
  <c r="FJ85" i="139" s="1"/>
  <c r="EK31" i="139"/>
  <c r="EK58" i="139" s="1"/>
  <c r="FJ84" i="139" s="1"/>
  <c r="EK34" i="139"/>
  <c r="EK61" i="139" s="1"/>
  <c r="FJ87" i="139" s="1"/>
  <c r="EK38" i="139"/>
  <c r="EK65" i="139" s="1"/>
  <c r="FJ91" i="139" s="1"/>
  <c r="EF28" i="139"/>
  <c r="EJ30" i="139" l="1"/>
  <c r="EJ57" i="139" s="1"/>
  <c r="FI83" i="139" s="1"/>
  <c r="EJ31" i="139"/>
  <c r="EJ58" i="139" s="1"/>
  <c r="FI84" i="139" s="1"/>
  <c r="EJ38" i="139"/>
  <c r="EJ65" i="139" s="1"/>
  <c r="FI91" i="139" s="1"/>
  <c r="EJ32" i="139"/>
  <c r="EJ59" i="139" s="1"/>
  <c r="FI85" i="139" s="1"/>
  <c r="EJ37" i="139"/>
  <c r="EJ64" i="139" s="1"/>
  <c r="FI90" i="139" s="1"/>
  <c r="EI28" i="139"/>
  <c r="EJ35" i="139"/>
  <c r="EJ62" i="139" s="1"/>
  <c r="FI88" i="139" s="1"/>
  <c r="EJ36" i="139"/>
  <c r="EJ63" i="139" s="1"/>
  <c r="FI89" i="139" s="1"/>
  <c r="EJ34" i="139"/>
  <c r="EJ61" i="139" s="1"/>
  <c r="FI87" i="139" s="1"/>
  <c r="EJ39" i="139"/>
  <c r="EJ66" i="139" s="1"/>
  <c r="FI92" i="139" s="1"/>
  <c r="EJ33" i="139"/>
  <c r="EJ60" i="139" s="1"/>
  <c r="FI86" i="139" s="1"/>
  <c r="EJ40" i="139"/>
  <c r="EJ67" i="139" s="1"/>
  <c r="FI93" i="139" s="1"/>
  <c r="EJ41" i="139"/>
  <c r="EJ68" i="139" s="1"/>
  <c r="FI94" i="139" s="1"/>
  <c r="EF31" i="139"/>
  <c r="EF58" i="139" s="1"/>
  <c r="EF40" i="139"/>
  <c r="EF67" i="139" s="1"/>
  <c r="EF34" i="139"/>
  <c r="EF61" i="139" s="1"/>
  <c r="EF30" i="139"/>
  <c r="EF57" i="139" s="1"/>
  <c r="EF41" i="139"/>
  <c r="EF68" i="139" s="1"/>
  <c r="EF35" i="139"/>
  <c r="EF62" i="139" s="1"/>
  <c r="EF38" i="139"/>
  <c r="EF65" i="139" s="1"/>
  <c r="EF36" i="139"/>
  <c r="EF63" i="139" s="1"/>
  <c r="EF39" i="139"/>
  <c r="EF66" i="139" s="1"/>
  <c r="EE28" i="139"/>
  <c r="EF32" i="139"/>
  <c r="EF59" i="139" s="1"/>
  <c r="EF33" i="139"/>
  <c r="EF60" i="139" s="1"/>
  <c r="EF37" i="139"/>
  <c r="EF64" i="139" s="1"/>
  <c r="EI37" i="139" l="1"/>
  <c r="EI64" i="139" s="1"/>
  <c r="FH90" i="139" s="1"/>
  <c r="EI39" i="139"/>
  <c r="EI66" i="139" s="1"/>
  <c r="FH92" i="139" s="1"/>
  <c r="EI33" i="139"/>
  <c r="EI60" i="139" s="1"/>
  <c r="FH86" i="139" s="1"/>
  <c r="EI38" i="139"/>
  <c r="EI65" i="139" s="1"/>
  <c r="FH91" i="139" s="1"/>
  <c r="EH28" i="139"/>
  <c r="EI31" i="139"/>
  <c r="EI58" i="139" s="1"/>
  <c r="FH84" i="139" s="1"/>
  <c r="EI40" i="139"/>
  <c r="EI67" i="139" s="1"/>
  <c r="FH93" i="139" s="1"/>
  <c r="EI34" i="139"/>
  <c r="EI61" i="139" s="1"/>
  <c r="FH87" i="139" s="1"/>
  <c r="EI41" i="139"/>
  <c r="EI68" i="139" s="1"/>
  <c r="FH94" i="139" s="1"/>
  <c r="EI36" i="139"/>
  <c r="EI63" i="139" s="1"/>
  <c r="FH89" i="139" s="1"/>
  <c r="EI32" i="139"/>
  <c r="EI59" i="139" s="1"/>
  <c r="FH85" i="139" s="1"/>
  <c r="EI30" i="139"/>
  <c r="EI57" i="139" s="1"/>
  <c r="FH83" i="139" s="1"/>
  <c r="EI35" i="139"/>
  <c r="EI62" i="139" s="1"/>
  <c r="FH88" i="139" s="1"/>
  <c r="EE32" i="139"/>
  <c r="EE59" i="139" s="1"/>
  <c r="EE40" i="139"/>
  <c r="EE67" i="139" s="1"/>
  <c r="ED28" i="139"/>
  <c r="EE33" i="139"/>
  <c r="EE60" i="139" s="1"/>
  <c r="EE34" i="139"/>
  <c r="EE61" i="139" s="1"/>
  <c r="EE41" i="139"/>
  <c r="EE68" i="139" s="1"/>
  <c r="EE39" i="139"/>
  <c r="EE66" i="139" s="1"/>
  <c r="EE35" i="139"/>
  <c r="EE62" i="139" s="1"/>
  <c r="EE38" i="139"/>
  <c r="EE65" i="139" s="1"/>
  <c r="EE30" i="139"/>
  <c r="EE57" i="139" s="1"/>
  <c r="EE37" i="139"/>
  <c r="EE64" i="139" s="1"/>
  <c r="EE31" i="139"/>
  <c r="EE58" i="139" s="1"/>
  <c r="EE36" i="139"/>
  <c r="EE63" i="139" s="1"/>
  <c r="EH38" i="139" l="1"/>
  <c r="EH65" i="139" s="1"/>
  <c r="FG91" i="139" s="1"/>
  <c r="EH37" i="139"/>
  <c r="EH64" i="139" s="1"/>
  <c r="FG90" i="139" s="1"/>
  <c r="EH31" i="139"/>
  <c r="EH58" i="139" s="1"/>
  <c r="FG84" i="139" s="1"/>
  <c r="EH39" i="139"/>
  <c r="EH66" i="139" s="1"/>
  <c r="FG92" i="139" s="1"/>
  <c r="EH36" i="139"/>
  <c r="EH63" i="139" s="1"/>
  <c r="FG89" i="139" s="1"/>
  <c r="EH33" i="139"/>
  <c r="EH60" i="139" s="1"/>
  <c r="FG86" i="139" s="1"/>
  <c r="EH32" i="139"/>
  <c r="EH59" i="139" s="1"/>
  <c r="FG85" i="139" s="1"/>
  <c r="EH34" i="139"/>
  <c r="EH61" i="139" s="1"/>
  <c r="FG87" i="139" s="1"/>
  <c r="EH41" i="139"/>
  <c r="EH68" i="139" s="1"/>
  <c r="FG94" i="139" s="1"/>
  <c r="EH35" i="139"/>
  <c r="EH62" i="139" s="1"/>
  <c r="FG88" i="139" s="1"/>
  <c r="EH40" i="139"/>
  <c r="EH67" i="139" s="1"/>
  <c r="FG93" i="139" s="1"/>
  <c r="EG28" i="139"/>
  <c r="EH30" i="139"/>
  <c r="EH57" i="139" s="1"/>
  <c r="FG83" i="139" s="1"/>
  <c r="ED41" i="139"/>
  <c r="ED68" i="139" s="1"/>
  <c r="ED31" i="139"/>
  <c r="ED58" i="139" s="1"/>
  <c r="EC28" i="139"/>
  <c r="ED38" i="139"/>
  <c r="ED65" i="139" s="1"/>
  <c r="ED36" i="139"/>
  <c r="ED63" i="139" s="1"/>
  <c r="ED32" i="139"/>
  <c r="ED59" i="139" s="1"/>
  <c r="ED33" i="139"/>
  <c r="ED60" i="139" s="1"/>
  <c r="ED37" i="139"/>
  <c r="ED64" i="139" s="1"/>
  <c r="ED40" i="139"/>
  <c r="ED67" i="139" s="1"/>
  <c r="ED35" i="139"/>
  <c r="ED62" i="139" s="1"/>
  <c r="ED34" i="139"/>
  <c r="ED61" i="139" s="1"/>
  <c r="ED39" i="139"/>
  <c r="ED66" i="139" s="1"/>
  <c r="ED30" i="139"/>
  <c r="ED57" i="139" s="1"/>
  <c r="EG31" i="139" l="1"/>
  <c r="EG58" i="139" s="1"/>
  <c r="EG30" i="139"/>
  <c r="EG57" i="139" s="1"/>
  <c r="EG34" i="139"/>
  <c r="EG61" i="139" s="1"/>
  <c r="EG37" i="139"/>
  <c r="EG64" i="139" s="1"/>
  <c r="FC90" i="139" s="1"/>
  <c r="EG33" i="139"/>
  <c r="EG60" i="139" s="1"/>
  <c r="FC86" i="139" s="1"/>
  <c r="EG35" i="139"/>
  <c r="EG62" i="139" s="1"/>
  <c r="FC88" i="139" s="1"/>
  <c r="EG36" i="139"/>
  <c r="EG63" i="139" s="1"/>
  <c r="EG32" i="139"/>
  <c r="EG59" i="139" s="1"/>
  <c r="FC85" i="139" s="1"/>
  <c r="EG41" i="139"/>
  <c r="EG68" i="139" s="1"/>
  <c r="FC94" i="139" s="1"/>
  <c r="EG40" i="139"/>
  <c r="EG67" i="139" s="1"/>
  <c r="FC93" i="139" s="1"/>
  <c r="EG38" i="139"/>
  <c r="EG65" i="139" s="1"/>
  <c r="FC91" i="139" s="1"/>
  <c r="EG39" i="139"/>
  <c r="EG66" i="139" s="1"/>
  <c r="FC92" i="139" s="1"/>
  <c r="FC84" i="139"/>
  <c r="FC83" i="139"/>
  <c r="EC36" i="139"/>
  <c r="EC63" i="139" s="1"/>
  <c r="EC31" i="139"/>
  <c r="EC58" i="139" s="1"/>
  <c r="FB84" i="139" s="1"/>
  <c r="EB28" i="139"/>
  <c r="EC34" i="139"/>
  <c r="EC61" i="139" s="1"/>
  <c r="EC38" i="139"/>
  <c r="EC65" i="139" s="1"/>
  <c r="EC41" i="139"/>
  <c r="EC68" i="139" s="1"/>
  <c r="EC32" i="139"/>
  <c r="EC59" i="139" s="1"/>
  <c r="EC30" i="139"/>
  <c r="EC57" i="139" s="1"/>
  <c r="FB83" i="139" s="1"/>
  <c r="EC35" i="139"/>
  <c r="EC62" i="139" s="1"/>
  <c r="EC33" i="139"/>
  <c r="EC60" i="139" s="1"/>
  <c r="EC40" i="139"/>
  <c r="EC67" i="139" s="1"/>
  <c r="EC37" i="139"/>
  <c r="EC64" i="139" s="1"/>
  <c r="EC39" i="139"/>
  <c r="EC66" i="139" s="1"/>
  <c r="FB89" i="139" l="1"/>
  <c r="FB94" i="139"/>
  <c r="FB87" i="139"/>
  <c r="FB90" i="139"/>
  <c r="FB85" i="139"/>
  <c r="FB93" i="139"/>
  <c r="FB91" i="139"/>
  <c r="FB86" i="139"/>
  <c r="FB92" i="139"/>
  <c r="FB88" i="139"/>
  <c r="FF93" i="139"/>
  <c r="FE93" i="139"/>
  <c r="FD93" i="139"/>
  <c r="FF90" i="139"/>
  <c r="FE90" i="139"/>
  <c r="FD90" i="139"/>
  <c r="FF94" i="139"/>
  <c r="FE94" i="139"/>
  <c r="FD94" i="139"/>
  <c r="FF87" i="139"/>
  <c r="FE87" i="139"/>
  <c r="FD87" i="139"/>
  <c r="FF85" i="139"/>
  <c r="FE85" i="139"/>
  <c r="FD85" i="139"/>
  <c r="FF83" i="139"/>
  <c r="FE83" i="139"/>
  <c r="FD83" i="139"/>
  <c r="FF89" i="139"/>
  <c r="FE89" i="139"/>
  <c r="FD89" i="139"/>
  <c r="FF84" i="139"/>
  <c r="FE84" i="139"/>
  <c r="FD84" i="139"/>
  <c r="FF92" i="139"/>
  <c r="FE92" i="139"/>
  <c r="FD92" i="139"/>
  <c r="FF88" i="139"/>
  <c r="FE88" i="139"/>
  <c r="FD88" i="139"/>
  <c r="FC89" i="139"/>
  <c r="FF91" i="139"/>
  <c r="FE91" i="139"/>
  <c r="FD91" i="139"/>
  <c r="FF86" i="139"/>
  <c r="FE86" i="139"/>
  <c r="FD86" i="139"/>
  <c r="FC87" i="139"/>
  <c r="EA28" i="139"/>
  <c r="EB41" i="139"/>
  <c r="EB68" i="139" s="1"/>
  <c r="FA94" i="139" s="1"/>
  <c r="EB39" i="139"/>
  <c r="EB66" i="139" s="1"/>
  <c r="FA92" i="139" s="1"/>
  <c r="EB37" i="139"/>
  <c r="EB64" i="139" s="1"/>
  <c r="FA90" i="139" s="1"/>
  <c r="EB30" i="139"/>
  <c r="EB57" i="139" s="1"/>
  <c r="FA83" i="139" s="1"/>
  <c r="EB35" i="139"/>
  <c r="EB62" i="139" s="1"/>
  <c r="FA88" i="139" s="1"/>
  <c r="EB34" i="139"/>
  <c r="EB61" i="139" s="1"/>
  <c r="FA87" i="139" s="1"/>
  <c r="EB38" i="139"/>
  <c r="EB65" i="139" s="1"/>
  <c r="FA91" i="139" s="1"/>
  <c r="EB32" i="139"/>
  <c r="EB59" i="139" s="1"/>
  <c r="FA85" i="139" s="1"/>
  <c r="EB36" i="139"/>
  <c r="EB63" i="139" s="1"/>
  <c r="FA89" i="139" s="1"/>
  <c r="EB33" i="139"/>
  <c r="EB60" i="139" s="1"/>
  <c r="FA86" i="139" s="1"/>
  <c r="EB40" i="139"/>
  <c r="EB67" i="139" s="1"/>
  <c r="FA93" i="139" s="1"/>
  <c r="EB31" i="139"/>
  <c r="EB58" i="139" s="1"/>
  <c r="FA84" i="139" s="1"/>
  <c r="EA35" i="139" l="1"/>
  <c r="EA62" i="139" s="1"/>
  <c r="EZ88" i="139" s="1"/>
  <c r="DZ28" i="139"/>
  <c r="EA39" i="139"/>
  <c r="EA66" i="139" s="1"/>
  <c r="EZ92" i="139" s="1"/>
  <c r="EA34" i="139"/>
  <c r="EA61" i="139" s="1"/>
  <c r="EZ87" i="139" s="1"/>
  <c r="EA41" i="139"/>
  <c r="EA68" i="139" s="1"/>
  <c r="EZ94" i="139" s="1"/>
  <c r="EA38" i="139"/>
  <c r="EA65" i="139" s="1"/>
  <c r="EZ91" i="139" s="1"/>
  <c r="EA40" i="139"/>
  <c r="EA67" i="139" s="1"/>
  <c r="EZ93" i="139" s="1"/>
  <c r="EA31" i="139"/>
  <c r="EA58" i="139" s="1"/>
  <c r="EZ84" i="139" s="1"/>
  <c r="EA33" i="139"/>
  <c r="EA60" i="139" s="1"/>
  <c r="EZ86" i="139" s="1"/>
  <c r="EA32" i="139"/>
  <c r="EA59" i="139" s="1"/>
  <c r="EZ85" i="139" s="1"/>
  <c r="EA30" i="139"/>
  <c r="EA57" i="139" s="1"/>
  <c r="EZ83" i="139" s="1"/>
  <c r="EA37" i="139"/>
  <c r="EA64" i="139" s="1"/>
  <c r="EZ90" i="139" s="1"/>
  <c r="EA36" i="139"/>
  <c r="EA63" i="139" s="1"/>
  <c r="EZ89" i="139" s="1"/>
  <c r="DZ41" i="139" l="1"/>
  <c r="DZ68" i="139" s="1"/>
  <c r="EY94" i="139" s="1"/>
  <c r="DZ37" i="139"/>
  <c r="DZ64" i="139" s="1"/>
  <c r="EY90" i="139" s="1"/>
  <c r="DZ31" i="139"/>
  <c r="DZ58" i="139" s="1"/>
  <c r="EY84" i="139" s="1"/>
  <c r="DZ40" i="139"/>
  <c r="DZ67" i="139" s="1"/>
  <c r="EY93" i="139" s="1"/>
  <c r="DZ39" i="139"/>
  <c r="DZ66" i="139" s="1"/>
  <c r="EY92" i="139" s="1"/>
  <c r="DZ33" i="139"/>
  <c r="DZ60" i="139" s="1"/>
  <c r="EY86" i="139" s="1"/>
  <c r="DZ34" i="139"/>
  <c r="DZ61" i="139" s="1"/>
  <c r="EY87" i="139" s="1"/>
  <c r="DZ30" i="139"/>
  <c r="DZ57" i="139" s="1"/>
  <c r="EY83" i="139" s="1"/>
  <c r="DZ32" i="139"/>
  <c r="DZ59" i="139" s="1"/>
  <c r="EY85" i="139" s="1"/>
  <c r="DZ36" i="139"/>
  <c r="DZ63" i="139" s="1"/>
  <c r="EY89" i="139" s="1"/>
  <c r="DY28" i="139"/>
  <c r="DZ38" i="139"/>
  <c r="DZ65" i="139" s="1"/>
  <c r="EY91" i="139" s="1"/>
  <c r="DZ35" i="139"/>
  <c r="DZ62" i="139" s="1"/>
  <c r="EY88" i="139" s="1"/>
  <c r="DY41" i="139" l="1"/>
  <c r="DY68" i="139" s="1"/>
  <c r="EX94" i="139" s="1"/>
  <c r="DY39" i="139"/>
  <c r="DY66" i="139" s="1"/>
  <c r="EX92" i="139" s="1"/>
  <c r="DY30" i="139"/>
  <c r="DY57" i="139" s="1"/>
  <c r="EX83" i="139" s="1"/>
  <c r="DY38" i="139"/>
  <c r="DY65" i="139" s="1"/>
  <c r="EX91" i="139" s="1"/>
  <c r="DY33" i="139"/>
  <c r="DY60" i="139" s="1"/>
  <c r="EX86" i="139" s="1"/>
  <c r="DY35" i="139"/>
  <c r="DY62" i="139" s="1"/>
  <c r="EX88" i="139" s="1"/>
  <c r="DY32" i="139"/>
  <c r="DY59" i="139" s="1"/>
  <c r="EX85" i="139" s="1"/>
  <c r="DY34" i="139"/>
  <c r="DY61" i="139" s="1"/>
  <c r="EX87" i="139" s="1"/>
  <c r="DX28" i="139"/>
  <c r="DY37" i="139"/>
  <c r="DY64" i="139" s="1"/>
  <c r="EX90" i="139" s="1"/>
  <c r="DY40" i="139"/>
  <c r="DY67" i="139" s="1"/>
  <c r="EX93" i="139" s="1"/>
  <c r="DY36" i="139"/>
  <c r="DY63" i="139" s="1"/>
  <c r="EX89" i="139" s="1"/>
  <c r="DY31" i="139"/>
  <c r="DY58" i="139" s="1"/>
  <c r="EX84" i="139" s="1"/>
  <c r="DX39" i="139" l="1"/>
  <c r="DX66" i="139" s="1"/>
  <c r="EW92" i="139" s="1"/>
  <c r="DX35" i="139"/>
  <c r="DX62" i="139" s="1"/>
  <c r="EW88" i="139" s="1"/>
  <c r="DX34" i="139"/>
  <c r="DX61" i="139" s="1"/>
  <c r="EW87" i="139" s="1"/>
  <c r="DX33" i="139"/>
  <c r="DX60" i="139" s="1"/>
  <c r="EW86" i="139" s="1"/>
  <c r="DX30" i="139"/>
  <c r="DX57" i="139" s="1"/>
  <c r="EW83" i="139" s="1"/>
  <c r="DX31" i="139"/>
  <c r="DX58" i="139" s="1"/>
  <c r="EW84" i="139" s="1"/>
  <c r="DX41" i="139"/>
  <c r="DX68" i="139" s="1"/>
  <c r="EW94" i="139" s="1"/>
  <c r="DX36" i="139"/>
  <c r="DX63" i="139" s="1"/>
  <c r="EW89" i="139" s="1"/>
  <c r="DX32" i="139"/>
  <c r="DX59" i="139" s="1"/>
  <c r="EW85" i="139" s="1"/>
  <c r="DX38" i="139"/>
  <c r="DX65" i="139" s="1"/>
  <c r="EW91" i="139" s="1"/>
  <c r="DX37" i="139"/>
  <c r="DX64" i="139" s="1"/>
  <c r="EW90" i="139" s="1"/>
  <c r="DW28" i="139"/>
  <c r="DX40" i="139"/>
  <c r="DX67" i="139" s="1"/>
  <c r="EW93" i="139" s="1"/>
  <c r="DW37" i="139" l="1"/>
  <c r="DW64" i="139" s="1"/>
  <c r="EV90" i="139" s="1"/>
  <c r="DW38" i="139"/>
  <c r="DW65" i="139" s="1"/>
  <c r="EV91" i="139" s="1"/>
  <c r="DW33" i="139"/>
  <c r="DW60" i="139" s="1"/>
  <c r="EV86" i="139" s="1"/>
  <c r="DW35" i="139"/>
  <c r="DW62" i="139" s="1"/>
  <c r="EV88" i="139" s="1"/>
  <c r="DW36" i="139"/>
  <c r="DW63" i="139" s="1"/>
  <c r="EV89" i="139" s="1"/>
  <c r="DV28" i="139"/>
  <c r="DW32" i="139"/>
  <c r="DW59" i="139" s="1"/>
  <c r="EV85" i="139" s="1"/>
  <c r="DW34" i="139"/>
  <c r="DW61" i="139" s="1"/>
  <c r="EV87" i="139" s="1"/>
  <c r="DW41" i="139"/>
  <c r="DW68" i="139" s="1"/>
  <c r="EV94" i="139" s="1"/>
  <c r="DW40" i="139"/>
  <c r="DW67" i="139" s="1"/>
  <c r="EV93" i="139" s="1"/>
  <c r="DW31" i="139"/>
  <c r="DW58" i="139" s="1"/>
  <c r="EV84" i="139" s="1"/>
  <c r="DW30" i="139"/>
  <c r="DW57" i="139" s="1"/>
  <c r="EV83" i="139" s="1"/>
  <c r="DW39" i="139"/>
  <c r="DW66" i="139" s="1"/>
  <c r="EV92" i="139" s="1"/>
  <c r="DV32" i="139" l="1"/>
  <c r="DV59" i="139" s="1"/>
  <c r="EU85" i="139" s="1"/>
  <c r="DV33" i="139"/>
  <c r="DV60" i="139" s="1"/>
  <c r="EU86" i="139" s="1"/>
  <c r="DU28" i="139"/>
  <c r="DV36" i="139"/>
  <c r="DV63" i="139" s="1"/>
  <c r="EU89" i="139" s="1"/>
  <c r="DV34" i="139"/>
  <c r="DV61" i="139" s="1"/>
  <c r="EU87" i="139" s="1"/>
  <c r="DV39" i="139"/>
  <c r="DV66" i="139" s="1"/>
  <c r="EU92" i="139" s="1"/>
  <c r="DV38" i="139"/>
  <c r="DV65" i="139" s="1"/>
  <c r="EU91" i="139" s="1"/>
  <c r="DV35" i="139"/>
  <c r="DV62" i="139" s="1"/>
  <c r="EU88" i="139" s="1"/>
  <c r="DV30" i="139"/>
  <c r="DV57" i="139" s="1"/>
  <c r="EU83" i="139" s="1"/>
  <c r="DV41" i="139"/>
  <c r="DV68" i="139" s="1"/>
  <c r="EU94" i="139" s="1"/>
  <c r="DV31" i="139"/>
  <c r="DV58" i="139" s="1"/>
  <c r="EU84" i="139" s="1"/>
  <c r="DV40" i="139"/>
  <c r="DV67" i="139" s="1"/>
  <c r="EU93" i="139" s="1"/>
  <c r="DV37" i="139"/>
  <c r="DV64" i="139" s="1"/>
  <c r="EU90" i="139" s="1"/>
  <c r="DU30" i="139" l="1"/>
  <c r="DU57" i="139" s="1"/>
  <c r="ET83" i="139" s="1"/>
  <c r="DU41" i="139"/>
  <c r="DU68" i="139" s="1"/>
  <c r="ET94" i="139" s="1"/>
  <c r="DT28" i="139"/>
  <c r="DU34" i="139"/>
  <c r="DU61" i="139" s="1"/>
  <c r="ET87" i="139" s="1"/>
  <c r="DU35" i="139"/>
  <c r="DU62" i="139" s="1"/>
  <c r="ET88" i="139" s="1"/>
  <c r="DU37" i="139"/>
  <c r="DU64" i="139" s="1"/>
  <c r="ET90" i="139" s="1"/>
  <c r="DU33" i="139"/>
  <c r="DU60" i="139" s="1"/>
  <c r="ET86" i="139" s="1"/>
  <c r="DU36" i="139"/>
  <c r="DU63" i="139" s="1"/>
  <c r="ET89" i="139" s="1"/>
  <c r="DU39" i="139"/>
  <c r="DU66" i="139" s="1"/>
  <c r="ET92" i="139" s="1"/>
  <c r="DU32" i="139"/>
  <c r="DU59" i="139" s="1"/>
  <c r="ET85" i="139" s="1"/>
  <c r="DU40" i="139"/>
  <c r="DU67" i="139" s="1"/>
  <c r="ET93" i="139" s="1"/>
  <c r="DU31" i="139"/>
  <c r="DU58" i="139" s="1"/>
  <c r="ET84" i="139" s="1"/>
  <c r="DU38" i="139"/>
  <c r="DU65" i="139" s="1"/>
  <c r="ET91" i="139" s="1"/>
  <c r="DT40" i="139" l="1"/>
  <c r="DT67" i="139" s="1"/>
  <c r="ES93" i="139" s="1"/>
  <c r="DS28" i="139"/>
  <c r="DT30" i="139"/>
  <c r="DT57" i="139" s="1"/>
  <c r="ES83" i="139" s="1"/>
  <c r="DT31" i="139"/>
  <c r="DT58" i="139" s="1"/>
  <c r="ES84" i="139" s="1"/>
  <c r="DT35" i="139"/>
  <c r="DT62" i="139" s="1"/>
  <c r="ES88" i="139" s="1"/>
  <c r="DT38" i="139"/>
  <c r="DT65" i="139" s="1"/>
  <c r="ES91" i="139" s="1"/>
  <c r="DT37" i="139"/>
  <c r="DT64" i="139" s="1"/>
  <c r="ES90" i="139" s="1"/>
  <c r="DT39" i="139"/>
  <c r="DT66" i="139" s="1"/>
  <c r="ES92" i="139" s="1"/>
  <c r="DT33" i="139"/>
  <c r="DT60" i="139" s="1"/>
  <c r="ES86" i="139" s="1"/>
  <c r="DT34" i="139"/>
  <c r="DT61" i="139" s="1"/>
  <c r="ES87" i="139" s="1"/>
  <c r="DT36" i="139"/>
  <c r="DT63" i="139" s="1"/>
  <c r="ES89" i="139" s="1"/>
  <c r="DT41" i="139"/>
  <c r="DT68" i="139" s="1"/>
  <c r="ES94" i="139" s="1"/>
  <c r="DT32" i="139"/>
  <c r="DT59" i="139" s="1"/>
  <c r="ES85" i="139" s="1"/>
  <c r="DS38" i="139" l="1"/>
  <c r="DS65" i="139" s="1"/>
  <c r="ER91" i="139" s="1"/>
  <c r="DS37" i="139"/>
  <c r="DS64" i="139" s="1"/>
  <c r="ER90" i="139" s="1"/>
  <c r="DR28" i="139"/>
  <c r="DS33" i="139"/>
  <c r="DS60" i="139" s="1"/>
  <c r="ER86" i="139" s="1"/>
  <c r="DS30" i="139"/>
  <c r="DS57" i="139" s="1"/>
  <c r="ER83" i="139" s="1"/>
  <c r="DS40" i="139"/>
  <c r="DS67" i="139" s="1"/>
  <c r="ER93" i="139" s="1"/>
  <c r="DS41" i="139"/>
  <c r="DS68" i="139" s="1"/>
  <c r="ER94" i="139" s="1"/>
  <c r="DS32" i="139"/>
  <c r="DS59" i="139" s="1"/>
  <c r="ER85" i="139" s="1"/>
  <c r="DS34" i="139"/>
  <c r="DS61" i="139" s="1"/>
  <c r="ER87" i="139" s="1"/>
  <c r="DS35" i="139"/>
  <c r="DS62" i="139" s="1"/>
  <c r="ER88" i="139" s="1"/>
  <c r="DS39" i="139"/>
  <c r="DS66" i="139" s="1"/>
  <c r="ER92" i="139" s="1"/>
  <c r="DS31" i="139"/>
  <c r="DS58" i="139" s="1"/>
  <c r="ER84" i="139" s="1"/>
  <c r="DS36" i="139"/>
  <c r="DS63" i="139" s="1"/>
  <c r="ER89" i="139" s="1"/>
  <c r="DR34" i="139" l="1"/>
  <c r="DR61" i="139" s="1"/>
  <c r="EQ87" i="139" s="1"/>
  <c r="DR31" i="139"/>
  <c r="DR58" i="139" s="1"/>
  <c r="EQ84" i="139" s="1"/>
  <c r="DR39" i="139"/>
  <c r="DR66" i="139" s="1"/>
  <c r="EQ92" i="139" s="1"/>
  <c r="DR38" i="139"/>
  <c r="DR65" i="139" s="1"/>
  <c r="EQ91" i="139" s="1"/>
  <c r="DR37" i="139"/>
  <c r="DR64" i="139" s="1"/>
  <c r="EQ90" i="139" s="1"/>
  <c r="DQ28" i="139"/>
  <c r="DR30" i="139"/>
  <c r="DR57" i="139" s="1"/>
  <c r="EQ83" i="139" s="1"/>
  <c r="DR36" i="139"/>
  <c r="DR63" i="139" s="1"/>
  <c r="EQ89" i="139" s="1"/>
  <c r="DR40" i="139"/>
  <c r="DR67" i="139" s="1"/>
  <c r="EQ93" i="139" s="1"/>
  <c r="DR33" i="139"/>
  <c r="DR60" i="139" s="1"/>
  <c r="EQ86" i="139" s="1"/>
  <c r="DR35" i="139"/>
  <c r="DR62" i="139" s="1"/>
  <c r="EQ88" i="139" s="1"/>
  <c r="DR41" i="139"/>
  <c r="DR68" i="139" s="1"/>
  <c r="EQ94" i="139" s="1"/>
  <c r="DR32" i="139"/>
  <c r="DR59" i="139" s="1"/>
  <c r="EQ85" i="139" s="1"/>
  <c r="DQ36" i="139" l="1"/>
  <c r="DQ63" i="139" s="1"/>
  <c r="EP89" i="139" s="1"/>
  <c r="DQ33" i="139"/>
  <c r="DQ60" i="139" s="1"/>
  <c r="EP86" i="139" s="1"/>
  <c r="DQ37" i="139"/>
  <c r="DQ64" i="139" s="1"/>
  <c r="EP90" i="139" s="1"/>
  <c r="DP28" i="139"/>
  <c r="DQ35" i="139"/>
  <c r="DQ62" i="139" s="1"/>
  <c r="EP88" i="139" s="1"/>
  <c r="DQ38" i="139"/>
  <c r="DQ65" i="139" s="1"/>
  <c r="EP91" i="139" s="1"/>
  <c r="DQ34" i="139"/>
  <c r="DQ61" i="139" s="1"/>
  <c r="EP87" i="139" s="1"/>
  <c r="DQ40" i="139"/>
  <c r="DQ67" i="139" s="1"/>
  <c r="EP93" i="139" s="1"/>
  <c r="DQ39" i="139"/>
  <c r="DQ66" i="139" s="1"/>
  <c r="EP92" i="139" s="1"/>
  <c r="DQ31" i="139"/>
  <c r="DQ58" i="139" s="1"/>
  <c r="EP84" i="139" s="1"/>
  <c r="DQ30" i="139"/>
  <c r="DQ57" i="139" s="1"/>
  <c r="EP83" i="139" s="1"/>
  <c r="DQ41" i="139"/>
  <c r="DQ68" i="139" s="1"/>
  <c r="EP94" i="139" s="1"/>
  <c r="DQ32" i="139"/>
  <c r="DQ59" i="139" s="1"/>
  <c r="EP85" i="139" s="1"/>
  <c r="DP40" i="139" l="1"/>
  <c r="DP67" i="139" s="1"/>
  <c r="EO93" i="139" s="1"/>
  <c r="DP36" i="139"/>
  <c r="DP63" i="139" s="1"/>
  <c r="EO89" i="139" s="1"/>
  <c r="DP39" i="139"/>
  <c r="DP66" i="139" s="1"/>
  <c r="EO92" i="139" s="1"/>
  <c r="DP37" i="139"/>
  <c r="DP64" i="139" s="1"/>
  <c r="EO90" i="139" s="1"/>
  <c r="DP33" i="139"/>
  <c r="DP60" i="139" s="1"/>
  <c r="EO86" i="139" s="1"/>
  <c r="DP41" i="139"/>
  <c r="DP68" i="139" s="1"/>
  <c r="EO94" i="139" s="1"/>
  <c r="DP38" i="139"/>
  <c r="DP65" i="139" s="1"/>
  <c r="EO91" i="139" s="1"/>
  <c r="DP32" i="139"/>
  <c r="DP59" i="139" s="1"/>
  <c r="EO85" i="139" s="1"/>
  <c r="DP31" i="139"/>
  <c r="DP58" i="139" s="1"/>
  <c r="EO84" i="139" s="1"/>
  <c r="DP34" i="139"/>
  <c r="DP61" i="139" s="1"/>
  <c r="EO87" i="139" s="1"/>
  <c r="DP30" i="139"/>
  <c r="DP57" i="139" s="1"/>
  <c r="EO83" i="139" s="1"/>
  <c r="DP35" i="139"/>
  <c r="DP62" i="139" s="1"/>
  <c r="EO88" i="139" s="1"/>
  <c r="DO28" i="139"/>
  <c r="DO36" i="139" l="1"/>
  <c r="DO63" i="139" s="1"/>
  <c r="EN89" i="139" s="1"/>
  <c r="DO39" i="139"/>
  <c r="DO66" i="139" s="1"/>
  <c r="EN92" i="139" s="1"/>
  <c r="DO30" i="139"/>
  <c r="DO57" i="139" s="1"/>
  <c r="EN83" i="139" s="1"/>
  <c r="DO35" i="139"/>
  <c r="DO62" i="139" s="1"/>
  <c r="EN88" i="139" s="1"/>
  <c r="DO41" i="139"/>
  <c r="DO68" i="139" s="1"/>
  <c r="EN94" i="139" s="1"/>
  <c r="DO34" i="139"/>
  <c r="DO61" i="139" s="1"/>
  <c r="EN87" i="139" s="1"/>
  <c r="DN28" i="139"/>
  <c r="DO40" i="139"/>
  <c r="DO67" i="139" s="1"/>
  <c r="EN93" i="139" s="1"/>
  <c r="DO38" i="139"/>
  <c r="DO65" i="139" s="1"/>
  <c r="EN91" i="139" s="1"/>
  <c r="DO37" i="139"/>
  <c r="DO64" i="139" s="1"/>
  <c r="EN90" i="139" s="1"/>
  <c r="DO31" i="139"/>
  <c r="DO58" i="139" s="1"/>
  <c r="EN84" i="139" s="1"/>
  <c r="DO33" i="139"/>
  <c r="DO60" i="139" s="1"/>
  <c r="EN86" i="139" s="1"/>
  <c r="DO32" i="139"/>
  <c r="DO59" i="139" s="1"/>
  <c r="EN85" i="139" s="1"/>
  <c r="DN36" i="139" l="1"/>
  <c r="DN63" i="139" s="1"/>
  <c r="EM89" i="139" s="1"/>
  <c r="DN40" i="139"/>
  <c r="DN67" i="139" s="1"/>
  <c r="EM93" i="139" s="1"/>
  <c r="DN34" i="139"/>
  <c r="DN61" i="139" s="1"/>
  <c r="EM87" i="139" s="1"/>
  <c r="DN35" i="139"/>
  <c r="DN62" i="139" s="1"/>
  <c r="EM88" i="139" s="1"/>
  <c r="DN37" i="139"/>
  <c r="DN64" i="139" s="1"/>
  <c r="EM90" i="139" s="1"/>
  <c r="DN38" i="139"/>
  <c r="DN65" i="139" s="1"/>
  <c r="EM91" i="139" s="1"/>
  <c r="DN30" i="139"/>
  <c r="DN57" i="139" s="1"/>
  <c r="EM83" i="139" s="1"/>
  <c r="DN41" i="139"/>
  <c r="DN68" i="139" s="1"/>
  <c r="EM94" i="139" s="1"/>
  <c r="DN33" i="139"/>
  <c r="DN60" i="139" s="1"/>
  <c r="EM86" i="139" s="1"/>
  <c r="DM28" i="139"/>
  <c r="DN31" i="139"/>
  <c r="DN58" i="139" s="1"/>
  <c r="EM84" i="139" s="1"/>
  <c r="DN32" i="139"/>
  <c r="DN59" i="139" s="1"/>
  <c r="EM85" i="139" s="1"/>
  <c r="DN39" i="139"/>
  <c r="DN66" i="139" s="1"/>
  <c r="EM92" i="139" s="1"/>
  <c r="DM36" i="139" l="1"/>
  <c r="DM63" i="139" s="1"/>
  <c r="EL89" i="139" s="1"/>
  <c r="DM32" i="139"/>
  <c r="DM59" i="139" s="1"/>
  <c r="EL85" i="139" s="1"/>
  <c r="DL28" i="139"/>
  <c r="DM41" i="139"/>
  <c r="DM68" i="139" s="1"/>
  <c r="EL94" i="139" s="1"/>
  <c r="DM31" i="139"/>
  <c r="DM58" i="139" s="1"/>
  <c r="EL84" i="139" s="1"/>
  <c r="DM34" i="139"/>
  <c r="DM61" i="139" s="1"/>
  <c r="EL87" i="139" s="1"/>
  <c r="DM33" i="139"/>
  <c r="DM60" i="139" s="1"/>
  <c r="EL86" i="139" s="1"/>
  <c r="DM38" i="139"/>
  <c r="DM65" i="139" s="1"/>
  <c r="EL91" i="139" s="1"/>
  <c r="DM35" i="139"/>
  <c r="DM62" i="139" s="1"/>
  <c r="EL88" i="139" s="1"/>
  <c r="DM39" i="139"/>
  <c r="DM66" i="139" s="1"/>
  <c r="EL92" i="139" s="1"/>
  <c r="DM40" i="139"/>
  <c r="DM67" i="139" s="1"/>
  <c r="EL93" i="139" s="1"/>
  <c r="DM30" i="139"/>
  <c r="DM57" i="139" s="1"/>
  <c r="EL83" i="139" s="1"/>
  <c r="DM37" i="139"/>
  <c r="DM64" i="139" s="1"/>
  <c r="EL90" i="139" s="1"/>
  <c r="DL34" i="139" l="1"/>
  <c r="DL61" i="139" s="1"/>
  <c r="EK87" i="139" s="1"/>
  <c r="DL30" i="139"/>
  <c r="DL57" i="139" s="1"/>
  <c r="EK83" i="139" s="1"/>
  <c r="DL37" i="139"/>
  <c r="DL64" i="139" s="1"/>
  <c r="EK90" i="139" s="1"/>
  <c r="DL31" i="139"/>
  <c r="DL58" i="139" s="1"/>
  <c r="EK84" i="139" s="1"/>
  <c r="DL40" i="139"/>
  <c r="DL67" i="139" s="1"/>
  <c r="EK93" i="139" s="1"/>
  <c r="DK28" i="139"/>
  <c r="DL36" i="139"/>
  <c r="DL63" i="139" s="1"/>
  <c r="EK89" i="139" s="1"/>
  <c r="DL39" i="139"/>
  <c r="DL66" i="139" s="1"/>
  <c r="EK92" i="139" s="1"/>
  <c r="DL33" i="139"/>
  <c r="DL60" i="139" s="1"/>
  <c r="EK86" i="139" s="1"/>
  <c r="DL32" i="139"/>
  <c r="DL59" i="139" s="1"/>
  <c r="EK85" i="139" s="1"/>
  <c r="DL41" i="139"/>
  <c r="DL68" i="139" s="1"/>
  <c r="EK94" i="139" s="1"/>
  <c r="DL35" i="139"/>
  <c r="DL62" i="139" s="1"/>
  <c r="EK88" i="139" s="1"/>
  <c r="DL38" i="139"/>
  <c r="DL65" i="139" s="1"/>
  <c r="EK91" i="139" s="1"/>
  <c r="DK34" i="139" l="1"/>
  <c r="DK61" i="139" s="1"/>
  <c r="EJ87" i="139" s="1"/>
  <c r="DK39" i="139"/>
  <c r="DK66" i="139" s="1"/>
  <c r="EJ92" i="139" s="1"/>
  <c r="DK33" i="139"/>
  <c r="DK60" i="139" s="1"/>
  <c r="EJ86" i="139" s="1"/>
  <c r="DK30" i="139"/>
  <c r="DK57" i="139" s="1"/>
  <c r="EJ83" i="139" s="1"/>
  <c r="DK38" i="139"/>
  <c r="DK65" i="139" s="1"/>
  <c r="EJ91" i="139" s="1"/>
  <c r="DK32" i="139"/>
  <c r="DK59" i="139" s="1"/>
  <c r="EJ85" i="139" s="1"/>
  <c r="DJ28" i="139"/>
  <c r="DK31" i="139"/>
  <c r="DK58" i="139" s="1"/>
  <c r="EJ84" i="139" s="1"/>
  <c r="DK35" i="139"/>
  <c r="DK62" i="139" s="1"/>
  <c r="EJ88" i="139" s="1"/>
  <c r="DK41" i="139"/>
  <c r="DK68" i="139" s="1"/>
  <c r="EJ94" i="139" s="1"/>
  <c r="DK37" i="139"/>
  <c r="DK64" i="139" s="1"/>
  <c r="EJ90" i="139" s="1"/>
  <c r="DK40" i="139"/>
  <c r="DK67" i="139" s="1"/>
  <c r="EJ93" i="139" s="1"/>
  <c r="DK36" i="139"/>
  <c r="DK63" i="139" s="1"/>
  <c r="EJ89" i="139" s="1"/>
  <c r="DJ37" i="139" l="1"/>
  <c r="DJ64" i="139" s="1"/>
  <c r="EI90" i="139" s="1"/>
  <c r="DJ36" i="139"/>
  <c r="DJ63" i="139" s="1"/>
  <c r="EI89" i="139" s="1"/>
  <c r="DJ33" i="139"/>
  <c r="DJ60" i="139" s="1"/>
  <c r="EI86" i="139" s="1"/>
  <c r="DJ38" i="139"/>
  <c r="DJ65" i="139" s="1"/>
  <c r="EI91" i="139" s="1"/>
  <c r="DI28" i="139"/>
  <c r="DJ31" i="139"/>
  <c r="DJ58" i="139" s="1"/>
  <c r="EI84" i="139" s="1"/>
  <c r="DJ30" i="139"/>
  <c r="DJ57" i="139" s="1"/>
  <c r="EI83" i="139" s="1"/>
  <c r="DJ40" i="139"/>
  <c r="DJ67" i="139" s="1"/>
  <c r="EI93" i="139" s="1"/>
  <c r="DJ39" i="139"/>
  <c r="DJ66" i="139" s="1"/>
  <c r="EI92" i="139" s="1"/>
  <c r="DJ32" i="139"/>
  <c r="DJ59" i="139" s="1"/>
  <c r="EI85" i="139" s="1"/>
  <c r="DJ34" i="139"/>
  <c r="DJ61" i="139" s="1"/>
  <c r="EI87" i="139" s="1"/>
  <c r="DJ35" i="139"/>
  <c r="DJ62" i="139" s="1"/>
  <c r="EI88" i="139" s="1"/>
  <c r="DJ41" i="139"/>
  <c r="DJ68" i="139" s="1"/>
  <c r="EI94" i="139" s="1"/>
  <c r="DH28" i="139" l="1"/>
  <c r="DI39" i="139"/>
  <c r="DI66" i="139" s="1"/>
  <c r="EH92" i="139" s="1"/>
  <c r="DI30" i="139"/>
  <c r="DI57" i="139" s="1"/>
  <c r="EH83" i="139" s="1"/>
  <c r="DI32" i="139"/>
  <c r="DI59" i="139" s="1"/>
  <c r="EH85" i="139" s="1"/>
  <c r="DI38" i="139"/>
  <c r="DI65" i="139" s="1"/>
  <c r="EH91" i="139" s="1"/>
  <c r="DI35" i="139"/>
  <c r="DI62" i="139" s="1"/>
  <c r="EH88" i="139" s="1"/>
  <c r="DI41" i="139"/>
  <c r="DI68" i="139" s="1"/>
  <c r="EH94" i="139" s="1"/>
  <c r="DI36" i="139"/>
  <c r="DI63" i="139" s="1"/>
  <c r="EH89" i="139" s="1"/>
  <c r="DI34" i="139"/>
  <c r="DI61" i="139" s="1"/>
  <c r="EH87" i="139" s="1"/>
  <c r="DI33" i="139"/>
  <c r="DI60" i="139" s="1"/>
  <c r="EH86" i="139" s="1"/>
  <c r="DI31" i="139"/>
  <c r="DI58" i="139" s="1"/>
  <c r="EH84" i="139" s="1"/>
  <c r="DI40" i="139"/>
  <c r="DI67" i="139" s="1"/>
  <c r="EH93" i="139" s="1"/>
  <c r="DI37" i="139"/>
  <c r="DI64" i="139" s="1"/>
  <c r="EH90" i="139" s="1"/>
  <c r="DH30" i="139" l="1"/>
  <c r="DH57" i="139" s="1"/>
  <c r="EG83" i="139" s="1"/>
  <c r="DH34" i="139"/>
  <c r="DH61" i="139" s="1"/>
  <c r="EG87" i="139" s="1"/>
  <c r="DH40" i="139"/>
  <c r="DH67" i="139" s="1"/>
  <c r="EG93" i="139" s="1"/>
  <c r="DH36" i="139"/>
  <c r="DH63" i="139" s="1"/>
  <c r="EG89" i="139" s="1"/>
  <c r="DH35" i="139"/>
  <c r="DH62" i="139" s="1"/>
  <c r="EG88" i="139" s="1"/>
  <c r="DH39" i="139"/>
  <c r="DH66" i="139" s="1"/>
  <c r="EG92" i="139" s="1"/>
  <c r="DH37" i="139"/>
  <c r="DH64" i="139" s="1"/>
  <c r="EG90" i="139" s="1"/>
  <c r="DH32" i="139"/>
  <c r="DH59" i="139" s="1"/>
  <c r="EG85" i="139" s="1"/>
  <c r="DG28" i="139"/>
  <c r="DH33" i="139"/>
  <c r="DH60" i="139" s="1"/>
  <c r="EG86" i="139" s="1"/>
  <c r="DH41" i="139"/>
  <c r="DH68" i="139" s="1"/>
  <c r="EG94" i="139" s="1"/>
  <c r="DH38" i="139"/>
  <c r="DH65" i="139" s="1"/>
  <c r="EG91" i="139" s="1"/>
  <c r="DH31" i="139"/>
  <c r="DH58" i="139" s="1"/>
  <c r="EG84" i="139" s="1"/>
  <c r="DG40" i="139" l="1"/>
  <c r="DG67" i="139" s="1"/>
  <c r="EF93" i="139" s="1"/>
  <c r="DG32" i="139"/>
  <c r="DG59" i="139" s="1"/>
  <c r="EF85" i="139" s="1"/>
  <c r="DG31" i="139"/>
  <c r="DG58" i="139" s="1"/>
  <c r="EF84" i="139" s="1"/>
  <c r="DG36" i="139"/>
  <c r="DG63" i="139" s="1"/>
  <c r="EF89" i="139" s="1"/>
  <c r="DG35" i="139"/>
  <c r="DG62" i="139" s="1"/>
  <c r="EF88" i="139" s="1"/>
  <c r="DG33" i="139"/>
  <c r="DG60" i="139" s="1"/>
  <c r="EF86" i="139" s="1"/>
  <c r="DG41" i="139"/>
  <c r="DG68" i="139" s="1"/>
  <c r="EF94" i="139" s="1"/>
  <c r="DG34" i="139"/>
  <c r="DG61" i="139" s="1"/>
  <c r="EF87" i="139" s="1"/>
  <c r="DG30" i="139"/>
  <c r="DG57" i="139" s="1"/>
  <c r="EF83" i="139" s="1"/>
  <c r="DG37" i="139"/>
  <c r="DG64" i="139" s="1"/>
  <c r="EF90" i="139" s="1"/>
  <c r="DF28" i="139"/>
  <c r="DG39" i="139"/>
  <c r="DG66" i="139" s="1"/>
  <c r="EF92" i="139" s="1"/>
  <c r="DG38" i="139"/>
  <c r="DG65" i="139" s="1"/>
  <c r="EF91" i="139" s="1"/>
  <c r="DF32" i="139" l="1"/>
  <c r="DF59" i="139" s="1"/>
  <c r="EE85" i="139" s="1"/>
  <c r="DF39" i="139"/>
  <c r="DF66" i="139" s="1"/>
  <c r="EE92" i="139" s="1"/>
  <c r="DF38" i="139"/>
  <c r="DF65" i="139" s="1"/>
  <c r="EE91" i="139" s="1"/>
  <c r="DF33" i="139"/>
  <c r="DF60" i="139" s="1"/>
  <c r="EE86" i="139" s="1"/>
  <c r="DE28" i="139"/>
  <c r="DF31" i="139"/>
  <c r="DF58" i="139" s="1"/>
  <c r="EE84" i="139" s="1"/>
  <c r="DF30" i="139"/>
  <c r="DF57" i="139" s="1"/>
  <c r="EE83" i="139" s="1"/>
  <c r="DF41" i="139"/>
  <c r="DF68" i="139" s="1"/>
  <c r="EE94" i="139" s="1"/>
  <c r="DF37" i="139"/>
  <c r="DF64" i="139" s="1"/>
  <c r="EE90" i="139" s="1"/>
  <c r="DF35" i="139"/>
  <c r="DF62" i="139" s="1"/>
  <c r="EE88" i="139" s="1"/>
  <c r="DF34" i="139"/>
  <c r="DF61" i="139" s="1"/>
  <c r="EE87" i="139" s="1"/>
  <c r="DF36" i="139"/>
  <c r="DF63" i="139" s="1"/>
  <c r="EE89" i="139" s="1"/>
  <c r="DF40" i="139"/>
  <c r="DF67" i="139" s="1"/>
  <c r="EE93" i="139" s="1"/>
  <c r="DE32" i="139" l="1"/>
  <c r="DE59" i="139" s="1"/>
  <c r="ED85" i="139" s="1"/>
  <c r="DE33" i="139"/>
  <c r="DE60" i="139" s="1"/>
  <c r="ED86" i="139" s="1"/>
  <c r="DE40" i="139"/>
  <c r="DE67" i="139" s="1"/>
  <c r="ED93" i="139" s="1"/>
  <c r="DE31" i="139"/>
  <c r="DE58" i="139" s="1"/>
  <c r="ED84" i="139" s="1"/>
  <c r="DE35" i="139"/>
  <c r="DE62" i="139" s="1"/>
  <c r="ED88" i="139" s="1"/>
  <c r="DD28" i="139"/>
  <c r="DE34" i="139"/>
  <c r="DE61" i="139" s="1"/>
  <c r="ED87" i="139" s="1"/>
  <c r="DE39" i="139"/>
  <c r="DE66" i="139" s="1"/>
  <c r="ED92" i="139" s="1"/>
  <c r="DE38" i="139"/>
  <c r="DE65" i="139" s="1"/>
  <c r="ED91" i="139" s="1"/>
  <c r="DE36" i="139"/>
  <c r="DE63" i="139" s="1"/>
  <c r="ED89" i="139" s="1"/>
  <c r="DE41" i="139"/>
  <c r="DE68" i="139" s="1"/>
  <c r="ED94" i="139" s="1"/>
  <c r="DE30" i="139"/>
  <c r="DE57" i="139" s="1"/>
  <c r="ED83" i="139" s="1"/>
  <c r="DE37" i="139"/>
  <c r="DE64" i="139" s="1"/>
  <c r="ED90" i="139" s="1"/>
  <c r="DD37" i="139" l="1"/>
  <c r="DD64" i="139" s="1"/>
  <c r="EC90" i="139" s="1"/>
  <c r="DD31" i="139"/>
  <c r="DD58" i="139" s="1"/>
  <c r="EC84" i="139" s="1"/>
  <c r="DD36" i="139"/>
  <c r="DD63" i="139" s="1"/>
  <c r="EC89" i="139" s="1"/>
  <c r="DD35" i="139"/>
  <c r="DD62" i="139" s="1"/>
  <c r="EC88" i="139" s="1"/>
  <c r="DD30" i="139"/>
  <c r="DD57" i="139" s="1"/>
  <c r="EC83" i="139" s="1"/>
  <c r="DC28" i="139"/>
  <c r="DD39" i="139"/>
  <c r="DD66" i="139" s="1"/>
  <c r="EC92" i="139" s="1"/>
  <c r="DD33" i="139"/>
  <c r="DD60" i="139" s="1"/>
  <c r="EC86" i="139" s="1"/>
  <c r="DD38" i="139"/>
  <c r="DD65" i="139" s="1"/>
  <c r="EC91" i="139" s="1"/>
  <c r="DD32" i="139"/>
  <c r="DD59" i="139" s="1"/>
  <c r="EC85" i="139" s="1"/>
  <c r="DD40" i="139"/>
  <c r="DD67" i="139" s="1"/>
  <c r="EC93" i="139" s="1"/>
  <c r="DD34" i="139"/>
  <c r="DD61" i="139" s="1"/>
  <c r="EC87" i="139" s="1"/>
  <c r="DD41" i="139"/>
  <c r="DD68" i="139" s="1"/>
  <c r="EC94" i="139" s="1"/>
  <c r="DC34" i="139" l="1"/>
  <c r="DC61" i="139" s="1"/>
  <c r="EB87" i="139" s="1"/>
  <c r="DC37" i="139"/>
  <c r="DC64" i="139" s="1"/>
  <c r="EB90" i="139" s="1"/>
  <c r="DB28" i="139"/>
  <c r="DC41" i="139"/>
  <c r="DC68" i="139" s="1"/>
  <c r="EB94" i="139" s="1"/>
  <c r="DC32" i="139"/>
  <c r="DC59" i="139" s="1"/>
  <c r="EB85" i="139" s="1"/>
  <c r="DC36" i="139"/>
  <c r="DC63" i="139" s="1"/>
  <c r="EB89" i="139" s="1"/>
  <c r="DC35" i="139"/>
  <c r="DC62" i="139" s="1"/>
  <c r="EB88" i="139" s="1"/>
  <c r="DC30" i="139"/>
  <c r="DC57" i="139" s="1"/>
  <c r="EB83" i="139" s="1"/>
  <c r="DC39" i="139"/>
  <c r="DC66" i="139" s="1"/>
  <c r="EB92" i="139" s="1"/>
  <c r="DC40" i="139"/>
  <c r="DC67" i="139" s="1"/>
  <c r="EB93" i="139" s="1"/>
  <c r="DC38" i="139"/>
  <c r="DC65" i="139" s="1"/>
  <c r="EB91" i="139" s="1"/>
  <c r="DC33" i="139"/>
  <c r="DC60" i="139" s="1"/>
  <c r="EB86" i="139" s="1"/>
  <c r="DC31" i="139"/>
  <c r="DC58" i="139" s="1"/>
  <c r="EB84" i="139" s="1"/>
  <c r="DA28" i="139" l="1"/>
  <c r="DB35" i="139"/>
  <c r="DB62" i="139" s="1"/>
  <c r="EA88" i="139" s="1"/>
  <c r="DB36" i="139"/>
  <c r="DB63" i="139" s="1"/>
  <c r="EA89" i="139" s="1"/>
  <c r="DB30" i="139"/>
  <c r="DB57" i="139" s="1"/>
  <c r="EA83" i="139" s="1"/>
  <c r="DB32" i="139"/>
  <c r="DB59" i="139" s="1"/>
  <c r="EA85" i="139" s="1"/>
  <c r="DB40" i="139"/>
  <c r="DB67" i="139" s="1"/>
  <c r="EA93" i="139" s="1"/>
  <c r="DB41" i="139"/>
  <c r="DB68" i="139" s="1"/>
  <c r="EA94" i="139" s="1"/>
  <c r="DB31" i="139"/>
  <c r="DB58" i="139" s="1"/>
  <c r="EA84" i="139" s="1"/>
  <c r="DB38" i="139"/>
  <c r="DB65" i="139" s="1"/>
  <c r="EA91" i="139" s="1"/>
  <c r="DB39" i="139"/>
  <c r="DB66" i="139" s="1"/>
  <c r="EA92" i="139" s="1"/>
  <c r="DB37" i="139"/>
  <c r="DB64" i="139" s="1"/>
  <c r="EA90" i="139" s="1"/>
  <c r="DB33" i="139"/>
  <c r="DB60" i="139" s="1"/>
  <c r="EA86" i="139" s="1"/>
  <c r="DB34" i="139"/>
  <c r="DB61" i="139" s="1"/>
  <c r="EA87" i="139" s="1"/>
  <c r="DA38" i="139" l="1"/>
  <c r="DA65" i="139" s="1"/>
  <c r="DZ91" i="139" s="1"/>
  <c r="DA32" i="139"/>
  <c r="DA59" i="139" s="1"/>
  <c r="DZ85" i="139" s="1"/>
  <c r="DA31" i="139"/>
  <c r="DA58" i="139" s="1"/>
  <c r="DZ84" i="139" s="1"/>
  <c r="CZ28" i="139"/>
  <c r="DA35" i="139"/>
  <c r="DA62" i="139" s="1"/>
  <c r="DZ88" i="139" s="1"/>
  <c r="DA30" i="139"/>
  <c r="DA57" i="139" s="1"/>
  <c r="DZ83" i="139" s="1"/>
  <c r="DA41" i="139"/>
  <c r="DA68" i="139" s="1"/>
  <c r="DZ94" i="139" s="1"/>
  <c r="DA36" i="139"/>
  <c r="DA63" i="139" s="1"/>
  <c r="DZ89" i="139" s="1"/>
  <c r="DA37" i="139"/>
  <c r="DA64" i="139" s="1"/>
  <c r="DZ90" i="139" s="1"/>
  <c r="DA34" i="139"/>
  <c r="DA61" i="139" s="1"/>
  <c r="DZ87" i="139" s="1"/>
  <c r="DA33" i="139"/>
  <c r="DA60" i="139" s="1"/>
  <c r="DZ86" i="139" s="1"/>
  <c r="DA39" i="139"/>
  <c r="DA66" i="139" s="1"/>
  <c r="DZ92" i="139" s="1"/>
  <c r="DA40" i="139"/>
  <c r="DA67" i="139" s="1"/>
  <c r="DZ93" i="139" s="1"/>
  <c r="CZ31" i="139" l="1"/>
  <c r="CZ58" i="139" s="1"/>
  <c r="DY84" i="139" s="1"/>
  <c r="CZ36" i="139"/>
  <c r="CZ63" i="139" s="1"/>
  <c r="DY89" i="139" s="1"/>
  <c r="CZ39" i="139"/>
  <c r="CZ66" i="139" s="1"/>
  <c r="DY92" i="139" s="1"/>
  <c r="CZ37" i="139"/>
  <c r="CZ64" i="139" s="1"/>
  <c r="DY90" i="139" s="1"/>
  <c r="CZ35" i="139"/>
  <c r="CZ62" i="139" s="1"/>
  <c r="DY88" i="139" s="1"/>
  <c r="CZ34" i="139"/>
  <c r="CZ61" i="139" s="1"/>
  <c r="DY87" i="139" s="1"/>
  <c r="CZ32" i="139"/>
  <c r="CZ59" i="139" s="1"/>
  <c r="DY85" i="139" s="1"/>
  <c r="CY28" i="139"/>
  <c r="CZ38" i="139"/>
  <c r="CZ65" i="139" s="1"/>
  <c r="DY91" i="139" s="1"/>
  <c r="CZ40" i="139"/>
  <c r="CZ67" i="139" s="1"/>
  <c r="DY93" i="139" s="1"/>
  <c r="CZ30" i="139"/>
  <c r="CZ57" i="139" s="1"/>
  <c r="DY83" i="139" s="1"/>
  <c r="CZ41" i="139"/>
  <c r="CZ68" i="139" s="1"/>
  <c r="DY94" i="139" s="1"/>
  <c r="CZ33" i="139"/>
  <c r="CZ60" i="139" s="1"/>
  <c r="DY86" i="139" s="1"/>
  <c r="CY39" i="139" l="1"/>
  <c r="CY66" i="139" s="1"/>
  <c r="DX92" i="139" s="1"/>
  <c r="CY31" i="139"/>
  <c r="CY58" i="139" s="1"/>
  <c r="DX84" i="139" s="1"/>
  <c r="CY36" i="139"/>
  <c r="CY63" i="139" s="1"/>
  <c r="DX89" i="139" s="1"/>
  <c r="CY30" i="139"/>
  <c r="CY57" i="139" s="1"/>
  <c r="DX83" i="139" s="1"/>
  <c r="CY38" i="139"/>
  <c r="CY65" i="139" s="1"/>
  <c r="DX91" i="139" s="1"/>
  <c r="CY32" i="139"/>
  <c r="CY59" i="139" s="1"/>
  <c r="DX85" i="139" s="1"/>
  <c r="CX28" i="139"/>
  <c r="CY37" i="139"/>
  <c r="CY64" i="139" s="1"/>
  <c r="DX90" i="139" s="1"/>
  <c r="CY41" i="139"/>
  <c r="CY68" i="139" s="1"/>
  <c r="DX94" i="139" s="1"/>
  <c r="CY35" i="139"/>
  <c r="CY62" i="139" s="1"/>
  <c r="DX88" i="139" s="1"/>
  <c r="CY34" i="139"/>
  <c r="CY61" i="139" s="1"/>
  <c r="DX87" i="139" s="1"/>
  <c r="CY40" i="139"/>
  <c r="CY67" i="139" s="1"/>
  <c r="DX93" i="139" s="1"/>
  <c r="CY33" i="139"/>
  <c r="CY60" i="139" s="1"/>
  <c r="DX86" i="139" s="1"/>
  <c r="CX33" i="139" l="1"/>
  <c r="CX60" i="139" s="1"/>
  <c r="DW86" i="139" s="1"/>
  <c r="CX39" i="139"/>
  <c r="CX66" i="139" s="1"/>
  <c r="DW92" i="139" s="1"/>
  <c r="CX37" i="139"/>
  <c r="CX64" i="139" s="1"/>
  <c r="DW90" i="139" s="1"/>
  <c r="CX41" i="139"/>
  <c r="CX68" i="139" s="1"/>
  <c r="DW94" i="139" s="1"/>
  <c r="CX38" i="139"/>
  <c r="CX65" i="139" s="1"/>
  <c r="DW91" i="139" s="1"/>
  <c r="CX31" i="139"/>
  <c r="CX58" i="139" s="1"/>
  <c r="DW84" i="139" s="1"/>
  <c r="CX30" i="139"/>
  <c r="CX57" i="139" s="1"/>
  <c r="DW83" i="139" s="1"/>
  <c r="CX35" i="139"/>
  <c r="CX62" i="139" s="1"/>
  <c r="DW88" i="139" s="1"/>
  <c r="CX36" i="139"/>
  <c r="CX63" i="139" s="1"/>
  <c r="DW89" i="139" s="1"/>
  <c r="CX32" i="139"/>
  <c r="CX59" i="139" s="1"/>
  <c r="DW85" i="139" s="1"/>
  <c r="CW28" i="139"/>
  <c r="CX40" i="139"/>
  <c r="CX67" i="139" s="1"/>
  <c r="DW93" i="139" s="1"/>
  <c r="CX34" i="139"/>
  <c r="CX61" i="139" s="1"/>
  <c r="DW87" i="139" s="1"/>
  <c r="CW31" i="139" l="1"/>
  <c r="CW58" i="139" s="1"/>
  <c r="DV84" i="139" s="1"/>
  <c r="CW39" i="139"/>
  <c r="CW66" i="139" s="1"/>
  <c r="DV92" i="139" s="1"/>
  <c r="CW37" i="139"/>
  <c r="CW64" i="139" s="1"/>
  <c r="DV90" i="139" s="1"/>
  <c r="CW36" i="139"/>
  <c r="CW63" i="139" s="1"/>
  <c r="DV89" i="139" s="1"/>
  <c r="CW35" i="139"/>
  <c r="CW62" i="139" s="1"/>
  <c r="DV88" i="139" s="1"/>
  <c r="CW41" i="139"/>
  <c r="CW68" i="139" s="1"/>
  <c r="DV94" i="139" s="1"/>
  <c r="CW40" i="139"/>
  <c r="CW67" i="139" s="1"/>
  <c r="DV93" i="139" s="1"/>
  <c r="CW33" i="139"/>
  <c r="CW60" i="139" s="1"/>
  <c r="DV86" i="139" s="1"/>
  <c r="CW32" i="139"/>
  <c r="CW59" i="139" s="1"/>
  <c r="DV85" i="139" s="1"/>
  <c r="CW34" i="139"/>
  <c r="CW61" i="139" s="1"/>
  <c r="DV87" i="139" s="1"/>
  <c r="CW30" i="139"/>
  <c r="CW57" i="139" s="1"/>
  <c r="DV83" i="139" s="1"/>
  <c r="CW38" i="139"/>
  <c r="CW65" i="139" s="1"/>
  <c r="DV91" i="139" s="1"/>
  <c r="CV28" i="139"/>
  <c r="CV40" i="139" l="1"/>
  <c r="CV67" i="139" s="1"/>
  <c r="DU93" i="139" s="1"/>
  <c r="CV36" i="139"/>
  <c r="CV63" i="139" s="1"/>
  <c r="DU89" i="139" s="1"/>
  <c r="CU28" i="139"/>
  <c r="CV34" i="139"/>
  <c r="CV61" i="139" s="1"/>
  <c r="DU87" i="139" s="1"/>
  <c r="CV38" i="139"/>
  <c r="CV65" i="139" s="1"/>
  <c r="DU91" i="139" s="1"/>
  <c r="CV32" i="139"/>
  <c r="CV59" i="139" s="1"/>
  <c r="DU85" i="139" s="1"/>
  <c r="CV39" i="139"/>
  <c r="CV66" i="139" s="1"/>
  <c r="DU92" i="139" s="1"/>
  <c r="CV41" i="139"/>
  <c r="CV68" i="139" s="1"/>
  <c r="DU94" i="139" s="1"/>
  <c r="CV31" i="139"/>
  <c r="CV58" i="139" s="1"/>
  <c r="DU84" i="139" s="1"/>
  <c r="CV37" i="139"/>
  <c r="CV64" i="139" s="1"/>
  <c r="DU90" i="139" s="1"/>
  <c r="CV33" i="139"/>
  <c r="CV60" i="139" s="1"/>
  <c r="DU86" i="139" s="1"/>
  <c r="CV30" i="139"/>
  <c r="CV57" i="139" s="1"/>
  <c r="DU83" i="139" s="1"/>
  <c r="CV35" i="139"/>
  <c r="CV62" i="139" s="1"/>
  <c r="DU88" i="139" s="1"/>
  <c r="CU40" i="139" l="1"/>
  <c r="CU67" i="139" s="1"/>
  <c r="DT93" i="139" s="1"/>
  <c r="CT28" i="139"/>
  <c r="CU35" i="139"/>
  <c r="CU62" i="139" s="1"/>
  <c r="DT88" i="139" s="1"/>
  <c r="CU38" i="139"/>
  <c r="CU65" i="139" s="1"/>
  <c r="DT91" i="139" s="1"/>
  <c r="CU34" i="139"/>
  <c r="CU61" i="139" s="1"/>
  <c r="DT87" i="139" s="1"/>
  <c r="CU37" i="139"/>
  <c r="CU64" i="139" s="1"/>
  <c r="DT90" i="139" s="1"/>
  <c r="CU39" i="139"/>
  <c r="CU66" i="139" s="1"/>
  <c r="DT92" i="139" s="1"/>
  <c r="CU31" i="139"/>
  <c r="CU58" i="139" s="1"/>
  <c r="DT84" i="139" s="1"/>
  <c r="CU41" i="139"/>
  <c r="CU68" i="139" s="1"/>
  <c r="DT94" i="139" s="1"/>
  <c r="CU36" i="139"/>
  <c r="CU63" i="139" s="1"/>
  <c r="DT89" i="139" s="1"/>
  <c r="CU30" i="139"/>
  <c r="CU57" i="139" s="1"/>
  <c r="DT83" i="139" s="1"/>
  <c r="CU32" i="139"/>
  <c r="CU59" i="139" s="1"/>
  <c r="DT85" i="139" s="1"/>
  <c r="CU33" i="139"/>
  <c r="CU60" i="139" s="1"/>
  <c r="DT86" i="139" s="1"/>
  <c r="CT39" i="139" l="1"/>
  <c r="CT66" i="139" s="1"/>
  <c r="DS92" i="139" s="1"/>
  <c r="CT33" i="139"/>
  <c r="CT60" i="139" s="1"/>
  <c r="DS86" i="139" s="1"/>
  <c r="CT37" i="139"/>
  <c r="CT64" i="139" s="1"/>
  <c r="DS90" i="139" s="1"/>
  <c r="CT34" i="139"/>
  <c r="CT61" i="139" s="1"/>
  <c r="DS87" i="139" s="1"/>
  <c r="CT30" i="139"/>
  <c r="CT57" i="139" s="1"/>
  <c r="DS83" i="139" s="1"/>
  <c r="CT31" i="139"/>
  <c r="CT58" i="139" s="1"/>
  <c r="DS84" i="139" s="1"/>
  <c r="CT32" i="139"/>
  <c r="CT59" i="139" s="1"/>
  <c r="DS85" i="139" s="1"/>
  <c r="CT36" i="139"/>
  <c r="CT63" i="139" s="1"/>
  <c r="DS89" i="139" s="1"/>
  <c r="CT41" i="139"/>
  <c r="CT68" i="139" s="1"/>
  <c r="DS94" i="139" s="1"/>
  <c r="CS28" i="139"/>
  <c r="CT35" i="139"/>
  <c r="CT62" i="139" s="1"/>
  <c r="DS88" i="139" s="1"/>
  <c r="CT38" i="139"/>
  <c r="CT65" i="139" s="1"/>
  <c r="DS91" i="139" s="1"/>
  <c r="CT40" i="139"/>
  <c r="CT67" i="139" s="1"/>
  <c r="DS93" i="139" s="1"/>
  <c r="CS38" i="139" l="1"/>
  <c r="CS65" i="139" s="1"/>
  <c r="DR91" i="139" s="1"/>
  <c r="CS37" i="139"/>
  <c r="CS64" i="139" s="1"/>
  <c r="DR90" i="139" s="1"/>
  <c r="CS32" i="139"/>
  <c r="CS59" i="139" s="1"/>
  <c r="DR85" i="139" s="1"/>
  <c r="CS40" i="139"/>
  <c r="CS67" i="139" s="1"/>
  <c r="DR93" i="139" s="1"/>
  <c r="CS33" i="139"/>
  <c r="CS60" i="139" s="1"/>
  <c r="DR86" i="139" s="1"/>
  <c r="CS34" i="139"/>
  <c r="CS61" i="139" s="1"/>
  <c r="DR87" i="139" s="1"/>
  <c r="CR28" i="139"/>
  <c r="CS30" i="139"/>
  <c r="CS57" i="139" s="1"/>
  <c r="DR83" i="139" s="1"/>
  <c r="CS41" i="139"/>
  <c r="CS68" i="139" s="1"/>
  <c r="DR94" i="139" s="1"/>
  <c r="CS35" i="139"/>
  <c r="CS62" i="139" s="1"/>
  <c r="DR88" i="139" s="1"/>
  <c r="CS39" i="139"/>
  <c r="CS66" i="139" s="1"/>
  <c r="DR92" i="139" s="1"/>
  <c r="CS36" i="139"/>
  <c r="CS63" i="139" s="1"/>
  <c r="DR89" i="139" s="1"/>
  <c r="CS31" i="139"/>
  <c r="CS58" i="139" s="1"/>
  <c r="DR84" i="139" s="1"/>
  <c r="CR32" i="139" l="1"/>
  <c r="CR59" i="139" s="1"/>
  <c r="DQ85" i="139" s="1"/>
  <c r="CQ28" i="139"/>
  <c r="CR38" i="139"/>
  <c r="CR65" i="139" s="1"/>
  <c r="DQ91" i="139" s="1"/>
  <c r="CR31" i="139"/>
  <c r="CR58" i="139" s="1"/>
  <c r="DQ84" i="139" s="1"/>
  <c r="CR30" i="139"/>
  <c r="CR57" i="139" s="1"/>
  <c r="DQ83" i="139" s="1"/>
  <c r="CR41" i="139"/>
  <c r="CR68" i="139" s="1"/>
  <c r="DQ94" i="139" s="1"/>
  <c r="CR35" i="139"/>
  <c r="CR62" i="139" s="1"/>
  <c r="DQ88" i="139" s="1"/>
  <c r="CR40" i="139"/>
  <c r="CR67" i="139" s="1"/>
  <c r="DQ93" i="139" s="1"/>
  <c r="CR33" i="139"/>
  <c r="CR60" i="139" s="1"/>
  <c r="DQ86" i="139" s="1"/>
  <c r="CR37" i="139"/>
  <c r="CR64" i="139" s="1"/>
  <c r="DQ90" i="139" s="1"/>
  <c r="CR34" i="139"/>
  <c r="CR61" i="139" s="1"/>
  <c r="DQ87" i="139" s="1"/>
  <c r="CR39" i="139"/>
  <c r="CR66" i="139" s="1"/>
  <c r="DQ92" i="139" s="1"/>
  <c r="CR36" i="139"/>
  <c r="CR63" i="139" s="1"/>
  <c r="DQ89" i="139" s="1"/>
  <c r="CQ40" i="139" l="1"/>
  <c r="CQ67" i="139" s="1"/>
  <c r="DP93" i="139" s="1"/>
  <c r="CQ36" i="139"/>
  <c r="CQ63" i="139" s="1"/>
  <c r="DP89" i="139" s="1"/>
  <c r="CQ35" i="139"/>
  <c r="CQ62" i="139" s="1"/>
  <c r="DP88" i="139" s="1"/>
  <c r="CQ33" i="139"/>
  <c r="CQ60" i="139" s="1"/>
  <c r="DP86" i="139" s="1"/>
  <c r="CQ39" i="139"/>
  <c r="CQ66" i="139" s="1"/>
  <c r="DP92" i="139" s="1"/>
  <c r="CQ37" i="139"/>
  <c r="CQ64" i="139" s="1"/>
  <c r="DP90" i="139" s="1"/>
  <c r="CQ38" i="139"/>
  <c r="CQ65" i="139" s="1"/>
  <c r="DP91" i="139" s="1"/>
  <c r="CQ34" i="139"/>
  <c r="CQ61" i="139" s="1"/>
  <c r="DP87" i="139" s="1"/>
  <c r="CP28" i="139"/>
  <c r="CQ32" i="139"/>
  <c r="CQ59" i="139" s="1"/>
  <c r="DP85" i="139" s="1"/>
  <c r="CQ41" i="139"/>
  <c r="CQ68" i="139" s="1"/>
  <c r="DP94" i="139" s="1"/>
  <c r="CQ31" i="139"/>
  <c r="CQ58" i="139" s="1"/>
  <c r="DP84" i="139" s="1"/>
  <c r="CQ30" i="139"/>
  <c r="CQ57" i="139" s="1"/>
  <c r="DP83" i="139" s="1"/>
  <c r="CP34" i="139" l="1"/>
  <c r="CP61" i="139" s="1"/>
  <c r="DO87" i="139" s="1"/>
  <c r="CP33" i="139"/>
  <c r="CP60" i="139" s="1"/>
  <c r="DO86" i="139" s="1"/>
  <c r="CP32" i="139"/>
  <c r="CP59" i="139" s="1"/>
  <c r="DO85" i="139" s="1"/>
  <c r="CP41" i="139"/>
  <c r="CP68" i="139" s="1"/>
  <c r="DO94" i="139" s="1"/>
  <c r="CP37" i="139"/>
  <c r="CP64" i="139" s="1"/>
  <c r="DO90" i="139" s="1"/>
  <c r="CP30" i="139"/>
  <c r="CP57" i="139" s="1"/>
  <c r="DO83" i="139" s="1"/>
  <c r="CP38" i="139"/>
  <c r="CP65" i="139" s="1"/>
  <c r="DO91" i="139" s="1"/>
  <c r="CP36" i="139"/>
  <c r="CP63" i="139" s="1"/>
  <c r="DO89" i="139" s="1"/>
  <c r="CP31" i="139"/>
  <c r="CP58" i="139" s="1"/>
  <c r="DO84" i="139" s="1"/>
  <c r="CP40" i="139"/>
  <c r="CP67" i="139" s="1"/>
  <c r="DO93" i="139" s="1"/>
  <c r="CP39" i="139"/>
  <c r="CP66" i="139" s="1"/>
  <c r="DO92" i="139" s="1"/>
  <c r="CO28" i="139"/>
  <c r="CP35" i="139"/>
  <c r="CP62" i="139" s="1"/>
  <c r="DO88" i="139" s="1"/>
  <c r="CO30" i="139" l="1"/>
  <c r="CO57" i="139" s="1"/>
  <c r="DN83" i="139" s="1"/>
  <c r="CO35" i="139"/>
  <c r="CO62" i="139" s="1"/>
  <c r="DN88" i="139" s="1"/>
  <c r="CO41" i="139"/>
  <c r="CO68" i="139" s="1"/>
  <c r="DN94" i="139" s="1"/>
  <c r="CO38" i="139"/>
  <c r="CO65" i="139" s="1"/>
  <c r="DN91" i="139" s="1"/>
  <c r="CO39" i="139"/>
  <c r="CO66" i="139" s="1"/>
  <c r="DN92" i="139" s="1"/>
  <c r="CO31" i="139"/>
  <c r="CO58" i="139" s="1"/>
  <c r="DN84" i="139" s="1"/>
  <c r="CN28" i="139"/>
  <c r="CO34" i="139"/>
  <c r="CO61" i="139" s="1"/>
  <c r="DN87" i="139" s="1"/>
  <c r="CO40" i="139"/>
  <c r="CO67" i="139" s="1"/>
  <c r="DN93" i="139" s="1"/>
  <c r="CO32" i="139"/>
  <c r="CO59" i="139" s="1"/>
  <c r="DN85" i="139" s="1"/>
  <c r="CO36" i="139"/>
  <c r="CO63" i="139" s="1"/>
  <c r="DN89" i="139" s="1"/>
  <c r="CO37" i="139"/>
  <c r="CO64" i="139" s="1"/>
  <c r="DN90" i="139" s="1"/>
  <c r="CO33" i="139"/>
  <c r="CO60" i="139" s="1"/>
  <c r="DN86" i="139" s="1"/>
  <c r="CN32" i="139" l="1"/>
  <c r="CN59" i="139" s="1"/>
  <c r="DM85" i="139" s="1"/>
  <c r="CN33" i="139"/>
  <c r="CN60" i="139" s="1"/>
  <c r="DM86" i="139" s="1"/>
  <c r="CN37" i="139"/>
  <c r="CN64" i="139" s="1"/>
  <c r="DM90" i="139" s="1"/>
  <c r="CN34" i="139"/>
  <c r="CN61" i="139" s="1"/>
  <c r="DM87" i="139" s="1"/>
  <c r="CM28" i="139"/>
  <c r="CN36" i="139"/>
  <c r="CN63" i="139" s="1"/>
  <c r="DM89" i="139" s="1"/>
  <c r="CN39" i="139"/>
  <c r="CN66" i="139" s="1"/>
  <c r="DM92" i="139" s="1"/>
  <c r="CN35" i="139"/>
  <c r="CN62" i="139" s="1"/>
  <c r="DM88" i="139" s="1"/>
  <c r="CN40" i="139"/>
  <c r="CN67" i="139" s="1"/>
  <c r="DM93" i="139" s="1"/>
  <c r="CN31" i="139"/>
  <c r="CN58" i="139" s="1"/>
  <c r="DM84" i="139" s="1"/>
  <c r="CN38" i="139"/>
  <c r="CN65" i="139" s="1"/>
  <c r="DM91" i="139" s="1"/>
  <c r="CN41" i="139"/>
  <c r="CN68" i="139" s="1"/>
  <c r="DM94" i="139" s="1"/>
  <c r="CN30" i="139"/>
  <c r="CN57" i="139" s="1"/>
  <c r="DM83" i="139" s="1"/>
  <c r="CM36" i="139" l="1"/>
  <c r="CM63" i="139" s="1"/>
  <c r="DL89" i="139" s="1"/>
  <c r="CM41" i="139"/>
  <c r="CM68" i="139" s="1"/>
  <c r="DL94" i="139" s="1"/>
  <c r="CM35" i="139"/>
  <c r="CM62" i="139" s="1"/>
  <c r="DL88" i="139" s="1"/>
  <c r="CL28" i="139"/>
  <c r="CM32" i="139"/>
  <c r="CM59" i="139" s="1"/>
  <c r="DL85" i="139" s="1"/>
  <c r="CM34" i="139"/>
  <c r="CM61" i="139" s="1"/>
  <c r="DL87" i="139" s="1"/>
  <c r="CM31" i="139"/>
  <c r="CM58" i="139" s="1"/>
  <c r="DL84" i="139" s="1"/>
  <c r="CM39" i="139"/>
  <c r="CM66" i="139" s="1"/>
  <c r="DL92" i="139" s="1"/>
  <c r="CM38" i="139"/>
  <c r="CM65" i="139" s="1"/>
  <c r="DL91" i="139" s="1"/>
  <c r="CM30" i="139"/>
  <c r="CM57" i="139" s="1"/>
  <c r="DL83" i="139" s="1"/>
  <c r="CM40" i="139"/>
  <c r="CM67" i="139" s="1"/>
  <c r="DL93" i="139" s="1"/>
  <c r="CM33" i="139"/>
  <c r="CM60" i="139" s="1"/>
  <c r="DL86" i="139" s="1"/>
  <c r="CM37" i="139"/>
  <c r="CM64" i="139" s="1"/>
  <c r="DL90" i="139" s="1"/>
  <c r="CL31" i="139" l="1"/>
  <c r="CL58" i="139" s="1"/>
  <c r="DK84" i="139" s="1"/>
  <c r="CL40" i="139"/>
  <c r="CL67" i="139" s="1"/>
  <c r="DK93" i="139" s="1"/>
  <c r="CL36" i="139"/>
  <c r="CL63" i="139" s="1"/>
  <c r="DK89" i="139" s="1"/>
  <c r="CL41" i="139"/>
  <c r="CL68" i="139" s="1"/>
  <c r="DK94" i="139" s="1"/>
  <c r="CL38" i="139"/>
  <c r="CL65" i="139" s="1"/>
  <c r="DK91" i="139" s="1"/>
  <c r="CL37" i="139"/>
  <c r="CL64" i="139" s="1"/>
  <c r="DK90" i="139" s="1"/>
  <c r="CL33" i="139"/>
  <c r="CL60" i="139" s="1"/>
  <c r="DK86" i="139" s="1"/>
  <c r="CL34" i="139"/>
  <c r="CL61" i="139" s="1"/>
  <c r="DK87" i="139" s="1"/>
  <c r="CL30" i="139"/>
  <c r="CL57" i="139" s="1"/>
  <c r="DK83" i="139" s="1"/>
  <c r="CL39" i="139"/>
  <c r="CL66" i="139" s="1"/>
  <c r="DK92" i="139" s="1"/>
  <c r="CL35" i="139"/>
  <c r="CL62" i="139" s="1"/>
  <c r="DK88" i="139" s="1"/>
  <c r="CK28" i="139"/>
  <c r="CL32" i="139"/>
  <c r="CL59" i="139" s="1"/>
  <c r="DK85" i="139" s="1"/>
  <c r="CK40" i="139" l="1"/>
  <c r="CK67" i="139" s="1"/>
  <c r="DJ93" i="139" s="1"/>
  <c r="CK38" i="139"/>
  <c r="CK65" i="139" s="1"/>
  <c r="DJ91" i="139" s="1"/>
  <c r="CK37" i="139"/>
  <c r="CK64" i="139" s="1"/>
  <c r="DJ90" i="139" s="1"/>
  <c r="CK34" i="139"/>
  <c r="CK61" i="139" s="1"/>
  <c r="DJ87" i="139" s="1"/>
  <c r="CK31" i="139"/>
  <c r="CK58" i="139" s="1"/>
  <c r="DJ84" i="139" s="1"/>
  <c r="CK39" i="139"/>
  <c r="CK66" i="139" s="1"/>
  <c r="DJ92" i="139" s="1"/>
  <c r="CK35" i="139"/>
  <c r="CK62" i="139" s="1"/>
  <c r="DJ88" i="139" s="1"/>
  <c r="CK36" i="139"/>
  <c r="CK63" i="139" s="1"/>
  <c r="DJ89" i="139" s="1"/>
  <c r="CJ28" i="139"/>
  <c r="CK41" i="139"/>
  <c r="CK68" i="139" s="1"/>
  <c r="DJ94" i="139" s="1"/>
  <c r="CK30" i="139"/>
  <c r="CK57" i="139" s="1"/>
  <c r="DJ83" i="139" s="1"/>
  <c r="CK32" i="139"/>
  <c r="CK59" i="139" s="1"/>
  <c r="DJ85" i="139" s="1"/>
  <c r="CK33" i="139"/>
  <c r="CK60" i="139" s="1"/>
  <c r="DJ86" i="139" s="1"/>
  <c r="CJ30" i="139" l="1"/>
  <c r="CJ57" i="139" s="1"/>
  <c r="DI83" i="139" s="1"/>
  <c r="CJ40" i="139"/>
  <c r="CJ67" i="139" s="1"/>
  <c r="DI93" i="139" s="1"/>
  <c r="CJ33" i="139"/>
  <c r="CJ60" i="139" s="1"/>
  <c r="DI86" i="139" s="1"/>
  <c r="CI28" i="139"/>
  <c r="CJ38" i="139"/>
  <c r="CJ65" i="139" s="1"/>
  <c r="DI91" i="139" s="1"/>
  <c r="CJ41" i="139"/>
  <c r="CJ68" i="139" s="1"/>
  <c r="DI94" i="139" s="1"/>
  <c r="CJ39" i="139"/>
  <c r="CJ66" i="139" s="1"/>
  <c r="DI92" i="139" s="1"/>
  <c r="CJ34" i="139"/>
  <c r="CJ61" i="139" s="1"/>
  <c r="DI87" i="139" s="1"/>
  <c r="CJ37" i="139"/>
  <c r="CJ64" i="139" s="1"/>
  <c r="DI90" i="139" s="1"/>
  <c r="CJ36" i="139"/>
  <c r="CJ63" i="139" s="1"/>
  <c r="DI89" i="139" s="1"/>
  <c r="CJ35" i="139"/>
  <c r="CJ62" i="139" s="1"/>
  <c r="DI88" i="139" s="1"/>
  <c r="CJ32" i="139"/>
  <c r="CJ59" i="139" s="1"/>
  <c r="DI85" i="139" s="1"/>
  <c r="CJ31" i="139"/>
  <c r="CJ58" i="139" s="1"/>
  <c r="DI84" i="139" s="1"/>
  <c r="CI32" i="139" l="1"/>
  <c r="CI59" i="139" s="1"/>
  <c r="DH85" i="139" s="1"/>
  <c r="CI41" i="139"/>
  <c r="CI68" i="139" s="1"/>
  <c r="DH94" i="139" s="1"/>
  <c r="CI35" i="139"/>
  <c r="CI62" i="139" s="1"/>
  <c r="DH88" i="139" s="1"/>
  <c r="CI33" i="139"/>
  <c r="CI60" i="139" s="1"/>
  <c r="DH86" i="139" s="1"/>
  <c r="CH28" i="139"/>
  <c r="CI36" i="139"/>
  <c r="CI63" i="139" s="1"/>
  <c r="DH89" i="139" s="1"/>
  <c r="CI40" i="139"/>
  <c r="CI67" i="139" s="1"/>
  <c r="DH93" i="139" s="1"/>
  <c r="CI34" i="139"/>
  <c r="CI61" i="139" s="1"/>
  <c r="DH87" i="139" s="1"/>
  <c r="CI30" i="139"/>
  <c r="CI57" i="139" s="1"/>
  <c r="DH83" i="139" s="1"/>
  <c r="CI31" i="139"/>
  <c r="CI58" i="139" s="1"/>
  <c r="DH84" i="139" s="1"/>
  <c r="CI38" i="139"/>
  <c r="CI65" i="139" s="1"/>
  <c r="DH91" i="139" s="1"/>
  <c r="CI37" i="139"/>
  <c r="CI64" i="139" s="1"/>
  <c r="DH90" i="139" s="1"/>
  <c r="CI39" i="139"/>
  <c r="CI66" i="139" s="1"/>
  <c r="DH92" i="139" s="1"/>
  <c r="CH33" i="139" l="1"/>
  <c r="CH60" i="139" s="1"/>
  <c r="DG86" i="139" s="1"/>
  <c r="CH35" i="139"/>
  <c r="CH62" i="139" s="1"/>
  <c r="DG88" i="139" s="1"/>
  <c r="CH34" i="139"/>
  <c r="CH61" i="139" s="1"/>
  <c r="DG87" i="139" s="1"/>
  <c r="CH37" i="139"/>
  <c r="CH64" i="139" s="1"/>
  <c r="DG90" i="139" s="1"/>
  <c r="CH31" i="139"/>
  <c r="CH58" i="139" s="1"/>
  <c r="DG84" i="139" s="1"/>
  <c r="CH40" i="139"/>
  <c r="CH67" i="139" s="1"/>
  <c r="DG93" i="139" s="1"/>
  <c r="CH41" i="139"/>
  <c r="CH68" i="139" s="1"/>
  <c r="DG94" i="139" s="1"/>
  <c r="CH32" i="139"/>
  <c r="CH59" i="139" s="1"/>
  <c r="DG85" i="139" s="1"/>
  <c r="CH30" i="139"/>
  <c r="CH57" i="139" s="1"/>
  <c r="DG83" i="139" s="1"/>
  <c r="CH38" i="139"/>
  <c r="CH65" i="139" s="1"/>
  <c r="DG91" i="139" s="1"/>
  <c r="CH36" i="139"/>
  <c r="CH63" i="139" s="1"/>
  <c r="DG89" i="139" s="1"/>
  <c r="CH39" i="139"/>
  <c r="CH66" i="139" s="1"/>
  <c r="DG92" i="139" s="1"/>
  <c r="CG28" i="139"/>
  <c r="CG39" i="139" l="1"/>
  <c r="CG66" i="139" s="1"/>
  <c r="DF92" i="139" s="1"/>
  <c r="CG40" i="139"/>
  <c r="CG67" i="139" s="1"/>
  <c r="DF93" i="139" s="1"/>
  <c r="CG31" i="139"/>
  <c r="CG58" i="139" s="1"/>
  <c r="DF84" i="139" s="1"/>
  <c r="CG36" i="139"/>
  <c r="CG63" i="139" s="1"/>
  <c r="DF89" i="139" s="1"/>
  <c r="CG37" i="139"/>
  <c r="CG64" i="139" s="1"/>
  <c r="DF90" i="139" s="1"/>
  <c r="CF28" i="139"/>
  <c r="CG30" i="139"/>
  <c r="CG57" i="139" s="1"/>
  <c r="DF83" i="139" s="1"/>
  <c r="CG41" i="139"/>
  <c r="CG68" i="139" s="1"/>
  <c r="DF94" i="139" s="1"/>
  <c r="CG38" i="139"/>
  <c r="CG65" i="139" s="1"/>
  <c r="DF91" i="139" s="1"/>
  <c r="CG32" i="139"/>
  <c r="CG59" i="139" s="1"/>
  <c r="DF85" i="139" s="1"/>
  <c r="CG35" i="139"/>
  <c r="CG62" i="139" s="1"/>
  <c r="DF88" i="139" s="1"/>
  <c r="CG34" i="139"/>
  <c r="CG61" i="139" s="1"/>
  <c r="DF87" i="139" s="1"/>
  <c r="CG33" i="139"/>
  <c r="CG60" i="139" s="1"/>
  <c r="DF86" i="139" s="1"/>
  <c r="CF33" i="139" l="1"/>
  <c r="CF60" i="139" s="1"/>
  <c r="DE86" i="139" s="1"/>
  <c r="CF38" i="139"/>
  <c r="CF65" i="139" s="1"/>
  <c r="DE91" i="139" s="1"/>
  <c r="CF41" i="139"/>
  <c r="CF68" i="139" s="1"/>
  <c r="DE94" i="139" s="1"/>
  <c r="CF32" i="139"/>
  <c r="CF59" i="139" s="1"/>
  <c r="DE85" i="139" s="1"/>
  <c r="CF35" i="139"/>
  <c r="CF62" i="139" s="1"/>
  <c r="DE88" i="139" s="1"/>
  <c r="CF34" i="139"/>
  <c r="CF61" i="139" s="1"/>
  <c r="DE87" i="139" s="1"/>
  <c r="CF36" i="139"/>
  <c r="CF63" i="139" s="1"/>
  <c r="DE89" i="139" s="1"/>
  <c r="CF31" i="139"/>
  <c r="CF58" i="139" s="1"/>
  <c r="DE84" i="139" s="1"/>
  <c r="CF30" i="139"/>
  <c r="CF57" i="139" s="1"/>
  <c r="DE83" i="139" s="1"/>
  <c r="CF37" i="139"/>
  <c r="CF64" i="139" s="1"/>
  <c r="DE90" i="139" s="1"/>
  <c r="CF40" i="139"/>
  <c r="CF67" i="139" s="1"/>
  <c r="DE93" i="139" s="1"/>
  <c r="CF39" i="139"/>
  <c r="CF66" i="139" s="1"/>
  <c r="DE92" i="139" s="1"/>
  <c r="CE28" i="139"/>
  <c r="CE30" i="139" l="1"/>
  <c r="CE57" i="139" s="1"/>
  <c r="DD83" i="139" s="1"/>
  <c r="CE35" i="139"/>
  <c r="CE62" i="139" s="1"/>
  <c r="DD88" i="139" s="1"/>
  <c r="CE39" i="139"/>
  <c r="CE66" i="139" s="1"/>
  <c r="DD92" i="139" s="1"/>
  <c r="CE36" i="139"/>
  <c r="CE63" i="139" s="1"/>
  <c r="DD89" i="139" s="1"/>
  <c r="CE40" i="139"/>
  <c r="CE67" i="139" s="1"/>
  <c r="DD93" i="139" s="1"/>
  <c r="CE32" i="139"/>
  <c r="CE59" i="139" s="1"/>
  <c r="DD85" i="139" s="1"/>
  <c r="CD28" i="139"/>
  <c r="CE38" i="139"/>
  <c r="CE65" i="139" s="1"/>
  <c r="DD91" i="139" s="1"/>
  <c r="CE41" i="139"/>
  <c r="CE68" i="139" s="1"/>
  <c r="DD94" i="139" s="1"/>
  <c r="CE31" i="139"/>
  <c r="CE58" i="139" s="1"/>
  <c r="DD84" i="139" s="1"/>
  <c r="CE37" i="139"/>
  <c r="CE64" i="139" s="1"/>
  <c r="DD90" i="139" s="1"/>
  <c r="CE33" i="139"/>
  <c r="CE60" i="139" s="1"/>
  <c r="DD86" i="139" s="1"/>
  <c r="CE34" i="139"/>
  <c r="CE61" i="139" s="1"/>
  <c r="DD87" i="139" s="1"/>
  <c r="CD41" i="139" l="1"/>
  <c r="CD68" i="139" s="1"/>
  <c r="DC94" i="139" s="1"/>
  <c r="CD40" i="139"/>
  <c r="CD67" i="139" s="1"/>
  <c r="DC93" i="139" s="1"/>
  <c r="CD34" i="139"/>
  <c r="CD61" i="139" s="1"/>
  <c r="DC87" i="139" s="1"/>
  <c r="CD32" i="139"/>
  <c r="CD59" i="139" s="1"/>
  <c r="DC85" i="139" s="1"/>
  <c r="CD36" i="139"/>
  <c r="CD63" i="139" s="1"/>
  <c r="DC89" i="139" s="1"/>
  <c r="CD37" i="139"/>
  <c r="CD64" i="139" s="1"/>
  <c r="DC90" i="139" s="1"/>
  <c r="CD38" i="139"/>
  <c r="CD65" i="139" s="1"/>
  <c r="DC91" i="139" s="1"/>
  <c r="CD31" i="139"/>
  <c r="CD58" i="139" s="1"/>
  <c r="DC84" i="139" s="1"/>
  <c r="CD33" i="139"/>
  <c r="CD60" i="139" s="1"/>
  <c r="DC86" i="139" s="1"/>
  <c r="CC28" i="139"/>
  <c r="CD30" i="139"/>
  <c r="CD57" i="139" s="1"/>
  <c r="DC83" i="139" s="1"/>
  <c r="CD35" i="139"/>
  <c r="CD62" i="139" s="1"/>
  <c r="DC88" i="139" s="1"/>
  <c r="CD39" i="139"/>
  <c r="CD66" i="139" s="1"/>
  <c r="DC92" i="139" s="1"/>
  <c r="CC39" i="139" l="1"/>
  <c r="CC66" i="139" s="1"/>
  <c r="DB92" i="139" s="1"/>
  <c r="CC40" i="139"/>
  <c r="CC67" i="139" s="1"/>
  <c r="DB93" i="139" s="1"/>
  <c r="CC34" i="139"/>
  <c r="CC61" i="139" s="1"/>
  <c r="DB87" i="139" s="1"/>
  <c r="CC32" i="139"/>
  <c r="CC59" i="139" s="1"/>
  <c r="DB85" i="139" s="1"/>
  <c r="CC36" i="139"/>
  <c r="CC63" i="139" s="1"/>
  <c r="DB89" i="139" s="1"/>
  <c r="CC37" i="139"/>
  <c r="CC64" i="139" s="1"/>
  <c r="DB90" i="139" s="1"/>
  <c r="CC38" i="139"/>
  <c r="CC65" i="139" s="1"/>
  <c r="DB91" i="139" s="1"/>
  <c r="CB28" i="139"/>
  <c r="CC31" i="139"/>
  <c r="CC58" i="139" s="1"/>
  <c r="DB84" i="139" s="1"/>
  <c r="CC30" i="139"/>
  <c r="CC57" i="139" s="1"/>
  <c r="DB83" i="139" s="1"/>
  <c r="CC41" i="139"/>
  <c r="CC68" i="139" s="1"/>
  <c r="DB94" i="139" s="1"/>
  <c r="CC33" i="139"/>
  <c r="CC60" i="139" s="1"/>
  <c r="DB86" i="139" s="1"/>
  <c r="CC35" i="139"/>
  <c r="CC62" i="139" s="1"/>
  <c r="DB88" i="139" s="1"/>
  <c r="CB33" i="139" l="1"/>
  <c r="CB60" i="139" s="1"/>
  <c r="DA86" i="139" s="1"/>
  <c r="CB36" i="139"/>
  <c r="CB63" i="139" s="1"/>
  <c r="DA89" i="139" s="1"/>
  <c r="CB34" i="139"/>
  <c r="CB61" i="139" s="1"/>
  <c r="DA87" i="139" s="1"/>
  <c r="CB30" i="139"/>
  <c r="CB57" i="139" s="1"/>
  <c r="DA83" i="139" s="1"/>
  <c r="CB38" i="139"/>
  <c r="CB65" i="139" s="1"/>
  <c r="DA91" i="139" s="1"/>
  <c r="CB37" i="139"/>
  <c r="CB64" i="139" s="1"/>
  <c r="DA90" i="139" s="1"/>
  <c r="CB41" i="139"/>
  <c r="CB68" i="139" s="1"/>
  <c r="DA94" i="139" s="1"/>
  <c r="CB35" i="139"/>
  <c r="CB62" i="139" s="1"/>
  <c r="DA88" i="139" s="1"/>
  <c r="CB40" i="139"/>
  <c r="CB67" i="139" s="1"/>
  <c r="DA93" i="139" s="1"/>
  <c r="CB32" i="139"/>
  <c r="CB59" i="139" s="1"/>
  <c r="DA85" i="139" s="1"/>
  <c r="CA28" i="139"/>
  <c r="CB31" i="139"/>
  <c r="CB58" i="139" s="1"/>
  <c r="DA84" i="139" s="1"/>
  <c r="CB39" i="139"/>
  <c r="CB66" i="139" s="1"/>
  <c r="DA92" i="139" s="1"/>
  <c r="CA35" i="139" l="1"/>
  <c r="CA62" i="139" s="1"/>
  <c r="CZ88" i="139" s="1"/>
  <c r="CA34" i="139"/>
  <c r="CA61" i="139" s="1"/>
  <c r="CZ87" i="139" s="1"/>
  <c r="CA36" i="139"/>
  <c r="CA63" i="139" s="1"/>
  <c r="CZ89" i="139" s="1"/>
  <c r="CA40" i="139"/>
  <c r="CA67" i="139" s="1"/>
  <c r="CZ93" i="139" s="1"/>
  <c r="CA37" i="139"/>
  <c r="CA64" i="139" s="1"/>
  <c r="CZ90" i="139" s="1"/>
  <c r="CA39" i="139"/>
  <c r="CA66" i="139" s="1"/>
  <c r="CZ92" i="139" s="1"/>
  <c r="CA30" i="139"/>
  <c r="CA57" i="139" s="1"/>
  <c r="CZ83" i="139" s="1"/>
  <c r="CA38" i="139"/>
  <c r="CA65" i="139" s="1"/>
  <c r="CZ91" i="139" s="1"/>
  <c r="CA32" i="139"/>
  <c r="CA59" i="139" s="1"/>
  <c r="CZ85" i="139" s="1"/>
  <c r="BZ28" i="139"/>
  <c r="CA33" i="139"/>
  <c r="CA60" i="139" s="1"/>
  <c r="CZ86" i="139" s="1"/>
  <c r="CA31" i="139"/>
  <c r="CA58" i="139" s="1"/>
  <c r="CZ84" i="139" s="1"/>
  <c r="CA41" i="139"/>
  <c r="CA68" i="139" s="1"/>
  <c r="CZ94" i="139" s="1"/>
  <c r="BZ31" i="139" l="1"/>
  <c r="BZ58" i="139" s="1"/>
  <c r="CY84" i="139" s="1"/>
  <c r="BZ37" i="139"/>
  <c r="BZ64" i="139" s="1"/>
  <c r="CY90" i="139" s="1"/>
  <c r="BZ36" i="139"/>
  <c r="BZ63" i="139" s="1"/>
  <c r="CY89" i="139" s="1"/>
  <c r="BZ32" i="139"/>
  <c r="BZ59" i="139" s="1"/>
  <c r="CY85" i="139" s="1"/>
  <c r="BZ41" i="139"/>
  <c r="BZ68" i="139" s="1"/>
  <c r="CY94" i="139" s="1"/>
  <c r="BZ34" i="139"/>
  <c r="BZ61" i="139" s="1"/>
  <c r="CY87" i="139" s="1"/>
  <c r="BZ33" i="139"/>
  <c r="BZ60" i="139" s="1"/>
  <c r="CY86" i="139" s="1"/>
  <c r="BZ39" i="139"/>
  <c r="BZ66" i="139" s="1"/>
  <c r="CY92" i="139" s="1"/>
  <c r="BY28" i="139"/>
  <c r="BZ35" i="139"/>
  <c r="BZ62" i="139" s="1"/>
  <c r="CY88" i="139" s="1"/>
  <c r="BZ38" i="139"/>
  <c r="BZ65" i="139" s="1"/>
  <c r="CY91" i="139" s="1"/>
  <c r="BZ40" i="139"/>
  <c r="BZ67" i="139" s="1"/>
  <c r="CY93" i="139" s="1"/>
  <c r="BZ30" i="139"/>
  <c r="BZ57" i="139" s="1"/>
  <c r="CY83" i="139" s="1"/>
  <c r="BY38" i="139" l="1"/>
  <c r="BY65" i="139" s="1"/>
  <c r="CX91" i="139" s="1"/>
  <c r="BY30" i="139"/>
  <c r="BY57" i="139" s="1"/>
  <c r="CX83" i="139" s="1"/>
  <c r="BY39" i="139"/>
  <c r="BY66" i="139" s="1"/>
  <c r="CX92" i="139" s="1"/>
  <c r="BY35" i="139"/>
  <c r="BY62" i="139" s="1"/>
  <c r="CX88" i="139" s="1"/>
  <c r="BY40" i="139"/>
  <c r="BY67" i="139" s="1"/>
  <c r="CX93" i="139" s="1"/>
  <c r="BY31" i="139"/>
  <c r="BY58" i="139" s="1"/>
  <c r="CX84" i="139" s="1"/>
  <c r="BY36" i="139"/>
  <c r="BY63" i="139" s="1"/>
  <c r="CX89" i="139" s="1"/>
  <c r="BY41" i="139"/>
  <c r="BY68" i="139" s="1"/>
  <c r="CX94" i="139" s="1"/>
  <c r="BX28" i="139"/>
  <c r="BY37" i="139"/>
  <c r="BY64" i="139" s="1"/>
  <c r="CX90" i="139" s="1"/>
  <c r="BY34" i="139"/>
  <c r="BY61" i="139" s="1"/>
  <c r="CX87" i="139" s="1"/>
  <c r="BY33" i="139"/>
  <c r="BY60" i="139" s="1"/>
  <c r="CX86" i="139" s="1"/>
  <c r="BY32" i="139"/>
  <c r="BY59" i="139" s="1"/>
  <c r="CX85" i="139" s="1"/>
  <c r="BX30" i="139" l="1"/>
  <c r="BX57" i="139" s="1"/>
  <c r="CW83" i="139" s="1"/>
  <c r="BX41" i="139"/>
  <c r="BX68" i="139" s="1"/>
  <c r="CW94" i="139" s="1"/>
  <c r="BX34" i="139"/>
  <c r="BX61" i="139" s="1"/>
  <c r="CW87" i="139" s="1"/>
  <c r="BX39" i="139"/>
  <c r="BX66" i="139" s="1"/>
  <c r="CW92" i="139" s="1"/>
  <c r="BX37" i="139"/>
  <c r="BX64" i="139" s="1"/>
  <c r="CW90" i="139" s="1"/>
  <c r="BX38" i="139"/>
  <c r="BX65" i="139" s="1"/>
  <c r="CW91" i="139" s="1"/>
  <c r="BX31" i="139"/>
  <c r="BX58" i="139" s="1"/>
  <c r="CW84" i="139" s="1"/>
  <c r="BX36" i="139"/>
  <c r="BX63" i="139" s="1"/>
  <c r="CW89" i="139" s="1"/>
  <c r="BX40" i="139"/>
  <c r="BX67" i="139" s="1"/>
  <c r="CW93" i="139" s="1"/>
  <c r="BW28" i="139"/>
  <c r="BX32" i="139"/>
  <c r="BX59" i="139" s="1"/>
  <c r="CW85" i="139" s="1"/>
  <c r="BX33" i="139"/>
  <c r="BX60" i="139" s="1"/>
  <c r="CW86" i="139" s="1"/>
  <c r="BX35" i="139"/>
  <c r="BX62" i="139" s="1"/>
  <c r="CW88" i="139" s="1"/>
  <c r="BW30" i="139" l="1"/>
  <c r="BW57" i="139" s="1"/>
  <c r="CV83" i="139" s="1"/>
  <c r="BW31" i="139"/>
  <c r="BW58" i="139" s="1"/>
  <c r="CV84" i="139" s="1"/>
  <c r="BW38" i="139"/>
  <c r="BW65" i="139" s="1"/>
  <c r="CV91" i="139" s="1"/>
  <c r="BW36" i="139"/>
  <c r="BW63" i="139" s="1"/>
  <c r="CV89" i="139" s="1"/>
  <c r="BW41" i="139"/>
  <c r="BW68" i="139" s="1"/>
  <c r="CV94" i="139" s="1"/>
  <c r="BW39" i="139"/>
  <c r="BW66" i="139" s="1"/>
  <c r="CV92" i="139" s="1"/>
  <c r="BW35" i="139"/>
  <c r="BW62" i="139" s="1"/>
  <c r="CV88" i="139" s="1"/>
  <c r="BW40" i="139"/>
  <c r="BW67" i="139" s="1"/>
  <c r="CV93" i="139" s="1"/>
  <c r="BV28" i="139"/>
  <c r="BW34" i="139"/>
  <c r="BW61" i="139" s="1"/>
  <c r="CV87" i="139" s="1"/>
  <c r="BW37" i="139"/>
  <c r="BW64" i="139" s="1"/>
  <c r="CV90" i="139" s="1"/>
  <c r="BW33" i="139"/>
  <c r="BW60" i="139" s="1"/>
  <c r="CV86" i="139" s="1"/>
  <c r="BW32" i="139"/>
  <c r="BW59" i="139" s="1"/>
  <c r="CV85" i="139" s="1"/>
  <c r="BV36" i="139" l="1"/>
  <c r="BV63" i="139" s="1"/>
  <c r="CU89" i="139" s="1"/>
  <c r="BV40" i="139"/>
  <c r="BV67" i="139" s="1"/>
  <c r="CU93" i="139" s="1"/>
  <c r="BV38" i="139"/>
  <c r="BV65" i="139" s="1"/>
  <c r="CU91" i="139" s="1"/>
  <c r="BV37" i="139"/>
  <c r="BV64" i="139" s="1"/>
  <c r="CU90" i="139" s="1"/>
  <c r="BV35" i="139"/>
  <c r="BV62" i="139" s="1"/>
  <c r="CU88" i="139" s="1"/>
  <c r="BU28" i="139"/>
  <c r="BV39" i="139"/>
  <c r="BV66" i="139" s="1"/>
  <c r="CU92" i="139" s="1"/>
  <c r="BV30" i="139"/>
  <c r="BV57" i="139" s="1"/>
  <c r="CU83" i="139" s="1"/>
  <c r="BV32" i="139"/>
  <c r="BV59" i="139" s="1"/>
  <c r="CU85" i="139" s="1"/>
  <c r="BV31" i="139"/>
  <c r="BV58" i="139" s="1"/>
  <c r="CU84" i="139" s="1"/>
  <c r="BV34" i="139"/>
  <c r="BV61" i="139" s="1"/>
  <c r="CU87" i="139" s="1"/>
  <c r="BV41" i="139"/>
  <c r="BV68" i="139" s="1"/>
  <c r="CU94" i="139" s="1"/>
  <c r="BV33" i="139"/>
  <c r="BV60" i="139" s="1"/>
  <c r="CU86" i="139" s="1"/>
  <c r="BU31" i="139" l="1"/>
  <c r="BU58" i="139" s="1"/>
  <c r="CT84" i="139" s="1"/>
  <c r="BT28" i="139"/>
  <c r="BU38" i="139"/>
  <c r="BU65" i="139" s="1"/>
  <c r="CT91" i="139" s="1"/>
  <c r="BU40" i="139"/>
  <c r="BU67" i="139" s="1"/>
  <c r="CT93" i="139" s="1"/>
  <c r="BU32" i="139"/>
  <c r="BU59" i="139" s="1"/>
  <c r="CT85" i="139" s="1"/>
  <c r="BU34" i="139"/>
  <c r="BU61" i="139" s="1"/>
  <c r="CT87" i="139" s="1"/>
  <c r="BU41" i="139"/>
  <c r="BU68" i="139" s="1"/>
  <c r="CT94" i="139" s="1"/>
  <c r="BU39" i="139"/>
  <c r="BU66" i="139" s="1"/>
  <c r="CT92" i="139" s="1"/>
  <c r="BU35" i="139"/>
  <c r="BU62" i="139" s="1"/>
  <c r="CT88" i="139" s="1"/>
  <c r="BU33" i="139"/>
  <c r="BU60" i="139" s="1"/>
  <c r="CT86" i="139" s="1"/>
  <c r="BU36" i="139"/>
  <c r="BU63" i="139" s="1"/>
  <c r="CT89" i="139" s="1"/>
  <c r="BU37" i="139"/>
  <c r="BU64" i="139" s="1"/>
  <c r="CT90" i="139" s="1"/>
  <c r="BU30" i="139"/>
  <c r="BU57" i="139" s="1"/>
  <c r="CT83" i="139" s="1"/>
  <c r="BT32" i="139" l="1"/>
  <c r="BT59" i="139" s="1"/>
  <c r="CS85" i="139" s="1"/>
  <c r="BT35" i="139"/>
  <c r="BT62" i="139" s="1"/>
  <c r="CS88" i="139" s="1"/>
  <c r="BS28" i="139"/>
  <c r="BT38" i="139"/>
  <c r="BT65" i="139" s="1"/>
  <c r="CS91" i="139" s="1"/>
  <c r="BT33" i="139"/>
  <c r="BT60" i="139" s="1"/>
  <c r="CS86" i="139" s="1"/>
  <c r="BT34" i="139"/>
  <c r="BT61" i="139" s="1"/>
  <c r="CS87" i="139" s="1"/>
  <c r="BT39" i="139"/>
  <c r="BT66" i="139" s="1"/>
  <c r="CS92" i="139" s="1"/>
  <c r="BT36" i="139"/>
  <c r="BT63" i="139" s="1"/>
  <c r="CS89" i="139" s="1"/>
  <c r="BT40" i="139"/>
  <c r="BT67" i="139" s="1"/>
  <c r="CS93" i="139" s="1"/>
  <c r="BT41" i="139"/>
  <c r="BT68" i="139" s="1"/>
  <c r="CS94" i="139" s="1"/>
  <c r="BT30" i="139"/>
  <c r="BT57" i="139" s="1"/>
  <c r="CS83" i="139" s="1"/>
  <c r="BT37" i="139"/>
  <c r="BT64" i="139" s="1"/>
  <c r="CS90" i="139" s="1"/>
  <c r="BT31" i="139"/>
  <c r="BT58" i="139" s="1"/>
  <c r="CS84" i="139" s="1"/>
  <c r="BS38" i="139" l="1"/>
  <c r="BS65" i="139" s="1"/>
  <c r="CR91" i="139" s="1"/>
  <c r="BS41" i="139"/>
  <c r="BS68" i="139" s="1"/>
  <c r="CR94" i="139" s="1"/>
  <c r="BS31" i="139"/>
  <c r="BS58" i="139" s="1"/>
  <c r="CR84" i="139" s="1"/>
  <c r="BS33" i="139"/>
  <c r="BS60" i="139" s="1"/>
  <c r="CR86" i="139" s="1"/>
  <c r="BS35" i="139"/>
  <c r="BS62" i="139" s="1"/>
  <c r="CR88" i="139" s="1"/>
  <c r="BS39" i="139"/>
  <c r="BS66" i="139" s="1"/>
  <c r="CR92" i="139" s="1"/>
  <c r="BR28" i="139"/>
  <c r="BS36" i="139"/>
  <c r="BS63" i="139" s="1"/>
  <c r="CR89" i="139" s="1"/>
  <c r="BS32" i="139"/>
  <c r="BS59" i="139" s="1"/>
  <c r="CR85" i="139" s="1"/>
  <c r="BS34" i="139"/>
  <c r="BS61" i="139" s="1"/>
  <c r="CR87" i="139" s="1"/>
  <c r="BS30" i="139"/>
  <c r="BS57" i="139" s="1"/>
  <c r="CR83" i="139" s="1"/>
  <c r="BS37" i="139"/>
  <c r="BS64" i="139" s="1"/>
  <c r="CR90" i="139" s="1"/>
  <c r="BS40" i="139"/>
  <c r="BS67" i="139" s="1"/>
  <c r="CR93" i="139" s="1"/>
  <c r="BR34" i="139" l="1"/>
  <c r="BR61" i="139" s="1"/>
  <c r="CQ87" i="139" s="1"/>
  <c r="BR31" i="139"/>
  <c r="BR58" i="139" s="1"/>
  <c r="CQ84" i="139" s="1"/>
  <c r="BR32" i="139"/>
  <c r="BR59" i="139" s="1"/>
  <c r="CQ85" i="139" s="1"/>
  <c r="BR30" i="139"/>
  <c r="BR57" i="139" s="1"/>
  <c r="CQ83" i="139" s="1"/>
  <c r="BR38" i="139"/>
  <c r="BR65" i="139" s="1"/>
  <c r="CQ91" i="139" s="1"/>
  <c r="BQ28" i="139"/>
  <c r="BR41" i="139"/>
  <c r="BR68" i="139" s="1"/>
  <c r="CQ94" i="139" s="1"/>
  <c r="BR36" i="139"/>
  <c r="BR63" i="139" s="1"/>
  <c r="CQ89" i="139" s="1"/>
  <c r="BR33" i="139"/>
  <c r="BR60" i="139" s="1"/>
  <c r="CQ86" i="139" s="1"/>
  <c r="BR40" i="139"/>
  <c r="BR67" i="139" s="1"/>
  <c r="CQ93" i="139" s="1"/>
  <c r="BR35" i="139"/>
  <c r="BR62" i="139" s="1"/>
  <c r="CQ88" i="139" s="1"/>
  <c r="BR37" i="139"/>
  <c r="BR64" i="139" s="1"/>
  <c r="CQ90" i="139" s="1"/>
  <c r="BR39" i="139"/>
  <c r="BR66" i="139" s="1"/>
  <c r="CQ92" i="139" s="1"/>
  <c r="BQ40" i="139" l="1"/>
  <c r="BQ67" i="139" s="1"/>
  <c r="CP93" i="139" s="1"/>
  <c r="BQ38" i="139"/>
  <c r="BQ65" i="139" s="1"/>
  <c r="CP91" i="139" s="1"/>
  <c r="BQ33" i="139"/>
  <c r="BQ60" i="139" s="1"/>
  <c r="CP86" i="139" s="1"/>
  <c r="BQ36" i="139"/>
  <c r="BQ63" i="139" s="1"/>
  <c r="CP89" i="139" s="1"/>
  <c r="BQ41" i="139"/>
  <c r="BQ68" i="139" s="1"/>
  <c r="CP94" i="139" s="1"/>
  <c r="BQ30" i="139"/>
  <c r="BQ57" i="139" s="1"/>
  <c r="CP83" i="139" s="1"/>
  <c r="BQ34" i="139"/>
  <c r="BQ61" i="139" s="1"/>
  <c r="CP87" i="139" s="1"/>
  <c r="BQ39" i="139"/>
  <c r="BQ66" i="139" s="1"/>
  <c r="CP92" i="139" s="1"/>
  <c r="BP28" i="139"/>
  <c r="BQ35" i="139"/>
  <c r="BQ62" i="139" s="1"/>
  <c r="CP88" i="139" s="1"/>
  <c r="BQ32" i="139"/>
  <c r="BQ59" i="139" s="1"/>
  <c r="CP85" i="139" s="1"/>
  <c r="BQ37" i="139"/>
  <c r="BQ64" i="139" s="1"/>
  <c r="CP90" i="139" s="1"/>
  <c r="BQ31" i="139"/>
  <c r="BQ58" i="139" s="1"/>
  <c r="CP84" i="139" s="1"/>
  <c r="BP31" i="139" l="1"/>
  <c r="BP58" i="139" s="1"/>
  <c r="CO84" i="139" s="1"/>
  <c r="BO28" i="139"/>
  <c r="BP30" i="139"/>
  <c r="BP57" i="139" s="1"/>
  <c r="CO83" i="139" s="1"/>
  <c r="BP32" i="139"/>
  <c r="BP59" i="139" s="1"/>
  <c r="CO85" i="139" s="1"/>
  <c r="BP33" i="139"/>
  <c r="BP60" i="139" s="1"/>
  <c r="CO86" i="139" s="1"/>
  <c r="BP40" i="139"/>
  <c r="BP67" i="139" s="1"/>
  <c r="CO93" i="139" s="1"/>
  <c r="BP41" i="139"/>
  <c r="BP68" i="139" s="1"/>
  <c r="CO94" i="139" s="1"/>
  <c r="BP36" i="139"/>
  <c r="BP63" i="139" s="1"/>
  <c r="CO89" i="139" s="1"/>
  <c r="BP39" i="139"/>
  <c r="BP66" i="139" s="1"/>
  <c r="CO92" i="139" s="1"/>
  <c r="BP37" i="139"/>
  <c r="BP64" i="139" s="1"/>
  <c r="CO90" i="139" s="1"/>
  <c r="BP34" i="139"/>
  <c r="BP61" i="139" s="1"/>
  <c r="CO87" i="139" s="1"/>
  <c r="BP35" i="139"/>
  <c r="BP62" i="139" s="1"/>
  <c r="CO88" i="139" s="1"/>
  <c r="BP38" i="139"/>
  <c r="BP65" i="139" s="1"/>
  <c r="CO91" i="139" s="1"/>
  <c r="BO39" i="139" l="1"/>
  <c r="BO66" i="139" s="1"/>
  <c r="CN92" i="139" s="1"/>
  <c r="BO34" i="139"/>
  <c r="BO61" i="139" s="1"/>
  <c r="CN87" i="139" s="1"/>
  <c r="BO31" i="139"/>
  <c r="BO58" i="139" s="1"/>
  <c r="CN84" i="139" s="1"/>
  <c r="BO36" i="139"/>
  <c r="BO63" i="139" s="1"/>
  <c r="CN89" i="139" s="1"/>
  <c r="BO38" i="139"/>
  <c r="BO65" i="139" s="1"/>
  <c r="CN91" i="139" s="1"/>
  <c r="BO41" i="139"/>
  <c r="BO68" i="139" s="1"/>
  <c r="CN94" i="139" s="1"/>
  <c r="BO37" i="139"/>
  <c r="BO64" i="139" s="1"/>
  <c r="CN90" i="139" s="1"/>
  <c r="BO32" i="139"/>
  <c r="BO59" i="139" s="1"/>
  <c r="CN85" i="139" s="1"/>
  <c r="BO40" i="139"/>
  <c r="BO67" i="139" s="1"/>
  <c r="CN93" i="139" s="1"/>
  <c r="BO33" i="139"/>
  <c r="BO60" i="139" s="1"/>
  <c r="CN86" i="139" s="1"/>
  <c r="BN28" i="139"/>
  <c r="BO30" i="139"/>
  <c r="BO57" i="139" s="1"/>
  <c r="CN83" i="139" s="1"/>
  <c r="BO35" i="139"/>
  <c r="BO62" i="139" s="1"/>
  <c r="CN88" i="139" s="1"/>
  <c r="BN33" i="139" l="1"/>
  <c r="BN60" i="139" s="1"/>
  <c r="CM86" i="139" s="1"/>
  <c r="BN30" i="139"/>
  <c r="BN57" i="139" s="1"/>
  <c r="CM83" i="139" s="1"/>
  <c r="BN35" i="139"/>
  <c r="BN62" i="139" s="1"/>
  <c r="CM88" i="139" s="1"/>
  <c r="BN34" i="139"/>
  <c r="BN61" i="139" s="1"/>
  <c r="CM87" i="139" s="1"/>
  <c r="BN41" i="139"/>
  <c r="BN68" i="139" s="1"/>
  <c r="CM94" i="139" s="1"/>
  <c r="BN38" i="139"/>
  <c r="BN65" i="139" s="1"/>
  <c r="CM91" i="139" s="1"/>
  <c r="BN37" i="139"/>
  <c r="BN64" i="139" s="1"/>
  <c r="CM90" i="139" s="1"/>
  <c r="BM28" i="139"/>
  <c r="BN36" i="139"/>
  <c r="BN63" i="139" s="1"/>
  <c r="CM89" i="139" s="1"/>
  <c r="BN40" i="139"/>
  <c r="BN67" i="139" s="1"/>
  <c r="CM93" i="139" s="1"/>
  <c r="BN32" i="139"/>
  <c r="BN59" i="139" s="1"/>
  <c r="CM85" i="139" s="1"/>
  <c r="BN31" i="139"/>
  <c r="BN58" i="139" s="1"/>
  <c r="CM84" i="139" s="1"/>
  <c r="BN39" i="139"/>
  <c r="BN66" i="139" s="1"/>
  <c r="CM92" i="139" s="1"/>
  <c r="BM34" i="139" l="1"/>
  <c r="BM61" i="139" s="1"/>
  <c r="CL87" i="139" s="1"/>
  <c r="BM39" i="139"/>
  <c r="BM66" i="139" s="1"/>
  <c r="CL92" i="139" s="1"/>
  <c r="BM32" i="139"/>
  <c r="BM59" i="139" s="1"/>
  <c r="CL85" i="139" s="1"/>
  <c r="BM35" i="139"/>
  <c r="BM62" i="139" s="1"/>
  <c r="CL88" i="139" s="1"/>
  <c r="BM36" i="139"/>
  <c r="BM63" i="139" s="1"/>
  <c r="CL89" i="139" s="1"/>
  <c r="BM33" i="139"/>
  <c r="BM60" i="139" s="1"/>
  <c r="CL86" i="139" s="1"/>
  <c r="BM37" i="139"/>
  <c r="BM64" i="139" s="1"/>
  <c r="CL90" i="139" s="1"/>
  <c r="BM38" i="139"/>
  <c r="BM65" i="139" s="1"/>
  <c r="CL91" i="139" s="1"/>
  <c r="BM30" i="139"/>
  <c r="BM57" i="139" s="1"/>
  <c r="CL83" i="139" s="1"/>
  <c r="BM31" i="139"/>
  <c r="BM58" i="139" s="1"/>
  <c r="CL84" i="139" s="1"/>
  <c r="BM40" i="139"/>
  <c r="BM67" i="139" s="1"/>
  <c r="CL93" i="139" s="1"/>
  <c r="BL28" i="139"/>
  <c r="BM41" i="139"/>
  <c r="BM68" i="139" s="1"/>
  <c r="CL94" i="139" s="1"/>
  <c r="BL37" i="139" l="1"/>
  <c r="BL64" i="139" s="1"/>
  <c r="CK90" i="139" s="1"/>
  <c r="BL30" i="139"/>
  <c r="BL57" i="139" s="1"/>
  <c r="CK83" i="139" s="1"/>
  <c r="BL34" i="139"/>
  <c r="BL61" i="139" s="1"/>
  <c r="CK87" i="139" s="1"/>
  <c r="BL41" i="139"/>
  <c r="BL68" i="139" s="1"/>
  <c r="CK94" i="139" s="1"/>
  <c r="BL35" i="139"/>
  <c r="BL62" i="139" s="1"/>
  <c r="CK88" i="139" s="1"/>
  <c r="BK28" i="139"/>
  <c r="BL36" i="139"/>
  <c r="BL63" i="139" s="1"/>
  <c r="CK89" i="139" s="1"/>
  <c r="BL33" i="139"/>
  <c r="BL60" i="139" s="1"/>
  <c r="CK86" i="139" s="1"/>
  <c r="BL31" i="139"/>
  <c r="BL58" i="139" s="1"/>
  <c r="CK84" i="139" s="1"/>
  <c r="BL39" i="139"/>
  <c r="BL66" i="139" s="1"/>
  <c r="CK92" i="139" s="1"/>
  <c r="BL40" i="139"/>
  <c r="BL67" i="139" s="1"/>
  <c r="CK93" i="139" s="1"/>
  <c r="BL38" i="139"/>
  <c r="BL65" i="139" s="1"/>
  <c r="CK91" i="139" s="1"/>
  <c r="BL32" i="139"/>
  <c r="BL59" i="139" s="1"/>
  <c r="CK85" i="139" s="1"/>
  <c r="BK35" i="139" l="1"/>
  <c r="BK62" i="139" s="1"/>
  <c r="CJ88" i="139" s="1"/>
  <c r="BK33" i="139"/>
  <c r="BK60" i="139" s="1"/>
  <c r="CJ86" i="139" s="1"/>
  <c r="BK36" i="139"/>
  <c r="BK63" i="139" s="1"/>
  <c r="CJ89" i="139" s="1"/>
  <c r="BK34" i="139"/>
  <c r="BK61" i="139" s="1"/>
  <c r="CJ87" i="139" s="1"/>
  <c r="BK40" i="139"/>
  <c r="BK67" i="139" s="1"/>
  <c r="CJ93" i="139" s="1"/>
  <c r="BK39" i="139"/>
  <c r="BK66" i="139" s="1"/>
  <c r="CJ92" i="139" s="1"/>
  <c r="BK30" i="139"/>
  <c r="BK57" i="139" s="1"/>
  <c r="CJ83" i="139" s="1"/>
  <c r="BK31" i="139"/>
  <c r="BK58" i="139" s="1"/>
  <c r="CJ84" i="139" s="1"/>
  <c r="BK38" i="139"/>
  <c r="BK65" i="139" s="1"/>
  <c r="CJ91" i="139" s="1"/>
  <c r="BK41" i="139"/>
  <c r="BK68" i="139" s="1"/>
  <c r="CJ94" i="139" s="1"/>
  <c r="BK37" i="139"/>
  <c r="BK64" i="139" s="1"/>
  <c r="CJ90" i="139" s="1"/>
  <c r="BK32" i="139"/>
  <c r="BK59" i="139" s="1"/>
  <c r="CJ85" i="139" s="1"/>
  <c r="BJ28" i="139"/>
  <c r="BJ35" i="139" l="1"/>
  <c r="BJ62" i="139" s="1"/>
  <c r="CI88" i="139" s="1"/>
  <c r="BJ32" i="139"/>
  <c r="BJ59" i="139" s="1"/>
  <c r="CI85" i="139" s="1"/>
  <c r="BJ33" i="139"/>
  <c r="BJ60" i="139" s="1"/>
  <c r="CI86" i="139" s="1"/>
  <c r="BJ40" i="139"/>
  <c r="BJ67" i="139" s="1"/>
  <c r="CI93" i="139" s="1"/>
  <c r="BJ34" i="139"/>
  <c r="BJ61" i="139" s="1"/>
  <c r="CI87" i="139" s="1"/>
  <c r="BJ38" i="139"/>
  <c r="BJ65" i="139" s="1"/>
  <c r="CI91" i="139" s="1"/>
  <c r="BJ37" i="139"/>
  <c r="BJ64" i="139" s="1"/>
  <c r="CI90" i="139" s="1"/>
  <c r="BJ41" i="139"/>
  <c r="BJ68" i="139" s="1"/>
  <c r="CI94" i="139" s="1"/>
  <c r="BJ30" i="139"/>
  <c r="BJ57" i="139" s="1"/>
  <c r="CI83" i="139" s="1"/>
  <c r="BJ39" i="139"/>
  <c r="BJ66" i="139" s="1"/>
  <c r="CI92" i="139" s="1"/>
  <c r="BJ36" i="139"/>
  <c r="BJ63" i="139" s="1"/>
  <c r="CI89" i="139" s="1"/>
  <c r="BI28" i="139"/>
  <c r="BJ31" i="139"/>
  <c r="BJ58" i="139" s="1"/>
  <c r="CI84" i="139" s="1"/>
  <c r="BI37" i="139" l="1"/>
  <c r="BI64" i="139" s="1"/>
  <c r="CH90" i="139" s="1"/>
  <c r="BI30" i="139"/>
  <c r="BI57" i="139" s="1"/>
  <c r="CH83" i="139" s="1"/>
  <c r="BI41" i="139"/>
  <c r="BI68" i="139" s="1"/>
  <c r="CH94" i="139" s="1"/>
  <c r="BI35" i="139"/>
  <c r="BI62" i="139" s="1"/>
  <c r="CH88" i="139" s="1"/>
  <c r="BH28" i="139"/>
  <c r="BI34" i="139"/>
  <c r="BI61" i="139" s="1"/>
  <c r="CH87" i="139" s="1"/>
  <c r="BI32" i="139"/>
  <c r="BI59" i="139" s="1"/>
  <c r="CH85" i="139" s="1"/>
  <c r="BI36" i="139"/>
  <c r="BI63" i="139" s="1"/>
  <c r="CH89" i="139" s="1"/>
  <c r="BI31" i="139"/>
  <c r="BI58" i="139" s="1"/>
  <c r="CH84" i="139" s="1"/>
  <c r="BI38" i="139"/>
  <c r="BI65" i="139" s="1"/>
  <c r="CH91" i="139" s="1"/>
  <c r="BI39" i="139"/>
  <c r="BI66" i="139" s="1"/>
  <c r="CH92" i="139" s="1"/>
  <c r="BI33" i="139"/>
  <c r="BI60" i="139" s="1"/>
  <c r="CH86" i="139" s="1"/>
  <c r="BI40" i="139"/>
  <c r="BI67" i="139" s="1"/>
  <c r="CH93" i="139" s="1"/>
  <c r="BH40" i="139" l="1"/>
  <c r="BH67" i="139" s="1"/>
  <c r="CG93" i="139" s="1"/>
  <c r="BH31" i="139"/>
  <c r="BH58" i="139" s="1"/>
  <c r="CG84" i="139" s="1"/>
  <c r="BH37" i="139"/>
  <c r="BH64" i="139" s="1"/>
  <c r="CG90" i="139" s="1"/>
  <c r="BH41" i="139"/>
  <c r="BH68" i="139" s="1"/>
  <c r="CG94" i="139" s="1"/>
  <c r="BH32" i="139"/>
  <c r="BH59" i="139" s="1"/>
  <c r="CG85" i="139" s="1"/>
  <c r="BH30" i="139"/>
  <c r="BH57" i="139" s="1"/>
  <c r="CG83" i="139" s="1"/>
  <c r="BH36" i="139"/>
  <c r="BH63" i="139" s="1"/>
  <c r="CG89" i="139" s="1"/>
  <c r="BH35" i="139"/>
  <c r="BH62" i="139" s="1"/>
  <c r="CG88" i="139" s="1"/>
  <c r="BH38" i="139"/>
  <c r="BH65" i="139" s="1"/>
  <c r="CG91" i="139" s="1"/>
  <c r="BG28" i="139"/>
  <c r="BH39" i="139"/>
  <c r="BH66" i="139" s="1"/>
  <c r="CG92" i="139" s="1"/>
  <c r="BH34" i="139"/>
  <c r="BH61" i="139" s="1"/>
  <c r="CG87" i="139" s="1"/>
  <c r="BH33" i="139"/>
  <c r="BH60" i="139" s="1"/>
  <c r="CG86" i="139" s="1"/>
  <c r="BG40" i="139" l="1"/>
  <c r="BG67" i="139" s="1"/>
  <c r="CF93" i="139" s="1"/>
  <c r="BG31" i="139"/>
  <c r="BG58" i="139" s="1"/>
  <c r="CF84" i="139" s="1"/>
  <c r="BG30" i="139"/>
  <c r="BG57" i="139" s="1"/>
  <c r="CF83" i="139" s="1"/>
  <c r="BG33" i="139"/>
  <c r="BG60" i="139" s="1"/>
  <c r="CF86" i="139" s="1"/>
  <c r="BG35" i="139"/>
  <c r="BG62" i="139" s="1"/>
  <c r="CF88" i="139" s="1"/>
  <c r="BG36" i="139"/>
  <c r="BG63" i="139" s="1"/>
  <c r="CF89" i="139" s="1"/>
  <c r="BG37" i="139"/>
  <c r="BG64" i="139" s="1"/>
  <c r="CF90" i="139" s="1"/>
  <c r="BF28" i="139"/>
  <c r="BG34" i="139"/>
  <c r="BG61" i="139" s="1"/>
  <c r="CF87" i="139" s="1"/>
  <c r="BG32" i="139"/>
  <c r="BG59" i="139" s="1"/>
  <c r="CF85" i="139" s="1"/>
  <c r="BG38" i="139"/>
  <c r="BG65" i="139" s="1"/>
  <c r="CF91" i="139" s="1"/>
  <c r="BG39" i="139"/>
  <c r="BG66" i="139" s="1"/>
  <c r="CF92" i="139" s="1"/>
  <c r="BG41" i="139"/>
  <c r="BG68" i="139" s="1"/>
  <c r="CF94" i="139" s="1"/>
  <c r="BF30" i="139" l="1"/>
  <c r="BF57" i="139" s="1"/>
  <c r="CE83" i="139" s="1"/>
  <c r="BF40" i="139"/>
  <c r="BF67" i="139" s="1"/>
  <c r="CE93" i="139" s="1"/>
  <c r="BF35" i="139"/>
  <c r="BF62" i="139" s="1"/>
  <c r="CE88" i="139" s="1"/>
  <c r="BF36" i="139"/>
  <c r="BF63" i="139" s="1"/>
  <c r="CE89" i="139" s="1"/>
  <c r="BF38" i="139"/>
  <c r="BF65" i="139" s="1"/>
  <c r="CE91" i="139" s="1"/>
  <c r="BF39" i="139"/>
  <c r="BF66" i="139" s="1"/>
  <c r="CE92" i="139" s="1"/>
  <c r="BF34" i="139"/>
  <c r="BF61" i="139" s="1"/>
  <c r="CE87" i="139" s="1"/>
  <c r="BF31" i="139"/>
  <c r="BF58" i="139" s="1"/>
  <c r="CE84" i="139" s="1"/>
  <c r="BF37" i="139"/>
  <c r="BF64" i="139" s="1"/>
  <c r="CE90" i="139" s="1"/>
  <c r="BF32" i="139"/>
  <c r="BF59" i="139" s="1"/>
  <c r="CE85" i="139" s="1"/>
  <c r="BF41" i="139"/>
  <c r="BF68" i="139" s="1"/>
  <c r="CE94" i="139" s="1"/>
  <c r="BF33" i="139"/>
  <c r="BF60" i="139" s="1"/>
  <c r="CE86" i="139" s="1"/>
  <c r="BE28" i="139"/>
  <c r="BE36" i="139" l="1"/>
  <c r="BE63" i="139" s="1"/>
  <c r="CD89" i="139" s="1"/>
  <c r="BE35" i="139"/>
  <c r="BE62" i="139" s="1"/>
  <c r="CD88" i="139" s="1"/>
  <c r="BE37" i="139"/>
  <c r="BE64" i="139" s="1"/>
  <c r="CD90" i="139" s="1"/>
  <c r="BE32" i="139"/>
  <c r="BE59" i="139" s="1"/>
  <c r="CD85" i="139" s="1"/>
  <c r="BD28" i="139"/>
  <c r="BE34" i="139"/>
  <c r="BE61" i="139" s="1"/>
  <c r="CD87" i="139" s="1"/>
  <c r="BE41" i="139"/>
  <c r="BE68" i="139" s="1"/>
  <c r="CD94" i="139" s="1"/>
  <c r="BE31" i="139"/>
  <c r="BE58" i="139" s="1"/>
  <c r="CD84" i="139" s="1"/>
  <c r="BE33" i="139"/>
  <c r="BE60" i="139" s="1"/>
  <c r="CD86" i="139" s="1"/>
  <c r="BE30" i="139"/>
  <c r="BE57" i="139" s="1"/>
  <c r="CD83" i="139" s="1"/>
  <c r="BE40" i="139"/>
  <c r="BE67" i="139" s="1"/>
  <c r="CD93" i="139" s="1"/>
  <c r="BE38" i="139"/>
  <c r="BE65" i="139" s="1"/>
  <c r="CD91" i="139" s="1"/>
  <c r="BE39" i="139"/>
  <c r="BE66" i="139" s="1"/>
  <c r="CD92" i="139" s="1"/>
  <c r="BC28" i="139" l="1"/>
  <c r="BD36" i="139"/>
  <c r="BD63" i="139" s="1"/>
  <c r="CC89" i="139" s="1"/>
  <c r="BD30" i="139"/>
  <c r="BD57" i="139" s="1"/>
  <c r="CC83" i="139" s="1"/>
  <c r="BD38" i="139"/>
  <c r="BD65" i="139" s="1"/>
  <c r="CC91" i="139" s="1"/>
  <c r="BD34" i="139"/>
  <c r="BD61" i="139" s="1"/>
  <c r="CC87" i="139" s="1"/>
  <c r="BD39" i="139"/>
  <c r="BD66" i="139" s="1"/>
  <c r="CC92" i="139" s="1"/>
  <c r="BD41" i="139"/>
  <c r="BD68" i="139" s="1"/>
  <c r="CC94" i="139" s="1"/>
  <c r="BD32" i="139"/>
  <c r="BD59" i="139" s="1"/>
  <c r="CC85" i="139" s="1"/>
  <c r="BD35" i="139"/>
  <c r="BD62" i="139" s="1"/>
  <c r="CC88" i="139" s="1"/>
  <c r="BD40" i="139"/>
  <c r="BD67" i="139" s="1"/>
  <c r="CC93" i="139" s="1"/>
  <c r="BD37" i="139"/>
  <c r="BD64" i="139" s="1"/>
  <c r="CC90" i="139" s="1"/>
  <c r="BD33" i="139"/>
  <c r="BD60" i="139" s="1"/>
  <c r="CC86" i="139" s="1"/>
  <c r="BD31" i="139"/>
  <c r="BD58" i="139" s="1"/>
  <c r="CC84" i="139" s="1"/>
  <c r="BC30" i="139" l="1"/>
  <c r="BC57" i="139" s="1"/>
  <c r="CB83" i="139" s="1"/>
  <c r="BC35" i="139"/>
  <c r="BC62" i="139" s="1"/>
  <c r="CB88" i="139" s="1"/>
  <c r="BC34" i="139"/>
  <c r="BC61" i="139" s="1"/>
  <c r="CB87" i="139" s="1"/>
  <c r="BC32" i="139"/>
  <c r="BC59" i="139" s="1"/>
  <c r="CB85" i="139" s="1"/>
  <c r="BC36" i="139"/>
  <c r="BC63" i="139" s="1"/>
  <c r="CB89" i="139" s="1"/>
  <c r="BC31" i="139"/>
  <c r="BC58" i="139" s="1"/>
  <c r="CB84" i="139" s="1"/>
  <c r="BC40" i="139"/>
  <c r="BC67" i="139" s="1"/>
  <c r="CB93" i="139" s="1"/>
  <c r="BC38" i="139"/>
  <c r="BC65" i="139" s="1"/>
  <c r="CB91" i="139" s="1"/>
  <c r="BB28" i="139"/>
  <c r="BC37" i="139"/>
  <c r="BC64" i="139" s="1"/>
  <c r="CB90" i="139" s="1"/>
  <c r="BC41" i="139"/>
  <c r="BC68" i="139" s="1"/>
  <c r="CB94" i="139" s="1"/>
  <c r="BC39" i="139"/>
  <c r="BC66" i="139" s="1"/>
  <c r="CB92" i="139" s="1"/>
  <c r="BC33" i="139"/>
  <c r="BC60" i="139" s="1"/>
  <c r="CB86" i="139" s="1"/>
  <c r="BB33" i="139" l="1"/>
  <c r="BB60" i="139" s="1"/>
  <c r="CA86" i="139" s="1"/>
  <c r="BB30" i="139"/>
  <c r="BB57" i="139" s="1"/>
  <c r="CA83" i="139" s="1"/>
  <c r="BB41" i="139"/>
  <c r="BB68" i="139" s="1"/>
  <c r="CA94" i="139" s="1"/>
  <c r="BA28" i="139"/>
  <c r="BB36" i="139"/>
  <c r="BB63" i="139" s="1"/>
  <c r="CA89" i="139" s="1"/>
  <c r="BB38" i="139"/>
  <c r="BB65" i="139" s="1"/>
  <c r="CA91" i="139" s="1"/>
  <c r="BB35" i="139"/>
  <c r="BB62" i="139" s="1"/>
  <c r="CA88" i="139" s="1"/>
  <c r="BB40" i="139"/>
  <c r="BB67" i="139" s="1"/>
  <c r="CA93" i="139" s="1"/>
  <c r="BB37" i="139"/>
  <c r="BB64" i="139" s="1"/>
  <c r="CA90" i="139" s="1"/>
  <c r="BB34" i="139"/>
  <c r="BB61" i="139" s="1"/>
  <c r="CA87" i="139" s="1"/>
  <c r="BB31" i="139"/>
  <c r="BB58" i="139" s="1"/>
  <c r="CA84" i="139" s="1"/>
  <c r="BB39" i="139"/>
  <c r="BB66" i="139" s="1"/>
  <c r="CA92" i="139" s="1"/>
  <c r="BB32" i="139"/>
  <c r="BB59" i="139" s="1"/>
  <c r="CA85" i="139" s="1"/>
  <c r="BA40" i="139" l="1"/>
  <c r="BA67" i="139" s="1"/>
  <c r="BZ93" i="139" s="1"/>
  <c r="BA33" i="139"/>
  <c r="BA60" i="139" s="1"/>
  <c r="BZ86" i="139" s="1"/>
  <c r="BA30" i="139"/>
  <c r="BA57" i="139" s="1"/>
  <c r="BZ83" i="139" s="1"/>
  <c r="BA31" i="139"/>
  <c r="BA58" i="139" s="1"/>
  <c r="BZ84" i="139" s="1"/>
  <c r="BA41" i="139"/>
  <c r="BA68" i="139" s="1"/>
  <c r="BZ94" i="139" s="1"/>
  <c r="BA34" i="139"/>
  <c r="BA61" i="139" s="1"/>
  <c r="BZ87" i="139" s="1"/>
  <c r="BA38" i="139"/>
  <c r="BA65" i="139" s="1"/>
  <c r="BZ91" i="139" s="1"/>
  <c r="AZ28" i="139"/>
  <c r="BA32" i="139"/>
  <c r="BA59" i="139" s="1"/>
  <c r="BZ85" i="139" s="1"/>
  <c r="BA39" i="139"/>
  <c r="BA66" i="139" s="1"/>
  <c r="BZ92" i="139" s="1"/>
  <c r="BA37" i="139"/>
  <c r="BA64" i="139" s="1"/>
  <c r="BZ90" i="139" s="1"/>
  <c r="BA35" i="139"/>
  <c r="BA62" i="139" s="1"/>
  <c r="BZ88" i="139" s="1"/>
  <c r="BA36" i="139"/>
  <c r="BA63" i="139" s="1"/>
  <c r="BZ89" i="139" s="1"/>
  <c r="AZ39" i="139" l="1"/>
  <c r="AZ66" i="139" s="1"/>
  <c r="BY92" i="139" s="1"/>
  <c r="AZ40" i="139"/>
  <c r="AZ67" i="139" s="1"/>
  <c r="BY93" i="139" s="1"/>
  <c r="AZ35" i="139"/>
  <c r="AZ62" i="139" s="1"/>
  <c r="BY88" i="139" s="1"/>
  <c r="AZ30" i="139"/>
  <c r="AZ57" i="139" s="1"/>
  <c r="BY83" i="139" s="1"/>
  <c r="AZ41" i="139"/>
  <c r="AZ68" i="139" s="1"/>
  <c r="BY94" i="139" s="1"/>
  <c r="AZ34" i="139"/>
  <c r="AZ61" i="139" s="1"/>
  <c r="BY87" i="139" s="1"/>
  <c r="AZ37" i="139"/>
  <c r="AZ64" i="139" s="1"/>
  <c r="BY90" i="139" s="1"/>
  <c r="AY28" i="139"/>
  <c r="AZ31" i="139"/>
  <c r="AZ58" i="139" s="1"/>
  <c r="BY84" i="139" s="1"/>
  <c r="AZ33" i="139"/>
  <c r="AZ60" i="139" s="1"/>
  <c r="BY86" i="139" s="1"/>
  <c r="AZ36" i="139"/>
  <c r="AZ63" i="139" s="1"/>
  <c r="BY89" i="139" s="1"/>
  <c r="AZ38" i="139"/>
  <c r="AZ65" i="139" s="1"/>
  <c r="BY91" i="139" s="1"/>
  <c r="AZ32" i="139"/>
  <c r="AZ59" i="139" s="1"/>
  <c r="BY85" i="139" s="1"/>
  <c r="AY34" i="139" l="1"/>
  <c r="AY61" i="139" s="1"/>
  <c r="BX87" i="139" s="1"/>
  <c r="AY40" i="139"/>
  <c r="AY67" i="139" s="1"/>
  <c r="BX93" i="139" s="1"/>
  <c r="AX28" i="139"/>
  <c r="AY38" i="139"/>
  <c r="AY65" i="139" s="1"/>
  <c r="BX91" i="139" s="1"/>
  <c r="AY36" i="139"/>
  <c r="AY63" i="139" s="1"/>
  <c r="BX89" i="139" s="1"/>
  <c r="AY37" i="139"/>
  <c r="AY64" i="139" s="1"/>
  <c r="BX90" i="139" s="1"/>
  <c r="AY41" i="139"/>
  <c r="AY68" i="139" s="1"/>
  <c r="BX94" i="139" s="1"/>
  <c r="AY35" i="139"/>
  <c r="AY62" i="139" s="1"/>
  <c r="BX88" i="139" s="1"/>
  <c r="AY39" i="139"/>
  <c r="AY66" i="139" s="1"/>
  <c r="BX92" i="139" s="1"/>
  <c r="AY31" i="139"/>
  <c r="AY58" i="139" s="1"/>
  <c r="BX84" i="139" s="1"/>
  <c r="AY30" i="139"/>
  <c r="AY57" i="139" s="1"/>
  <c r="BX83" i="139" s="1"/>
  <c r="AY32" i="139"/>
  <c r="AY59" i="139" s="1"/>
  <c r="BX85" i="139" s="1"/>
  <c r="AY33" i="139"/>
  <c r="AY60" i="139" s="1"/>
  <c r="BX86" i="139" s="1"/>
  <c r="AX37" i="139" l="1"/>
  <c r="AX64" i="139" s="1"/>
  <c r="BW90" i="139" s="1"/>
  <c r="AX34" i="139"/>
  <c r="AX61" i="139" s="1"/>
  <c r="BW87" i="139" s="1"/>
  <c r="AW28" i="139"/>
  <c r="AX31" i="139"/>
  <c r="AX58" i="139" s="1"/>
  <c r="BW84" i="139" s="1"/>
  <c r="AX32" i="139"/>
  <c r="AX59" i="139" s="1"/>
  <c r="BW85" i="139" s="1"/>
  <c r="AX36" i="139"/>
  <c r="AX63" i="139" s="1"/>
  <c r="BW89" i="139" s="1"/>
  <c r="AX33" i="139"/>
  <c r="AX60" i="139" s="1"/>
  <c r="BW86" i="139" s="1"/>
  <c r="AX38" i="139"/>
  <c r="AX65" i="139" s="1"/>
  <c r="BW91" i="139" s="1"/>
  <c r="AX39" i="139"/>
  <c r="AX66" i="139" s="1"/>
  <c r="BW92" i="139" s="1"/>
  <c r="AX30" i="139"/>
  <c r="AX57" i="139" s="1"/>
  <c r="BW83" i="139" s="1"/>
  <c r="AX41" i="139"/>
  <c r="AX68" i="139" s="1"/>
  <c r="BW94" i="139" s="1"/>
  <c r="AX35" i="139"/>
  <c r="AX62" i="139" s="1"/>
  <c r="BW88" i="139" s="1"/>
  <c r="AX40" i="139"/>
  <c r="AX67" i="139" s="1"/>
  <c r="BW93" i="139" s="1"/>
  <c r="AW32" i="139" l="1"/>
  <c r="AW59" i="139" s="1"/>
  <c r="BV85" i="139" s="1"/>
  <c r="AW31" i="139"/>
  <c r="AW58" i="139" s="1"/>
  <c r="BV84" i="139" s="1"/>
  <c r="AW40" i="139"/>
  <c r="AW67" i="139" s="1"/>
  <c r="BV93" i="139" s="1"/>
  <c r="AV28" i="139"/>
  <c r="AW35" i="139"/>
  <c r="AW62" i="139" s="1"/>
  <c r="BV88" i="139" s="1"/>
  <c r="AW38" i="139"/>
  <c r="AW65" i="139" s="1"/>
  <c r="BV91" i="139" s="1"/>
  <c r="AW36" i="139"/>
  <c r="AW63" i="139" s="1"/>
  <c r="BV89" i="139" s="1"/>
  <c r="AW33" i="139"/>
  <c r="AW60" i="139" s="1"/>
  <c r="BV86" i="139" s="1"/>
  <c r="AW37" i="139"/>
  <c r="AW64" i="139" s="1"/>
  <c r="BV90" i="139" s="1"/>
  <c r="AW39" i="139"/>
  <c r="AW66" i="139" s="1"/>
  <c r="BV92" i="139" s="1"/>
  <c r="AW34" i="139"/>
  <c r="AW61" i="139" s="1"/>
  <c r="BV87" i="139" s="1"/>
  <c r="AW30" i="139"/>
  <c r="AW57" i="139" s="1"/>
  <c r="BV83" i="139" s="1"/>
  <c r="AW41" i="139"/>
  <c r="AW68" i="139" s="1"/>
  <c r="BV94" i="139" s="1"/>
  <c r="AV34" i="139" l="1"/>
  <c r="AV61" i="139" s="1"/>
  <c r="BU87" i="139" s="1"/>
  <c r="AV37" i="139"/>
  <c r="AV64" i="139" s="1"/>
  <c r="BU90" i="139" s="1"/>
  <c r="AV39" i="139"/>
  <c r="AV66" i="139" s="1"/>
  <c r="BU92" i="139" s="1"/>
  <c r="AV35" i="139"/>
  <c r="AV62" i="139" s="1"/>
  <c r="BU88" i="139" s="1"/>
  <c r="AV38" i="139"/>
  <c r="AV65" i="139" s="1"/>
  <c r="BU91" i="139" s="1"/>
  <c r="AV36" i="139"/>
  <c r="AV63" i="139" s="1"/>
  <c r="BU89" i="139" s="1"/>
  <c r="AV30" i="139"/>
  <c r="AV57" i="139" s="1"/>
  <c r="BU83" i="139" s="1"/>
  <c r="AV33" i="139"/>
  <c r="AV60" i="139" s="1"/>
  <c r="BU86" i="139" s="1"/>
  <c r="AV41" i="139"/>
  <c r="AV68" i="139" s="1"/>
  <c r="BU94" i="139" s="1"/>
  <c r="AV31" i="139"/>
  <c r="AV58" i="139" s="1"/>
  <c r="BU84" i="139" s="1"/>
  <c r="AV40" i="139"/>
  <c r="AV67" i="139" s="1"/>
  <c r="BU93" i="139" s="1"/>
  <c r="AU28" i="139"/>
  <c r="AV32" i="139"/>
  <c r="AV59" i="139" s="1"/>
  <c r="BU85" i="139" s="1"/>
  <c r="AU31" i="139" l="1"/>
  <c r="AU58" i="139" s="1"/>
  <c r="BT84" i="139" s="1"/>
  <c r="AU40" i="139"/>
  <c r="AU67" i="139" s="1"/>
  <c r="BT93" i="139" s="1"/>
  <c r="AT28" i="139"/>
  <c r="AU35" i="139"/>
  <c r="AU62" i="139" s="1"/>
  <c r="BT88" i="139" s="1"/>
  <c r="AU34" i="139"/>
  <c r="AU61" i="139" s="1"/>
  <c r="BT87" i="139" s="1"/>
  <c r="AU30" i="139"/>
  <c r="AU57" i="139" s="1"/>
  <c r="BT83" i="139" s="1"/>
  <c r="AU38" i="139"/>
  <c r="AU65" i="139" s="1"/>
  <c r="BT91" i="139" s="1"/>
  <c r="AU39" i="139"/>
  <c r="AU66" i="139" s="1"/>
  <c r="BT92" i="139" s="1"/>
  <c r="AU36" i="139"/>
  <c r="AU63" i="139" s="1"/>
  <c r="BT89" i="139" s="1"/>
  <c r="AU32" i="139"/>
  <c r="AU59" i="139" s="1"/>
  <c r="BT85" i="139" s="1"/>
  <c r="AU41" i="139"/>
  <c r="AU68" i="139" s="1"/>
  <c r="BT94" i="139" s="1"/>
  <c r="AU33" i="139"/>
  <c r="AU60" i="139" s="1"/>
  <c r="BT86" i="139" s="1"/>
  <c r="AU37" i="139"/>
  <c r="AU64" i="139" s="1"/>
  <c r="BT90" i="139" s="1"/>
  <c r="AT34" i="139" l="1"/>
  <c r="AT61" i="139" s="1"/>
  <c r="BS87" i="139" s="1"/>
  <c r="AT41" i="139"/>
  <c r="AT68" i="139" s="1"/>
  <c r="BS94" i="139" s="1"/>
  <c r="AT30" i="139"/>
  <c r="AT57" i="139" s="1"/>
  <c r="BS83" i="139" s="1"/>
  <c r="AS28" i="139"/>
  <c r="AT39" i="139"/>
  <c r="AT66" i="139" s="1"/>
  <c r="BS92" i="139" s="1"/>
  <c r="AT36" i="139"/>
  <c r="AT63" i="139" s="1"/>
  <c r="BS89" i="139" s="1"/>
  <c r="AT40" i="139"/>
  <c r="AT67" i="139" s="1"/>
  <c r="BS93" i="139" s="1"/>
  <c r="AT35" i="139"/>
  <c r="AT62" i="139" s="1"/>
  <c r="BS88" i="139" s="1"/>
  <c r="AT32" i="139"/>
  <c r="AT59" i="139" s="1"/>
  <c r="BS85" i="139" s="1"/>
  <c r="AT31" i="139"/>
  <c r="AT58" i="139" s="1"/>
  <c r="BS84" i="139" s="1"/>
  <c r="AT37" i="139"/>
  <c r="AT64" i="139" s="1"/>
  <c r="BS90" i="139" s="1"/>
  <c r="AT33" i="139"/>
  <c r="AT60" i="139" s="1"/>
  <c r="BS86" i="139" s="1"/>
  <c r="AT38" i="139"/>
  <c r="AT65" i="139" s="1"/>
  <c r="BS91" i="139" s="1"/>
  <c r="AS34" i="139" l="1"/>
  <c r="AS61" i="139" s="1"/>
  <c r="BR87" i="139" s="1"/>
  <c r="AS30" i="139"/>
  <c r="AS57" i="139" s="1"/>
  <c r="BR83" i="139" s="1"/>
  <c r="AS31" i="139"/>
  <c r="AS58" i="139" s="1"/>
  <c r="BR84" i="139" s="1"/>
  <c r="AS32" i="139"/>
  <c r="AS59" i="139" s="1"/>
  <c r="BR85" i="139" s="1"/>
  <c r="AR28" i="139"/>
  <c r="AS36" i="139"/>
  <c r="AS63" i="139" s="1"/>
  <c r="BR89" i="139" s="1"/>
  <c r="AS39" i="139"/>
  <c r="AS66" i="139" s="1"/>
  <c r="BR92" i="139" s="1"/>
  <c r="AS33" i="139"/>
  <c r="AS60" i="139" s="1"/>
  <c r="BR86" i="139" s="1"/>
  <c r="AS41" i="139"/>
  <c r="AS68" i="139" s="1"/>
  <c r="BR94" i="139" s="1"/>
  <c r="AS38" i="139"/>
  <c r="AS65" i="139" s="1"/>
  <c r="BR91" i="139" s="1"/>
  <c r="AS40" i="139"/>
  <c r="AS67" i="139" s="1"/>
  <c r="BR93" i="139" s="1"/>
  <c r="AS37" i="139"/>
  <c r="AS64" i="139" s="1"/>
  <c r="BR90" i="139" s="1"/>
  <c r="AS35" i="139"/>
  <c r="AS62" i="139" s="1"/>
  <c r="BR88" i="139" s="1"/>
  <c r="AR33" i="139" l="1"/>
  <c r="AR60" i="139" s="1"/>
  <c r="BQ86" i="139" s="1"/>
  <c r="AR38" i="139"/>
  <c r="AR65" i="139" s="1"/>
  <c r="BQ91" i="139" s="1"/>
  <c r="AR34" i="139"/>
  <c r="AR61" i="139" s="1"/>
  <c r="BQ87" i="139" s="1"/>
  <c r="AR35" i="139"/>
  <c r="AR62" i="139" s="1"/>
  <c r="BQ88" i="139" s="1"/>
  <c r="AQ28" i="139"/>
  <c r="AR31" i="139"/>
  <c r="AR58" i="139" s="1"/>
  <c r="BQ84" i="139" s="1"/>
  <c r="AR40" i="139"/>
  <c r="AR67" i="139" s="1"/>
  <c r="BQ93" i="139" s="1"/>
  <c r="AR39" i="139"/>
  <c r="AR66" i="139" s="1"/>
  <c r="BQ92" i="139" s="1"/>
  <c r="AR36" i="139"/>
  <c r="AR63" i="139" s="1"/>
  <c r="BQ89" i="139" s="1"/>
  <c r="AR41" i="139"/>
  <c r="AR68" i="139" s="1"/>
  <c r="BQ94" i="139" s="1"/>
  <c r="AR30" i="139"/>
  <c r="AR57" i="139" s="1"/>
  <c r="BQ83" i="139" s="1"/>
  <c r="AR32" i="139"/>
  <c r="AR59" i="139" s="1"/>
  <c r="BQ85" i="139" s="1"/>
  <c r="AR37" i="139"/>
  <c r="AR64" i="139" s="1"/>
  <c r="BQ90" i="139" s="1"/>
  <c r="AQ35" i="139" l="1"/>
  <c r="AQ62" i="139" s="1"/>
  <c r="BP88" i="139" s="1"/>
  <c r="AQ39" i="139"/>
  <c r="AQ66" i="139" s="1"/>
  <c r="BP92" i="139" s="1"/>
  <c r="AQ32" i="139"/>
  <c r="AQ59" i="139" s="1"/>
  <c r="BP85" i="139" s="1"/>
  <c r="AQ31" i="139"/>
  <c r="AQ58" i="139" s="1"/>
  <c r="BP84" i="139" s="1"/>
  <c r="AQ40" i="139"/>
  <c r="AQ67" i="139" s="1"/>
  <c r="BP93" i="139" s="1"/>
  <c r="AQ36" i="139"/>
  <c r="AQ63" i="139" s="1"/>
  <c r="BP89" i="139" s="1"/>
  <c r="AQ33" i="139"/>
  <c r="AQ60" i="139" s="1"/>
  <c r="BP86" i="139" s="1"/>
  <c r="AQ37" i="139"/>
  <c r="AQ64" i="139" s="1"/>
  <c r="BP90" i="139" s="1"/>
  <c r="AP28" i="139"/>
  <c r="AQ41" i="139"/>
  <c r="AQ68" i="139" s="1"/>
  <c r="BP94" i="139" s="1"/>
  <c r="AQ38" i="139"/>
  <c r="AQ65" i="139" s="1"/>
  <c r="BP91" i="139" s="1"/>
  <c r="AQ30" i="139"/>
  <c r="AQ57" i="139" s="1"/>
  <c r="BP83" i="139" s="1"/>
  <c r="AQ34" i="139"/>
  <c r="AQ61" i="139" s="1"/>
  <c r="BP87" i="139" s="1"/>
  <c r="AP38" i="139" l="1"/>
  <c r="AP65" i="139" s="1"/>
  <c r="BO91" i="139" s="1"/>
  <c r="AO28" i="139"/>
  <c r="AP33" i="139"/>
  <c r="AP60" i="139" s="1"/>
  <c r="BO86" i="139" s="1"/>
  <c r="AP31" i="139"/>
  <c r="AP58" i="139" s="1"/>
  <c r="BO84" i="139" s="1"/>
  <c r="AP37" i="139"/>
  <c r="AP64" i="139" s="1"/>
  <c r="BO90" i="139" s="1"/>
  <c r="AP32" i="139"/>
  <c r="AP59" i="139" s="1"/>
  <c r="BO85" i="139" s="1"/>
  <c r="AP36" i="139"/>
  <c r="AP63" i="139" s="1"/>
  <c r="BO89" i="139" s="1"/>
  <c r="AP41" i="139"/>
  <c r="AP68" i="139" s="1"/>
  <c r="BO94" i="139" s="1"/>
  <c r="AP34" i="139"/>
  <c r="AP61" i="139" s="1"/>
  <c r="BO87" i="139" s="1"/>
  <c r="AP30" i="139"/>
  <c r="AP57" i="139" s="1"/>
  <c r="BO83" i="139" s="1"/>
  <c r="AP35" i="139"/>
  <c r="AP62" i="139" s="1"/>
  <c r="BO88" i="139" s="1"/>
  <c r="AP40" i="139"/>
  <c r="AP67" i="139" s="1"/>
  <c r="BO93" i="139" s="1"/>
  <c r="AP39" i="139"/>
  <c r="AP66" i="139" s="1"/>
  <c r="BO92" i="139" s="1"/>
  <c r="AN28" i="139" l="1"/>
  <c r="AO30" i="139"/>
  <c r="AO57" i="139" s="1"/>
  <c r="BN83" i="139" s="1"/>
  <c r="AO38" i="139"/>
  <c r="AO65" i="139" s="1"/>
  <c r="BN91" i="139" s="1"/>
  <c r="AO37" i="139"/>
  <c r="AO64" i="139" s="1"/>
  <c r="BN90" i="139" s="1"/>
  <c r="AO35" i="139"/>
  <c r="AO62" i="139" s="1"/>
  <c r="BN88" i="139" s="1"/>
  <c r="AO40" i="139"/>
  <c r="AO67" i="139" s="1"/>
  <c r="BN93" i="139" s="1"/>
  <c r="AO36" i="139"/>
  <c r="AO63" i="139" s="1"/>
  <c r="BN89" i="139" s="1"/>
  <c r="AO31" i="139"/>
  <c r="AO58" i="139" s="1"/>
  <c r="BN84" i="139" s="1"/>
  <c r="AO39" i="139"/>
  <c r="AO66" i="139" s="1"/>
  <c r="BN92" i="139" s="1"/>
  <c r="AO33" i="139"/>
  <c r="AO60" i="139" s="1"/>
  <c r="BN86" i="139" s="1"/>
  <c r="AO32" i="139"/>
  <c r="AO59" i="139" s="1"/>
  <c r="BN85" i="139" s="1"/>
  <c r="AO34" i="139"/>
  <c r="AO61" i="139" s="1"/>
  <c r="BN87" i="139" s="1"/>
  <c r="AO41" i="139"/>
  <c r="AO68" i="139" s="1"/>
  <c r="BN94" i="139" s="1"/>
  <c r="AN41" i="139" l="1"/>
  <c r="AN68" i="139" s="1"/>
  <c r="BM94" i="139" s="1"/>
  <c r="AN34" i="139"/>
  <c r="AN61" i="139" s="1"/>
  <c r="BM87" i="139" s="1"/>
  <c r="AN38" i="139"/>
  <c r="AN65" i="139" s="1"/>
  <c r="BM91" i="139" s="1"/>
  <c r="AN40" i="139"/>
  <c r="AN67" i="139" s="1"/>
  <c r="BM93" i="139" s="1"/>
  <c r="AN37" i="139"/>
  <c r="AN64" i="139" s="1"/>
  <c r="BM90" i="139" s="1"/>
  <c r="AN31" i="139"/>
  <c r="AN58" i="139" s="1"/>
  <c r="BM84" i="139" s="1"/>
  <c r="AM28" i="139"/>
  <c r="AN33" i="139"/>
  <c r="AN60" i="139" s="1"/>
  <c r="BM86" i="139" s="1"/>
  <c r="AN36" i="139"/>
  <c r="AN63" i="139" s="1"/>
  <c r="BM89" i="139" s="1"/>
  <c r="AN32" i="139"/>
  <c r="AN59" i="139" s="1"/>
  <c r="BM85" i="139" s="1"/>
  <c r="AN30" i="139"/>
  <c r="AN57" i="139" s="1"/>
  <c r="BM83" i="139" s="1"/>
  <c r="AN35" i="139"/>
  <c r="AN62" i="139" s="1"/>
  <c r="BM88" i="139" s="1"/>
  <c r="AN39" i="139"/>
  <c r="AN66" i="139" s="1"/>
  <c r="BM92" i="139" s="1"/>
  <c r="AM40" i="139" l="1"/>
  <c r="AM67" i="139" s="1"/>
  <c r="BL93" i="139" s="1"/>
  <c r="AM34" i="139"/>
  <c r="AM61" i="139" s="1"/>
  <c r="BL87" i="139" s="1"/>
  <c r="AM37" i="139"/>
  <c r="AM64" i="139" s="1"/>
  <c r="BL90" i="139" s="1"/>
  <c r="AM36" i="139"/>
  <c r="AM63" i="139" s="1"/>
  <c r="BL89" i="139" s="1"/>
  <c r="AM38" i="139"/>
  <c r="AM65" i="139" s="1"/>
  <c r="BL91" i="139" s="1"/>
  <c r="AM39" i="139"/>
  <c r="AM66" i="139" s="1"/>
  <c r="BL92" i="139" s="1"/>
  <c r="AM32" i="139"/>
  <c r="AM59" i="139" s="1"/>
  <c r="BL85" i="139" s="1"/>
  <c r="AM33" i="139"/>
  <c r="AM60" i="139" s="1"/>
  <c r="BL86" i="139" s="1"/>
  <c r="AM35" i="139"/>
  <c r="AM62" i="139" s="1"/>
  <c r="BL88" i="139" s="1"/>
  <c r="AM30" i="139"/>
  <c r="AM57" i="139" s="1"/>
  <c r="BL83" i="139" s="1"/>
  <c r="AM41" i="139"/>
  <c r="AM68" i="139" s="1"/>
  <c r="BL94" i="139" s="1"/>
  <c r="AL28" i="139"/>
  <c r="AM31" i="139"/>
  <c r="AM58" i="139" s="1"/>
  <c r="BL84" i="139" s="1"/>
  <c r="JJ33" i="139"/>
  <c r="JJ36" i="139"/>
  <c r="JJ38" i="139"/>
  <c r="JJ40" i="139"/>
  <c r="JJ32" i="139"/>
  <c r="JJ31" i="139"/>
  <c r="JJ34" i="139"/>
  <c r="JJ37" i="139"/>
  <c r="JJ64" i="139"/>
  <c r="JJ61" i="139"/>
  <c r="JJ57" i="139"/>
  <c r="JJ59" i="139"/>
  <c r="JJ68" i="139"/>
  <c r="JJ67" i="139"/>
  <c r="JJ62" i="139"/>
  <c r="JJ66" i="139"/>
  <c r="JJ39" i="139"/>
  <c r="JJ35" i="139"/>
  <c r="JJ41" i="139"/>
  <c r="JJ30" i="139"/>
  <c r="JI61" i="139"/>
  <c r="JK61" i="139"/>
  <c r="JL61" i="139" s="1"/>
  <c r="JJ58" i="139"/>
  <c r="JI68" i="139"/>
  <c r="JK68" i="139"/>
  <c r="JL68" i="139" s="1"/>
  <c r="JN68" i="139" s="1"/>
  <c r="JJ65" i="139"/>
  <c r="JJ63" i="139"/>
  <c r="JJ60" i="139"/>
  <c r="JI33" i="139"/>
  <c r="JK33" i="139"/>
  <c r="JL33" i="139" s="1"/>
  <c r="JN33" i="139" s="1"/>
  <c r="JI59" i="139"/>
  <c r="JK59" i="139"/>
  <c r="JL59" i="139" s="1"/>
  <c r="JI38" i="139"/>
  <c r="JK38" i="139"/>
  <c r="JL38" i="139" s="1"/>
  <c r="JN38" i="139" s="1"/>
  <c r="JI40" i="139"/>
  <c r="JK40" i="139"/>
  <c r="JL40" i="139" s="1"/>
  <c r="JN40" i="139" s="1"/>
  <c r="JI31" i="139"/>
  <c r="JK31" i="139"/>
  <c r="JL31" i="139" s="1"/>
  <c r="JN31" i="139" s="1"/>
  <c r="JI57" i="139"/>
  <c r="JK57" i="139"/>
  <c r="JL57" i="139" s="1"/>
  <c r="JN57" i="139" s="1"/>
  <c r="JI36" i="139"/>
  <c r="JK36" i="139"/>
  <c r="JL36" i="139" s="1"/>
  <c r="JN36" i="139" s="1"/>
  <c r="JI34" i="139"/>
  <c r="JK34" i="139"/>
  <c r="JL34" i="139" s="1"/>
  <c r="JN34" i="139" s="1"/>
  <c r="JI60" i="139"/>
  <c r="JK60" i="139"/>
  <c r="JL60" i="139" s="1"/>
  <c r="JN60" i="139" s="1"/>
  <c r="JI39" i="139"/>
  <c r="JK39" i="139"/>
  <c r="JL39" i="139" s="1"/>
  <c r="JN39" i="139" s="1"/>
  <c r="JI35" i="139"/>
  <c r="JK35" i="139"/>
  <c r="JL35" i="139" s="1"/>
  <c r="JI41" i="139"/>
  <c r="JK41" i="139"/>
  <c r="JL41" i="139" s="1"/>
  <c r="JN41" i="139" s="1"/>
  <c r="JI30" i="139"/>
  <c r="JK30" i="139"/>
  <c r="JL30" i="139" s="1"/>
  <c r="JN30" i="139" s="1"/>
  <c r="JI37" i="139"/>
  <c r="JK37" i="139"/>
  <c r="JL37" i="139" s="1"/>
  <c r="JN37" i="139" s="1"/>
  <c r="JI58" i="139"/>
  <c r="JK58" i="139"/>
  <c r="JL58" i="139" s="1"/>
  <c r="JN58" i="139" s="1"/>
  <c r="JI67" i="139"/>
  <c r="JK67" i="139"/>
  <c r="JL67" i="139" s="1"/>
  <c r="JN67" i="139" s="1"/>
  <c r="JI65" i="139"/>
  <c r="JK65" i="139"/>
  <c r="JL65" i="139" s="1"/>
  <c r="JN65" i="139" s="1"/>
  <c r="JI63" i="139"/>
  <c r="JK63" i="139"/>
  <c r="JL63" i="139" s="1"/>
  <c r="JN63" i="139" s="1"/>
  <c r="JI64" i="139"/>
  <c r="JK64" i="139"/>
  <c r="JL64" i="139" s="1"/>
  <c r="JN64" i="139" s="1"/>
  <c r="JI62" i="139"/>
  <c r="JK62" i="139"/>
  <c r="JL62" i="139" s="1"/>
  <c r="JN62" i="139" s="1"/>
  <c r="JI66" i="139"/>
  <c r="JK66" i="139"/>
  <c r="JL66" i="139" s="1"/>
  <c r="JN66" i="139" s="1"/>
  <c r="JI32" i="139"/>
  <c r="JK32" i="139"/>
  <c r="JL32" i="139" s="1"/>
  <c r="JN32" i="139" s="1"/>
  <c r="AL35" i="139" l="1"/>
  <c r="AL62" i="139" s="1"/>
  <c r="BK88" i="139" s="1"/>
  <c r="AL34" i="139"/>
  <c r="AL61" i="139" s="1"/>
  <c r="BK87" i="139" s="1"/>
  <c r="AL37" i="139"/>
  <c r="AL64" i="139" s="1"/>
  <c r="BK90" i="139" s="1"/>
  <c r="AL38" i="139"/>
  <c r="AL65" i="139" s="1"/>
  <c r="BK91" i="139" s="1"/>
  <c r="AL39" i="139"/>
  <c r="AL66" i="139" s="1"/>
  <c r="BK92" i="139" s="1"/>
  <c r="AL33" i="139"/>
  <c r="AL60" i="139" s="1"/>
  <c r="BK86" i="139" s="1"/>
  <c r="AK28" i="139"/>
  <c r="AL40" i="139"/>
  <c r="AL67" i="139" s="1"/>
  <c r="BK93" i="139" s="1"/>
  <c r="AL41" i="139"/>
  <c r="AL68" i="139" s="1"/>
  <c r="BK94" i="139" s="1"/>
  <c r="AL30" i="139"/>
  <c r="AL57" i="139" s="1"/>
  <c r="BK83" i="139" s="1"/>
  <c r="AL32" i="139"/>
  <c r="AL59" i="139" s="1"/>
  <c r="BK85" i="139" s="1"/>
  <c r="AL36" i="139"/>
  <c r="AL63" i="139" s="1"/>
  <c r="BK89" i="139" s="1"/>
  <c r="AL31" i="139"/>
  <c r="AL58" i="139" s="1"/>
  <c r="BK84" i="139" s="1"/>
  <c r="JM40" i="139"/>
  <c r="JM35" i="139"/>
  <c r="JM68" i="139"/>
  <c r="JM59" i="139"/>
  <c r="JM34" i="139"/>
  <c r="JM37" i="139"/>
  <c r="JM39" i="139"/>
  <c r="JM31" i="139"/>
  <c r="JM38" i="139"/>
  <c r="JM32" i="139"/>
  <c r="JM66" i="139"/>
  <c r="JM63" i="139"/>
  <c r="JM67" i="139"/>
  <c r="JM58" i="139"/>
  <c r="JM57" i="139"/>
  <c r="JN61" i="139"/>
  <c r="JM61" i="139"/>
  <c r="JM62" i="139"/>
  <c r="JN59" i="139"/>
  <c r="JM65" i="139"/>
  <c r="JM60" i="139"/>
  <c r="JM36" i="139"/>
  <c r="JM41" i="139"/>
  <c r="JM30" i="139"/>
  <c r="JM33" i="139"/>
  <c r="JM64" i="139"/>
  <c r="JN35" i="139"/>
  <c r="AK41" i="139" l="1"/>
  <c r="AK68" i="139" s="1"/>
  <c r="BJ94" i="139" s="1"/>
  <c r="AK30" i="139"/>
  <c r="AK57" i="139" s="1"/>
  <c r="BJ83" i="139" s="1"/>
  <c r="AK32" i="139"/>
  <c r="AK59" i="139" s="1"/>
  <c r="BJ85" i="139" s="1"/>
  <c r="AK37" i="139"/>
  <c r="AK64" i="139" s="1"/>
  <c r="BJ90" i="139" s="1"/>
  <c r="AK35" i="139"/>
  <c r="AK62" i="139" s="1"/>
  <c r="BJ88" i="139" s="1"/>
  <c r="AK38" i="139"/>
  <c r="AK65" i="139" s="1"/>
  <c r="BJ91" i="139" s="1"/>
  <c r="AK33" i="139"/>
  <c r="AK60" i="139" s="1"/>
  <c r="BJ86" i="139" s="1"/>
  <c r="AK31" i="139"/>
  <c r="AK58" i="139" s="1"/>
  <c r="BJ84" i="139" s="1"/>
  <c r="AK34" i="139"/>
  <c r="AK61" i="139" s="1"/>
  <c r="BJ87" i="139" s="1"/>
  <c r="AK36" i="139"/>
  <c r="AK63" i="139" s="1"/>
  <c r="BJ89" i="139" s="1"/>
  <c r="AJ28" i="139"/>
  <c r="AK40" i="139"/>
  <c r="AK67" i="139" s="1"/>
  <c r="BJ93" i="139" s="1"/>
  <c r="AK39" i="139"/>
  <c r="AK66" i="139" s="1"/>
  <c r="BJ92" i="139" s="1"/>
  <c r="AJ34" i="139" l="1"/>
  <c r="AJ61" i="139" s="1"/>
  <c r="BI87" i="139" s="1"/>
  <c r="AJ36" i="139"/>
  <c r="AJ63" i="139" s="1"/>
  <c r="BI89" i="139" s="1"/>
  <c r="AJ37" i="139"/>
  <c r="AJ64" i="139" s="1"/>
  <c r="BI90" i="139" s="1"/>
  <c r="AJ35" i="139"/>
  <c r="AJ62" i="139" s="1"/>
  <c r="BI88" i="139" s="1"/>
  <c r="AI28" i="139"/>
  <c r="AJ39" i="139"/>
  <c r="AJ66" i="139" s="1"/>
  <c r="BI92" i="139" s="1"/>
  <c r="AJ41" i="139"/>
  <c r="AJ68" i="139" s="1"/>
  <c r="BI94" i="139" s="1"/>
  <c r="AJ31" i="139"/>
  <c r="AJ58" i="139" s="1"/>
  <c r="BI84" i="139" s="1"/>
  <c r="AJ40" i="139"/>
  <c r="AJ67" i="139" s="1"/>
  <c r="BI93" i="139" s="1"/>
  <c r="AJ33" i="139"/>
  <c r="AJ60" i="139" s="1"/>
  <c r="BI86" i="139" s="1"/>
  <c r="AJ30" i="139"/>
  <c r="AJ57" i="139" s="1"/>
  <c r="BI83" i="139" s="1"/>
  <c r="AJ32" i="139"/>
  <c r="AJ59" i="139" s="1"/>
  <c r="BI85" i="139" s="1"/>
  <c r="AJ38" i="139"/>
  <c r="AJ65" i="139" s="1"/>
  <c r="BI91" i="139" s="1"/>
  <c r="AI31" i="139" l="1"/>
  <c r="AI58" i="139" s="1"/>
  <c r="BH84" i="139" s="1"/>
  <c r="AH28" i="139"/>
  <c r="AI38" i="139"/>
  <c r="AI65" i="139" s="1"/>
  <c r="BH91" i="139" s="1"/>
  <c r="AI33" i="139"/>
  <c r="AI60" i="139" s="1"/>
  <c r="BH86" i="139" s="1"/>
  <c r="AI39" i="139"/>
  <c r="AI66" i="139" s="1"/>
  <c r="BH92" i="139" s="1"/>
  <c r="AI40" i="139"/>
  <c r="AI67" i="139" s="1"/>
  <c r="BH93" i="139" s="1"/>
  <c r="AI36" i="139"/>
  <c r="AI63" i="139" s="1"/>
  <c r="BH89" i="139" s="1"/>
  <c r="AI35" i="139"/>
  <c r="AI62" i="139" s="1"/>
  <c r="BH88" i="139" s="1"/>
  <c r="AI34" i="139"/>
  <c r="AI61" i="139" s="1"/>
  <c r="BH87" i="139" s="1"/>
  <c r="AI30" i="139"/>
  <c r="AI57" i="139" s="1"/>
  <c r="BH83" i="139" s="1"/>
  <c r="AI41" i="139"/>
  <c r="AI68" i="139" s="1"/>
  <c r="BH94" i="139" s="1"/>
  <c r="AI37" i="139"/>
  <c r="AI64" i="139" s="1"/>
  <c r="BH90" i="139" s="1"/>
  <c r="AI32" i="139"/>
  <c r="AI59" i="139" s="1"/>
  <c r="BH85" i="139" s="1"/>
  <c r="AG28" i="139" l="1"/>
  <c r="AH41" i="139"/>
  <c r="AH68" i="139" s="1"/>
  <c r="BG94" i="139" s="1"/>
  <c r="AH30" i="139"/>
  <c r="AH57" i="139" s="1"/>
  <c r="BG83" i="139" s="1"/>
  <c r="AH38" i="139"/>
  <c r="AH65" i="139" s="1"/>
  <c r="BG91" i="139" s="1"/>
  <c r="AH35" i="139"/>
  <c r="AH62" i="139" s="1"/>
  <c r="BG88" i="139" s="1"/>
  <c r="AH37" i="139"/>
  <c r="AH64" i="139" s="1"/>
  <c r="BG90" i="139" s="1"/>
  <c r="AH33" i="139"/>
  <c r="AH60" i="139" s="1"/>
  <c r="BG86" i="139" s="1"/>
  <c r="AH32" i="139"/>
  <c r="AH59" i="139" s="1"/>
  <c r="BG85" i="139" s="1"/>
  <c r="AH36" i="139"/>
  <c r="AH63" i="139" s="1"/>
  <c r="BG89" i="139" s="1"/>
  <c r="AH39" i="139"/>
  <c r="AH66" i="139" s="1"/>
  <c r="BG92" i="139" s="1"/>
  <c r="AH40" i="139"/>
  <c r="AH67" i="139" s="1"/>
  <c r="BG93" i="139" s="1"/>
  <c r="AH34" i="139"/>
  <c r="AH61" i="139" s="1"/>
  <c r="BG87" i="139" s="1"/>
  <c r="AH31" i="139"/>
  <c r="AH58" i="139" s="1"/>
  <c r="BG84" i="139" s="1"/>
  <c r="AG33" i="139" l="1"/>
  <c r="AG60" i="139" s="1"/>
  <c r="BF86" i="139" s="1"/>
  <c r="AG36" i="139"/>
  <c r="AG63" i="139" s="1"/>
  <c r="BF89" i="139" s="1"/>
  <c r="AF28" i="139"/>
  <c r="AG40" i="139"/>
  <c r="AG67" i="139" s="1"/>
  <c r="BF93" i="139" s="1"/>
  <c r="AG35" i="139"/>
  <c r="AG62" i="139" s="1"/>
  <c r="BF88" i="139" s="1"/>
  <c r="AG37" i="139"/>
  <c r="AG64" i="139" s="1"/>
  <c r="BF90" i="139" s="1"/>
  <c r="AG30" i="139"/>
  <c r="AG57" i="139" s="1"/>
  <c r="BF83" i="139" s="1"/>
  <c r="AG38" i="139"/>
  <c r="AG65" i="139" s="1"/>
  <c r="BF91" i="139" s="1"/>
  <c r="AG34" i="139"/>
  <c r="AG61" i="139" s="1"/>
  <c r="BF87" i="139" s="1"/>
  <c r="AG39" i="139"/>
  <c r="AG66" i="139" s="1"/>
  <c r="BF92" i="139" s="1"/>
  <c r="AG32" i="139"/>
  <c r="AG59" i="139" s="1"/>
  <c r="BF85" i="139" s="1"/>
  <c r="AG31" i="139"/>
  <c r="AG58" i="139" s="1"/>
  <c r="BF84" i="139" s="1"/>
  <c r="AG41" i="139"/>
  <c r="AG68" i="139" s="1"/>
  <c r="BF94" i="139" s="1"/>
  <c r="AF35" i="139" l="1"/>
  <c r="AF62" i="139" s="1"/>
  <c r="BE88" i="139" s="1"/>
  <c r="AF34" i="139"/>
  <c r="AF61" i="139" s="1"/>
  <c r="BE87" i="139" s="1"/>
  <c r="AF37" i="139"/>
  <c r="AF64" i="139" s="1"/>
  <c r="BE90" i="139" s="1"/>
  <c r="AF41" i="139"/>
  <c r="AF68" i="139" s="1"/>
  <c r="BE94" i="139" s="1"/>
  <c r="AE28" i="139"/>
  <c r="AF40" i="139"/>
  <c r="AF67" i="139" s="1"/>
  <c r="BE93" i="139" s="1"/>
  <c r="AF30" i="139"/>
  <c r="AF57" i="139" s="1"/>
  <c r="BE83" i="139" s="1"/>
  <c r="AF39" i="139"/>
  <c r="AF66" i="139" s="1"/>
  <c r="BE92" i="139" s="1"/>
  <c r="AF32" i="139"/>
  <c r="AF59" i="139" s="1"/>
  <c r="BE85" i="139" s="1"/>
  <c r="AF31" i="139"/>
  <c r="AF58" i="139" s="1"/>
  <c r="BE84" i="139" s="1"/>
  <c r="AF36" i="139"/>
  <c r="AF63" i="139" s="1"/>
  <c r="BE89" i="139" s="1"/>
  <c r="AF33" i="139"/>
  <c r="AF60" i="139" s="1"/>
  <c r="BE86" i="139" s="1"/>
  <c r="AF38" i="139"/>
  <c r="AF65" i="139" s="1"/>
  <c r="BE91" i="139" s="1"/>
  <c r="AE36" i="139" l="1"/>
  <c r="AE63" i="139" s="1"/>
  <c r="BD89" i="139" s="1"/>
  <c r="AD28" i="139"/>
  <c r="AE38" i="139"/>
  <c r="AE65" i="139" s="1"/>
  <c r="BD91" i="139" s="1"/>
  <c r="AE35" i="139"/>
  <c r="AE62" i="139" s="1"/>
  <c r="BD88" i="139" s="1"/>
  <c r="AE40" i="139"/>
  <c r="AE67" i="139" s="1"/>
  <c r="BD93" i="139" s="1"/>
  <c r="AE34" i="139"/>
  <c r="AE61" i="139" s="1"/>
  <c r="BD87" i="139" s="1"/>
  <c r="AE32" i="139"/>
  <c r="AE59" i="139" s="1"/>
  <c r="BD85" i="139" s="1"/>
  <c r="AE30" i="139"/>
  <c r="AE57" i="139" s="1"/>
  <c r="BD83" i="139" s="1"/>
  <c r="AE41" i="139"/>
  <c r="AE68" i="139" s="1"/>
  <c r="BD94" i="139" s="1"/>
  <c r="AE37" i="139"/>
  <c r="AE64" i="139" s="1"/>
  <c r="BD90" i="139" s="1"/>
  <c r="AE31" i="139"/>
  <c r="AE58" i="139" s="1"/>
  <c r="BD84" i="139" s="1"/>
  <c r="AE33" i="139"/>
  <c r="AE60" i="139" s="1"/>
  <c r="BD86" i="139" s="1"/>
  <c r="AE39" i="139"/>
  <c r="AE66" i="139" s="1"/>
  <c r="BD92" i="139" s="1"/>
  <c r="AD34" i="139" l="1"/>
  <c r="AD61" i="139" s="1"/>
  <c r="BC87" i="139" s="1"/>
  <c r="AD37" i="139"/>
  <c r="AD64" i="139" s="1"/>
  <c r="BC90" i="139" s="1"/>
  <c r="AD32" i="139"/>
  <c r="AD59" i="139" s="1"/>
  <c r="BC85" i="139" s="1"/>
  <c r="AD41" i="139"/>
  <c r="AD68" i="139" s="1"/>
  <c r="BC94" i="139" s="1"/>
  <c r="AC28" i="139"/>
  <c r="AD40" i="139"/>
  <c r="AD67" i="139" s="1"/>
  <c r="BC93" i="139" s="1"/>
  <c r="AD33" i="139"/>
  <c r="AD60" i="139" s="1"/>
  <c r="BC86" i="139" s="1"/>
  <c r="AD35" i="139"/>
  <c r="AD62" i="139" s="1"/>
  <c r="BC88" i="139" s="1"/>
  <c r="AD36" i="139"/>
  <c r="AD63" i="139" s="1"/>
  <c r="BC89" i="139" s="1"/>
  <c r="AD38" i="139"/>
  <c r="AD65" i="139" s="1"/>
  <c r="BC91" i="139" s="1"/>
  <c r="AD39" i="139"/>
  <c r="AD66" i="139" s="1"/>
  <c r="BC92" i="139" s="1"/>
  <c r="AD30" i="139"/>
  <c r="AD57" i="139" s="1"/>
  <c r="BC83" i="139" s="1"/>
  <c r="AD31" i="139"/>
  <c r="AD58" i="139" s="1"/>
  <c r="BC84" i="139" s="1"/>
  <c r="AC34" i="139" l="1"/>
  <c r="AC61" i="139" s="1"/>
  <c r="BB87" i="139" s="1"/>
  <c r="AC31" i="139"/>
  <c r="AC58" i="139" s="1"/>
  <c r="BB84" i="139" s="1"/>
  <c r="AC30" i="139"/>
  <c r="AC57" i="139" s="1"/>
  <c r="BB83" i="139" s="1"/>
  <c r="AC35" i="139"/>
  <c r="AC62" i="139" s="1"/>
  <c r="BB88" i="139" s="1"/>
  <c r="AC41" i="139"/>
  <c r="AC68" i="139" s="1"/>
  <c r="BB94" i="139" s="1"/>
  <c r="AC39" i="139"/>
  <c r="AC66" i="139" s="1"/>
  <c r="BB92" i="139" s="1"/>
  <c r="AC36" i="139"/>
  <c r="AC63" i="139" s="1"/>
  <c r="BB89" i="139" s="1"/>
  <c r="AC37" i="139"/>
  <c r="AC64" i="139" s="1"/>
  <c r="BB90" i="139" s="1"/>
  <c r="AC33" i="139"/>
  <c r="AC60" i="139" s="1"/>
  <c r="BB86" i="139" s="1"/>
  <c r="AC40" i="139"/>
  <c r="AC67" i="139" s="1"/>
  <c r="BB93" i="139" s="1"/>
  <c r="AC32" i="139"/>
  <c r="AC59" i="139" s="1"/>
  <c r="BB85" i="139" s="1"/>
  <c r="AB28" i="139"/>
  <c r="AC38" i="139"/>
  <c r="AC65" i="139" s="1"/>
  <c r="BB91" i="139" s="1"/>
  <c r="AB41" i="139" l="1"/>
  <c r="AB68" i="139" s="1"/>
  <c r="BA94" i="139" s="1"/>
  <c r="AB37" i="139"/>
  <c r="AB64" i="139" s="1"/>
  <c r="BA90" i="139" s="1"/>
  <c r="AB33" i="139"/>
  <c r="AB60" i="139" s="1"/>
  <c r="BA86" i="139" s="1"/>
  <c r="AB31" i="139"/>
  <c r="AB58" i="139" s="1"/>
  <c r="BA84" i="139" s="1"/>
  <c r="AB32" i="139"/>
  <c r="AB59" i="139" s="1"/>
  <c r="BA85" i="139" s="1"/>
  <c r="AB34" i="139"/>
  <c r="AB61" i="139" s="1"/>
  <c r="BA87" i="139" s="1"/>
  <c r="AA28" i="139"/>
  <c r="AB35" i="139"/>
  <c r="AB62" i="139" s="1"/>
  <c r="BA88" i="139" s="1"/>
  <c r="AB40" i="139"/>
  <c r="AB67" i="139" s="1"/>
  <c r="BA93" i="139" s="1"/>
  <c r="AB30" i="139"/>
  <c r="AB57" i="139" s="1"/>
  <c r="BA83" i="139" s="1"/>
  <c r="AB36" i="139"/>
  <c r="AB63" i="139" s="1"/>
  <c r="BA89" i="139" s="1"/>
  <c r="AB38" i="139"/>
  <c r="AB65" i="139" s="1"/>
  <c r="BA91" i="139" s="1"/>
  <c r="AB39" i="139"/>
  <c r="AB66" i="139" s="1"/>
  <c r="BA92" i="139" s="1"/>
  <c r="AA36" i="139" l="1"/>
  <c r="AA63" i="139" s="1"/>
  <c r="AZ89" i="139" s="1"/>
  <c r="AA30" i="139"/>
  <c r="AA57" i="139" s="1"/>
  <c r="AZ83" i="139" s="1"/>
  <c r="AA35" i="139"/>
  <c r="AA62" i="139" s="1"/>
  <c r="AZ88" i="139" s="1"/>
  <c r="AA32" i="139"/>
  <c r="AA59" i="139" s="1"/>
  <c r="AZ85" i="139" s="1"/>
  <c r="AA40" i="139"/>
  <c r="AA67" i="139" s="1"/>
  <c r="AZ93" i="139" s="1"/>
  <c r="AA41" i="139"/>
  <c r="AA68" i="139" s="1"/>
  <c r="AZ94" i="139" s="1"/>
  <c r="AA39" i="139"/>
  <c r="AA66" i="139" s="1"/>
  <c r="AZ92" i="139" s="1"/>
  <c r="AA38" i="139"/>
  <c r="AA65" i="139" s="1"/>
  <c r="AZ91" i="139" s="1"/>
  <c r="Z28" i="139"/>
  <c r="AA31" i="139"/>
  <c r="AA58" i="139" s="1"/>
  <c r="AZ84" i="139" s="1"/>
  <c r="AA34" i="139"/>
  <c r="AA61" i="139" s="1"/>
  <c r="AZ87" i="139" s="1"/>
  <c r="AA33" i="139"/>
  <c r="AA60" i="139" s="1"/>
  <c r="AZ86" i="139" s="1"/>
  <c r="AA37" i="139"/>
  <c r="AA64" i="139" s="1"/>
  <c r="AZ90" i="139" s="1"/>
  <c r="Z38" i="139" l="1"/>
  <c r="Z65" i="139" s="1"/>
  <c r="AY91" i="139" s="1"/>
  <c r="Z37" i="139"/>
  <c r="Z64" i="139" s="1"/>
  <c r="AY90" i="139" s="1"/>
  <c r="Z31" i="139"/>
  <c r="Z58" i="139" s="1"/>
  <c r="AY84" i="139" s="1"/>
  <c r="Z39" i="139"/>
  <c r="Z66" i="139" s="1"/>
  <c r="AY92" i="139" s="1"/>
  <c r="Z36" i="139"/>
  <c r="Z63" i="139" s="1"/>
  <c r="AY89" i="139" s="1"/>
  <c r="Z32" i="139"/>
  <c r="Z59" i="139" s="1"/>
  <c r="AY85" i="139" s="1"/>
  <c r="Z35" i="139"/>
  <c r="Z62" i="139" s="1"/>
  <c r="AY88" i="139" s="1"/>
  <c r="Z40" i="139"/>
  <c r="Z67" i="139" s="1"/>
  <c r="AY93" i="139" s="1"/>
  <c r="Z33" i="139"/>
  <c r="Z60" i="139" s="1"/>
  <c r="AY86" i="139" s="1"/>
  <c r="Z30" i="139"/>
  <c r="Z57" i="139" s="1"/>
  <c r="AY83" i="139" s="1"/>
  <c r="Z41" i="139"/>
  <c r="Z68" i="139" s="1"/>
  <c r="AY94" i="139" s="1"/>
  <c r="Z34" i="139"/>
  <c r="Z61" i="139" s="1"/>
  <c r="AY87" i="139" s="1"/>
  <c r="Y28" i="139"/>
  <c r="Y32" i="139" l="1"/>
  <c r="Y59" i="139" s="1"/>
  <c r="AX85" i="139" s="1"/>
  <c r="Y39" i="139"/>
  <c r="Y66" i="139" s="1"/>
  <c r="AX92" i="139" s="1"/>
  <c r="Y41" i="139"/>
  <c r="Y68" i="139" s="1"/>
  <c r="AX94" i="139" s="1"/>
  <c r="X28" i="139"/>
  <c r="Y34" i="139"/>
  <c r="Y61" i="139" s="1"/>
  <c r="AX87" i="139" s="1"/>
  <c r="Y40" i="139"/>
  <c r="Y67" i="139" s="1"/>
  <c r="AX93" i="139" s="1"/>
  <c r="Y31" i="139"/>
  <c r="Y58" i="139" s="1"/>
  <c r="AX84" i="139" s="1"/>
  <c r="Y35" i="139"/>
  <c r="Y62" i="139" s="1"/>
  <c r="AX88" i="139" s="1"/>
  <c r="Y30" i="139"/>
  <c r="Y57" i="139" s="1"/>
  <c r="AX83" i="139" s="1"/>
  <c r="Y37" i="139"/>
  <c r="Y64" i="139" s="1"/>
  <c r="AX90" i="139" s="1"/>
  <c r="Y36" i="139"/>
  <c r="Y63" i="139" s="1"/>
  <c r="AX89" i="139" s="1"/>
  <c r="Y33" i="139"/>
  <c r="Y60" i="139" s="1"/>
  <c r="AX86" i="139" s="1"/>
  <c r="Y38" i="139"/>
  <c r="Y65" i="139" s="1"/>
  <c r="AX91" i="139" s="1"/>
  <c r="X32" i="139" l="1"/>
  <c r="X59" i="139" s="1"/>
  <c r="AW85" i="139" s="1"/>
  <c r="X34" i="139"/>
  <c r="X61" i="139" s="1"/>
  <c r="AW87" i="139" s="1"/>
  <c r="X35" i="139"/>
  <c r="X62" i="139" s="1"/>
  <c r="AW88" i="139" s="1"/>
  <c r="X39" i="139"/>
  <c r="X66" i="139" s="1"/>
  <c r="AW92" i="139" s="1"/>
  <c r="W28" i="139"/>
  <c r="X40" i="139"/>
  <c r="X67" i="139" s="1"/>
  <c r="AW93" i="139" s="1"/>
  <c r="X30" i="139"/>
  <c r="X57" i="139" s="1"/>
  <c r="AW83" i="139" s="1"/>
  <c r="X33" i="139"/>
  <c r="X60" i="139" s="1"/>
  <c r="AW86" i="139" s="1"/>
  <c r="X31" i="139"/>
  <c r="X58" i="139" s="1"/>
  <c r="AW84" i="139" s="1"/>
  <c r="X37" i="139"/>
  <c r="X64" i="139" s="1"/>
  <c r="AW90" i="139" s="1"/>
  <c r="X41" i="139"/>
  <c r="X68" i="139" s="1"/>
  <c r="AW94" i="139" s="1"/>
  <c r="X36" i="139"/>
  <c r="X63" i="139" s="1"/>
  <c r="AW89" i="139" s="1"/>
  <c r="X38" i="139"/>
  <c r="X65" i="139" s="1"/>
  <c r="AW91" i="139" s="1"/>
  <c r="W37" i="139" l="1"/>
  <c r="W64" i="139" s="1"/>
  <c r="AV90" i="139" s="1"/>
  <c r="W41" i="139"/>
  <c r="W68" i="139" s="1"/>
  <c r="AV94" i="139" s="1"/>
  <c r="W32" i="139"/>
  <c r="W59" i="139" s="1"/>
  <c r="AV85" i="139" s="1"/>
  <c r="V28" i="139"/>
  <c r="W40" i="139"/>
  <c r="W67" i="139" s="1"/>
  <c r="AV93" i="139" s="1"/>
  <c r="W35" i="139"/>
  <c r="W62" i="139" s="1"/>
  <c r="AV88" i="139" s="1"/>
  <c r="W34" i="139"/>
  <c r="W61" i="139" s="1"/>
  <c r="AV87" i="139" s="1"/>
  <c r="W30" i="139"/>
  <c r="W57" i="139" s="1"/>
  <c r="AV83" i="139" s="1"/>
  <c r="W38" i="139"/>
  <c r="W65" i="139" s="1"/>
  <c r="AV91" i="139" s="1"/>
  <c r="W39" i="139"/>
  <c r="W66" i="139" s="1"/>
  <c r="AV92" i="139" s="1"/>
  <c r="W33" i="139"/>
  <c r="W60" i="139" s="1"/>
  <c r="AV86" i="139" s="1"/>
  <c r="W31" i="139"/>
  <c r="W58" i="139" s="1"/>
  <c r="AV84" i="139" s="1"/>
  <c r="W36" i="139"/>
  <c r="W63" i="139" s="1"/>
  <c r="AV89" i="139" s="1"/>
  <c r="V36" i="139" l="1"/>
  <c r="V63" i="139" s="1"/>
  <c r="AU89" i="139" s="1"/>
  <c r="V31" i="139"/>
  <c r="V58" i="139" s="1"/>
  <c r="AU84" i="139" s="1"/>
  <c r="V41" i="139"/>
  <c r="V68" i="139" s="1"/>
  <c r="AU94" i="139" s="1"/>
  <c r="V30" i="139"/>
  <c r="V57" i="139" s="1"/>
  <c r="AU83" i="139" s="1"/>
  <c r="U28" i="139"/>
  <c r="V32" i="139"/>
  <c r="V59" i="139" s="1"/>
  <c r="AU85" i="139" s="1"/>
  <c r="V40" i="139"/>
  <c r="V67" i="139" s="1"/>
  <c r="AU93" i="139" s="1"/>
  <c r="V33" i="139"/>
  <c r="V60" i="139" s="1"/>
  <c r="AU86" i="139" s="1"/>
  <c r="V35" i="139"/>
  <c r="V62" i="139" s="1"/>
  <c r="AU88" i="139" s="1"/>
  <c r="V37" i="139"/>
  <c r="V64" i="139" s="1"/>
  <c r="AU90" i="139" s="1"/>
  <c r="V34" i="139"/>
  <c r="V61" i="139" s="1"/>
  <c r="AU87" i="139" s="1"/>
  <c r="V38" i="139"/>
  <c r="V65" i="139" s="1"/>
  <c r="AU91" i="139" s="1"/>
  <c r="V39" i="139"/>
  <c r="V66" i="139" s="1"/>
  <c r="AU92" i="139" s="1"/>
  <c r="T28" i="139" l="1"/>
  <c r="U40" i="139"/>
  <c r="U67" i="139" s="1"/>
  <c r="AT93" i="139" s="1"/>
  <c r="U35" i="139"/>
  <c r="U62" i="139" s="1"/>
  <c r="AT88" i="139" s="1"/>
  <c r="U33" i="139"/>
  <c r="U60" i="139" s="1"/>
  <c r="AT86" i="139" s="1"/>
  <c r="U41" i="139"/>
  <c r="U68" i="139" s="1"/>
  <c r="AT94" i="139" s="1"/>
  <c r="U34" i="139"/>
  <c r="U61" i="139" s="1"/>
  <c r="AT87" i="139" s="1"/>
  <c r="U30" i="139"/>
  <c r="U57" i="139" s="1"/>
  <c r="AT83" i="139" s="1"/>
  <c r="U32" i="139"/>
  <c r="U59" i="139" s="1"/>
  <c r="AT85" i="139" s="1"/>
  <c r="U37" i="139"/>
  <c r="U64" i="139" s="1"/>
  <c r="AT90" i="139" s="1"/>
  <c r="U39" i="139"/>
  <c r="U66" i="139" s="1"/>
  <c r="AT92" i="139" s="1"/>
  <c r="U31" i="139"/>
  <c r="U58" i="139" s="1"/>
  <c r="AT84" i="139" s="1"/>
  <c r="U38" i="139"/>
  <c r="U65" i="139" s="1"/>
  <c r="AT91" i="139" s="1"/>
  <c r="U36" i="139"/>
  <c r="U63" i="139" s="1"/>
  <c r="AT89" i="139" s="1"/>
  <c r="T34" i="139" l="1"/>
  <c r="T61" i="139" s="1"/>
  <c r="AS87" i="139" s="1"/>
  <c r="T39" i="139"/>
  <c r="T66" i="139" s="1"/>
  <c r="AS92" i="139" s="1"/>
  <c r="T36" i="139"/>
  <c r="T63" i="139" s="1"/>
  <c r="AS89" i="139" s="1"/>
  <c r="T31" i="139"/>
  <c r="T58" i="139" s="1"/>
  <c r="AS84" i="139" s="1"/>
  <c r="T30" i="139"/>
  <c r="T57" i="139" s="1"/>
  <c r="AS83" i="139" s="1"/>
  <c r="T40" i="139"/>
  <c r="T67" i="139" s="1"/>
  <c r="AS93" i="139" s="1"/>
  <c r="T37" i="139"/>
  <c r="T64" i="139" s="1"/>
  <c r="AS90" i="139" s="1"/>
  <c r="T35" i="139"/>
  <c r="T62" i="139" s="1"/>
  <c r="AS88" i="139" s="1"/>
  <c r="S28" i="139"/>
  <c r="T32" i="139"/>
  <c r="T59" i="139" s="1"/>
  <c r="AS85" i="139" s="1"/>
  <c r="T33" i="139"/>
  <c r="T60" i="139" s="1"/>
  <c r="AS86" i="139" s="1"/>
  <c r="T38" i="139"/>
  <c r="T65" i="139" s="1"/>
  <c r="AS91" i="139" s="1"/>
  <c r="T41" i="139"/>
  <c r="T68" i="139" s="1"/>
  <c r="AS94" i="139" s="1"/>
  <c r="S31" i="139" l="1"/>
  <c r="S58" i="139" s="1"/>
  <c r="AR84" i="139" s="1"/>
  <c r="S40" i="139"/>
  <c r="S67" i="139" s="1"/>
  <c r="AR93" i="139" s="1"/>
  <c r="S39" i="139"/>
  <c r="S66" i="139" s="1"/>
  <c r="AR92" i="139" s="1"/>
  <c r="S30" i="139"/>
  <c r="S57" i="139" s="1"/>
  <c r="AR83" i="139" s="1"/>
  <c r="S38" i="139"/>
  <c r="S65" i="139" s="1"/>
  <c r="AR91" i="139" s="1"/>
  <c r="S32" i="139"/>
  <c r="S59" i="139" s="1"/>
  <c r="AR85" i="139" s="1"/>
  <c r="S35" i="139"/>
  <c r="S62" i="139" s="1"/>
  <c r="AR88" i="139" s="1"/>
  <c r="S41" i="139"/>
  <c r="S68" i="139" s="1"/>
  <c r="AR94" i="139" s="1"/>
  <c r="R28" i="139"/>
  <c r="S37" i="139"/>
  <c r="S64" i="139" s="1"/>
  <c r="AR90" i="139" s="1"/>
  <c r="S33" i="139"/>
  <c r="S60" i="139" s="1"/>
  <c r="AR86" i="139" s="1"/>
  <c r="S34" i="139"/>
  <c r="S61" i="139" s="1"/>
  <c r="AR87" i="139" s="1"/>
  <c r="S36" i="139"/>
  <c r="S63" i="139" s="1"/>
  <c r="AR89" i="139" s="1"/>
  <c r="R35" i="139" l="1"/>
  <c r="R62" i="139" s="1"/>
  <c r="AQ88" i="139" s="1"/>
  <c r="R30" i="139"/>
  <c r="R57" i="139" s="1"/>
  <c r="AQ83" i="139" s="1"/>
  <c r="R39" i="139"/>
  <c r="R66" i="139" s="1"/>
  <c r="AQ92" i="139" s="1"/>
  <c r="R31" i="139"/>
  <c r="R58" i="139" s="1"/>
  <c r="AQ84" i="139" s="1"/>
  <c r="R38" i="139"/>
  <c r="R65" i="139" s="1"/>
  <c r="AQ91" i="139" s="1"/>
  <c r="R32" i="139"/>
  <c r="R59" i="139" s="1"/>
  <c r="AQ85" i="139" s="1"/>
  <c r="R36" i="139"/>
  <c r="R63" i="139" s="1"/>
  <c r="AQ89" i="139" s="1"/>
  <c r="R34" i="139"/>
  <c r="R61" i="139" s="1"/>
  <c r="AQ87" i="139" s="1"/>
  <c r="R41" i="139"/>
  <c r="R68" i="139" s="1"/>
  <c r="AQ94" i="139" s="1"/>
  <c r="R40" i="139"/>
  <c r="R67" i="139" s="1"/>
  <c r="AQ93" i="139" s="1"/>
  <c r="R37" i="139"/>
  <c r="R64" i="139" s="1"/>
  <c r="AQ90" i="139" s="1"/>
  <c r="Q28" i="139"/>
  <c r="R33" i="139"/>
  <c r="R60" i="139" s="1"/>
  <c r="AQ86" i="139" s="1"/>
  <c r="Q41" i="139" l="1"/>
  <c r="Q68" i="139" s="1"/>
  <c r="AP94" i="139" s="1"/>
  <c r="Q35" i="139"/>
  <c r="Q62" i="139" s="1"/>
  <c r="AP88" i="139" s="1"/>
  <c r="Q39" i="139"/>
  <c r="Q66" i="139" s="1"/>
  <c r="AP92" i="139" s="1"/>
  <c r="Q30" i="139"/>
  <c r="Q57" i="139" s="1"/>
  <c r="AP83" i="139" s="1"/>
  <c r="Q33" i="139"/>
  <c r="Q60" i="139" s="1"/>
  <c r="AP86" i="139" s="1"/>
  <c r="Q36" i="139"/>
  <c r="Q63" i="139" s="1"/>
  <c r="AP89" i="139" s="1"/>
  <c r="Q37" i="139"/>
  <c r="Q64" i="139" s="1"/>
  <c r="AP90" i="139" s="1"/>
  <c r="Q34" i="139"/>
  <c r="Q61" i="139" s="1"/>
  <c r="AP87" i="139" s="1"/>
  <c r="Q38" i="139"/>
  <c r="Q65" i="139" s="1"/>
  <c r="AP91" i="139" s="1"/>
  <c r="Q32" i="139"/>
  <c r="Q59" i="139" s="1"/>
  <c r="AP85" i="139" s="1"/>
  <c r="Q40" i="139"/>
  <c r="Q67" i="139" s="1"/>
  <c r="AP93" i="139" s="1"/>
  <c r="P28" i="139"/>
  <c r="Q31" i="139"/>
  <c r="Q58" i="139" s="1"/>
  <c r="AP84" i="139" s="1"/>
  <c r="P32" i="139" l="1"/>
  <c r="P59" i="139" s="1"/>
  <c r="AO85" i="139" s="1"/>
  <c r="P36" i="139"/>
  <c r="P63" i="139" s="1"/>
  <c r="AO89" i="139" s="1"/>
  <c r="P33" i="139"/>
  <c r="P60" i="139" s="1"/>
  <c r="AO86" i="139" s="1"/>
  <c r="P30" i="139"/>
  <c r="P57" i="139" s="1"/>
  <c r="AO83" i="139" s="1"/>
  <c r="P34" i="139"/>
  <c r="P61" i="139" s="1"/>
  <c r="AO87" i="139" s="1"/>
  <c r="P35" i="139"/>
  <c r="P62" i="139" s="1"/>
  <c r="AO88" i="139" s="1"/>
  <c r="P37" i="139"/>
  <c r="P64" i="139" s="1"/>
  <c r="AO90" i="139" s="1"/>
  <c r="O28" i="139"/>
  <c r="P39" i="139"/>
  <c r="P66" i="139" s="1"/>
  <c r="AO92" i="139" s="1"/>
  <c r="P31" i="139"/>
  <c r="P58" i="139" s="1"/>
  <c r="AO84" i="139" s="1"/>
  <c r="P41" i="139"/>
  <c r="P68" i="139" s="1"/>
  <c r="AO94" i="139" s="1"/>
  <c r="P40" i="139"/>
  <c r="P67" i="139" s="1"/>
  <c r="AO93" i="139" s="1"/>
  <c r="P38" i="139"/>
  <c r="P65" i="139" s="1"/>
  <c r="AO91" i="139" s="1"/>
  <c r="O30" i="139" l="1"/>
  <c r="O57" i="139" s="1"/>
  <c r="AN83" i="139" s="1"/>
  <c r="O37" i="139"/>
  <c r="O64" i="139" s="1"/>
  <c r="AN90" i="139" s="1"/>
  <c r="O38" i="139"/>
  <c r="O65" i="139" s="1"/>
  <c r="AN91" i="139" s="1"/>
  <c r="O36" i="139"/>
  <c r="O63" i="139" s="1"/>
  <c r="AN89" i="139" s="1"/>
  <c r="N28" i="139"/>
  <c r="O39" i="139"/>
  <c r="O66" i="139" s="1"/>
  <c r="AN92" i="139" s="1"/>
  <c r="O33" i="139"/>
  <c r="O60" i="139" s="1"/>
  <c r="AN86" i="139" s="1"/>
  <c r="O31" i="139"/>
  <c r="O58" i="139" s="1"/>
  <c r="AN84" i="139" s="1"/>
  <c r="O41" i="139"/>
  <c r="O68" i="139" s="1"/>
  <c r="AN94" i="139" s="1"/>
  <c r="O34" i="139"/>
  <c r="O61" i="139" s="1"/>
  <c r="AN87" i="139" s="1"/>
  <c r="O32" i="139"/>
  <c r="O59" i="139" s="1"/>
  <c r="AN85" i="139" s="1"/>
  <c r="O35" i="139"/>
  <c r="O62" i="139" s="1"/>
  <c r="AN88" i="139" s="1"/>
  <c r="O40" i="139"/>
  <c r="O67" i="139" s="1"/>
  <c r="AN93" i="139" s="1"/>
  <c r="N38" i="139" l="1"/>
  <c r="N65" i="139" s="1"/>
  <c r="AM91" i="139" s="1"/>
  <c r="N34" i="139"/>
  <c r="N61" i="139" s="1"/>
  <c r="AM87" i="139" s="1"/>
  <c r="N40" i="139"/>
  <c r="N67" i="139" s="1"/>
  <c r="AM93" i="139" s="1"/>
  <c r="N30" i="139"/>
  <c r="N57" i="139" s="1"/>
  <c r="AM83" i="139" s="1"/>
  <c r="N35" i="139"/>
  <c r="N62" i="139" s="1"/>
  <c r="AM88" i="139" s="1"/>
  <c r="N36" i="139"/>
  <c r="N63" i="139" s="1"/>
  <c r="AM89" i="139" s="1"/>
  <c r="N39" i="139"/>
  <c r="N66" i="139" s="1"/>
  <c r="AM92" i="139" s="1"/>
  <c r="N33" i="139"/>
  <c r="N60" i="139" s="1"/>
  <c r="AM86" i="139" s="1"/>
  <c r="N31" i="139"/>
  <c r="N58" i="139" s="1"/>
  <c r="AM84" i="139" s="1"/>
  <c r="N37" i="139"/>
  <c r="N64" i="139" s="1"/>
  <c r="AM90" i="139" s="1"/>
  <c r="N41" i="139"/>
  <c r="N68" i="139" s="1"/>
  <c r="AM94" i="139" s="1"/>
  <c r="N32" i="139"/>
  <c r="N59" i="139" s="1"/>
  <c r="AM85" i="139" s="1"/>
  <c r="M28" i="139"/>
  <c r="M36" i="139" l="1"/>
  <c r="M63" i="139" s="1"/>
  <c r="AL89" i="139" s="1"/>
  <c r="M40" i="139"/>
  <c r="M67" i="139" s="1"/>
  <c r="AL93" i="139" s="1"/>
  <c r="M33" i="139"/>
  <c r="M60" i="139" s="1"/>
  <c r="AL86" i="139" s="1"/>
  <c r="M34" i="139"/>
  <c r="M61" i="139" s="1"/>
  <c r="AL87" i="139" s="1"/>
  <c r="M32" i="139"/>
  <c r="M59" i="139" s="1"/>
  <c r="AL85" i="139" s="1"/>
  <c r="L28" i="139"/>
  <c r="M38" i="139"/>
  <c r="M65" i="139" s="1"/>
  <c r="AL91" i="139" s="1"/>
  <c r="M37" i="139"/>
  <c r="M64" i="139" s="1"/>
  <c r="AL90" i="139" s="1"/>
  <c r="M31" i="139"/>
  <c r="M58" i="139" s="1"/>
  <c r="AL84" i="139" s="1"/>
  <c r="M41" i="139"/>
  <c r="M68" i="139" s="1"/>
  <c r="AL94" i="139" s="1"/>
  <c r="M35" i="139"/>
  <c r="M62" i="139" s="1"/>
  <c r="AL88" i="139" s="1"/>
  <c r="M39" i="139"/>
  <c r="M66" i="139" s="1"/>
  <c r="AL92" i="139" s="1"/>
  <c r="M30" i="139"/>
  <c r="M57" i="139" s="1"/>
  <c r="AL83" i="139" s="1"/>
  <c r="L37" i="139" l="1"/>
  <c r="L64" i="139" s="1"/>
  <c r="AK90" i="139" s="1"/>
  <c r="L41" i="139"/>
  <c r="L68" i="139" s="1"/>
  <c r="AK94" i="139" s="1"/>
  <c r="K28" i="139"/>
  <c r="L39" i="139"/>
  <c r="L66" i="139" s="1"/>
  <c r="AK92" i="139" s="1"/>
  <c r="L31" i="139"/>
  <c r="L58" i="139" s="1"/>
  <c r="AK84" i="139" s="1"/>
  <c r="L34" i="139"/>
  <c r="L61" i="139" s="1"/>
  <c r="AK87" i="139" s="1"/>
  <c r="L38" i="139"/>
  <c r="L65" i="139" s="1"/>
  <c r="AK91" i="139" s="1"/>
  <c r="L40" i="139"/>
  <c r="L67" i="139" s="1"/>
  <c r="AK93" i="139" s="1"/>
  <c r="L35" i="139"/>
  <c r="L62" i="139" s="1"/>
  <c r="AK88" i="139" s="1"/>
  <c r="L30" i="139"/>
  <c r="L57" i="139" s="1"/>
  <c r="AK83" i="139" s="1"/>
  <c r="L33" i="139"/>
  <c r="L60" i="139" s="1"/>
  <c r="AK86" i="139" s="1"/>
  <c r="L36" i="139"/>
  <c r="L63" i="139" s="1"/>
  <c r="AK89" i="139" s="1"/>
  <c r="L32" i="139"/>
  <c r="L59" i="139" s="1"/>
  <c r="AK85" i="139" s="1"/>
  <c r="K39" i="139" l="1"/>
  <c r="K66" i="139" s="1"/>
  <c r="AJ92" i="139" s="1"/>
  <c r="K32" i="139"/>
  <c r="K59" i="139" s="1"/>
  <c r="AJ85" i="139" s="1"/>
  <c r="K30" i="139"/>
  <c r="K57" i="139" s="1"/>
  <c r="AJ83" i="139" s="1"/>
  <c r="K35" i="139"/>
  <c r="K62" i="139" s="1"/>
  <c r="AJ88" i="139" s="1"/>
  <c r="K38" i="139"/>
  <c r="K65" i="139" s="1"/>
  <c r="AJ91" i="139" s="1"/>
  <c r="K36" i="139"/>
  <c r="K63" i="139" s="1"/>
  <c r="AJ89" i="139" s="1"/>
  <c r="J28" i="139"/>
  <c r="K33" i="139"/>
  <c r="K60" i="139" s="1"/>
  <c r="AJ86" i="139" s="1"/>
  <c r="K31" i="139"/>
  <c r="K58" i="139" s="1"/>
  <c r="AJ84" i="139" s="1"/>
  <c r="K41" i="139"/>
  <c r="K68" i="139" s="1"/>
  <c r="AJ94" i="139" s="1"/>
  <c r="K34" i="139"/>
  <c r="K61" i="139" s="1"/>
  <c r="AJ87" i="139" s="1"/>
  <c r="K40" i="139"/>
  <c r="K67" i="139" s="1"/>
  <c r="AJ93" i="139" s="1"/>
  <c r="K37" i="139"/>
  <c r="K64" i="139" s="1"/>
  <c r="AJ90" i="139" s="1"/>
  <c r="J37" i="139" l="1"/>
  <c r="J64" i="139" s="1"/>
  <c r="AI90" i="139" s="1"/>
  <c r="J30" i="139"/>
  <c r="J57" i="139" s="1"/>
  <c r="AI83" i="139" s="1"/>
  <c r="I28" i="139"/>
  <c r="J38" i="139"/>
  <c r="J65" i="139" s="1"/>
  <c r="AI91" i="139" s="1"/>
  <c r="J31" i="139"/>
  <c r="J58" i="139" s="1"/>
  <c r="AI84" i="139" s="1"/>
  <c r="J33" i="139"/>
  <c r="J60" i="139" s="1"/>
  <c r="AI86" i="139" s="1"/>
  <c r="J34" i="139"/>
  <c r="J61" i="139" s="1"/>
  <c r="AI87" i="139" s="1"/>
  <c r="J40" i="139"/>
  <c r="J67" i="139" s="1"/>
  <c r="AI93" i="139" s="1"/>
  <c r="J35" i="139"/>
  <c r="J62" i="139" s="1"/>
  <c r="AI88" i="139" s="1"/>
  <c r="J39" i="139"/>
  <c r="J66" i="139" s="1"/>
  <c r="AI92" i="139" s="1"/>
  <c r="J32" i="139"/>
  <c r="J59" i="139" s="1"/>
  <c r="AI85" i="139" s="1"/>
  <c r="J41" i="139"/>
  <c r="J68" i="139" s="1"/>
  <c r="AI94" i="139" s="1"/>
  <c r="J36" i="139"/>
  <c r="J63" i="139" s="1"/>
  <c r="AI89" i="139" s="1"/>
  <c r="I34" i="139" l="1"/>
  <c r="I61" i="139" s="1"/>
  <c r="AH87" i="139" s="1"/>
  <c r="I30" i="139"/>
  <c r="I57" i="139" s="1"/>
  <c r="AH83" i="139" s="1"/>
  <c r="I41" i="139"/>
  <c r="I68" i="139" s="1"/>
  <c r="AH94" i="139" s="1"/>
  <c r="I37" i="139"/>
  <c r="I64" i="139" s="1"/>
  <c r="AH90" i="139" s="1"/>
  <c r="I31" i="139"/>
  <c r="I58" i="139" s="1"/>
  <c r="AH84" i="139" s="1"/>
  <c r="I40" i="139"/>
  <c r="I67" i="139" s="1"/>
  <c r="AH93" i="139" s="1"/>
  <c r="I36" i="139"/>
  <c r="I63" i="139" s="1"/>
  <c r="AH89" i="139" s="1"/>
  <c r="I35" i="139"/>
  <c r="I62" i="139" s="1"/>
  <c r="AH88" i="139" s="1"/>
  <c r="I39" i="139"/>
  <c r="I66" i="139" s="1"/>
  <c r="AH92" i="139" s="1"/>
  <c r="I38" i="139"/>
  <c r="I65" i="139" s="1"/>
  <c r="AH91" i="139" s="1"/>
  <c r="I32" i="139"/>
  <c r="I59" i="139" s="1"/>
  <c r="AH85" i="139" s="1"/>
  <c r="H28" i="139"/>
  <c r="I33" i="139"/>
  <c r="I60" i="139" s="1"/>
  <c r="AH86" i="139" s="1"/>
  <c r="H33" i="139" l="1"/>
  <c r="H60" i="139" s="1"/>
  <c r="AG86" i="139" s="1"/>
  <c r="H34" i="139"/>
  <c r="H61" i="139" s="1"/>
  <c r="AG87" i="139" s="1"/>
  <c r="G28" i="139"/>
  <c r="H30" i="139"/>
  <c r="H57" i="139" s="1"/>
  <c r="AG83" i="139" s="1"/>
  <c r="H41" i="139"/>
  <c r="H68" i="139" s="1"/>
  <c r="AG94" i="139" s="1"/>
  <c r="H39" i="139"/>
  <c r="H66" i="139" s="1"/>
  <c r="AG92" i="139" s="1"/>
  <c r="H38" i="139"/>
  <c r="H65" i="139" s="1"/>
  <c r="AG91" i="139" s="1"/>
  <c r="H37" i="139"/>
  <c r="H64" i="139" s="1"/>
  <c r="AG90" i="139" s="1"/>
  <c r="H31" i="139"/>
  <c r="H58" i="139" s="1"/>
  <c r="AG84" i="139" s="1"/>
  <c r="H40" i="139"/>
  <c r="H67" i="139" s="1"/>
  <c r="AG93" i="139" s="1"/>
  <c r="H36" i="139"/>
  <c r="H63" i="139" s="1"/>
  <c r="AG89" i="139" s="1"/>
  <c r="H32" i="139"/>
  <c r="H59" i="139" s="1"/>
  <c r="AG85" i="139" s="1"/>
  <c r="H35" i="139"/>
  <c r="H62" i="139" s="1"/>
  <c r="AG88" i="139" s="1"/>
  <c r="G38" i="139" l="1"/>
  <c r="G65" i="139" s="1"/>
  <c r="AF91" i="139" s="1"/>
  <c r="G35" i="139"/>
  <c r="G62" i="139" s="1"/>
  <c r="AF88" i="139" s="1"/>
  <c r="F28" i="139"/>
  <c r="G34" i="139"/>
  <c r="G61" i="139" s="1"/>
  <c r="AF87" i="139" s="1"/>
  <c r="G41" i="139"/>
  <c r="G68" i="139" s="1"/>
  <c r="AF94" i="139" s="1"/>
  <c r="G36" i="139"/>
  <c r="G63" i="139" s="1"/>
  <c r="AF89" i="139" s="1"/>
  <c r="G40" i="139"/>
  <c r="G67" i="139" s="1"/>
  <c r="AF93" i="139" s="1"/>
  <c r="G37" i="139"/>
  <c r="G64" i="139" s="1"/>
  <c r="AF90" i="139" s="1"/>
  <c r="G32" i="139"/>
  <c r="G59" i="139" s="1"/>
  <c r="AF85" i="139" s="1"/>
  <c r="G39" i="139"/>
  <c r="G66" i="139" s="1"/>
  <c r="AF92" i="139" s="1"/>
  <c r="G31" i="139"/>
  <c r="G58" i="139" s="1"/>
  <c r="AF84" i="139" s="1"/>
  <c r="G30" i="139"/>
  <c r="G57" i="139" s="1"/>
  <c r="AF83" i="139" s="1"/>
  <c r="G33" i="139"/>
  <c r="G60" i="139" s="1"/>
  <c r="AF86" i="139" s="1"/>
  <c r="F41" i="139" l="1"/>
  <c r="F68" i="139" s="1"/>
  <c r="AE94" i="139" s="1"/>
  <c r="F39" i="139"/>
  <c r="F66" i="139" s="1"/>
  <c r="AE92" i="139" s="1"/>
  <c r="F31" i="139"/>
  <c r="F58" i="139" s="1"/>
  <c r="AE84" i="139" s="1"/>
  <c r="E28" i="139"/>
  <c r="F33" i="139"/>
  <c r="F60" i="139" s="1"/>
  <c r="AE86" i="139" s="1"/>
  <c r="F36" i="139"/>
  <c r="F63" i="139" s="1"/>
  <c r="AE89" i="139" s="1"/>
  <c r="F38" i="139"/>
  <c r="F65" i="139" s="1"/>
  <c r="AE91" i="139" s="1"/>
  <c r="F32" i="139"/>
  <c r="F59" i="139" s="1"/>
  <c r="AE85" i="139" s="1"/>
  <c r="F37" i="139"/>
  <c r="F64" i="139" s="1"/>
  <c r="AE90" i="139" s="1"/>
  <c r="F40" i="139"/>
  <c r="F67" i="139" s="1"/>
  <c r="AE93" i="139" s="1"/>
  <c r="F30" i="139"/>
  <c r="F57" i="139" s="1"/>
  <c r="AE83" i="139" s="1"/>
  <c r="F35" i="139"/>
  <c r="F62" i="139" s="1"/>
  <c r="AE88" i="139" s="1"/>
  <c r="F34" i="139"/>
  <c r="F61" i="139" s="1"/>
  <c r="AE87" i="139" s="1"/>
  <c r="E36" i="139" l="1"/>
  <c r="E63" i="139" s="1"/>
  <c r="AD89" i="139" s="1"/>
  <c r="E41" i="139"/>
  <c r="E68" i="139" s="1"/>
  <c r="AD94" i="139" s="1"/>
  <c r="E37" i="139"/>
  <c r="E64" i="139" s="1"/>
  <c r="AD90" i="139" s="1"/>
  <c r="D28" i="139"/>
  <c r="E30" i="139"/>
  <c r="E57" i="139" s="1"/>
  <c r="AD83" i="139" s="1"/>
  <c r="E35" i="139"/>
  <c r="E62" i="139" s="1"/>
  <c r="AD88" i="139" s="1"/>
  <c r="E38" i="139"/>
  <c r="E65" i="139" s="1"/>
  <c r="AD91" i="139" s="1"/>
  <c r="E39" i="139"/>
  <c r="E66" i="139" s="1"/>
  <c r="AD92" i="139" s="1"/>
  <c r="E33" i="139"/>
  <c r="E60" i="139" s="1"/>
  <c r="AD86" i="139" s="1"/>
  <c r="E32" i="139"/>
  <c r="E59" i="139" s="1"/>
  <c r="AD85" i="139" s="1"/>
  <c r="E34" i="139"/>
  <c r="E61" i="139" s="1"/>
  <c r="AD87" i="139" s="1"/>
  <c r="E31" i="139"/>
  <c r="E58" i="139" s="1"/>
  <c r="AD84" i="139" s="1"/>
  <c r="E40" i="139"/>
  <c r="E67" i="139" s="1"/>
  <c r="AD93" i="139" s="1"/>
  <c r="D31" i="139" l="1"/>
  <c r="D58" i="139" s="1"/>
  <c r="AC84" i="139" s="1"/>
  <c r="D39" i="139"/>
  <c r="D66" i="139" s="1"/>
  <c r="AC92" i="139" s="1"/>
  <c r="D38" i="139"/>
  <c r="D65" i="139" s="1"/>
  <c r="AC91" i="139" s="1"/>
  <c r="D35" i="139"/>
  <c r="D62" i="139" s="1"/>
  <c r="AC88" i="139" s="1"/>
  <c r="D32" i="139"/>
  <c r="D59" i="139" s="1"/>
  <c r="AC85" i="139" s="1"/>
  <c r="D37" i="139"/>
  <c r="D64" i="139" s="1"/>
  <c r="AC90" i="139" s="1"/>
  <c r="D36" i="139"/>
  <c r="D63" i="139" s="1"/>
  <c r="AC89" i="139" s="1"/>
  <c r="D30" i="139"/>
  <c r="D57" i="139" s="1"/>
  <c r="AC83" i="139" s="1"/>
  <c r="D33" i="139"/>
  <c r="D60" i="139" s="1"/>
  <c r="AC86" i="139" s="1"/>
  <c r="C28" i="139"/>
  <c r="D34" i="139"/>
  <c r="D61" i="139" s="1"/>
  <c r="AC87" i="139" s="1"/>
  <c r="D41" i="139"/>
  <c r="D68" i="139" s="1"/>
  <c r="AC94" i="139" s="1"/>
  <c r="D40" i="139"/>
  <c r="D67" i="139" s="1"/>
  <c r="AC93" i="139" s="1"/>
  <c r="C36" i="139" l="1"/>
  <c r="C63" i="139" s="1"/>
  <c r="AB89" i="139" s="1"/>
  <c r="B28" i="139"/>
  <c r="C31" i="139"/>
  <c r="C58" i="139" s="1"/>
  <c r="AB84" i="139" s="1"/>
  <c r="C40" i="139"/>
  <c r="C67" i="139" s="1"/>
  <c r="AB93" i="139" s="1"/>
  <c r="C30" i="139"/>
  <c r="C57" i="139" s="1"/>
  <c r="AB83" i="139" s="1"/>
  <c r="C33" i="139"/>
  <c r="C60" i="139" s="1"/>
  <c r="AB86" i="139" s="1"/>
  <c r="C39" i="139"/>
  <c r="C66" i="139" s="1"/>
  <c r="AB92" i="139" s="1"/>
  <c r="C38" i="139"/>
  <c r="C65" i="139" s="1"/>
  <c r="AB91" i="139" s="1"/>
  <c r="C34" i="139"/>
  <c r="C61" i="139" s="1"/>
  <c r="AB87" i="139" s="1"/>
  <c r="C35" i="139"/>
  <c r="C62" i="139" s="1"/>
  <c r="AB88" i="139" s="1"/>
  <c r="C37" i="139"/>
  <c r="C64" i="139" s="1"/>
  <c r="AB90" i="139" s="1"/>
  <c r="C32" i="139"/>
  <c r="C59" i="139" s="1"/>
  <c r="AB85" i="139" s="1"/>
  <c r="C41" i="139"/>
  <c r="C68" i="139" s="1"/>
  <c r="AB94" i="139" s="1"/>
  <c r="B40" i="139" l="1"/>
  <c r="B67" i="139" s="1"/>
  <c r="AA93" i="139" s="1"/>
  <c r="B37" i="139"/>
  <c r="B64" i="139" s="1"/>
  <c r="AA90" i="139" s="1"/>
  <c r="B35" i="139"/>
  <c r="B62" i="139" s="1"/>
  <c r="AA88" i="139" s="1"/>
  <c r="B33" i="139"/>
  <c r="B60" i="139" s="1"/>
  <c r="AA86" i="139" s="1"/>
  <c r="B41" i="139"/>
  <c r="B68" i="139" s="1"/>
  <c r="AA94" i="139" s="1"/>
  <c r="B39" i="139"/>
  <c r="B66" i="139" s="1"/>
  <c r="AA92" i="139" s="1"/>
  <c r="B32" i="139"/>
  <c r="B59" i="139" s="1"/>
  <c r="AA85" i="139" s="1"/>
  <c r="B36" i="139"/>
  <c r="B63" i="139" s="1"/>
  <c r="AA89" i="139" s="1"/>
  <c r="B30" i="139"/>
  <c r="B57" i="139" s="1"/>
  <c r="AA83" i="139" s="1"/>
  <c r="B31" i="139"/>
  <c r="B58" i="139" s="1"/>
  <c r="AA84" i="139" s="1"/>
  <c r="B34" i="139"/>
  <c r="B61" i="139" s="1"/>
  <c r="AA87" i="139" s="1"/>
  <c r="B38" i="139"/>
  <c r="B65" i="139" s="1"/>
  <c r="AA91" i="139" s="1"/>
</calcChain>
</file>

<file path=xl/sharedStrings.xml><?xml version="1.0" encoding="utf-8"?>
<sst xmlns="http://schemas.openxmlformats.org/spreadsheetml/2006/main" count="20" uniqueCount="12">
  <si>
    <t>MES</t>
  </si>
  <si>
    <t>Period</t>
  </si>
  <si>
    <t>MEDIA</t>
  </si>
  <si>
    <t>MEDIANA</t>
  </si>
  <si>
    <t>VARIANZA</t>
  </si>
  <si>
    <t>σ</t>
  </si>
  <si>
    <r>
      <t xml:space="preserve">INTERVALO </t>
    </r>
    <r>
      <rPr>
        <b/>
        <sz val="8"/>
        <color theme="0"/>
        <rFont val="Calibri"/>
        <family val="2"/>
        <scheme val="minor"/>
      </rPr>
      <t>∓</t>
    </r>
    <r>
      <rPr>
        <b/>
        <sz val="11"/>
        <color theme="0"/>
        <rFont val="Calibri"/>
        <family val="2"/>
        <scheme val="minor"/>
      </rPr>
      <t>2σ</t>
    </r>
  </si>
  <si>
    <t>Serie original</t>
  </si>
  <si>
    <t>Serie corregida</t>
  </si>
  <si>
    <t>SSAutCLM</t>
  </si>
  <si>
    <t>Amplitud</t>
  </si>
  <si>
    <t>Inicio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</si>
</sst>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C0A]mmm\-yy;@"/>
    <numFmt numFmtId="165" formatCode="0.0%"/>
    <numFmt numFmtId="166" formatCode="0.000000"/>
    <numFmt numFmtId="167" formatCode="0.00\ &quot;σ&quot;"/>
  </numFmts>
  <fonts count="9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8" fillId="0" borderId="0">
      <alignment wrapText="1"/>
    </xf>
  </cellStyleXfs>
  <cellXfs count="23">
    <xf numFmtId="0" fontId="0" fillId="0" borderId="0" xfId="0"/>
    <xf numFmtId="3" fontId="0" fillId="0" borderId="0" xfId="0" applyNumberFormat="1"/>
    <xf numFmtId="14" fontId="0" fillId="0" borderId="0" xfId="0" applyNumberFormat="1"/>
    <xf numFmtId="0" fontId="1" fillId="0" borderId="1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0" fillId="0" borderId="0" xfId="0" applyAlignment="1">
      <alignment vertical="center"/>
    </xf>
    <xf numFmtId="3" fontId="1" fillId="0" borderId="1" xfId="0" applyNumberFormat="1" applyFont="1" applyBorder="1"/>
    <xf numFmtId="164" fontId="1" fillId="0" borderId="1" xfId="0" applyNumberFormat="1" applyFont="1" applyBorder="1" applyAlignment="1">
      <alignment vertical="center"/>
    </xf>
    <xf numFmtId="164" fontId="1" fillId="0" borderId="1" xfId="0" applyNumberFormat="1" applyFont="1" applyBorder="1"/>
    <xf numFmtId="10" fontId="2" fillId="0" borderId="0" xfId="1" applyNumberFormat="1" applyFont="1"/>
    <xf numFmtId="164" fontId="4" fillId="2" borderId="0" xfId="0" applyNumberFormat="1" applyFont="1" applyFill="1" applyAlignment="1">
      <alignment horizontal="center" vertical="center"/>
    </xf>
    <xf numFmtId="164" fontId="4" fillId="2" borderId="0" xfId="0" applyNumberFormat="1" applyFont="1" applyFill="1" applyAlignment="1">
      <alignment horizontal="center"/>
    </xf>
    <xf numFmtId="164" fontId="5" fillId="2" borderId="0" xfId="0" applyNumberFormat="1" applyFont="1" applyFill="1" applyAlignment="1">
      <alignment horizontal="center" vertical="center"/>
    </xf>
    <xf numFmtId="10" fontId="7" fillId="3" borderId="0" xfId="0" applyNumberFormat="1" applyFont="1" applyFill="1"/>
    <xf numFmtId="166" fontId="7" fillId="3" borderId="0" xfId="0" applyNumberFormat="1" applyFont="1" applyFill="1"/>
    <xf numFmtId="165" fontId="7" fillId="3" borderId="0" xfId="1" applyNumberFormat="1" applyFont="1" applyFill="1" applyAlignment="1">
      <alignment horizontal="center" vertical="center"/>
    </xf>
    <xf numFmtId="10" fontId="0" fillId="0" borderId="0" xfId="0" applyNumberFormat="1"/>
    <xf numFmtId="10" fontId="7" fillId="3" borderId="0" xfId="1" applyNumberFormat="1" applyFont="1" applyFill="1" applyAlignment="1">
      <alignment horizontal="center" vertical="center"/>
    </xf>
    <xf numFmtId="10" fontId="0" fillId="0" borderId="0" xfId="1" applyNumberFormat="1" applyFont="1" applyFill="1"/>
    <xf numFmtId="167" fontId="5" fillId="2" borderId="0" xfId="0" applyNumberFormat="1" applyFont="1" applyFill="1" applyAlignment="1">
      <alignment horizontal="center" vertical="center"/>
    </xf>
    <xf numFmtId="9" fontId="0" fillId="0" borderId="0" xfId="1" applyNumberFormat="1" applyFont="1"/>
    <xf numFmtId="3" fontId="0" fillId="4" borderId="0" xfId="0" applyNumberFormat="1" applyFill="1"/>
    <xf numFmtId="10" fontId="0" fillId="0" borderId="0" xfId="1" applyNumberFormat="1" applyFont="1"/>
  </cellXfs>
  <cellStyles count="3">
    <cellStyle name="Normal" xfId="0" builtinId="0"/>
    <cellStyle name="Porcentaje" xfId="1" builtinId="5"/>
    <cellStyle name="XLConnect.Numeric" xfId="2"/>
  </cellStyles>
  <dxfs count="4">
    <dxf>
      <font>
        <b/>
        <i val="0"/>
        <strike val="0"/>
        <u val="none"/>
        <color auto="1"/>
      </font>
      <fill>
        <patternFill patternType="solid">
          <bgColor theme="3" tint="0.79998168889431442"/>
        </patternFill>
      </fill>
      <border>
        <left/>
        <right/>
        <top/>
        <bottom/>
      </border>
    </dxf>
    <dxf>
      <fill>
        <patternFill>
          <bgColor theme="0"/>
        </patternFill>
      </fill>
    </dxf>
    <dxf>
      <font>
        <b/>
        <i val="0"/>
        <u val="none"/>
        <color theme="0"/>
      </font>
      <fill>
        <patternFill patternType="solid">
          <bgColor rgb="FF00B050"/>
        </patternFill>
      </fill>
      <border>
        <left/>
        <right/>
        <top/>
        <bottom/>
      </border>
    </dxf>
    <dxf>
      <font>
        <b/>
        <i val="0"/>
        <strike val="0"/>
        <u val="none"/>
        <color rgb="FFFFFF00"/>
      </font>
      <fill>
        <patternFill patternType="solid">
          <bgColor rgb="FFFF3300"/>
        </patternFill>
      </fill>
      <border>
        <left/>
        <right/>
        <top/>
        <bottom/>
      </border>
    </dxf>
  </dxfs>
  <tableStyles count="0" defaultTableStyle="TableStyleMedium9" defaultPivotStyle="PivotStyleLight16"/>
  <colors>
    <mruColors>
      <color rgb="FF0066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SSAutCLM!$C$61</c:f>
              <c:strCache>
                <c:ptCount val="1"/>
                <c:pt idx="0">
                  <c:v>Serie original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val>
            <c:numRef>
              <c:f>SSAutCLM!$C$62:$C$202</c:f>
              <c:numCache>
                <c:formatCode>#,##0</c:formatCode>
                <c:ptCount val="141"/>
                <c:pt idx="0">
                  <c:v>111591</c:v>
                </c:pt>
                <c:pt idx="1">
                  <c:v>111960</c:v>
                </c:pt>
                <c:pt idx="2">
                  <c:v>112396</c:v>
                </c:pt>
                <c:pt idx="3">
                  <c:v>112804</c:v>
                </c:pt>
                <c:pt idx="4">
                  <c:v>113414</c:v>
                </c:pt>
                <c:pt idx="5">
                  <c:v>113640</c:v>
                </c:pt>
                <c:pt idx="6">
                  <c:v>113854</c:v>
                </c:pt>
                <c:pt idx="7">
                  <c:v>113797</c:v>
                </c:pt>
                <c:pt idx="8">
                  <c:v>113332</c:v>
                </c:pt>
                <c:pt idx="9">
                  <c:v>113648</c:v>
                </c:pt>
                <c:pt idx="10">
                  <c:v>113928</c:v>
                </c:pt>
                <c:pt idx="11">
                  <c:v>113928</c:v>
                </c:pt>
                <c:pt idx="12">
                  <c:v>113270</c:v>
                </c:pt>
                <c:pt idx="13">
                  <c:v>113635</c:v>
                </c:pt>
                <c:pt idx="14">
                  <c:v>114082</c:v>
                </c:pt>
                <c:pt idx="15">
                  <c:v>114707</c:v>
                </c:pt>
                <c:pt idx="16">
                  <c:v>115239</c:v>
                </c:pt>
                <c:pt idx="17">
                  <c:v>115422</c:v>
                </c:pt>
                <c:pt idx="18">
                  <c:v>115703</c:v>
                </c:pt>
                <c:pt idx="19">
                  <c:v>115852</c:v>
                </c:pt>
                <c:pt idx="20">
                  <c:v>115783</c:v>
                </c:pt>
                <c:pt idx="21">
                  <c:v>115912</c:v>
                </c:pt>
                <c:pt idx="22">
                  <c:v>116203</c:v>
                </c:pt>
                <c:pt idx="23">
                  <c:v>116397</c:v>
                </c:pt>
                <c:pt idx="24">
                  <c:v>116071</c:v>
                </c:pt>
                <c:pt idx="25">
                  <c:v>116600</c:v>
                </c:pt>
                <c:pt idx="26">
                  <c:v>117142</c:v>
                </c:pt>
                <c:pt idx="27">
                  <c:v>117988</c:v>
                </c:pt>
                <c:pt idx="28">
                  <c:v>118428</c:v>
                </c:pt>
                <c:pt idx="29">
                  <c:v>118952</c:v>
                </c:pt>
                <c:pt idx="30">
                  <c:v>119328</c:v>
                </c:pt>
                <c:pt idx="31">
                  <c:v>119708</c:v>
                </c:pt>
                <c:pt idx="32">
                  <c:v>119709</c:v>
                </c:pt>
                <c:pt idx="33">
                  <c:v>120117</c:v>
                </c:pt>
                <c:pt idx="34">
                  <c:v>120727</c:v>
                </c:pt>
                <c:pt idx="35">
                  <c:v>120860</c:v>
                </c:pt>
                <c:pt idx="36">
                  <c:v>120692.87096774194</c:v>
                </c:pt>
                <c:pt idx="37">
                  <c:v>121102.27586206896</c:v>
                </c:pt>
                <c:pt idx="38">
                  <c:v>121968.41935483871</c:v>
                </c:pt>
                <c:pt idx="39">
                  <c:v>122743.86666666667</c:v>
                </c:pt>
                <c:pt idx="40">
                  <c:v>123520.74193548386</c:v>
                </c:pt>
                <c:pt idx="41">
                  <c:v>124191.2</c:v>
                </c:pt>
                <c:pt idx="42">
                  <c:v>124679.09677419355</c:v>
                </c:pt>
                <c:pt idx="43">
                  <c:v>125029.4</c:v>
                </c:pt>
                <c:pt idx="44">
                  <c:v>125130.43333333333</c:v>
                </c:pt>
                <c:pt idx="45">
                  <c:v>125413.9</c:v>
                </c:pt>
                <c:pt idx="46">
                  <c:v>126042.7</c:v>
                </c:pt>
                <c:pt idx="47">
                  <c:v>126445.4</c:v>
                </c:pt>
                <c:pt idx="48">
                  <c:v>126527</c:v>
                </c:pt>
                <c:pt idx="49">
                  <c:v>126931.1</c:v>
                </c:pt>
                <c:pt idx="50">
                  <c:v>127634</c:v>
                </c:pt>
                <c:pt idx="51">
                  <c:v>128289</c:v>
                </c:pt>
                <c:pt idx="52">
                  <c:v>128873</c:v>
                </c:pt>
                <c:pt idx="53">
                  <c:v>129426</c:v>
                </c:pt>
                <c:pt idx="54">
                  <c:v>129799</c:v>
                </c:pt>
                <c:pt idx="55">
                  <c:v>130043</c:v>
                </c:pt>
                <c:pt idx="56">
                  <c:v>130052</c:v>
                </c:pt>
                <c:pt idx="57">
                  <c:v>130327</c:v>
                </c:pt>
                <c:pt idx="58">
                  <c:v>130783</c:v>
                </c:pt>
                <c:pt idx="59">
                  <c:v>131129</c:v>
                </c:pt>
                <c:pt idx="60">
                  <c:v>131116</c:v>
                </c:pt>
                <c:pt idx="61">
                  <c:v>131621</c:v>
                </c:pt>
                <c:pt idx="62">
                  <c:v>132249</c:v>
                </c:pt>
                <c:pt idx="63">
                  <c:v>132951</c:v>
                </c:pt>
                <c:pt idx="64">
                  <c:v>133606</c:v>
                </c:pt>
                <c:pt idx="65">
                  <c:v>134195</c:v>
                </c:pt>
                <c:pt idx="66">
                  <c:v>134700</c:v>
                </c:pt>
                <c:pt idx="67">
                  <c:v>134846</c:v>
                </c:pt>
                <c:pt idx="68">
                  <c:v>134953</c:v>
                </c:pt>
                <c:pt idx="69">
                  <c:v>135378</c:v>
                </c:pt>
                <c:pt idx="70">
                  <c:v>135958</c:v>
                </c:pt>
                <c:pt idx="71">
                  <c:v>136473</c:v>
                </c:pt>
                <c:pt idx="72">
                  <c:v>136591</c:v>
                </c:pt>
                <c:pt idx="73">
                  <c:v>137441</c:v>
                </c:pt>
                <c:pt idx="74">
                  <c:v>138530</c:v>
                </c:pt>
                <c:pt idx="75">
                  <c:v>139420</c:v>
                </c:pt>
                <c:pt idx="76">
                  <c:v>140236</c:v>
                </c:pt>
                <c:pt idx="77">
                  <c:v>141234</c:v>
                </c:pt>
                <c:pt idx="78">
                  <c:v>141988</c:v>
                </c:pt>
                <c:pt idx="79">
                  <c:v>142451</c:v>
                </c:pt>
                <c:pt idx="80">
                  <c:v>142880</c:v>
                </c:pt>
                <c:pt idx="81">
                  <c:v>143613</c:v>
                </c:pt>
                <c:pt idx="82">
                  <c:v>144307</c:v>
                </c:pt>
                <c:pt idx="83">
                  <c:v>144608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1E-4B27-80B4-695190C43085}"/>
            </c:ext>
          </c:extLst>
        </c:ser>
        <c:ser>
          <c:idx val="0"/>
          <c:order val="1"/>
          <c:tx>
            <c:strRef>
              <c:f>SSAutCLM!$B$61</c:f>
              <c:strCache>
                <c:ptCount val="1"/>
                <c:pt idx="0">
                  <c:v>Serie corregida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SSAutCLM!$B$62:$B$202</c:f>
              <c:numCache>
                <c:formatCode>#,##0</c:formatCode>
                <c:ptCount val="141"/>
                <c:pt idx="0">
                  <c:v>131140.02614999999</c:v>
                </c:pt>
                <c:pt idx="1">
                  <c:v>131509.02614999999</c:v>
                </c:pt>
                <c:pt idx="2">
                  <c:v>131945.02614999999</c:v>
                </c:pt>
                <c:pt idx="3">
                  <c:v>132353.02614999999</c:v>
                </c:pt>
                <c:pt idx="4">
                  <c:v>132963.02614999999</c:v>
                </c:pt>
                <c:pt idx="5">
                  <c:v>133189.02614999999</c:v>
                </c:pt>
                <c:pt idx="6">
                  <c:v>133403.02614999999</c:v>
                </c:pt>
                <c:pt idx="7">
                  <c:v>133346.02614999999</c:v>
                </c:pt>
                <c:pt idx="8">
                  <c:v>132881.02614999999</c:v>
                </c:pt>
                <c:pt idx="9">
                  <c:v>133197.02614999999</c:v>
                </c:pt>
                <c:pt idx="10">
                  <c:v>133477.02614999999</c:v>
                </c:pt>
                <c:pt idx="11">
                  <c:v>133477.02614999999</c:v>
                </c:pt>
                <c:pt idx="12">
                  <c:v>132819.02614999999</c:v>
                </c:pt>
                <c:pt idx="13">
                  <c:v>133184.02614999999</c:v>
                </c:pt>
                <c:pt idx="14">
                  <c:v>133631.02614999999</c:v>
                </c:pt>
                <c:pt idx="15">
                  <c:v>134256.02614999999</c:v>
                </c:pt>
                <c:pt idx="16">
                  <c:v>134788.02614999999</c:v>
                </c:pt>
                <c:pt idx="17">
                  <c:v>134971.02614999999</c:v>
                </c:pt>
                <c:pt idx="18">
                  <c:v>135252.02614999999</c:v>
                </c:pt>
                <c:pt idx="19">
                  <c:v>135401.02614999999</c:v>
                </c:pt>
                <c:pt idx="20">
                  <c:v>135332.02614999999</c:v>
                </c:pt>
                <c:pt idx="21">
                  <c:v>135461.02614999999</c:v>
                </c:pt>
                <c:pt idx="22">
                  <c:v>135752.02614999999</c:v>
                </c:pt>
                <c:pt idx="23">
                  <c:v>135946.02614999999</c:v>
                </c:pt>
                <c:pt idx="24">
                  <c:v>135620.02614999999</c:v>
                </c:pt>
                <c:pt idx="25">
                  <c:v>136149.02614999999</c:v>
                </c:pt>
                <c:pt idx="26">
                  <c:v>136691.02614999999</c:v>
                </c:pt>
                <c:pt idx="27">
                  <c:v>137537.02614999999</c:v>
                </c:pt>
                <c:pt idx="28">
                  <c:v>137977.02614999999</c:v>
                </c:pt>
                <c:pt idx="29">
                  <c:v>138501.02614999999</c:v>
                </c:pt>
                <c:pt idx="30">
                  <c:v>138877.02614999999</c:v>
                </c:pt>
                <c:pt idx="31">
                  <c:v>139257.02614999999</c:v>
                </c:pt>
                <c:pt idx="32">
                  <c:v>139258.02614999999</c:v>
                </c:pt>
                <c:pt idx="33">
                  <c:v>139666.02614999999</c:v>
                </c:pt>
                <c:pt idx="34">
                  <c:v>140276.02614999999</c:v>
                </c:pt>
                <c:pt idx="35">
                  <c:v>140409.02614999999</c:v>
                </c:pt>
                <c:pt idx="36">
                  <c:v>140241.89712000001</c:v>
                </c:pt>
                <c:pt idx="37">
                  <c:v>140651.30201000001</c:v>
                </c:pt>
                <c:pt idx="38">
                  <c:v>141517.4455</c:v>
                </c:pt>
                <c:pt idx="39">
                  <c:v>142292.89282000001</c:v>
                </c:pt>
                <c:pt idx="40">
                  <c:v>143069.76809</c:v>
                </c:pt>
                <c:pt idx="41">
                  <c:v>143740.22615</c:v>
                </c:pt>
                <c:pt idx="42">
                  <c:v>144228.12291999999</c:v>
                </c:pt>
                <c:pt idx="43">
                  <c:v>144578.42615000001</c:v>
                </c:pt>
                <c:pt idx="44">
                  <c:v>144679.45947999999</c:v>
                </c:pt>
                <c:pt idx="45">
                  <c:v>144962.92615000001</c:v>
                </c:pt>
                <c:pt idx="46">
                  <c:v>145591.72615</c:v>
                </c:pt>
                <c:pt idx="47">
                  <c:v>145994.42615000001</c:v>
                </c:pt>
                <c:pt idx="48">
                  <c:v>146076.02614999999</c:v>
                </c:pt>
                <c:pt idx="49">
                  <c:v>146480.12615</c:v>
                </c:pt>
                <c:pt idx="50">
                  <c:v>147183.02614999999</c:v>
                </c:pt>
                <c:pt idx="51">
                  <c:v>147838.02614999999</c:v>
                </c:pt>
                <c:pt idx="52">
                  <c:v>148422.02614999999</c:v>
                </c:pt>
                <c:pt idx="53">
                  <c:v>148975.02614999999</c:v>
                </c:pt>
                <c:pt idx="54">
                  <c:v>149348.02614999999</c:v>
                </c:pt>
                <c:pt idx="55">
                  <c:v>149592.02614999999</c:v>
                </c:pt>
                <c:pt idx="56">
                  <c:v>149601.02614999999</c:v>
                </c:pt>
                <c:pt idx="57">
                  <c:v>149876.02614999999</c:v>
                </c:pt>
                <c:pt idx="58">
                  <c:v>150332.02614999999</c:v>
                </c:pt>
                <c:pt idx="59">
                  <c:v>150678.02614999999</c:v>
                </c:pt>
                <c:pt idx="60">
                  <c:v>150665.02614999999</c:v>
                </c:pt>
                <c:pt idx="61">
                  <c:v>151170.02614999999</c:v>
                </c:pt>
                <c:pt idx="62">
                  <c:v>151798.02614999999</c:v>
                </c:pt>
                <c:pt idx="63">
                  <c:v>152500.02614999999</c:v>
                </c:pt>
                <c:pt idx="64">
                  <c:v>153155.02614999999</c:v>
                </c:pt>
                <c:pt idx="65">
                  <c:v>153744.02614999999</c:v>
                </c:pt>
                <c:pt idx="66">
                  <c:v>154249.02614999999</c:v>
                </c:pt>
                <c:pt idx="67">
                  <c:v>154395.02614999999</c:v>
                </c:pt>
                <c:pt idx="68">
                  <c:v>154502.02614999999</c:v>
                </c:pt>
                <c:pt idx="69">
                  <c:v>154927.02614999999</c:v>
                </c:pt>
                <c:pt idx="70">
                  <c:v>155507.02614999999</c:v>
                </c:pt>
                <c:pt idx="71">
                  <c:v>156022.02614999999</c:v>
                </c:pt>
                <c:pt idx="72">
                  <c:v>156140.02614999999</c:v>
                </c:pt>
                <c:pt idx="73">
                  <c:v>156990.02614999999</c:v>
                </c:pt>
                <c:pt idx="74">
                  <c:v>158079.02614999999</c:v>
                </c:pt>
                <c:pt idx="75">
                  <c:v>158969.02614999999</c:v>
                </c:pt>
                <c:pt idx="76">
                  <c:v>159785.02614999999</c:v>
                </c:pt>
                <c:pt idx="77">
                  <c:v>160783.02614999999</c:v>
                </c:pt>
                <c:pt idx="78">
                  <c:v>161537.02614999999</c:v>
                </c:pt>
                <c:pt idx="79">
                  <c:v>162000.02614999999</c:v>
                </c:pt>
                <c:pt idx="80">
                  <c:v>162429.02614999999</c:v>
                </c:pt>
                <c:pt idx="81">
                  <c:v>163162.02614999999</c:v>
                </c:pt>
                <c:pt idx="82">
                  <c:v>163856.02614999999</c:v>
                </c:pt>
                <c:pt idx="83">
                  <c:v>164157.02614999999</c:v>
                </c:pt>
                <c:pt idx="84">
                  <c:v>163951</c:v>
                </c:pt>
                <c:pt idx="85">
                  <c:v>164030</c:v>
                </c:pt>
                <c:pt idx="86">
                  <c:v>164578</c:v>
                </c:pt>
                <c:pt idx="87">
                  <c:v>164573</c:v>
                </c:pt>
                <c:pt idx="88">
                  <c:v>164457</c:v>
                </c:pt>
                <c:pt idx="89">
                  <c:v>164260</c:v>
                </c:pt>
                <c:pt idx="90">
                  <c:v>163928.32999999999</c:v>
                </c:pt>
                <c:pt idx="91">
                  <c:v>163235</c:v>
                </c:pt>
                <c:pt idx="92">
                  <c:v>162539.79</c:v>
                </c:pt>
                <c:pt idx="93">
                  <c:v>161696.43</c:v>
                </c:pt>
                <c:pt idx="94">
                  <c:v>160586.29999999999</c:v>
                </c:pt>
                <c:pt idx="95">
                  <c:v>159530.89000000001</c:v>
                </c:pt>
                <c:pt idx="96">
                  <c:v>157958.20000000001</c:v>
                </c:pt>
                <c:pt idx="97">
                  <c:v>156731.6</c:v>
                </c:pt>
                <c:pt idx="98">
                  <c:v>155827.94</c:v>
                </c:pt>
                <c:pt idx="99">
                  <c:v>154870.5</c:v>
                </c:pt>
                <c:pt idx="100">
                  <c:v>154228.15</c:v>
                </c:pt>
                <c:pt idx="101">
                  <c:v>153944.44</c:v>
                </c:pt>
                <c:pt idx="102">
                  <c:v>153458.03</c:v>
                </c:pt>
                <c:pt idx="103">
                  <c:v>152777.95000000001</c:v>
                </c:pt>
                <c:pt idx="104">
                  <c:v>152087.07999999999</c:v>
                </c:pt>
                <c:pt idx="105">
                  <c:v>151273.99</c:v>
                </c:pt>
                <c:pt idx="106">
                  <c:v>150904.18</c:v>
                </c:pt>
                <c:pt idx="107">
                  <c:v>150583.63</c:v>
                </c:pt>
                <c:pt idx="108">
                  <c:v>149795.67000000001</c:v>
                </c:pt>
                <c:pt idx="109">
                  <c:v>149122.85</c:v>
                </c:pt>
                <c:pt idx="110">
                  <c:v>149014.69</c:v>
                </c:pt>
                <c:pt idx="111">
                  <c:v>149125.95000000001</c:v>
                </c:pt>
                <c:pt idx="112">
                  <c:v>149313.51999999999</c:v>
                </c:pt>
                <c:pt idx="113">
                  <c:v>149579.67000000001</c:v>
                </c:pt>
                <c:pt idx="114">
                  <c:v>149609.9</c:v>
                </c:pt>
                <c:pt idx="115">
                  <c:v>149251.81</c:v>
                </c:pt>
                <c:pt idx="116">
                  <c:v>148872.35999999999</c:v>
                </c:pt>
                <c:pt idx="117">
                  <c:v>148593.45000000001</c:v>
                </c:pt>
                <c:pt idx="118">
                  <c:v>148287.76</c:v>
                </c:pt>
                <c:pt idx="119">
                  <c:v>147909.15</c:v>
                </c:pt>
                <c:pt idx="120">
                  <c:v>147286.39999999999</c:v>
                </c:pt>
                <c:pt idx="121">
                  <c:v>146645.85</c:v>
                </c:pt>
                <c:pt idx="122">
                  <c:v>146910.82</c:v>
                </c:pt>
                <c:pt idx="123">
                  <c:v>147073.47</c:v>
                </c:pt>
                <c:pt idx="124">
                  <c:v>147544.35</c:v>
                </c:pt>
                <c:pt idx="125">
                  <c:v>147826.44</c:v>
                </c:pt>
                <c:pt idx="126">
                  <c:v>147736.85</c:v>
                </c:pt>
                <c:pt idx="127">
                  <c:v>147249.99</c:v>
                </c:pt>
                <c:pt idx="128">
                  <c:v>146904.85</c:v>
                </c:pt>
                <c:pt idx="129">
                  <c:v>146512.20000000001</c:v>
                </c:pt>
                <c:pt idx="130">
                  <c:v>146132.18</c:v>
                </c:pt>
                <c:pt idx="131">
                  <c:v>145651.1</c:v>
                </c:pt>
                <c:pt idx="132">
                  <c:v>144144.32000000001</c:v>
                </c:pt>
                <c:pt idx="133">
                  <c:v>144020.47</c:v>
                </c:pt>
                <c:pt idx="134">
                  <c:v>144150.62</c:v>
                </c:pt>
                <c:pt idx="135">
                  <c:v>144386.94</c:v>
                </c:pt>
                <c:pt idx="136">
                  <c:v>144690.31</c:v>
                </c:pt>
                <c:pt idx="137">
                  <c:v>144916.66</c:v>
                </c:pt>
                <c:pt idx="138">
                  <c:v>144940.49</c:v>
                </c:pt>
                <c:pt idx="139">
                  <c:v>144416.71</c:v>
                </c:pt>
                <c:pt idx="140">
                  <c:v>143941.79999999999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1E-4B27-80B4-695190C43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5617240"/>
        <c:axId val="805617632"/>
      </c:lineChart>
      <c:catAx>
        <c:axId val="805617240"/>
        <c:scaling>
          <c:orientation val="minMax"/>
        </c:scaling>
        <c:delete val="0"/>
        <c:axPos val="b"/>
        <c:majorTickMark val="out"/>
        <c:minorTickMark val="none"/>
        <c:tickLblPos val="nextTo"/>
        <c:crossAx val="805617632"/>
        <c:crosses val="autoZero"/>
        <c:auto val="1"/>
        <c:lblAlgn val="ctr"/>
        <c:lblOffset val="100"/>
        <c:noMultiLvlLbl val="0"/>
      </c:catAx>
      <c:valAx>
        <c:axId val="805617632"/>
        <c:scaling>
          <c:orientation val="minMax"/>
          <c:min val="10000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80561724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1055" l="0.70000000000000062" r="0.70000000000000062" t="0.7500000000000105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28575</xdr:rowOff>
    </xdr:from>
    <xdr:to>
      <xdr:col>14</xdr:col>
      <xdr:colOff>590550</xdr:colOff>
      <xdr:row>37</xdr:row>
      <xdr:rowOff>104775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76199</xdr:colOff>
      <xdr:row>143</xdr:row>
      <xdr:rowOff>133351</xdr:rowOff>
    </xdr:from>
    <xdr:to>
      <xdr:col>8</xdr:col>
      <xdr:colOff>742950</xdr:colOff>
      <xdr:row>146</xdr:row>
      <xdr:rowOff>36195</xdr:rowOff>
    </xdr:to>
    <xdr:sp macro="" textlink="">
      <xdr:nvSpPr>
        <xdr:cNvPr id="4" name="3 Flecha izquierda"/>
        <xdr:cNvSpPr/>
      </xdr:nvSpPr>
      <xdr:spPr>
        <a:xfrm>
          <a:off x="2781299" y="27374851"/>
          <a:ext cx="4476751" cy="474344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ES" sz="1200" b="1"/>
            <a:t>Cambio de sistema en la Seguridad Social (se incluye el SETA)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C/OBSERVATORIOEMPLEO/An&#225;lisis/Previsiones/Seri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series"/>
    </sheetNames>
    <sheetDataSet>
      <sheetData sheetId="0">
        <row r="7">
          <cell r="F7">
            <v>131140.02614999999</v>
          </cell>
        </row>
        <row r="8">
          <cell r="F8">
            <v>131509.02614999999</v>
          </cell>
        </row>
        <row r="9">
          <cell r="F9">
            <v>131945.02614999999</v>
          </cell>
        </row>
        <row r="10">
          <cell r="F10">
            <v>132353.02614999999</v>
          </cell>
        </row>
        <row r="11">
          <cell r="F11">
            <v>132963.02614999999</v>
          </cell>
        </row>
        <row r="12">
          <cell r="F12">
            <v>133189.02614999999</v>
          </cell>
        </row>
        <row r="13">
          <cell r="F13">
            <v>133403.02614999999</v>
          </cell>
        </row>
        <row r="14">
          <cell r="F14">
            <v>133346.02614999999</v>
          </cell>
        </row>
        <row r="15">
          <cell r="F15">
            <v>132881.02614999999</v>
          </cell>
        </row>
        <row r="16">
          <cell r="F16">
            <v>133197.02614999999</v>
          </cell>
        </row>
        <row r="17">
          <cell r="F17">
            <v>133477.02614999999</v>
          </cell>
        </row>
        <row r="18">
          <cell r="F18">
            <v>133477.02614999999</v>
          </cell>
        </row>
        <row r="19">
          <cell r="F19">
            <v>132819.02614999999</v>
          </cell>
        </row>
        <row r="20">
          <cell r="F20">
            <v>133184.02614999999</v>
          </cell>
        </row>
        <row r="21">
          <cell r="F21">
            <v>133631.02614999999</v>
          </cell>
        </row>
        <row r="22">
          <cell r="F22">
            <v>134256.02614999999</v>
          </cell>
        </row>
        <row r="23">
          <cell r="F23">
            <v>134788.02614999999</v>
          </cell>
        </row>
        <row r="24">
          <cell r="F24">
            <v>134971.02614999999</v>
          </cell>
        </row>
        <row r="25">
          <cell r="F25">
            <v>135252.02614999999</v>
          </cell>
        </row>
        <row r="26">
          <cell r="F26">
            <v>135401.02614999999</v>
          </cell>
        </row>
        <row r="27">
          <cell r="F27">
            <v>135332.02614999999</v>
          </cell>
        </row>
        <row r="28">
          <cell r="F28">
            <v>135461.02614999999</v>
          </cell>
        </row>
        <row r="29">
          <cell r="F29">
            <v>135752.02614999999</v>
          </cell>
        </row>
        <row r="30">
          <cell r="F30">
            <v>135946.02614999999</v>
          </cell>
        </row>
        <row r="31">
          <cell r="F31">
            <v>135620.02614999999</v>
          </cell>
        </row>
        <row r="32">
          <cell r="F32">
            <v>136149.02614999999</v>
          </cell>
        </row>
        <row r="33">
          <cell r="F33">
            <v>136691.02614999999</v>
          </cell>
        </row>
        <row r="34">
          <cell r="F34">
            <v>137537.02614999999</v>
          </cell>
        </row>
        <row r="35">
          <cell r="F35">
            <v>137977.02614999999</v>
          </cell>
        </row>
        <row r="36">
          <cell r="F36">
            <v>138501.02614999999</v>
          </cell>
        </row>
        <row r="37">
          <cell r="F37">
            <v>138877.02614999999</v>
          </cell>
        </row>
        <row r="38">
          <cell r="F38">
            <v>139257.02614999999</v>
          </cell>
        </row>
        <row r="39">
          <cell r="F39">
            <v>139258.02614999999</v>
          </cell>
        </row>
        <row r="40">
          <cell r="F40">
            <v>139666.02614999999</v>
          </cell>
        </row>
        <row r="41">
          <cell r="F41">
            <v>140276.02614999999</v>
          </cell>
        </row>
        <row r="42">
          <cell r="F42">
            <v>140409.02614999999</v>
          </cell>
        </row>
        <row r="43">
          <cell r="F43">
            <v>140241.89712000001</v>
          </cell>
        </row>
        <row r="44">
          <cell r="F44">
            <v>140651.30201000001</v>
          </cell>
        </row>
        <row r="45">
          <cell r="F45">
            <v>141517.4455</v>
          </cell>
        </row>
        <row r="46">
          <cell r="F46">
            <v>142292.89282000001</v>
          </cell>
        </row>
        <row r="47">
          <cell r="F47">
            <v>143069.76809</v>
          </cell>
        </row>
        <row r="48">
          <cell r="F48">
            <v>143740.22615</v>
          </cell>
        </row>
        <row r="49">
          <cell r="F49">
            <v>144228.12291999999</v>
          </cell>
        </row>
        <row r="50">
          <cell r="F50">
            <v>144578.42615000001</v>
          </cell>
        </row>
        <row r="51">
          <cell r="F51">
            <v>144679.45947999999</v>
          </cell>
        </row>
        <row r="52">
          <cell r="F52">
            <v>144962.92615000001</v>
          </cell>
        </row>
        <row r="53">
          <cell r="F53">
            <v>145591.72615</v>
          </cell>
        </row>
        <row r="54">
          <cell r="F54">
            <v>145994.42615000001</v>
          </cell>
        </row>
        <row r="55">
          <cell r="F55">
            <v>146076.02614999999</v>
          </cell>
        </row>
        <row r="56">
          <cell r="F56">
            <v>146480.12615</v>
          </cell>
        </row>
        <row r="57">
          <cell r="F57">
            <v>147183.02614999999</v>
          </cell>
        </row>
        <row r="58">
          <cell r="F58">
            <v>147838.02614999999</v>
          </cell>
        </row>
        <row r="59">
          <cell r="F59">
            <v>148422.02614999999</v>
          </cell>
        </row>
        <row r="60">
          <cell r="F60">
            <v>148975.02614999999</v>
          </cell>
        </row>
        <row r="61">
          <cell r="F61">
            <v>149348.02614999999</v>
          </cell>
        </row>
        <row r="62">
          <cell r="F62">
            <v>149592.02614999999</v>
          </cell>
        </row>
        <row r="63">
          <cell r="F63">
            <v>149601.02614999999</v>
          </cell>
        </row>
        <row r="64">
          <cell r="F64">
            <v>149876.02614999999</v>
          </cell>
        </row>
        <row r="65">
          <cell r="F65">
            <v>150332.02614999999</v>
          </cell>
        </row>
        <row r="66">
          <cell r="F66">
            <v>150678.02614999999</v>
          </cell>
        </row>
        <row r="67">
          <cell r="F67">
            <v>150665.02614999999</v>
          </cell>
        </row>
        <row r="68">
          <cell r="F68">
            <v>151170.02614999999</v>
          </cell>
        </row>
        <row r="69">
          <cell r="F69">
            <v>151798.02614999999</v>
          </cell>
        </row>
        <row r="70">
          <cell r="F70">
            <v>152500.02614999999</v>
          </cell>
        </row>
        <row r="71">
          <cell r="F71">
            <v>153155.02614999999</v>
          </cell>
        </row>
        <row r="72">
          <cell r="F72">
            <v>153744.02614999999</v>
          </cell>
        </row>
        <row r="73">
          <cell r="F73">
            <v>154249.02614999999</v>
          </cell>
        </row>
        <row r="74">
          <cell r="F74">
            <v>154395.02614999999</v>
          </cell>
        </row>
        <row r="75">
          <cell r="F75">
            <v>154502.02614999999</v>
          </cell>
        </row>
        <row r="76">
          <cell r="F76">
            <v>154927.02614999999</v>
          </cell>
        </row>
        <row r="77">
          <cell r="F77">
            <v>155507.02614999999</v>
          </cell>
        </row>
        <row r="78">
          <cell r="F78">
            <v>156022.02614999999</v>
          </cell>
        </row>
        <row r="79">
          <cell r="F79">
            <v>156140.02614999999</v>
          </cell>
        </row>
        <row r="80">
          <cell r="F80">
            <v>156990.02614999999</v>
          </cell>
        </row>
        <row r="81">
          <cell r="F81">
            <v>158079.02614999999</v>
          </cell>
        </row>
        <row r="82">
          <cell r="F82">
            <v>158969.02614999999</v>
          </cell>
        </row>
        <row r="83">
          <cell r="F83">
            <v>159785.02614999999</v>
          </cell>
        </row>
        <row r="84">
          <cell r="F84">
            <v>160783.02614999999</v>
          </cell>
        </row>
        <row r="85">
          <cell r="F85">
            <v>161537.02614999999</v>
          </cell>
        </row>
        <row r="86">
          <cell r="F86">
            <v>162000.02614999999</v>
          </cell>
        </row>
        <row r="87">
          <cell r="F87">
            <v>162429.02614999999</v>
          </cell>
        </row>
        <row r="88">
          <cell r="F88">
            <v>163162.02614999999</v>
          </cell>
        </row>
        <row r="89">
          <cell r="F89">
            <v>163856.02614999999</v>
          </cell>
        </row>
        <row r="90">
          <cell r="F90">
            <v>164157.02614999999</v>
          </cell>
        </row>
        <row r="91">
          <cell r="F91">
            <v>163951</v>
          </cell>
        </row>
        <row r="92">
          <cell r="F92">
            <v>164030</v>
          </cell>
        </row>
        <row r="93">
          <cell r="F93">
            <v>164578</v>
          </cell>
        </row>
        <row r="94">
          <cell r="F94">
            <v>164573</v>
          </cell>
        </row>
        <row r="95">
          <cell r="F95">
            <v>164457</v>
          </cell>
        </row>
        <row r="96">
          <cell r="F96">
            <v>164260</v>
          </cell>
        </row>
        <row r="97">
          <cell r="F97">
            <v>163928.32999999999</v>
          </cell>
        </row>
        <row r="98">
          <cell r="F98">
            <v>163235</v>
          </cell>
        </row>
        <row r="99">
          <cell r="F99">
            <v>162539.79</v>
          </cell>
        </row>
        <row r="100">
          <cell r="F100">
            <v>161696.43</v>
          </cell>
        </row>
        <row r="101">
          <cell r="F101">
            <v>160586.29999999999</v>
          </cell>
        </row>
        <row r="102">
          <cell r="F102">
            <v>159530.89000000001</v>
          </cell>
        </row>
        <row r="103">
          <cell r="F103">
            <v>157958.20000000001</v>
          </cell>
        </row>
        <row r="104">
          <cell r="F104">
            <v>156731.6</v>
          </cell>
        </row>
        <row r="105">
          <cell r="F105">
            <v>155827.94</v>
          </cell>
        </row>
        <row r="106">
          <cell r="F106">
            <v>154870.5</v>
          </cell>
        </row>
        <row r="107">
          <cell r="F107">
            <v>154228.15</v>
          </cell>
        </row>
        <row r="108">
          <cell r="F108">
            <v>153944.44</v>
          </cell>
        </row>
        <row r="109">
          <cell r="F109">
            <v>153458.03</v>
          </cell>
        </row>
        <row r="110">
          <cell r="F110">
            <v>152777.95000000001</v>
          </cell>
        </row>
        <row r="111">
          <cell r="F111">
            <v>152087.07999999999</v>
          </cell>
        </row>
        <row r="112">
          <cell r="F112">
            <v>151273.99</v>
          </cell>
        </row>
        <row r="113">
          <cell r="F113">
            <v>150904.18</v>
          </cell>
        </row>
        <row r="114">
          <cell r="F114">
            <v>150583.63</v>
          </cell>
        </row>
        <row r="115">
          <cell r="F115">
            <v>149795.67000000001</v>
          </cell>
        </row>
        <row r="116">
          <cell r="F116">
            <v>149122.85</v>
          </cell>
        </row>
        <row r="117">
          <cell r="F117">
            <v>149014.69</v>
          </cell>
        </row>
        <row r="118">
          <cell r="F118">
            <v>149125.95000000001</v>
          </cell>
        </row>
        <row r="119">
          <cell r="F119">
            <v>149313.51999999999</v>
          </cell>
        </row>
        <row r="120">
          <cell r="F120">
            <v>149579.67000000001</v>
          </cell>
        </row>
        <row r="121">
          <cell r="F121">
            <v>149609.9</v>
          </cell>
        </row>
        <row r="122">
          <cell r="F122">
            <v>149251.81</v>
          </cell>
        </row>
        <row r="123">
          <cell r="F123">
            <v>148872.35999999999</v>
          </cell>
        </row>
        <row r="124">
          <cell r="F124">
            <v>148593.45000000001</v>
          </cell>
        </row>
        <row r="125">
          <cell r="F125">
            <v>148287.76</v>
          </cell>
        </row>
        <row r="126">
          <cell r="F126">
            <v>147909.15</v>
          </cell>
        </row>
        <row r="127">
          <cell r="F127">
            <v>147286.39999999999</v>
          </cell>
        </row>
        <row r="128">
          <cell r="F128">
            <v>146645.85</v>
          </cell>
        </row>
        <row r="129">
          <cell r="F129">
            <v>146910.82</v>
          </cell>
        </row>
        <row r="130">
          <cell r="F130">
            <v>147073.47</v>
          </cell>
        </row>
        <row r="131">
          <cell r="F131">
            <v>147544.35</v>
          </cell>
        </row>
        <row r="132">
          <cell r="F132">
            <v>147826.44</v>
          </cell>
        </row>
        <row r="133">
          <cell r="F133">
            <v>147736.85</v>
          </cell>
        </row>
        <row r="134">
          <cell r="F134">
            <v>147249.99</v>
          </cell>
        </row>
        <row r="135">
          <cell r="F135">
            <v>146904.85</v>
          </cell>
        </row>
        <row r="136">
          <cell r="F136">
            <v>146512.20000000001</v>
          </cell>
        </row>
        <row r="137">
          <cell r="F137">
            <v>146132.18</v>
          </cell>
        </row>
        <row r="138">
          <cell r="F138">
            <v>145651.1</v>
          </cell>
        </row>
        <row r="139">
          <cell r="F139">
            <v>144144.32000000001</v>
          </cell>
        </row>
        <row r="140">
          <cell r="F140">
            <v>144020.47</v>
          </cell>
        </row>
        <row r="141">
          <cell r="F141">
            <v>144150.62</v>
          </cell>
        </row>
        <row r="142">
          <cell r="F142">
            <v>144386.94</v>
          </cell>
        </row>
        <row r="143">
          <cell r="F143">
            <v>144690.31</v>
          </cell>
        </row>
        <row r="144">
          <cell r="F144">
            <v>144916.66</v>
          </cell>
        </row>
        <row r="145">
          <cell r="F145">
            <v>144940.49</v>
          </cell>
        </row>
        <row r="146">
          <cell r="F146">
            <v>144416.71</v>
          </cell>
        </row>
        <row r="147">
          <cell r="F147">
            <v>143941.79999999999</v>
          </cell>
        </row>
        <row r="148">
          <cell r="F148">
            <v>143685</v>
          </cell>
        </row>
        <row r="149">
          <cell r="F149">
            <v>143338</v>
          </cell>
        </row>
        <row r="150">
          <cell r="F150">
            <v>143014</v>
          </cell>
        </row>
        <row r="151">
          <cell r="F151">
            <v>142194</v>
          </cell>
        </row>
        <row r="152">
          <cell r="F152">
            <v>141640</v>
          </cell>
        </row>
        <row r="153">
          <cell r="F153">
            <v>141877</v>
          </cell>
        </row>
        <row r="154">
          <cell r="F154">
            <v>142327</v>
          </cell>
        </row>
        <row r="155">
          <cell r="F155">
            <v>143069</v>
          </cell>
        </row>
        <row r="156">
          <cell r="F156">
            <v>143753</v>
          </cell>
        </row>
        <row r="157">
          <cell r="F157">
            <v>144323</v>
          </cell>
        </row>
        <row r="158">
          <cell r="F158">
            <v>144014</v>
          </cell>
        </row>
        <row r="159">
          <cell r="F159">
            <v>143958</v>
          </cell>
        </row>
        <row r="160">
          <cell r="F160">
            <v>144129</v>
          </cell>
        </row>
        <row r="161">
          <cell r="F161">
            <v>144412</v>
          </cell>
        </row>
        <row r="162">
          <cell r="F162">
            <v>144614</v>
          </cell>
        </row>
        <row r="163">
          <cell r="F163">
            <v>144155</v>
          </cell>
        </row>
        <row r="164">
          <cell r="F164">
            <v>144103</v>
          </cell>
        </row>
        <row r="165">
          <cell r="F165">
            <v>144566</v>
          </cell>
        </row>
        <row r="166">
          <cell r="F166">
            <v>145312</v>
          </cell>
        </row>
        <row r="167">
          <cell r="F167">
            <v>146059</v>
          </cell>
        </row>
        <row r="168">
          <cell r="F168">
            <v>146769</v>
          </cell>
        </row>
        <row r="169">
          <cell r="F169">
            <v>146945</v>
          </cell>
        </row>
        <row r="170">
          <cell r="F170">
            <v>146608</v>
          </cell>
        </row>
        <row r="171">
          <cell r="F171">
            <v>146638</v>
          </cell>
        </row>
        <row r="172">
          <cell r="F172">
            <v>146858</v>
          </cell>
        </row>
        <row r="173">
          <cell r="F173">
            <v>147040</v>
          </cell>
        </row>
        <row r="174">
          <cell r="F174">
            <v>146997</v>
          </cell>
        </row>
        <row r="175">
          <cell r="F175">
            <v>146411</v>
          </cell>
        </row>
        <row r="176">
          <cell r="F176">
            <v>146279</v>
          </cell>
        </row>
        <row r="177">
          <cell r="F177">
            <v>146804</v>
          </cell>
        </row>
        <row r="178">
          <cell r="F178">
            <v>147566</v>
          </cell>
        </row>
        <row r="179">
          <cell r="F179">
            <v>148404</v>
          </cell>
        </row>
        <row r="180">
          <cell r="F180">
            <v>149160</v>
          </cell>
        </row>
        <row r="181">
          <cell r="F181">
            <v>149368</v>
          </cell>
        </row>
        <row r="182">
          <cell r="F182">
            <v>148997</v>
          </cell>
        </row>
        <row r="183">
          <cell r="F183">
            <v>148864</v>
          </cell>
        </row>
        <row r="184">
          <cell r="F184">
            <v>148860</v>
          </cell>
        </row>
        <row r="185">
          <cell r="F185">
            <v>148921</v>
          </cell>
        </row>
        <row r="186">
          <cell r="F186">
            <v>147806</v>
          </cell>
        </row>
        <row r="187">
          <cell r="F187">
            <v>147886</v>
          </cell>
        </row>
        <row r="188">
          <cell r="F188">
            <v>147901</v>
          </cell>
        </row>
        <row r="189">
          <cell r="F189">
            <v>148292</v>
          </cell>
        </row>
        <row r="190">
          <cell r="F190">
            <v>148819</v>
          </cell>
        </row>
        <row r="191">
          <cell r="F191">
            <v>149398</v>
          </cell>
        </row>
        <row r="192">
          <cell r="F192">
            <v>149817</v>
          </cell>
        </row>
        <row r="193">
          <cell r="F193">
            <v>149883</v>
          </cell>
        </row>
        <row r="194">
          <cell r="F194">
            <v>149441</v>
          </cell>
        </row>
        <row r="195">
          <cell r="F195">
            <v>149062</v>
          </cell>
        </row>
        <row r="196">
          <cell r="F196">
            <v>149089</v>
          </cell>
        </row>
        <row r="197">
          <cell r="F197">
            <v>149200</v>
          </cell>
        </row>
        <row r="198">
          <cell r="F198">
            <v>148893</v>
          </cell>
        </row>
        <row r="199">
          <cell r="F199">
            <v>148034</v>
          </cell>
        </row>
        <row r="200">
          <cell r="F200">
            <v>148017.75</v>
          </cell>
        </row>
        <row r="201">
          <cell r="F201">
            <v>148384.68</v>
          </cell>
        </row>
        <row r="202">
          <cell r="F202">
            <v>148928</v>
          </cell>
        </row>
        <row r="203">
          <cell r="F203">
            <v>149616</v>
          </cell>
        </row>
        <row r="204">
          <cell r="F204">
            <v>149970</v>
          </cell>
        </row>
        <row r="205">
          <cell r="F205">
            <v>149605</v>
          </cell>
        </row>
        <row r="206">
          <cell r="F206">
            <v>148912</v>
          </cell>
        </row>
        <row r="207">
          <cell r="F207">
            <v>148762</v>
          </cell>
        </row>
        <row r="208">
          <cell r="F208">
            <v>148679</v>
          </cell>
        </row>
        <row r="209">
          <cell r="F209">
            <v>148566</v>
          </cell>
        </row>
        <row r="210">
          <cell r="F210">
            <v>148218</v>
          </cell>
        </row>
        <row r="211">
          <cell r="F211">
            <v>147784</v>
          </cell>
        </row>
        <row r="212">
          <cell r="F212">
            <v>148305</v>
          </cell>
        </row>
        <row r="213">
          <cell r="F213">
            <v>148744</v>
          </cell>
        </row>
        <row r="214">
          <cell r="F214">
            <v>149238</v>
          </cell>
        </row>
        <row r="215">
          <cell r="F215">
            <v>149870</v>
          </cell>
        </row>
        <row r="216">
          <cell r="F216">
            <v>150225</v>
          </cell>
        </row>
        <row r="217">
          <cell r="F217">
            <v>149958</v>
          </cell>
        </row>
        <row r="218">
          <cell r="F218">
            <v>149352</v>
          </cell>
        </row>
        <row r="219">
          <cell r="F219">
            <v>149207</v>
          </cell>
        </row>
        <row r="220">
          <cell r="F220">
            <v>149350</v>
          </cell>
        </row>
        <row r="221">
          <cell r="F221">
            <v>149316</v>
          </cell>
        </row>
        <row r="222">
          <cell r="F222">
            <v>149183</v>
          </cell>
        </row>
        <row r="223">
          <cell r="F223">
            <v>148252</v>
          </cell>
        </row>
        <row r="224">
          <cell r="F224">
            <v>148238</v>
          </cell>
        </row>
        <row r="225">
          <cell r="F225">
            <v>148311</v>
          </cell>
        </row>
        <row r="226">
          <cell r="F226">
            <v>148609</v>
          </cell>
        </row>
        <row r="227">
          <cell r="F227">
            <v>149121</v>
          </cell>
        </row>
        <row r="228">
          <cell r="F228">
            <v>149647</v>
          </cell>
        </row>
        <row r="229">
          <cell r="F229">
            <v>149536</v>
          </cell>
        </row>
        <row r="230">
          <cell r="F230">
            <v>149110</v>
          </cell>
        </row>
        <row r="231">
          <cell r="F231">
            <v>148943</v>
          </cell>
        </row>
        <row r="232">
          <cell r="F232">
            <v>149045</v>
          </cell>
        </row>
        <row r="233">
          <cell r="F233">
            <v>149111</v>
          </cell>
        </row>
        <row r="234">
          <cell r="F234">
            <v>149178</v>
          </cell>
        </row>
        <row r="235">
          <cell r="F235">
            <v>148410</v>
          </cell>
        </row>
        <row r="236">
          <cell r="F236">
            <v>148753.65</v>
          </cell>
        </row>
        <row r="237">
          <cell r="F237">
            <v>148152.91</v>
          </cell>
        </row>
        <row r="238">
          <cell r="F238">
            <v>145858.75</v>
          </cell>
        </row>
        <row r="239">
          <cell r="F239">
            <v>146536.75</v>
          </cell>
        </row>
        <row r="240">
          <cell r="F240">
            <v>147823.18182</v>
          </cell>
        </row>
        <row r="241">
          <cell r="F241">
            <v>148637.82</v>
          </cell>
        </row>
        <row r="242">
          <cell r="F242">
            <v>148683.81</v>
          </cell>
        </row>
        <row r="243">
          <cell r="F243">
            <v>148722.82</v>
          </cell>
        </row>
        <row r="244">
          <cell r="F244">
            <v>148780.34000000003</v>
          </cell>
        </row>
        <row r="245">
          <cell r="F245">
            <v>148838.14000000001</v>
          </cell>
        </row>
        <row r="246">
          <cell r="F246">
            <v>148830.17000000001</v>
          </cell>
        </row>
        <row r="247">
          <cell r="F247">
            <v>148169.48000000001</v>
          </cell>
        </row>
        <row r="248">
          <cell r="F248">
            <v>148480.75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Y94"/>
  <sheetViews>
    <sheetView tabSelected="1" topLeftCell="GE1" workbookViewId="0">
      <selection activeCell="HA3" sqref="HA3"/>
    </sheetView>
  </sheetViews>
  <sheetFormatPr baseColWidth="10" defaultRowHeight="15" x14ac:dyDescent="0.25"/>
  <cols>
    <col min="1" max="1" width="7.140625" style="1" bestFit="1" customWidth="1"/>
    <col min="2" max="2" width="7.5703125" style="1" bestFit="1" customWidth="1"/>
    <col min="3" max="3" width="8" style="1" bestFit="1" customWidth="1"/>
    <col min="4" max="4" width="7.7109375" style="1" bestFit="1" customWidth="1"/>
    <col min="5" max="5" width="8.42578125" style="1" bestFit="1" customWidth="1"/>
    <col min="6" max="6" width="7.85546875" style="1" bestFit="1" customWidth="1"/>
    <col min="7" max="7" width="8.7109375" style="1" bestFit="1" customWidth="1"/>
    <col min="8" max="8" width="7.7109375" style="1" bestFit="1" customWidth="1"/>
    <col min="9" max="9" width="7.5703125" style="1" bestFit="1" customWidth="1"/>
    <col min="10" max="10" width="8.28515625" style="1" bestFit="1" customWidth="1"/>
    <col min="11" max="11" width="7.85546875" style="1" bestFit="1" customWidth="1"/>
    <col min="12" max="12" width="7.5703125" style="1" bestFit="1" customWidth="1"/>
    <col min="13" max="13" width="8.140625" style="1" bestFit="1" customWidth="1"/>
    <col min="14" max="14" width="7.5703125" style="1" bestFit="1" customWidth="1"/>
    <col min="15" max="15" width="8" style="1" bestFit="1" customWidth="1"/>
    <col min="16" max="16" width="7.7109375" style="1" bestFit="1" customWidth="1"/>
    <col min="17" max="17" width="8.42578125" style="1" bestFit="1" customWidth="1"/>
    <col min="18" max="18" width="7.85546875" style="1" bestFit="1" customWidth="1"/>
    <col min="19" max="19" width="8.7109375" style="1" bestFit="1" customWidth="1"/>
    <col min="20" max="20" width="7.7109375" style="1" bestFit="1" customWidth="1"/>
    <col min="21" max="21" width="7.5703125" style="1" bestFit="1" customWidth="1"/>
    <col min="22" max="22" width="8.28515625" style="1" bestFit="1" customWidth="1"/>
    <col min="23" max="23" width="7.85546875" style="1" bestFit="1" customWidth="1"/>
    <col min="24" max="24" width="7.5703125" style="1" bestFit="1" customWidth="1"/>
    <col min="25" max="25" width="8.140625" style="1" bestFit="1" customWidth="1"/>
    <col min="26" max="26" width="7.5703125" style="1" bestFit="1" customWidth="1"/>
    <col min="27" max="27" width="8" style="1" bestFit="1" customWidth="1"/>
    <col min="28" max="28" width="7.7109375" style="1" bestFit="1" customWidth="1"/>
    <col min="29" max="29" width="8.42578125" style="1" bestFit="1" customWidth="1"/>
    <col min="30" max="30" width="7.85546875" style="1" bestFit="1" customWidth="1"/>
    <col min="31" max="31" width="8.7109375" style="1" bestFit="1" customWidth="1"/>
    <col min="32" max="32" width="7.7109375" style="1" bestFit="1" customWidth="1"/>
    <col min="33" max="33" width="7.5703125" style="1" bestFit="1" customWidth="1"/>
    <col min="34" max="34" width="8.28515625" style="1" bestFit="1" customWidth="1"/>
    <col min="35" max="35" width="7.85546875" style="1" bestFit="1" customWidth="1"/>
    <col min="36" max="36" width="7.5703125" style="1" bestFit="1" customWidth="1"/>
    <col min="37" max="37" width="8.140625" style="1" bestFit="1" customWidth="1"/>
    <col min="38" max="38" width="7.5703125" style="1" bestFit="1" customWidth="1"/>
    <col min="39" max="39" width="8" style="1" bestFit="1" customWidth="1"/>
    <col min="40" max="40" width="7.7109375" style="1" bestFit="1" customWidth="1"/>
    <col min="41" max="41" width="8.42578125" style="1" bestFit="1" customWidth="1"/>
    <col min="42" max="42" width="7.85546875" style="1" bestFit="1" customWidth="1"/>
    <col min="43" max="43" width="8.7109375" style="1" bestFit="1" customWidth="1"/>
    <col min="44" max="44" width="7.7109375" style="1" bestFit="1" customWidth="1"/>
    <col min="45" max="45" width="7.5703125" style="1" bestFit="1" customWidth="1"/>
    <col min="46" max="46" width="8.28515625" style="1" bestFit="1" customWidth="1"/>
    <col min="47" max="47" width="7.85546875" style="1" bestFit="1" customWidth="1"/>
    <col min="48" max="48" width="7.5703125" style="1" bestFit="1" customWidth="1"/>
    <col min="49" max="49" width="8.140625" style="1" bestFit="1" customWidth="1"/>
    <col min="50" max="50" width="7.5703125" style="1" bestFit="1" customWidth="1"/>
    <col min="51" max="51" width="8" style="1" bestFit="1" customWidth="1"/>
    <col min="52" max="52" width="7.7109375" style="1" bestFit="1" customWidth="1"/>
    <col min="53" max="53" width="8.42578125" style="1" bestFit="1" customWidth="1"/>
    <col min="54" max="54" width="7.85546875" style="1" bestFit="1" customWidth="1"/>
    <col min="55" max="55" width="8.7109375" style="1" bestFit="1" customWidth="1"/>
    <col min="56" max="56" width="7.7109375" style="1" bestFit="1" customWidth="1"/>
    <col min="57" max="57" width="7.5703125" style="1" bestFit="1" customWidth="1"/>
    <col min="58" max="58" width="8.28515625" style="1" bestFit="1" customWidth="1"/>
    <col min="59" max="59" width="7.85546875" style="1" bestFit="1" customWidth="1"/>
    <col min="60" max="60" width="7.5703125" style="1" bestFit="1" customWidth="1"/>
    <col min="61" max="61" width="8.140625" style="1" bestFit="1" customWidth="1"/>
    <col min="62" max="62" width="7.5703125" style="1" bestFit="1" customWidth="1"/>
    <col min="63" max="63" width="8" style="1" bestFit="1" customWidth="1"/>
    <col min="64" max="64" width="7.7109375" style="1" bestFit="1" customWidth="1"/>
    <col min="65" max="65" width="8.42578125" style="1" bestFit="1" customWidth="1"/>
    <col min="66" max="66" width="7.85546875" style="1" bestFit="1" customWidth="1"/>
    <col min="67" max="67" width="8.7109375" style="1" bestFit="1" customWidth="1"/>
    <col min="68" max="68" width="7.7109375" style="1" bestFit="1" customWidth="1"/>
    <col min="69" max="69" width="7.5703125" style="1" bestFit="1" customWidth="1"/>
    <col min="70" max="70" width="8.28515625" style="1" bestFit="1" customWidth="1"/>
    <col min="71" max="71" width="7.85546875" style="1" bestFit="1" customWidth="1"/>
    <col min="72" max="72" width="7.5703125" style="1" bestFit="1" customWidth="1"/>
    <col min="73" max="73" width="8.140625" style="1" bestFit="1" customWidth="1"/>
    <col min="74" max="74" width="7.5703125" style="1" bestFit="1" customWidth="1"/>
    <col min="75" max="75" width="8" style="1" bestFit="1" customWidth="1"/>
    <col min="76" max="76" width="7.7109375" style="1" bestFit="1" customWidth="1"/>
    <col min="77" max="77" width="8.42578125" style="1" bestFit="1" customWidth="1"/>
    <col min="78" max="78" width="7.85546875" style="1" bestFit="1" customWidth="1"/>
    <col min="79" max="79" width="8.7109375" style="1" bestFit="1" customWidth="1"/>
    <col min="80" max="80" width="7.7109375" style="1" bestFit="1" customWidth="1"/>
    <col min="81" max="81" width="7.5703125" style="1" bestFit="1" customWidth="1"/>
    <col min="82" max="82" width="8.28515625" style="1" bestFit="1" customWidth="1"/>
    <col min="83" max="83" width="7.85546875" style="1" bestFit="1" customWidth="1"/>
    <col min="84" max="84" width="7.5703125" style="1" bestFit="1" customWidth="1"/>
    <col min="85" max="85" width="8.140625" style="1" bestFit="1" customWidth="1"/>
    <col min="86" max="86" width="7.5703125" style="1" bestFit="1" customWidth="1"/>
    <col min="87" max="87" width="8" style="1" bestFit="1" customWidth="1"/>
    <col min="88" max="88" width="7.7109375" style="1" bestFit="1" customWidth="1"/>
    <col min="89" max="89" width="8.42578125" style="1" bestFit="1" customWidth="1"/>
    <col min="90" max="90" width="7.85546875" style="1" bestFit="1" customWidth="1"/>
    <col min="91" max="91" width="8.7109375" style="1" bestFit="1" customWidth="1"/>
    <col min="92" max="92" width="7.7109375" style="1" bestFit="1" customWidth="1"/>
    <col min="93" max="93" width="7.5703125" style="1" bestFit="1" customWidth="1"/>
    <col min="94" max="94" width="8.28515625" style="1" bestFit="1" customWidth="1"/>
    <col min="95" max="95" width="7.85546875" style="1" bestFit="1" customWidth="1"/>
    <col min="96" max="96" width="7.5703125" style="1" bestFit="1" customWidth="1"/>
    <col min="97" max="97" width="8.140625" style="1" bestFit="1" customWidth="1"/>
    <col min="98" max="98" width="7.5703125" style="1" bestFit="1" customWidth="1"/>
    <col min="99" max="99" width="8" style="1" bestFit="1" customWidth="1"/>
    <col min="100" max="100" width="7.7109375" style="1" bestFit="1" customWidth="1"/>
    <col min="101" max="101" width="8.42578125" style="1" bestFit="1" customWidth="1"/>
    <col min="102" max="102" width="7.85546875" style="1" bestFit="1" customWidth="1"/>
    <col min="103" max="103" width="8.7109375" style="1" bestFit="1" customWidth="1"/>
    <col min="104" max="104" width="7.7109375" style="1" bestFit="1" customWidth="1"/>
    <col min="105" max="105" width="7.5703125" style="1" bestFit="1" customWidth="1"/>
    <col min="106" max="106" width="8.28515625" style="1" bestFit="1" customWidth="1"/>
    <col min="107" max="107" width="7.85546875" style="1" bestFit="1" customWidth="1"/>
    <col min="108" max="108" width="7.5703125" style="1" bestFit="1" customWidth="1"/>
    <col min="109" max="109" width="8.140625" style="1" bestFit="1" customWidth="1"/>
    <col min="110" max="110" width="7.5703125" style="1" bestFit="1" customWidth="1"/>
    <col min="111" max="111" width="8" style="1" bestFit="1" customWidth="1"/>
    <col min="112" max="112" width="7.7109375" style="1" bestFit="1" customWidth="1"/>
    <col min="113" max="113" width="8.42578125" style="1" bestFit="1" customWidth="1"/>
    <col min="114" max="114" width="7.85546875" style="1" bestFit="1" customWidth="1"/>
    <col min="115" max="115" width="8.7109375" style="1" bestFit="1" customWidth="1"/>
    <col min="116" max="116" width="7.7109375" style="1" bestFit="1" customWidth="1"/>
    <col min="117" max="117" width="7.5703125" style="1" bestFit="1" customWidth="1"/>
    <col min="118" max="118" width="8.28515625" style="1" bestFit="1" customWidth="1"/>
    <col min="119" max="119" width="7.85546875" style="1" bestFit="1" customWidth="1"/>
    <col min="120" max="120" width="7.5703125" style="1" bestFit="1" customWidth="1"/>
    <col min="121" max="121" width="8.140625" style="1" bestFit="1" customWidth="1"/>
    <col min="122" max="122" width="7.5703125" style="1" bestFit="1" customWidth="1"/>
    <col min="123" max="123" width="8" style="1" bestFit="1" customWidth="1"/>
    <col min="124" max="124" width="7.7109375" style="1" bestFit="1" customWidth="1"/>
    <col min="125" max="125" width="8.42578125" style="1" bestFit="1" customWidth="1"/>
    <col min="126" max="126" width="7.85546875" style="1" bestFit="1" customWidth="1"/>
    <col min="127" max="127" width="8.7109375" style="1" bestFit="1" customWidth="1"/>
    <col min="128" max="128" width="7.7109375" style="1" bestFit="1" customWidth="1"/>
    <col min="129" max="129" width="7.5703125" style="1" bestFit="1" customWidth="1"/>
    <col min="130" max="130" width="8.28515625" style="1" bestFit="1" customWidth="1"/>
    <col min="131" max="131" width="7.85546875" style="1" bestFit="1" customWidth="1"/>
    <col min="132" max="132" width="7.5703125" style="1" bestFit="1" customWidth="1"/>
    <col min="133" max="133" width="8.140625" style="1" bestFit="1" customWidth="1"/>
    <col min="134" max="134" width="7.5703125" style="1" bestFit="1" customWidth="1"/>
    <col min="135" max="135" width="8" style="1" bestFit="1" customWidth="1"/>
    <col min="136" max="136" width="7.7109375" style="1" bestFit="1" customWidth="1"/>
    <col min="137" max="137" width="8.42578125" style="1" bestFit="1" customWidth="1"/>
    <col min="138" max="138" width="7.85546875" style="1" bestFit="1" customWidth="1"/>
    <col min="139" max="139" width="8.7109375" style="1" bestFit="1" customWidth="1"/>
    <col min="140" max="140" width="7.7109375" style="1" bestFit="1" customWidth="1"/>
    <col min="141" max="141" width="7.5703125" style="1" bestFit="1" customWidth="1"/>
    <col min="142" max="142" width="8.28515625" style="1" bestFit="1" customWidth="1"/>
    <col min="143" max="143" width="7.85546875" style="1" bestFit="1" customWidth="1"/>
    <col min="144" max="144" width="7.5703125" style="1" bestFit="1" customWidth="1"/>
    <col min="145" max="145" width="8.140625" style="1" bestFit="1" customWidth="1"/>
    <col min="146" max="146" width="7.5703125" style="1" bestFit="1" customWidth="1"/>
    <col min="147" max="147" width="8" style="1" bestFit="1" customWidth="1"/>
    <col min="148" max="148" width="7.7109375" style="1" bestFit="1" customWidth="1"/>
    <col min="149" max="149" width="8.42578125" style="1" bestFit="1" customWidth="1"/>
    <col min="150" max="150" width="7.85546875" style="1" bestFit="1" customWidth="1"/>
    <col min="151" max="151" width="8.7109375" style="1" bestFit="1" customWidth="1"/>
    <col min="152" max="152" width="7.7109375" style="1" bestFit="1" customWidth="1"/>
    <col min="153" max="153" width="7.5703125" style="1" bestFit="1" customWidth="1"/>
    <col min="154" max="154" width="8.28515625" style="1" bestFit="1" customWidth="1"/>
    <col min="155" max="155" width="7.85546875" style="1" bestFit="1" customWidth="1"/>
    <col min="156" max="156" width="7.5703125" style="1" bestFit="1" customWidth="1"/>
    <col min="157" max="157" width="8.140625" style="1" bestFit="1" customWidth="1"/>
    <col min="158" max="158" width="7.5703125" style="1" bestFit="1" customWidth="1"/>
    <col min="159" max="159" width="8" style="1" bestFit="1" customWidth="1"/>
    <col min="160" max="160" width="7.7109375" style="1" bestFit="1" customWidth="1"/>
    <col min="161" max="161" width="8.42578125" style="1" bestFit="1" customWidth="1"/>
    <col min="162" max="162" width="7.85546875" style="1" bestFit="1" customWidth="1"/>
    <col min="163" max="163" width="8.7109375" style="1" bestFit="1" customWidth="1"/>
    <col min="164" max="164" width="7.7109375" style="1" bestFit="1" customWidth="1"/>
    <col min="165" max="165" width="7.5703125" style="1" bestFit="1" customWidth="1"/>
    <col min="166" max="166" width="8.28515625" style="1" bestFit="1" customWidth="1"/>
    <col min="167" max="167" width="7.85546875" style="1" bestFit="1" customWidth="1"/>
    <col min="168" max="168" width="7.5703125" style="1" bestFit="1" customWidth="1"/>
    <col min="169" max="169" width="8.140625" style="1" bestFit="1" customWidth="1"/>
    <col min="170" max="170" width="7.5703125" style="1" bestFit="1" customWidth="1"/>
    <col min="171" max="171" width="8" style="1" bestFit="1" customWidth="1"/>
    <col min="172" max="172" width="7.7109375" style="1" bestFit="1" customWidth="1"/>
    <col min="173" max="173" width="8.42578125" style="1" bestFit="1" customWidth="1"/>
    <col min="174" max="174" width="7.85546875" style="1" bestFit="1" customWidth="1"/>
    <col min="175" max="175" width="8.7109375" style="1" bestFit="1" customWidth="1"/>
    <col min="176" max="176" width="7.7109375" style="1" bestFit="1" customWidth="1"/>
    <col min="177" max="177" width="7.5703125" style="1" bestFit="1" customWidth="1"/>
    <col min="178" max="178" width="8.28515625" style="1" bestFit="1" customWidth="1"/>
    <col min="179" max="179" width="7.85546875" style="1" bestFit="1" customWidth="1"/>
    <col min="180" max="180" width="7.5703125" style="1" bestFit="1" customWidth="1"/>
    <col min="181" max="181" width="8.140625" style="1" bestFit="1" customWidth="1"/>
    <col min="182" max="182" width="7.5703125" style="1" bestFit="1" customWidth="1"/>
    <col min="183" max="183" width="8" style="1" bestFit="1" customWidth="1"/>
    <col min="184" max="184" width="7.7109375" style="1" bestFit="1" customWidth="1"/>
    <col min="185" max="185" width="8.42578125" style="1" bestFit="1" customWidth="1"/>
    <col min="186" max="186" width="7.85546875" style="1" bestFit="1" customWidth="1"/>
    <col min="187" max="187" width="8.7109375" style="1" bestFit="1" customWidth="1"/>
    <col min="188" max="188" width="7.7109375" style="1" bestFit="1" customWidth="1"/>
    <col min="189" max="189" width="7.5703125" style="1" bestFit="1" customWidth="1"/>
    <col min="190" max="190" width="8.28515625" style="1" bestFit="1" customWidth="1"/>
    <col min="191" max="191" width="7.85546875" style="1" bestFit="1" customWidth="1"/>
    <col min="192" max="192" width="7.5703125" style="1" bestFit="1" customWidth="1"/>
    <col min="193" max="193" width="8.140625" style="1" bestFit="1" customWidth="1"/>
    <col min="194" max="194" width="7.5703125" style="1" bestFit="1" customWidth="1"/>
    <col min="195" max="195" width="8" style="1" bestFit="1" customWidth="1"/>
    <col min="196" max="196" width="7.7109375" style="1" bestFit="1" customWidth="1"/>
    <col min="197" max="197" width="8.42578125" style="1" bestFit="1" customWidth="1"/>
    <col min="198" max="198" width="7.85546875" style="1" bestFit="1" customWidth="1"/>
    <col min="199" max="199" width="8.7109375" style="1" bestFit="1" customWidth="1"/>
    <col min="200" max="200" width="7.7109375" style="1" bestFit="1" customWidth="1"/>
    <col min="201" max="201" width="7.5703125" style="1" bestFit="1" customWidth="1"/>
    <col min="202" max="202" width="8.28515625" style="1" bestFit="1" customWidth="1"/>
    <col min="203" max="203" width="7.85546875" style="1" bestFit="1" customWidth="1"/>
    <col min="204" max="204" width="7.5703125" style="1" bestFit="1" customWidth="1"/>
    <col min="205" max="205" width="8.140625" style="1" bestFit="1" customWidth="1"/>
    <col min="206" max="206" width="7.28515625" style="1" bestFit="1" customWidth="1"/>
    <col min="207" max="207" width="8" style="1" bestFit="1" customWidth="1"/>
    <col min="208" max="208" width="7.7109375" style="1" bestFit="1" customWidth="1"/>
    <col min="209" max="209" width="8.42578125" style="1" bestFit="1" customWidth="1"/>
    <col min="210" max="210" width="7.85546875" style="1" bestFit="1" customWidth="1"/>
    <col min="211" max="211" width="8.7109375" style="1" bestFit="1" customWidth="1"/>
    <col min="212" max="212" width="7.7109375" style="1" bestFit="1" customWidth="1"/>
    <col min="213" max="213" width="7" style="1" bestFit="1" customWidth="1"/>
    <col min="214" max="214" width="8.28515625" style="1" bestFit="1" customWidth="1"/>
    <col min="215" max="215" width="7.85546875" style="1" bestFit="1" customWidth="1"/>
    <col min="216" max="216" width="7.5703125" style="1" bestFit="1" customWidth="1"/>
    <col min="217" max="217" width="8.140625" style="1" bestFit="1" customWidth="1"/>
    <col min="218" max="218" width="7.28515625" style="1" bestFit="1" customWidth="1"/>
    <col min="219" max="219" width="8" style="1" bestFit="1" customWidth="1"/>
    <col min="220" max="220" width="7.7109375" style="1" bestFit="1" customWidth="1"/>
    <col min="221" max="221" width="8.42578125" style="1" bestFit="1" customWidth="1"/>
    <col min="222" max="222" width="7.85546875" style="1" bestFit="1" customWidth="1"/>
    <col min="223" max="223" width="8.7109375" style="1" bestFit="1" customWidth="1"/>
    <col min="224" max="224" width="7.7109375" style="1" bestFit="1" customWidth="1"/>
    <col min="225" max="225" width="7" style="1" bestFit="1" customWidth="1"/>
    <col min="226" max="226" width="8.28515625" style="1" bestFit="1" customWidth="1"/>
    <col min="227" max="227" width="7.85546875" style="1" bestFit="1" customWidth="1"/>
    <col min="228" max="228" width="7.5703125" style="1" bestFit="1" customWidth="1"/>
    <col min="229" max="229" width="8.140625" style="1" bestFit="1" customWidth="1"/>
    <col min="230" max="230" width="7.28515625" style="1" bestFit="1" customWidth="1"/>
    <col min="231" max="231" width="8" style="1" bestFit="1" customWidth="1"/>
    <col min="232" max="232" width="7.7109375" style="1" bestFit="1" customWidth="1"/>
    <col min="233" max="233" width="8.42578125" style="1" bestFit="1" customWidth="1"/>
    <col min="234" max="234" width="7.85546875" style="1" bestFit="1" customWidth="1"/>
    <col min="235" max="235" width="8.7109375" style="1" bestFit="1" customWidth="1"/>
    <col min="236" max="236" width="7.7109375" style="1" bestFit="1" customWidth="1"/>
    <col min="237" max="237" width="7" style="1" bestFit="1" customWidth="1"/>
    <col min="238" max="238" width="8.28515625" style="1" bestFit="1" customWidth="1"/>
    <col min="239" max="239" width="7.85546875" style="1" bestFit="1" customWidth="1"/>
    <col min="240" max="240" width="7.5703125" style="1" bestFit="1" customWidth="1"/>
    <col min="241" max="241" width="8.140625" style="1" bestFit="1" customWidth="1"/>
    <col min="242" max="242" width="7.28515625" style="1" bestFit="1" customWidth="1"/>
    <col min="243" max="243" width="8" style="1" bestFit="1" customWidth="1"/>
    <col min="244" max="244" width="7.7109375" style="1" bestFit="1" customWidth="1"/>
    <col min="245" max="245" width="8.42578125" style="1" bestFit="1" customWidth="1"/>
    <col min="246" max="246" width="7.85546875" style="1" bestFit="1" customWidth="1"/>
    <col min="247" max="247" width="8.7109375" style="1" bestFit="1" customWidth="1"/>
    <col min="248" max="248" width="7.7109375" style="1" bestFit="1" customWidth="1"/>
    <col min="249" max="249" width="7" style="1" bestFit="1" customWidth="1"/>
    <col min="250" max="250" width="8.28515625" style="1" bestFit="1" customWidth="1"/>
    <col min="251" max="251" width="7.85546875" style="1" bestFit="1" customWidth="1"/>
    <col min="252" max="252" width="7.5703125" style="1" bestFit="1" customWidth="1"/>
    <col min="253" max="253" width="8.140625" style="1" bestFit="1" customWidth="1"/>
    <col min="254" max="254" width="7.28515625" style="1" bestFit="1" customWidth="1"/>
    <col min="255" max="255" width="8" style="1" bestFit="1" customWidth="1"/>
    <col min="256" max="256" width="7.7109375" style="1" bestFit="1" customWidth="1"/>
    <col min="257" max="257" width="8.42578125" style="1" bestFit="1" customWidth="1"/>
    <col min="258" max="258" width="7.85546875" style="1" bestFit="1" customWidth="1"/>
    <col min="259" max="259" width="8.7109375" style="1" bestFit="1" customWidth="1"/>
    <col min="260" max="260" width="7.7109375" style="1" bestFit="1" customWidth="1"/>
    <col min="261" max="261" width="7" style="1" bestFit="1" customWidth="1"/>
    <col min="262" max="262" width="8.28515625" style="1" bestFit="1" customWidth="1"/>
    <col min="263" max="263" width="7.85546875" style="1" bestFit="1" customWidth="1"/>
    <col min="264" max="264" width="7.5703125" style="1" bestFit="1" customWidth="1"/>
    <col min="265" max="265" width="8.140625" style="1" bestFit="1" customWidth="1"/>
    <col min="266" max="266" width="7.28515625" style="1" bestFit="1" customWidth="1"/>
    <col min="267" max="267" width="8" style="1" bestFit="1" customWidth="1"/>
    <col min="268" max="268" width="7.7109375" style="1" bestFit="1" customWidth="1"/>
    <col min="269" max="269" width="6.140625" style="1" bestFit="1" customWidth="1"/>
    <col min="270" max="270" width="8.5703125" style="1" bestFit="1" customWidth="1"/>
    <col min="271" max="271" width="9.140625" style="1" bestFit="1" customWidth="1"/>
    <col min="272" max="272" width="6.140625" style="1" bestFit="1" customWidth="1"/>
    <col min="273" max="273" width="15.7109375" style="1" bestFit="1" customWidth="1"/>
    <col min="274" max="274" width="6.85546875" style="1" bestFit="1" customWidth="1"/>
    <col min="275" max="336" width="9" style="1" customWidth="1"/>
  </cols>
  <sheetData>
    <row r="1" spans="1:337" x14ac:dyDescent="0.25">
      <c r="B1" s="1">
        <v>36</v>
      </c>
      <c r="C1" s="1">
        <v>37</v>
      </c>
      <c r="D1" s="1">
        <v>38</v>
      </c>
      <c r="E1" s="1">
        <v>39</v>
      </c>
      <c r="F1" s="1">
        <v>40</v>
      </c>
      <c r="G1" s="1">
        <v>41</v>
      </c>
      <c r="H1" s="1">
        <v>42</v>
      </c>
      <c r="I1" s="1">
        <v>43</v>
      </c>
      <c r="J1" s="1">
        <v>44</v>
      </c>
      <c r="K1" s="1">
        <v>45</v>
      </c>
      <c r="L1" s="1">
        <v>46</v>
      </c>
      <c r="M1" s="1">
        <v>47</v>
      </c>
      <c r="N1" s="1">
        <v>48</v>
      </c>
      <c r="O1" s="1">
        <v>49</v>
      </c>
      <c r="P1" s="1">
        <v>50</v>
      </c>
      <c r="Q1" s="1">
        <v>51</v>
      </c>
      <c r="R1" s="1">
        <v>52</v>
      </c>
      <c r="S1" s="1">
        <v>53</v>
      </c>
      <c r="T1" s="1">
        <v>54</v>
      </c>
      <c r="U1" s="1">
        <v>55</v>
      </c>
      <c r="V1" s="1">
        <v>56</v>
      </c>
      <c r="W1" s="1">
        <v>57</v>
      </c>
      <c r="X1" s="1">
        <v>58</v>
      </c>
      <c r="Y1" s="1">
        <v>59</v>
      </c>
      <c r="Z1" s="1">
        <v>60</v>
      </c>
      <c r="AA1" s="1">
        <v>61</v>
      </c>
      <c r="AB1" s="1">
        <v>62</v>
      </c>
      <c r="AC1" s="1">
        <v>63</v>
      </c>
      <c r="AD1" s="1">
        <v>64</v>
      </c>
      <c r="AE1" s="1">
        <v>65</v>
      </c>
      <c r="AF1" s="1">
        <v>66</v>
      </c>
      <c r="AG1" s="1">
        <v>67</v>
      </c>
      <c r="AH1" s="1">
        <v>68</v>
      </c>
      <c r="AI1" s="1">
        <v>69</v>
      </c>
      <c r="AJ1" s="1">
        <v>70</v>
      </c>
      <c r="AK1" s="1">
        <v>71</v>
      </c>
      <c r="AL1" s="1">
        <v>72</v>
      </c>
      <c r="AM1" s="1">
        <v>73</v>
      </c>
      <c r="AN1" s="1">
        <v>74</v>
      </c>
      <c r="AO1" s="1">
        <v>75</v>
      </c>
      <c r="AP1" s="1">
        <v>76</v>
      </c>
      <c r="AQ1" s="1">
        <v>77</v>
      </c>
      <c r="AR1" s="1">
        <v>78</v>
      </c>
      <c r="AS1" s="1">
        <v>79</v>
      </c>
      <c r="AT1" s="1">
        <v>80</v>
      </c>
      <c r="AU1" s="1">
        <v>81</v>
      </c>
      <c r="AV1" s="1">
        <v>82</v>
      </c>
      <c r="AW1" s="1">
        <v>83</v>
      </c>
      <c r="AX1" s="1">
        <v>84</v>
      </c>
      <c r="AY1" s="1">
        <v>85</v>
      </c>
      <c r="AZ1" s="1">
        <v>86</v>
      </c>
      <c r="BA1" s="1">
        <v>87</v>
      </c>
      <c r="BB1" s="1">
        <v>88</v>
      </c>
      <c r="BC1" s="1">
        <v>89</v>
      </c>
      <c r="BD1" s="1">
        <v>90</v>
      </c>
      <c r="BE1" s="1">
        <v>91</v>
      </c>
      <c r="BF1" s="1">
        <v>92</v>
      </c>
      <c r="BG1" s="1">
        <v>93</v>
      </c>
      <c r="BH1" s="1">
        <v>94</v>
      </c>
      <c r="BI1" s="1">
        <v>95</v>
      </c>
      <c r="BJ1" s="1">
        <v>96</v>
      </c>
      <c r="BK1" s="1">
        <v>97</v>
      </c>
      <c r="BL1" s="1">
        <v>98</v>
      </c>
      <c r="BM1" s="1">
        <v>99</v>
      </c>
      <c r="BN1" s="1">
        <v>100</v>
      </c>
      <c r="BO1" s="1">
        <v>101</v>
      </c>
      <c r="BP1" s="1">
        <v>102</v>
      </c>
      <c r="BQ1" s="1">
        <v>103</v>
      </c>
      <c r="BR1" s="1">
        <v>104</v>
      </c>
      <c r="BS1" s="1">
        <v>105</v>
      </c>
      <c r="BT1" s="1">
        <v>106</v>
      </c>
      <c r="BU1" s="1">
        <v>107</v>
      </c>
      <c r="BV1" s="1">
        <v>108</v>
      </c>
      <c r="BW1" s="1">
        <v>109</v>
      </c>
      <c r="BX1" s="1">
        <v>110</v>
      </c>
      <c r="BY1" s="1">
        <v>111</v>
      </c>
      <c r="BZ1" s="1">
        <v>112</v>
      </c>
      <c r="CA1" s="1">
        <v>113</v>
      </c>
      <c r="CB1" s="1">
        <v>114</v>
      </c>
      <c r="CC1" s="1">
        <v>115</v>
      </c>
      <c r="CD1" s="1">
        <v>116</v>
      </c>
      <c r="CE1" s="1">
        <v>117</v>
      </c>
      <c r="CF1" s="1">
        <v>118</v>
      </c>
      <c r="CG1" s="1">
        <v>119</v>
      </c>
      <c r="CH1" s="1">
        <v>120</v>
      </c>
      <c r="CI1" s="1">
        <v>121</v>
      </c>
      <c r="CJ1" s="1">
        <v>122</v>
      </c>
      <c r="CK1" s="1">
        <v>123</v>
      </c>
      <c r="CL1" s="1">
        <v>124</v>
      </c>
      <c r="CM1" s="1">
        <v>125</v>
      </c>
      <c r="CN1" s="1">
        <v>126</v>
      </c>
      <c r="CO1" s="1">
        <v>127</v>
      </c>
      <c r="CP1" s="1">
        <v>128</v>
      </c>
      <c r="CQ1" s="1">
        <v>129</v>
      </c>
      <c r="CR1" s="1">
        <v>130</v>
      </c>
      <c r="CS1" s="1">
        <v>131</v>
      </c>
      <c r="CT1" s="1">
        <v>132</v>
      </c>
      <c r="CU1" s="1">
        <v>133</v>
      </c>
      <c r="CV1" s="1">
        <v>134</v>
      </c>
      <c r="CW1" s="1">
        <v>135</v>
      </c>
      <c r="CX1" s="1">
        <v>136</v>
      </c>
      <c r="CY1" s="1">
        <v>137</v>
      </c>
      <c r="CZ1" s="1">
        <v>138</v>
      </c>
      <c r="DA1" s="1">
        <v>139</v>
      </c>
      <c r="DB1" s="1">
        <v>140</v>
      </c>
      <c r="DC1" s="1">
        <v>141</v>
      </c>
      <c r="DD1" s="1">
        <v>142</v>
      </c>
      <c r="DE1" s="1">
        <v>143</v>
      </c>
      <c r="DF1" s="1">
        <v>144</v>
      </c>
      <c r="DG1" s="1">
        <v>145</v>
      </c>
      <c r="DH1" s="1">
        <v>146</v>
      </c>
      <c r="DI1" s="1">
        <v>147</v>
      </c>
      <c r="DJ1" s="1">
        <v>148</v>
      </c>
      <c r="DK1" s="1">
        <v>149</v>
      </c>
      <c r="DL1" s="1">
        <v>150</v>
      </c>
      <c r="DM1" s="1">
        <v>151</v>
      </c>
      <c r="DN1" s="1">
        <v>152</v>
      </c>
      <c r="DO1" s="1">
        <v>153</v>
      </c>
      <c r="DP1" s="1">
        <v>154</v>
      </c>
      <c r="DQ1" s="1">
        <v>155</v>
      </c>
      <c r="DR1" s="1">
        <v>156</v>
      </c>
      <c r="DS1" s="1">
        <v>157</v>
      </c>
      <c r="DT1" s="1">
        <v>158</v>
      </c>
      <c r="DU1" s="1">
        <v>159</v>
      </c>
      <c r="DV1" s="1">
        <v>160</v>
      </c>
      <c r="DW1" s="1">
        <v>161</v>
      </c>
      <c r="DX1" s="1">
        <v>162</v>
      </c>
      <c r="DY1" s="1">
        <v>163</v>
      </c>
      <c r="DZ1" s="1">
        <v>164</v>
      </c>
      <c r="EA1" s="1">
        <v>165</v>
      </c>
      <c r="EB1" s="1">
        <v>166</v>
      </c>
      <c r="EC1" s="1">
        <v>167</v>
      </c>
      <c r="ED1" s="1">
        <v>168</v>
      </c>
      <c r="EE1" s="1">
        <v>169</v>
      </c>
      <c r="EF1" s="1">
        <v>170</v>
      </c>
      <c r="EG1" s="1">
        <v>171</v>
      </c>
      <c r="EH1" s="1">
        <v>172</v>
      </c>
      <c r="EI1" s="1">
        <v>173</v>
      </c>
      <c r="EJ1" s="1">
        <v>174</v>
      </c>
      <c r="EK1" s="1">
        <v>175</v>
      </c>
      <c r="EL1" s="1">
        <v>176</v>
      </c>
      <c r="EM1" s="1">
        <v>177</v>
      </c>
      <c r="EN1" s="1">
        <v>178</v>
      </c>
      <c r="EO1" s="1">
        <v>179</v>
      </c>
      <c r="EP1" s="1">
        <v>180</v>
      </c>
      <c r="EQ1" s="1">
        <v>181</v>
      </c>
      <c r="ER1" s="1">
        <v>182</v>
      </c>
      <c r="ES1" s="1">
        <v>183</v>
      </c>
      <c r="ET1" s="1">
        <v>184</v>
      </c>
      <c r="EU1" s="1">
        <v>185</v>
      </c>
      <c r="EV1" s="1">
        <v>186</v>
      </c>
      <c r="EW1" s="1">
        <v>187</v>
      </c>
      <c r="EX1" s="1">
        <v>188</v>
      </c>
      <c r="EY1" s="1">
        <v>189</v>
      </c>
      <c r="EZ1" s="1">
        <v>190</v>
      </c>
      <c r="FA1" s="1">
        <v>191</v>
      </c>
      <c r="FB1" s="1">
        <v>192</v>
      </c>
      <c r="FC1" s="1">
        <v>193</v>
      </c>
      <c r="FD1" s="1">
        <v>194</v>
      </c>
      <c r="FE1" s="1">
        <v>195</v>
      </c>
      <c r="FF1" s="1">
        <v>196</v>
      </c>
      <c r="FG1" s="1">
        <v>197</v>
      </c>
      <c r="FH1" s="1">
        <v>198</v>
      </c>
      <c r="FI1" s="1">
        <v>199</v>
      </c>
      <c r="FJ1" s="1">
        <v>200</v>
      </c>
      <c r="FK1" s="1">
        <v>201</v>
      </c>
      <c r="FL1" s="1">
        <v>202</v>
      </c>
      <c r="FM1" s="1">
        <v>203</v>
      </c>
      <c r="FN1" s="1">
        <v>204</v>
      </c>
      <c r="FO1" s="1">
        <v>205</v>
      </c>
      <c r="FP1" s="1">
        <v>206</v>
      </c>
      <c r="FQ1" s="1">
        <v>207</v>
      </c>
      <c r="FR1" s="1">
        <v>208</v>
      </c>
      <c r="FS1" s="1">
        <v>209</v>
      </c>
      <c r="FT1" s="1">
        <v>210</v>
      </c>
      <c r="FU1" s="1">
        <v>211</v>
      </c>
      <c r="FV1" s="1">
        <v>212</v>
      </c>
      <c r="FW1" s="1">
        <v>213</v>
      </c>
      <c r="FX1" s="1">
        <v>214</v>
      </c>
      <c r="FY1" s="1">
        <v>215</v>
      </c>
      <c r="FZ1" s="1">
        <v>216</v>
      </c>
      <c r="GA1" s="1">
        <v>217</v>
      </c>
      <c r="GB1" s="1">
        <v>218</v>
      </c>
      <c r="GC1" s="1">
        <v>219</v>
      </c>
      <c r="GD1" s="1">
        <v>220</v>
      </c>
      <c r="GE1" s="1">
        <v>221</v>
      </c>
      <c r="GF1" s="1">
        <v>222</v>
      </c>
      <c r="GG1" s="1">
        <v>223</v>
      </c>
      <c r="GH1" s="1">
        <v>224</v>
      </c>
      <c r="GI1" s="1">
        <v>225</v>
      </c>
      <c r="GJ1" s="1">
        <v>226</v>
      </c>
      <c r="GK1" s="1">
        <v>227</v>
      </c>
      <c r="GL1" s="1">
        <v>228</v>
      </c>
      <c r="GM1" s="1">
        <v>229</v>
      </c>
      <c r="GN1" s="1">
        <v>230</v>
      </c>
      <c r="GO1" s="1">
        <v>231</v>
      </c>
      <c r="GP1" s="1">
        <v>232</v>
      </c>
      <c r="GQ1" s="1">
        <v>233</v>
      </c>
      <c r="GR1" s="1">
        <v>234</v>
      </c>
      <c r="GS1" s="1">
        <v>235</v>
      </c>
      <c r="GT1" s="1">
        <v>236</v>
      </c>
      <c r="GU1" s="1">
        <v>237</v>
      </c>
      <c r="GV1" s="1">
        <v>238</v>
      </c>
      <c r="GW1" s="1">
        <v>239</v>
      </c>
      <c r="GX1" s="1">
        <v>240</v>
      </c>
      <c r="GY1" s="1">
        <v>241</v>
      </c>
      <c r="GZ1" s="1">
        <v>242</v>
      </c>
      <c r="HA1" s="1">
        <v>243</v>
      </c>
      <c r="HB1" s="1">
        <v>244</v>
      </c>
      <c r="HC1" s="1">
        <v>245</v>
      </c>
      <c r="HD1" s="1">
        <v>246</v>
      </c>
      <c r="HE1" s="1">
        <v>247</v>
      </c>
      <c r="HF1" s="1">
        <v>248</v>
      </c>
      <c r="HG1" s="1">
        <v>249</v>
      </c>
      <c r="HH1" s="1">
        <v>250</v>
      </c>
      <c r="HI1" s="1">
        <v>251</v>
      </c>
      <c r="HJ1" s="1">
        <v>252</v>
      </c>
      <c r="HK1" s="1">
        <v>253</v>
      </c>
      <c r="HL1" s="1">
        <v>254</v>
      </c>
      <c r="HM1" s="1">
        <v>255</v>
      </c>
      <c r="HN1" s="1">
        <v>256</v>
      </c>
      <c r="HO1" s="1">
        <v>257</v>
      </c>
      <c r="HP1" s="1">
        <v>258</v>
      </c>
      <c r="HQ1" s="1">
        <v>259</v>
      </c>
      <c r="HR1" s="1">
        <v>260</v>
      </c>
      <c r="HS1" s="1">
        <v>261</v>
      </c>
      <c r="HT1" s="1">
        <v>262</v>
      </c>
      <c r="HU1" s="1">
        <v>263</v>
      </c>
      <c r="HV1" s="1">
        <v>264</v>
      </c>
      <c r="HW1" s="1">
        <v>265</v>
      </c>
      <c r="HX1" s="1">
        <v>266</v>
      </c>
      <c r="HY1" s="1">
        <v>267</v>
      </c>
      <c r="HZ1" s="1">
        <v>268</v>
      </c>
      <c r="IA1" s="1">
        <v>269</v>
      </c>
      <c r="IB1" s="1">
        <v>270</v>
      </c>
      <c r="IC1" s="1">
        <v>271</v>
      </c>
      <c r="ID1" s="1">
        <v>272</v>
      </c>
      <c r="IE1" s="1">
        <v>273</v>
      </c>
      <c r="IF1" s="1">
        <v>274</v>
      </c>
      <c r="IG1" s="1">
        <v>275</v>
      </c>
      <c r="IH1" s="1">
        <v>276</v>
      </c>
      <c r="II1" s="1">
        <v>277</v>
      </c>
      <c r="IJ1" s="1">
        <v>278</v>
      </c>
      <c r="IK1" s="1">
        <v>279</v>
      </c>
      <c r="IL1" s="1">
        <v>280</v>
      </c>
      <c r="IM1" s="1">
        <v>281</v>
      </c>
      <c r="IN1" s="1">
        <v>282</v>
      </c>
      <c r="IO1" s="1">
        <v>283</v>
      </c>
      <c r="IP1" s="1">
        <v>284</v>
      </c>
      <c r="IQ1" s="1">
        <v>285</v>
      </c>
      <c r="IR1" s="1">
        <v>286</v>
      </c>
      <c r="IS1" s="1">
        <v>287</v>
      </c>
      <c r="IT1" s="1">
        <v>288</v>
      </c>
      <c r="IU1" s="1">
        <v>289</v>
      </c>
      <c r="IV1" s="1">
        <v>290</v>
      </c>
      <c r="IW1" s="1">
        <v>291</v>
      </c>
      <c r="IX1" s="1">
        <v>292</v>
      </c>
      <c r="IY1" s="1">
        <v>293</v>
      </c>
      <c r="IZ1" s="1">
        <v>294</v>
      </c>
      <c r="JA1" s="1">
        <v>295</v>
      </c>
      <c r="JB1" s="1">
        <v>296</v>
      </c>
      <c r="JC1" s="1">
        <v>297</v>
      </c>
      <c r="JD1" s="1">
        <v>298</v>
      </c>
      <c r="JE1" s="1">
        <v>299</v>
      </c>
      <c r="JF1" s="1">
        <v>300</v>
      </c>
      <c r="JG1" s="1">
        <v>301</v>
      </c>
      <c r="JH1" s="1">
        <v>302</v>
      </c>
    </row>
    <row r="2" spans="1:337" x14ac:dyDescent="0.25">
      <c r="A2" s="3" t="s">
        <v>1</v>
      </c>
      <c r="B2" s="7">
        <v>37986</v>
      </c>
      <c r="C2" s="7">
        <v>38017</v>
      </c>
      <c r="D2" s="7">
        <v>38046</v>
      </c>
      <c r="E2" s="7">
        <v>38077</v>
      </c>
      <c r="F2" s="7">
        <v>38107</v>
      </c>
      <c r="G2" s="7">
        <v>38138</v>
      </c>
      <c r="H2" s="7">
        <v>38168</v>
      </c>
      <c r="I2" s="7">
        <v>38199</v>
      </c>
      <c r="J2" s="7">
        <v>38230</v>
      </c>
      <c r="K2" s="7">
        <v>38260</v>
      </c>
      <c r="L2" s="7">
        <v>38291</v>
      </c>
      <c r="M2" s="7">
        <v>38321</v>
      </c>
      <c r="N2" s="7">
        <v>38352</v>
      </c>
      <c r="O2" s="7">
        <v>38383</v>
      </c>
      <c r="P2" s="7">
        <v>38411</v>
      </c>
      <c r="Q2" s="7">
        <v>38442</v>
      </c>
      <c r="R2" s="7">
        <v>38472</v>
      </c>
      <c r="S2" s="7">
        <v>38503</v>
      </c>
      <c r="T2" s="7">
        <v>38533</v>
      </c>
      <c r="U2" s="7">
        <v>38564</v>
      </c>
      <c r="V2" s="7">
        <v>38595</v>
      </c>
      <c r="W2" s="7">
        <v>38625</v>
      </c>
      <c r="X2" s="7">
        <v>38656</v>
      </c>
      <c r="Y2" s="7">
        <v>38686</v>
      </c>
      <c r="Z2" s="7">
        <v>38717</v>
      </c>
      <c r="AA2" s="7">
        <v>38748</v>
      </c>
      <c r="AB2" s="7">
        <v>38776</v>
      </c>
      <c r="AC2" s="7">
        <v>38807</v>
      </c>
      <c r="AD2" s="7">
        <v>38837</v>
      </c>
      <c r="AE2" s="7">
        <v>38868</v>
      </c>
      <c r="AF2" s="7">
        <v>38898</v>
      </c>
      <c r="AG2" s="7">
        <v>38929</v>
      </c>
      <c r="AH2" s="7">
        <v>38960</v>
      </c>
      <c r="AI2" s="7">
        <v>38990</v>
      </c>
      <c r="AJ2" s="7">
        <v>39021</v>
      </c>
      <c r="AK2" s="7">
        <v>39051</v>
      </c>
      <c r="AL2" s="7">
        <v>39082</v>
      </c>
      <c r="AM2" s="7">
        <v>39113</v>
      </c>
      <c r="AN2" s="7">
        <v>39141</v>
      </c>
      <c r="AO2" s="7">
        <v>39172</v>
      </c>
      <c r="AP2" s="7">
        <v>39202</v>
      </c>
      <c r="AQ2" s="7">
        <v>39233</v>
      </c>
      <c r="AR2" s="7">
        <v>39263</v>
      </c>
      <c r="AS2" s="7">
        <v>39294</v>
      </c>
      <c r="AT2" s="7">
        <v>39325</v>
      </c>
      <c r="AU2" s="7">
        <v>39355</v>
      </c>
      <c r="AV2" s="7">
        <v>39386</v>
      </c>
      <c r="AW2" s="7">
        <v>39416</v>
      </c>
      <c r="AX2" s="7">
        <v>39447</v>
      </c>
      <c r="AY2" s="7">
        <v>39478</v>
      </c>
      <c r="AZ2" s="7">
        <v>39507</v>
      </c>
      <c r="BA2" s="7">
        <v>39538</v>
      </c>
      <c r="BB2" s="7">
        <v>39568</v>
      </c>
      <c r="BC2" s="7">
        <v>39599</v>
      </c>
      <c r="BD2" s="7">
        <v>39629</v>
      </c>
      <c r="BE2" s="7">
        <v>39660</v>
      </c>
      <c r="BF2" s="7">
        <v>39691</v>
      </c>
      <c r="BG2" s="7">
        <v>39721</v>
      </c>
      <c r="BH2" s="7">
        <v>39752</v>
      </c>
      <c r="BI2" s="7">
        <v>39782</v>
      </c>
      <c r="BJ2" s="7">
        <v>39813</v>
      </c>
      <c r="BK2" s="7">
        <v>39844</v>
      </c>
      <c r="BL2" s="7">
        <v>39872</v>
      </c>
      <c r="BM2" s="7">
        <v>39903</v>
      </c>
      <c r="BN2" s="7">
        <v>39933</v>
      </c>
      <c r="BO2" s="7">
        <v>39964</v>
      </c>
      <c r="BP2" s="7">
        <v>39994</v>
      </c>
      <c r="BQ2" s="7">
        <v>40025</v>
      </c>
      <c r="BR2" s="7">
        <v>40056</v>
      </c>
      <c r="BS2" s="7">
        <v>40086</v>
      </c>
      <c r="BT2" s="7">
        <v>40117</v>
      </c>
      <c r="BU2" s="7">
        <v>40147</v>
      </c>
      <c r="BV2" s="7">
        <v>40178</v>
      </c>
      <c r="BW2" s="7">
        <v>40209</v>
      </c>
      <c r="BX2" s="7">
        <v>40237</v>
      </c>
      <c r="BY2" s="7">
        <v>40268</v>
      </c>
      <c r="BZ2" s="7">
        <v>40298</v>
      </c>
      <c r="CA2" s="7">
        <v>40329</v>
      </c>
      <c r="CB2" s="7">
        <v>40359</v>
      </c>
      <c r="CC2" s="7">
        <v>40390</v>
      </c>
      <c r="CD2" s="7">
        <v>40421</v>
      </c>
      <c r="CE2" s="7">
        <v>40451</v>
      </c>
      <c r="CF2" s="7">
        <v>40482</v>
      </c>
      <c r="CG2" s="7">
        <v>40512</v>
      </c>
      <c r="CH2" s="7">
        <v>40543</v>
      </c>
      <c r="CI2" s="7">
        <v>40574</v>
      </c>
      <c r="CJ2" s="7">
        <v>40602</v>
      </c>
      <c r="CK2" s="7">
        <v>40633</v>
      </c>
      <c r="CL2" s="7">
        <v>40663</v>
      </c>
      <c r="CM2" s="7">
        <v>40694</v>
      </c>
      <c r="CN2" s="7">
        <v>40724</v>
      </c>
      <c r="CO2" s="7">
        <v>40755</v>
      </c>
      <c r="CP2" s="7">
        <v>40786</v>
      </c>
      <c r="CQ2" s="7">
        <v>40816</v>
      </c>
      <c r="CR2" s="7">
        <v>40847</v>
      </c>
      <c r="CS2" s="7">
        <v>40877</v>
      </c>
      <c r="CT2" s="7">
        <v>40908</v>
      </c>
      <c r="CU2" s="7">
        <v>40939</v>
      </c>
      <c r="CV2" s="8">
        <v>40968</v>
      </c>
      <c r="CW2" s="7">
        <v>40999</v>
      </c>
      <c r="CX2" s="7">
        <v>41029</v>
      </c>
      <c r="CY2" s="7">
        <v>41060</v>
      </c>
      <c r="CZ2" s="7">
        <v>41090</v>
      </c>
      <c r="DA2" s="7">
        <v>41121</v>
      </c>
      <c r="DB2" s="7">
        <v>41152</v>
      </c>
      <c r="DC2" s="7">
        <v>41182</v>
      </c>
      <c r="DD2" s="7">
        <v>41213</v>
      </c>
      <c r="DE2" s="7">
        <v>41243</v>
      </c>
      <c r="DF2" s="7">
        <v>41274</v>
      </c>
      <c r="DG2" s="7">
        <v>41305</v>
      </c>
      <c r="DH2" s="7">
        <v>41333</v>
      </c>
      <c r="DI2" s="7">
        <v>41364</v>
      </c>
      <c r="DJ2" s="7">
        <v>41394</v>
      </c>
      <c r="DK2" s="7">
        <v>41425</v>
      </c>
      <c r="DL2" s="7">
        <v>41455</v>
      </c>
      <c r="DM2" s="7">
        <v>41486</v>
      </c>
      <c r="DN2" s="7">
        <v>41517</v>
      </c>
      <c r="DO2" s="7">
        <v>41547</v>
      </c>
      <c r="DP2" s="7">
        <v>41578</v>
      </c>
      <c r="DQ2" s="7">
        <v>41608</v>
      </c>
      <c r="DR2" s="7">
        <v>41639</v>
      </c>
      <c r="DS2" s="7">
        <v>41670</v>
      </c>
      <c r="DT2" s="7">
        <v>41698</v>
      </c>
      <c r="DU2" s="7">
        <v>41729</v>
      </c>
      <c r="DV2" s="7">
        <v>41759</v>
      </c>
      <c r="DW2" s="7">
        <v>41790</v>
      </c>
      <c r="DX2" s="7">
        <v>41820</v>
      </c>
      <c r="DY2" s="7">
        <v>41851</v>
      </c>
      <c r="DZ2" s="7">
        <v>41882</v>
      </c>
      <c r="EA2" s="7">
        <v>41912</v>
      </c>
      <c r="EB2" s="7">
        <v>41943</v>
      </c>
      <c r="EC2" s="7">
        <v>41973</v>
      </c>
      <c r="ED2" s="7">
        <v>42004</v>
      </c>
      <c r="EE2" s="7">
        <v>42035</v>
      </c>
      <c r="EF2" s="7">
        <v>42063</v>
      </c>
      <c r="EG2" s="7">
        <v>42094</v>
      </c>
      <c r="EH2" s="7">
        <v>42124</v>
      </c>
      <c r="EI2" s="7">
        <v>42155</v>
      </c>
      <c r="EJ2" s="7">
        <v>42185</v>
      </c>
      <c r="EK2" s="7">
        <v>42216</v>
      </c>
      <c r="EL2" s="7">
        <v>42247</v>
      </c>
      <c r="EM2" s="7">
        <v>42277</v>
      </c>
      <c r="EN2" s="7">
        <v>42308</v>
      </c>
      <c r="EO2" s="7">
        <v>42338</v>
      </c>
      <c r="EP2" s="7">
        <v>42369</v>
      </c>
      <c r="EQ2" s="7">
        <v>42400</v>
      </c>
      <c r="ER2" s="7">
        <v>42429</v>
      </c>
      <c r="ES2" s="7">
        <v>42460</v>
      </c>
      <c r="ET2" s="7">
        <v>42490</v>
      </c>
      <c r="EU2" s="7">
        <v>42521</v>
      </c>
      <c r="EV2" s="7">
        <v>42551</v>
      </c>
      <c r="EW2" s="7">
        <v>42582</v>
      </c>
      <c r="EX2" s="7">
        <v>42613</v>
      </c>
      <c r="EY2" s="7">
        <v>42643</v>
      </c>
      <c r="EZ2" s="7">
        <v>42674</v>
      </c>
      <c r="FA2" s="7">
        <v>42704</v>
      </c>
      <c r="FB2" s="7">
        <v>42735</v>
      </c>
      <c r="FC2" s="7">
        <v>42766</v>
      </c>
      <c r="FD2" s="7">
        <v>42794</v>
      </c>
      <c r="FE2" s="7">
        <v>42825</v>
      </c>
      <c r="FF2" s="7">
        <v>42855</v>
      </c>
      <c r="FG2" s="7">
        <v>42886</v>
      </c>
      <c r="FH2" s="7">
        <v>42916</v>
      </c>
      <c r="FI2" s="7">
        <v>42947</v>
      </c>
      <c r="FJ2" s="7">
        <v>42978</v>
      </c>
      <c r="FK2" s="7">
        <v>43008</v>
      </c>
      <c r="FL2" s="7">
        <v>43039</v>
      </c>
      <c r="FM2" s="7">
        <v>43069</v>
      </c>
      <c r="FN2" s="7">
        <v>43100</v>
      </c>
      <c r="FO2" s="7">
        <v>43131</v>
      </c>
      <c r="FP2" s="7">
        <v>43159</v>
      </c>
      <c r="FQ2" s="7">
        <v>43190</v>
      </c>
      <c r="FR2" s="7">
        <v>43220</v>
      </c>
      <c r="FS2" s="7">
        <v>43251</v>
      </c>
      <c r="FT2" s="7">
        <v>43281</v>
      </c>
      <c r="FU2" s="7">
        <v>43312</v>
      </c>
      <c r="FV2" s="7">
        <v>43343</v>
      </c>
      <c r="FW2" s="7">
        <v>43373</v>
      </c>
      <c r="FX2" s="7">
        <v>43404</v>
      </c>
      <c r="FY2" s="7">
        <v>43434</v>
      </c>
      <c r="FZ2" s="7">
        <v>43465</v>
      </c>
      <c r="GA2" s="7">
        <v>43496</v>
      </c>
      <c r="GB2" s="7">
        <v>43524</v>
      </c>
      <c r="GC2" s="7">
        <v>43555</v>
      </c>
      <c r="GD2" s="7">
        <v>43585</v>
      </c>
      <c r="GE2" s="7">
        <v>43616</v>
      </c>
      <c r="GF2" s="7">
        <v>43646</v>
      </c>
      <c r="GG2" s="7">
        <v>43677</v>
      </c>
      <c r="GH2" s="7">
        <v>43708</v>
      </c>
      <c r="GI2" s="7">
        <v>43738</v>
      </c>
      <c r="GJ2" s="7">
        <v>43769</v>
      </c>
      <c r="GK2" s="7">
        <v>43799</v>
      </c>
      <c r="GL2" s="7">
        <v>43830</v>
      </c>
      <c r="GM2" s="7">
        <v>43861</v>
      </c>
      <c r="GN2" s="7">
        <v>43890</v>
      </c>
      <c r="GO2" s="7">
        <v>43921</v>
      </c>
      <c r="GP2" s="7">
        <v>43951</v>
      </c>
      <c r="GQ2" s="7">
        <v>43982</v>
      </c>
      <c r="GR2" s="7">
        <v>44012</v>
      </c>
      <c r="GS2" s="7">
        <v>44043</v>
      </c>
      <c r="GT2" s="7">
        <v>44074</v>
      </c>
      <c r="GU2" s="7">
        <v>44104</v>
      </c>
      <c r="GV2" s="7">
        <v>44135</v>
      </c>
      <c r="GW2" s="7">
        <v>44165</v>
      </c>
      <c r="GX2" s="7">
        <v>44196</v>
      </c>
      <c r="GY2" s="7">
        <v>44227</v>
      </c>
      <c r="GZ2" s="7">
        <v>44255</v>
      </c>
      <c r="HA2" s="7">
        <v>44286</v>
      </c>
      <c r="HB2" s="7">
        <v>44316</v>
      </c>
      <c r="HC2" s="7">
        <v>44347</v>
      </c>
      <c r="HD2" s="7">
        <v>44377</v>
      </c>
      <c r="HE2" s="7">
        <v>44408</v>
      </c>
      <c r="HF2" s="7">
        <v>44439</v>
      </c>
      <c r="HG2" s="7">
        <v>44469</v>
      </c>
      <c r="HH2" s="7">
        <v>44500</v>
      </c>
      <c r="HI2" s="7">
        <v>44530</v>
      </c>
      <c r="HJ2" s="7">
        <v>44561</v>
      </c>
      <c r="HK2" s="7">
        <v>44592</v>
      </c>
      <c r="HL2" s="7">
        <v>44620</v>
      </c>
      <c r="HM2" s="7">
        <v>44651</v>
      </c>
      <c r="HN2" s="7">
        <v>44681</v>
      </c>
      <c r="HO2" s="7">
        <v>44712</v>
      </c>
      <c r="HP2" s="7">
        <v>44742</v>
      </c>
      <c r="HQ2" s="7">
        <v>44773</v>
      </c>
      <c r="HR2" s="7">
        <v>44804</v>
      </c>
      <c r="HS2" s="7">
        <v>44834</v>
      </c>
      <c r="HT2" s="7">
        <v>44865</v>
      </c>
      <c r="HU2" s="7">
        <v>44895</v>
      </c>
      <c r="HV2" s="7">
        <v>44926</v>
      </c>
      <c r="HW2" s="7">
        <v>44957</v>
      </c>
      <c r="HX2" s="7">
        <v>44985</v>
      </c>
      <c r="HY2" s="7">
        <v>45016</v>
      </c>
      <c r="HZ2" s="7">
        <v>45046</v>
      </c>
      <c r="IA2" s="7">
        <v>45077</v>
      </c>
      <c r="IB2" s="7">
        <v>45107</v>
      </c>
      <c r="IC2" s="7">
        <v>45138</v>
      </c>
      <c r="ID2" s="7">
        <v>45169</v>
      </c>
      <c r="IE2" s="7">
        <v>45199</v>
      </c>
      <c r="IF2" s="7">
        <v>45230</v>
      </c>
      <c r="IG2" s="7">
        <v>45260</v>
      </c>
      <c r="IH2" s="7">
        <v>45291</v>
      </c>
      <c r="II2" s="7">
        <v>45322</v>
      </c>
      <c r="IJ2" s="7">
        <v>45351</v>
      </c>
      <c r="IK2" s="7">
        <v>45382</v>
      </c>
      <c r="IL2" s="7">
        <v>45412</v>
      </c>
      <c r="IM2" s="7">
        <v>45443</v>
      </c>
      <c r="IN2" s="7">
        <v>45473</v>
      </c>
      <c r="IO2" s="7">
        <v>45504</v>
      </c>
      <c r="IP2" s="7">
        <v>45535</v>
      </c>
      <c r="IQ2" s="7">
        <v>45565</v>
      </c>
      <c r="IR2" s="7">
        <v>45596</v>
      </c>
      <c r="IS2" s="7">
        <v>45626</v>
      </c>
      <c r="IT2" s="7">
        <v>45657</v>
      </c>
      <c r="IU2" s="7">
        <v>45688</v>
      </c>
      <c r="IV2" s="7">
        <v>45716</v>
      </c>
      <c r="IW2" s="7">
        <v>45747</v>
      </c>
      <c r="IX2" s="7">
        <v>45777</v>
      </c>
      <c r="IY2" s="7">
        <v>45808</v>
      </c>
      <c r="IZ2" s="7">
        <v>45838</v>
      </c>
      <c r="JA2" s="7">
        <v>45869</v>
      </c>
      <c r="JB2" s="7">
        <v>45900</v>
      </c>
      <c r="JC2" s="7">
        <v>45930</v>
      </c>
      <c r="JD2" s="7">
        <v>45961</v>
      </c>
      <c r="JE2" s="7">
        <v>45991</v>
      </c>
      <c r="JF2" s="7">
        <v>46022</v>
      </c>
      <c r="JG2" s="7">
        <v>46053</v>
      </c>
      <c r="JH2" s="7">
        <v>46081</v>
      </c>
      <c r="JI2" s="6"/>
      <c r="JJ2" s="6"/>
      <c r="JK2" s="6"/>
      <c r="JL2" s="6"/>
      <c r="JM2" s="6"/>
      <c r="JN2" s="6"/>
      <c r="JO2" s="6"/>
      <c r="JP2" s="6"/>
      <c r="JQ2" s="6"/>
      <c r="JR2" s="6"/>
      <c r="JS2" s="6"/>
      <c r="JT2" s="6"/>
      <c r="JU2" s="6"/>
      <c r="JV2" s="6"/>
      <c r="JW2" s="6"/>
      <c r="JX2" s="6"/>
      <c r="JY2" s="6"/>
      <c r="JZ2" s="6"/>
      <c r="KA2" s="6"/>
      <c r="KB2" s="6"/>
      <c r="KC2" s="6"/>
      <c r="KD2" s="6"/>
      <c r="KE2" s="6"/>
      <c r="KF2" s="6"/>
      <c r="KG2" s="6"/>
      <c r="KH2" s="6"/>
      <c r="KI2" s="6"/>
      <c r="KJ2" s="6"/>
      <c r="KK2" s="6"/>
      <c r="KL2" s="6"/>
      <c r="KM2" s="6"/>
      <c r="KN2" s="6"/>
      <c r="KO2" s="6"/>
      <c r="KP2" s="6"/>
      <c r="KQ2" s="6"/>
      <c r="KR2" s="6"/>
      <c r="KS2" s="6"/>
      <c r="KT2" s="6"/>
      <c r="KU2" s="6"/>
      <c r="KV2" s="6"/>
      <c r="KW2" s="6"/>
      <c r="KX2" s="6"/>
      <c r="KY2" s="6"/>
      <c r="KZ2" s="6"/>
      <c r="LA2" s="6"/>
      <c r="LB2" s="6"/>
      <c r="LC2" s="6"/>
      <c r="LD2" s="6"/>
      <c r="LE2" s="6"/>
      <c r="LF2" s="6"/>
      <c r="LG2" s="6"/>
      <c r="LH2" s="6"/>
      <c r="LI2" s="6"/>
      <c r="LJ2" s="6"/>
      <c r="LK2" s="6"/>
      <c r="LL2" s="6"/>
      <c r="LM2" s="6"/>
      <c r="LN2" s="6"/>
      <c r="LO2" s="6"/>
      <c r="LP2" s="6"/>
      <c r="LQ2" s="6"/>
      <c r="LR2" s="6"/>
      <c r="LS2" s="6"/>
      <c r="LT2" s="6"/>
      <c r="LU2" s="6"/>
      <c r="LV2" s="6"/>
      <c r="LW2" s="6"/>
      <c r="LX2" s="6"/>
      <c r="LY2" s="6"/>
    </row>
    <row r="3" spans="1:337" x14ac:dyDescent="0.25">
      <c r="A3" s="4">
        <v>1</v>
      </c>
      <c r="B3" s="1">
        <v>140138.56104481244</v>
      </c>
      <c r="C3" s="1">
        <v>140859.10198776535</v>
      </c>
      <c r="D3" s="1">
        <v>141353.40525525593</v>
      </c>
      <c r="E3" s="1">
        <v>142365.25554712117</v>
      </c>
      <c r="F3" s="1">
        <v>142910.13505073613</v>
      </c>
      <c r="G3" s="1">
        <v>143570.81744467025</v>
      </c>
      <c r="H3" s="1">
        <v>144070.91041161015</v>
      </c>
      <c r="I3" s="1">
        <v>144620.99218122248</v>
      </c>
      <c r="J3" s="1">
        <v>144604.02837275219</v>
      </c>
      <c r="K3" s="1">
        <v>145125.84407968738</v>
      </c>
      <c r="L3" s="1">
        <v>145624.6044182287</v>
      </c>
      <c r="M3" s="1">
        <v>145772.64101256651</v>
      </c>
      <c r="N3" s="1">
        <v>145809.03380823502</v>
      </c>
      <c r="O3" s="1">
        <v>146550.82018460718</v>
      </c>
      <c r="P3" s="1">
        <v>147365.97492381482</v>
      </c>
      <c r="Q3" s="1">
        <v>148131.2134214743</v>
      </c>
      <c r="R3" s="1">
        <v>148671.53915325803</v>
      </c>
      <c r="S3" s="1">
        <v>149035.96279366844</v>
      </c>
      <c r="T3" s="1">
        <v>149411.04993760079</v>
      </c>
      <c r="U3" s="1">
        <v>149669.03998682802</v>
      </c>
      <c r="V3" s="1">
        <v>149628.49086000866</v>
      </c>
      <c r="W3" s="1">
        <v>149908.40933380002</v>
      </c>
      <c r="X3" s="1">
        <v>150471.05653930409</v>
      </c>
      <c r="Y3" s="1">
        <v>150543.06772853737</v>
      </c>
      <c r="Z3" s="1">
        <v>150594.23747021824</v>
      </c>
      <c r="AA3" s="1">
        <v>151046.97665490158</v>
      </c>
      <c r="AB3" s="1">
        <v>151899.70149143346</v>
      </c>
      <c r="AC3" s="1">
        <v>152493.13488629778</v>
      </c>
      <c r="AD3" s="1">
        <v>153116.58105314869</v>
      </c>
      <c r="AE3" s="1">
        <v>153720.10042919312</v>
      </c>
      <c r="AF3" s="1">
        <v>154151.65290035377</v>
      </c>
      <c r="AG3" s="1">
        <v>154520.8820111338</v>
      </c>
      <c r="AH3" s="1">
        <v>154414.56647547247</v>
      </c>
      <c r="AI3" s="1">
        <v>154806.62201042281</v>
      </c>
      <c r="AJ3" s="1">
        <v>155471.69390275664</v>
      </c>
      <c r="AK3" s="1">
        <v>155869.66126882308</v>
      </c>
      <c r="AL3" s="1">
        <v>156062.12692077039</v>
      </c>
      <c r="AM3" s="1">
        <v>156698.98681200342</v>
      </c>
      <c r="AN3" s="1">
        <v>157792.75218667177</v>
      </c>
      <c r="AO3" s="1">
        <v>159017.10685635963</v>
      </c>
      <c r="AP3" s="1">
        <v>159824.34186245268</v>
      </c>
      <c r="AQ3" s="1">
        <v>160528.58860089036</v>
      </c>
      <c r="AR3" s="1">
        <v>161398.92562150181</v>
      </c>
      <c r="AS3" s="1">
        <v>161989.95744775853</v>
      </c>
      <c r="AT3" s="1">
        <v>162325.41498672505</v>
      </c>
      <c r="AU3" s="1">
        <v>163027.39845267311</v>
      </c>
      <c r="AV3" s="1">
        <v>163964.46610678552</v>
      </c>
      <c r="AW3" s="1">
        <v>164452.48335412456</v>
      </c>
      <c r="AX3" s="1">
        <v>164308.1268234427</v>
      </c>
      <c r="AY3" s="1">
        <v>164603.34893784797</v>
      </c>
      <c r="AZ3" s="1">
        <v>164682.94854091114</v>
      </c>
      <c r="BA3" s="1">
        <v>165080.88667048787</v>
      </c>
      <c r="BB3" s="1">
        <v>164857.29275351772</v>
      </c>
      <c r="BC3" s="1">
        <v>164496.49749479079</v>
      </c>
      <c r="BD3" s="1">
        <v>164149.81932180564</v>
      </c>
      <c r="BE3" s="1">
        <v>163580.93113894807</v>
      </c>
      <c r="BF3" s="1">
        <v>162690.94167015556</v>
      </c>
      <c r="BG3" s="1">
        <v>162187.58744158619</v>
      </c>
      <c r="BH3" s="1">
        <v>161133.88305725856</v>
      </c>
      <c r="BI3" s="1">
        <v>159669.51525191608</v>
      </c>
      <c r="BJ3" s="1">
        <v>158131.92463570632</v>
      </c>
      <c r="BK3" s="1">
        <v>156841.32889325733</v>
      </c>
      <c r="BL3" s="1">
        <v>155878.48211128858</v>
      </c>
      <c r="BM3" s="1">
        <v>154765.25149247693</v>
      </c>
      <c r="BN3" s="1">
        <v>153753.37652996258</v>
      </c>
      <c r="BO3" s="1">
        <v>153406.58120121254</v>
      </c>
      <c r="BP3" s="1">
        <v>153430.48391279453</v>
      </c>
      <c r="BQ3" s="1">
        <v>152739.5843358945</v>
      </c>
      <c r="BR3" s="1">
        <v>152084.92952562659</v>
      </c>
      <c r="BS3" s="1">
        <v>151428.59100636645</v>
      </c>
      <c r="BT3" s="1">
        <v>150493.55009182385</v>
      </c>
      <c r="BU3" s="1">
        <v>150322.79309354545</v>
      </c>
      <c r="BV3" s="1">
        <v>149803.14335594943</v>
      </c>
      <c r="BW3" s="1">
        <v>149270.32867059461</v>
      </c>
      <c r="BX3" s="1">
        <v>148780.86430105689</v>
      </c>
      <c r="BY3" s="1">
        <v>148720.5604404083</v>
      </c>
      <c r="BZ3" s="1">
        <v>149173.94064581493</v>
      </c>
      <c r="CA3" s="1">
        <v>149574.0525563265</v>
      </c>
      <c r="CB3" s="1">
        <v>149751.61521004629</v>
      </c>
      <c r="CC3" s="1">
        <v>149427.32733802422</v>
      </c>
      <c r="CD3" s="1">
        <v>148912.0804998097</v>
      </c>
      <c r="CE3" s="1">
        <v>148479.97995456884</v>
      </c>
      <c r="CF3" s="1">
        <v>148404.7479866764</v>
      </c>
      <c r="CG3" s="1">
        <v>148008.294192311</v>
      </c>
      <c r="CH3" s="1">
        <v>147115.31158662052</v>
      </c>
      <c r="CI3" s="1">
        <v>146813.77705095263</v>
      </c>
      <c r="CJ3" s="1">
        <v>146486.36802062561</v>
      </c>
      <c r="CK3" s="1">
        <v>147045.25280691619</v>
      </c>
      <c r="CL3" s="1">
        <v>147319.79430952843</v>
      </c>
      <c r="CM3" s="1">
        <v>147985.40399862709</v>
      </c>
      <c r="CN3" s="1">
        <v>148005.6463534444</v>
      </c>
      <c r="CO3" s="1">
        <v>147461.48504088286</v>
      </c>
      <c r="CP3" s="1">
        <v>146797.29823692882</v>
      </c>
      <c r="CQ3" s="1">
        <v>146592.44973119337</v>
      </c>
      <c r="CR3" s="1">
        <v>146234.0005558171</v>
      </c>
      <c r="CS3" s="1">
        <v>145766.12077274785</v>
      </c>
      <c r="CT3" s="1">
        <v>144893.50762283138</v>
      </c>
      <c r="CU3" s="1">
        <v>143218.49446143059</v>
      </c>
      <c r="CV3" s="1">
        <v>143994.91190232983</v>
      </c>
      <c r="CW3" s="1">
        <v>144222.41458068346</v>
      </c>
      <c r="CX3" s="1">
        <v>144685.63384707819</v>
      </c>
      <c r="CY3" s="1">
        <v>144965.43776995473</v>
      </c>
      <c r="CZ3" s="1">
        <v>144885.88370811747</v>
      </c>
      <c r="DA3" s="1">
        <v>144623.81888863153</v>
      </c>
      <c r="DB3" s="1">
        <v>143999.59685124079</v>
      </c>
      <c r="DC3" s="1">
        <v>143500.99365175929</v>
      </c>
      <c r="DD3" s="1">
        <v>143405.82152143819</v>
      </c>
      <c r="DE3" s="1">
        <v>142976.14258892584</v>
      </c>
      <c r="DF3" s="1">
        <v>142291.1979700533</v>
      </c>
      <c r="DG3" s="1">
        <v>141804.31427905647</v>
      </c>
      <c r="DH3" s="1">
        <v>141613.67405470743</v>
      </c>
      <c r="DI3" s="1">
        <v>142012.77463564259</v>
      </c>
      <c r="DJ3" s="1">
        <v>142766.11564478028</v>
      </c>
      <c r="DK3" s="1">
        <v>143672.02968911198</v>
      </c>
      <c r="DL3" s="1">
        <v>144193.70409118492</v>
      </c>
      <c r="DM3" s="1">
        <v>144381.74000968391</v>
      </c>
      <c r="DN3" s="1">
        <v>143865.12637757894</v>
      </c>
      <c r="DO3" s="1">
        <v>143950.73203664832</v>
      </c>
      <c r="DP3" s="1">
        <v>144218.21569720301</v>
      </c>
      <c r="DQ3" s="1">
        <v>144630.03044817341</v>
      </c>
      <c r="DR3" s="1">
        <v>144382.37897471379</v>
      </c>
      <c r="DS3" s="1">
        <v>143991.7088351156</v>
      </c>
      <c r="DT3" s="1">
        <v>144601.49743528053</v>
      </c>
      <c r="DU3" s="1">
        <v>145149.67138408983</v>
      </c>
      <c r="DV3" s="1">
        <v>146135.77069696737</v>
      </c>
      <c r="DW3" s="1">
        <v>146787.30031569878</v>
      </c>
      <c r="DX3" s="1">
        <v>147269.00558531639</v>
      </c>
      <c r="DY3" s="1">
        <v>146738.24473311409</v>
      </c>
      <c r="DZ3" s="1">
        <v>146431.04994563403</v>
      </c>
      <c r="EA3" s="1">
        <v>146782.50519728794</v>
      </c>
      <c r="EB3" s="1">
        <v>147102.33184500001</v>
      </c>
      <c r="ED3" s="1">
        <v>146470.71100435249</v>
      </c>
      <c r="EE3" s="1">
        <v>146156.82581607514</v>
      </c>
      <c r="EG3" s="1">
        <v>147407.26618700451</v>
      </c>
      <c r="EH3" s="1">
        <v>148358.16341302011</v>
      </c>
      <c r="EI3" s="1">
        <v>149172.24102105608</v>
      </c>
      <c r="EJ3" s="1">
        <v>149571.66241066917</v>
      </c>
      <c r="EK3" s="1">
        <v>149145.36479186761</v>
      </c>
      <c r="EL3" s="1">
        <v>148871.4327507866</v>
      </c>
      <c r="EM3" s="1">
        <v>148943.99301738775</v>
      </c>
      <c r="EN3" s="1">
        <v>148901.31431017135</v>
      </c>
      <c r="EO3" s="1">
        <v>148845.84495812666</v>
      </c>
      <c r="EP3" s="1">
        <v>147001.31670051318</v>
      </c>
      <c r="EQ3" s="1">
        <v>147646.76206773368</v>
      </c>
      <c r="ER3" s="1">
        <v>148465.61051348856</v>
      </c>
      <c r="ES3" s="1">
        <v>148950.90286329354</v>
      </c>
      <c r="ET3" s="1">
        <v>149437.79928879076</v>
      </c>
      <c r="EU3" s="1">
        <v>149935.33507228669</v>
      </c>
      <c r="EV3" s="1">
        <v>149966.59659082082</v>
      </c>
      <c r="EW3" s="1">
        <v>149456.87572212305</v>
      </c>
      <c r="EX3" s="1">
        <v>149219.00491061999</v>
      </c>
      <c r="EY3" s="1">
        <v>148913.45787017935</v>
      </c>
      <c r="EZ3" s="1">
        <v>149071.46956352709</v>
      </c>
      <c r="FA3" s="1">
        <v>149041.38342676801</v>
      </c>
      <c r="FB3" s="1">
        <v>148339.83898502719</v>
      </c>
      <c r="FC3" s="1">
        <v>147803.27212775935</v>
      </c>
      <c r="FD3" s="1">
        <v>148373.58487219829</v>
      </c>
      <c r="FE3" s="1">
        <v>148905.1473158593</v>
      </c>
      <c r="FF3" s="1">
        <v>149534.10143183669</v>
      </c>
      <c r="FG3" s="1">
        <v>150153.51725806759</v>
      </c>
      <c r="FH3" s="1">
        <v>150099.41291051131</v>
      </c>
      <c r="FI3" s="1">
        <v>149046.99761706759</v>
      </c>
      <c r="FJ3" s="1">
        <v>148386.81618704036</v>
      </c>
      <c r="FK3" s="1">
        <v>148644.42007190423</v>
      </c>
      <c r="FL3" s="1">
        <v>148663.97156327308</v>
      </c>
      <c r="FM3" s="1">
        <v>148191.38272534168</v>
      </c>
      <c r="FN3" s="1">
        <v>147565.49624017836</v>
      </c>
      <c r="FO3" s="1">
        <v>147695.67996753068</v>
      </c>
      <c r="FP3" s="1">
        <v>148918.9424672724</v>
      </c>
      <c r="FQ3" s="1">
        <v>149409.44936637167</v>
      </c>
      <c r="FR3" s="1">
        <v>149892.93447124213</v>
      </c>
      <c r="FS3" s="1">
        <v>150353.30435730031</v>
      </c>
      <c r="FT3" s="1">
        <v>150215.06144178938</v>
      </c>
      <c r="FU3" s="1">
        <v>149382.54814946104</v>
      </c>
      <c r="FV3" s="1">
        <v>149055.97145602218</v>
      </c>
      <c r="FW3" s="1">
        <v>149137.51811816145</v>
      </c>
      <c r="FX3" s="1">
        <v>149420.70556070458</v>
      </c>
      <c r="FY3" s="1">
        <v>149049.35993723397</v>
      </c>
      <c r="FZ3" s="1">
        <v>148736.72877673095</v>
      </c>
      <c r="GA3" s="1">
        <v>148211.43860925734</v>
      </c>
      <c r="GB3" s="1">
        <v>148453.67053601501</v>
      </c>
      <c r="GC3" s="1">
        <v>148570.29991167027</v>
      </c>
      <c r="GD3" s="1">
        <v>149004.06333588529</v>
      </c>
      <c r="GE3" s="1">
        <v>149415.40229914052</v>
      </c>
      <c r="GF3" s="1">
        <v>149556.78113452127</v>
      </c>
      <c r="GG3" s="1">
        <v>149031.43264065779</v>
      </c>
      <c r="GH3" s="1">
        <v>148932.05896665168</v>
      </c>
      <c r="GI3" s="1">
        <v>148974.56090652937</v>
      </c>
      <c r="GJ3" s="1">
        <v>149059.77120113649</v>
      </c>
      <c r="GK3" s="1">
        <v>148946.32302517002</v>
      </c>
      <c r="GL3" s="1">
        <v>148635.91269092314</v>
      </c>
      <c r="GM3" s="1">
        <v>148478.13330883911</v>
      </c>
      <c r="GN3" s="1">
        <v>149138.3419581854</v>
      </c>
      <c r="GO3" s="1">
        <v>148474.51796237525</v>
      </c>
      <c r="GP3" s="1">
        <v>145539.20858960558</v>
      </c>
      <c r="GQ3" s="1">
        <v>146768.34862881433</v>
      </c>
      <c r="GR3" s="1">
        <v>147803.85862917913</v>
      </c>
      <c r="GS3" s="1">
        <v>148603.6588587134</v>
      </c>
      <c r="GT3" s="1">
        <v>148635.95274557685</v>
      </c>
      <c r="GU3" s="1">
        <v>148920.8621856118</v>
      </c>
      <c r="GV3" s="1">
        <v>148802.54795474332</v>
      </c>
      <c r="GW3" s="1">
        <v>148774.42376634676</v>
      </c>
      <c r="GX3" s="1">
        <v>148240.24722558053</v>
      </c>
      <c r="GY3" s="1">
        <v>148191.60937105736</v>
      </c>
      <c r="GZ3" s="1">
        <v>148783.97950873</v>
      </c>
      <c r="HA3" s="1" t="str">
        <f t="shared" ref="GZ3:JH6" si="0">IF(GZ3="","","")</f>
        <v/>
      </c>
      <c r="HB3" s="1" t="str">
        <f t="shared" si="0"/>
        <v/>
      </c>
      <c r="HC3" s="1" t="str">
        <f t="shared" si="0"/>
        <v/>
      </c>
      <c r="HD3" s="1" t="str">
        <f t="shared" si="0"/>
        <v/>
      </c>
      <c r="HE3" s="1" t="str">
        <f t="shared" si="0"/>
        <v/>
      </c>
      <c r="HF3" s="1" t="str">
        <f t="shared" si="0"/>
        <v/>
      </c>
      <c r="HG3" s="1" t="str">
        <f t="shared" si="0"/>
        <v/>
      </c>
      <c r="HH3" s="1" t="str">
        <f t="shared" si="0"/>
        <v/>
      </c>
      <c r="HI3" s="1" t="str">
        <f t="shared" si="0"/>
        <v/>
      </c>
      <c r="HJ3" s="1" t="str">
        <f t="shared" si="0"/>
        <v/>
      </c>
      <c r="HK3" s="1" t="str">
        <f t="shared" si="0"/>
        <v/>
      </c>
      <c r="HL3" s="1" t="str">
        <f t="shared" si="0"/>
        <v/>
      </c>
      <c r="HM3" s="1" t="str">
        <f t="shared" si="0"/>
        <v/>
      </c>
      <c r="HN3" s="1" t="str">
        <f t="shared" si="0"/>
        <v/>
      </c>
      <c r="HO3" s="1" t="str">
        <f t="shared" si="0"/>
        <v/>
      </c>
      <c r="HP3" s="1" t="str">
        <f t="shared" si="0"/>
        <v/>
      </c>
      <c r="HQ3" s="1" t="str">
        <f t="shared" si="0"/>
        <v/>
      </c>
      <c r="HR3" s="1" t="str">
        <f t="shared" si="0"/>
        <v/>
      </c>
      <c r="HS3" s="1" t="str">
        <f t="shared" si="0"/>
        <v/>
      </c>
      <c r="HT3" s="1" t="str">
        <f t="shared" si="0"/>
        <v/>
      </c>
      <c r="HU3" s="1" t="str">
        <f t="shared" si="0"/>
        <v/>
      </c>
      <c r="HV3" s="1" t="str">
        <f t="shared" si="0"/>
        <v/>
      </c>
      <c r="HW3" s="1" t="str">
        <f t="shared" si="0"/>
        <v/>
      </c>
      <c r="HX3" s="1" t="str">
        <f t="shared" si="0"/>
        <v/>
      </c>
      <c r="HY3" s="1" t="str">
        <f t="shared" si="0"/>
        <v/>
      </c>
      <c r="HZ3" s="1" t="str">
        <f t="shared" si="0"/>
        <v/>
      </c>
      <c r="IA3" s="1" t="str">
        <f t="shared" si="0"/>
        <v/>
      </c>
      <c r="IB3" s="1" t="str">
        <f t="shared" si="0"/>
        <v/>
      </c>
      <c r="IC3" s="1" t="str">
        <f t="shared" si="0"/>
        <v/>
      </c>
      <c r="ID3" s="1" t="str">
        <f t="shared" si="0"/>
        <v/>
      </c>
      <c r="IE3" s="1" t="str">
        <f t="shared" si="0"/>
        <v/>
      </c>
      <c r="IF3" s="1" t="str">
        <f t="shared" si="0"/>
        <v/>
      </c>
      <c r="IG3" s="1" t="str">
        <f t="shared" si="0"/>
        <v/>
      </c>
      <c r="IH3" s="1" t="str">
        <f t="shared" si="0"/>
        <v/>
      </c>
      <c r="II3" s="1" t="str">
        <f t="shared" si="0"/>
        <v/>
      </c>
      <c r="IJ3" s="1" t="str">
        <f t="shared" si="0"/>
        <v/>
      </c>
      <c r="IK3" s="1" t="str">
        <f t="shared" si="0"/>
        <v/>
      </c>
      <c r="IL3" s="1" t="str">
        <f t="shared" si="0"/>
        <v/>
      </c>
      <c r="IM3" s="1" t="str">
        <f t="shared" si="0"/>
        <v/>
      </c>
      <c r="IN3" s="1" t="str">
        <f t="shared" si="0"/>
        <v/>
      </c>
      <c r="IO3" s="1" t="str">
        <f t="shared" si="0"/>
        <v/>
      </c>
      <c r="IP3" s="1" t="str">
        <f t="shared" si="0"/>
        <v/>
      </c>
      <c r="IQ3" s="1" t="str">
        <f t="shared" si="0"/>
        <v/>
      </c>
      <c r="IR3" s="1" t="str">
        <f t="shared" si="0"/>
        <v/>
      </c>
      <c r="IS3" s="1" t="str">
        <f t="shared" si="0"/>
        <v/>
      </c>
      <c r="IT3" s="1" t="str">
        <f t="shared" si="0"/>
        <v/>
      </c>
      <c r="IU3" s="1" t="str">
        <f t="shared" si="0"/>
        <v/>
      </c>
      <c r="IV3" s="1" t="str">
        <f t="shared" si="0"/>
        <v/>
      </c>
      <c r="IW3" s="1" t="str">
        <f t="shared" si="0"/>
        <v/>
      </c>
      <c r="IX3" s="1" t="str">
        <f t="shared" si="0"/>
        <v/>
      </c>
      <c r="IY3" s="1" t="str">
        <f t="shared" si="0"/>
        <v/>
      </c>
      <c r="IZ3" s="1" t="str">
        <f t="shared" si="0"/>
        <v/>
      </c>
      <c r="JA3" s="1" t="str">
        <f t="shared" si="0"/>
        <v/>
      </c>
      <c r="JB3" s="1" t="str">
        <f t="shared" si="0"/>
        <v/>
      </c>
      <c r="JC3" s="1" t="str">
        <f t="shared" si="0"/>
        <v/>
      </c>
      <c r="JD3" s="1" t="str">
        <f t="shared" si="0"/>
        <v/>
      </c>
      <c r="JE3" s="1" t="str">
        <f t="shared" si="0"/>
        <v/>
      </c>
      <c r="JF3" s="1" t="str">
        <f t="shared" si="0"/>
        <v/>
      </c>
      <c r="JG3" s="1" t="str">
        <f t="shared" si="0"/>
        <v/>
      </c>
      <c r="JH3" s="1" t="str">
        <f t="shared" si="0"/>
        <v/>
      </c>
      <c r="LY3" s="1"/>
    </row>
    <row r="4" spans="1:337" x14ac:dyDescent="0.25">
      <c r="A4" s="4">
        <v>2</v>
      </c>
      <c r="B4" s="1">
        <v>140769.59934297905</v>
      </c>
      <c r="C4" s="1">
        <v>141531.19499685947</v>
      </c>
      <c r="D4" s="1">
        <v>142227.02359804075</v>
      </c>
      <c r="E4" s="1">
        <v>142964.16534976999</v>
      </c>
      <c r="F4" s="1">
        <v>143404.40999139709</v>
      </c>
      <c r="G4" s="1">
        <v>143968.58718509076</v>
      </c>
      <c r="H4" s="1">
        <v>144525.98586100969</v>
      </c>
      <c r="I4" s="1">
        <v>144651.89550092665</v>
      </c>
      <c r="J4" s="1">
        <v>145055.55543903203</v>
      </c>
      <c r="K4" s="1">
        <v>145734.08004089087</v>
      </c>
      <c r="L4" s="1">
        <v>145801.71047599515</v>
      </c>
      <c r="M4" s="1">
        <v>145595.28534279676</v>
      </c>
      <c r="N4" s="1">
        <v>146293.98019991943</v>
      </c>
      <c r="O4" s="1">
        <v>147412.30992667188</v>
      </c>
      <c r="P4" s="1">
        <v>148266.94946366217</v>
      </c>
      <c r="Q4" s="1">
        <v>148894.38365768414</v>
      </c>
      <c r="R4" s="1">
        <v>149311.01131662936</v>
      </c>
      <c r="S4" s="1">
        <v>149492.64147239464</v>
      </c>
      <c r="T4" s="1">
        <v>149728.0792510123</v>
      </c>
      <c r="U4" s="1">
        <v>149683.60760100657</v>
      </c>
      <c r="V4" s="1">
        <v>149922.89919144631</v>
      </c>
      <c r="W4" s="1">
        <v>150439.59794622177</v>
      </c>
      <c r="X4" s="1">
        <v>150711.61589383997</v>
      </c>
      <c r="Y4" s="1">
        <v>150454.11343828391</v>
      </c>
      <c r="Z4" s="1">
        <v>150946.39199010754</v>
      </c>
      <c r="AA4" s="1">
        <v>151755.53559831614</v>
      </c>
      <c r="AB4" s="1">
        <v>152619.32686060289</v>
      </c>
      <c r="AC4" s="1">
        <v>153107.4003290243</v>
      </c>
      <c r="AD4" s="1">
        <v>153674.00528442231</v>
      </c>
      <c r="AE4" s="1">
        <v>154122.84313814307</v>
      </c>
      <c r="AF4" s="1">
        <v>154426.75455995111</v>
      </c>
      <c r="AG4" s="1">
        <v>154554.89836137998</v>
      </c>
      <c r="AH4" s="1">
        <v>154702.87685205121</v>
      </c>
      <c r="AI4" s="1">
        <v>155325.85089008216</v>
      </c>
      <c r="AJ4" s="1">
        <v>155816.23537949321</v>
      </c>
      <c r="AK4" s="1">
        <v>155829.93620219763</v>
      </c>
      <c r="AL4" s="1">
        <v>156549.68866890168</v>
      </c>
      <c r="AM4" s="1">
        <v>157452.32109436014</v>
      </c>
      <c r="AN4" s="1">
        <v>158661.06200091256</v>
      </c>
      <c r="AO4" s="1">
        <v>159887.80691606947</v>
      </c>
      <c r="AP4" s="1">
        <v>160578.73050545887</v>
      </c>
      <c r="AQ4" s="1">
        <v>161150.61945220738</v>
      </c>
      <c r="AR4" s="1">
        <v>161862.4149495876</v>
      </c>
      <c r="AS4" s="1">
        <v>162315.52276724469</v>
      </c>
      <c r="AT4" s="1">
        <v>162952.71681374189</v>
      </c>
      <c r="AU4" s="1">
        <v>163808.59137390082</v>
      </c>
      <c r="AV4" s="1">
        <v>164631.97478198845</v>
      </c>
      <c r="AW4" s="1">
        <v>164857.40285939068</v>
      </c>
      <c r="AX4" s="1">
        <v>165071.32031977171</v>
      </c>
      <c r="AY4" s="1">
        <v>165471.79595449503</v>
      </c>
      <c r="AZ4" s="1">
        <v>165275.97444738963</v>
      </c>
      <c r="BA4" s="1">
        <v>165543.26584016229</v>
      </c>
      <c r="BB4" s="1">
        <v>165137.07628248597</v>
      </c>
      <c r="BC4" s="1">
        <v>164366.11228169181</v>
      </c>
      <c r="BD4" s="1">
        <v>163851.70720842085</v>
      </c>
      <c r="BE4" s="1">
        <v>163153.36908055443</v>
      </c>
      <c r="BF4" s="1">
        <v>162363.26327549829</v>
      </c>
      <c r="BG4" s="1">
        <v>161913.23853924189</v>
      </c>
      <c r="BH4" s="1">
        <v>160326.43716593424</v>
      </c>
      <c r="BI4" s="1">
        <v>158493.64984209574</v>
      </c>
      <c r="BJ4" s="1">
        <v>157188.53595450788</v>
      </c>
      <c r="BK4" s="1">
        <v>156067.24047391105</v>
      </c>
      <c r="BL4" s="1">
        <v>154675.36693739542</v>
      </c>
      <c r="BM4" s="1">
        <v>153615.20240120182</v>
      </c>
      <c r="BN4" s="1">
        <v>152619.11259065277</v>
      </c>
      <c r="BO4" s="1">
        <v>152500.66912507801</v>
      </c>
      <c r="BP4" s="1">
        <v>152649.4957551414</v>
      </c>
      <c r="BQ4" s="1">
        <v>151971.59535960702</v>
      </c>
      <c r="BR4" s="1">
        <v>151328.88815748916</v>
      </c>
      <c r="BS4" s="1">
        <v>150746.95690114569</v>
      </c>
      <c r="BT4" s="1">
        <v>149595.99840618076</v>
      </c>
      <c r="BU4" s="1">
        <v>149362.31224352063</v>
      </c>
      <c r="BV4" s="1">
        <v>149366.11019823214</v>
      </c>
      <c r="BW4" s="1">
        <v>149158.3675778422</v>
      </c>
      <c r="BX4" s="1">
        <v>148335.54896872415</v>
      </c>
      <c r="BY4" s="1">
        <v>148472.64712620151</v>
      </c>
      <c r="BZ4" s="1">
        <v>149321.57838617626</v>
      </c>
      <c r="CA4" s="1">
        <v>149728.73594553204</v>
      </c>
      <c r="CB4" s="1">
        <v>149706.64094924336</v>
      </c>
      <c r="CC4" s="1">
        <v>149221.01743573532</v>
      </c>
      <c r="CD4" s="1">
        <v>148508.05544303346</v>
      </c>
      <c r="CE4" s="1">
        <v>148211.57051025907</v>
      </c>
      <c r="CF4" s="1">
        <v>148208.29608970747</v>
      </c>
      <c r="CG4" s="1">
        <v>147347.77800833026</v>
      </c>
      <c r="CH4" s="1">
        <v>146632.27227812717</v>
      </c>
      <c r="CI4" s="1">
        <v>146771.25516807815</v>
      </c>
      <c r="CJ4" s="1">
        <v>146366.14248688522</v>
      </c>
      <c r="CK4" s="1">
        <v>147266.91835552233</v>
      </c>
      <c r="CL4" s="1">
        <v>147628.66004461469</v>
      </c>
      <c r="CM4" s="1">
        <v>148286.38067179109</v>
      </c>
      <c r="CN4" s="1">
        <v>147886.98866698224</v>
      </c>
      <c r="CO4" s="1">
        <v>147117.16136727895</v>
      </c>
      <c r="CP4" s="1">
        <v>146389.81373753739</v>
      </c>
      <c r="CQ4" s="1">
        <v>146361.32388342838</v>
      </c>
      <c r="CR4" s="1">
        <v>145944.62762819623</v>
      </c>
      <c r="CS4" s="1">
        <v>145028.71924106975</v>
      </c>
      <c r="CT4" s="1">
        <v>144290.220407001</v>
      </c>
      <c r="CU4" s="1">
        <v>142717.68940396939</v>
      </c>
      <c r="CV4" s="1">
        <v>143928.08069184711</v>
      </c>
      <c r="CW4" s="1">
        <v>144422.56623963435</v>
      </c>
      <c r="CX4" s="1">
        <v>144971.66851034568</v>
      </c>
      <c r="CY4" s="1">
        <v>144942.28266503999</v>
      </c>
      <c r="CZ4" s="1">
        <v>144530.59614538914</v>
      </c>
      <c r="DA4" s="1">
        <v>144301.85052974825</v>
      </c>
      <c r="DB4" s="1">
        <v>143638.14813702728</v>
      </c>
      <c r="DC4" s="1">
        <v>143070.53899980715</v>
      </c>
      <c r="DD4" s="1">
        <v>143104.69352038368</v>
      </c>
      <c r="DE4" s="1">
        <v>142244.93516649544</v>
      </c>
      <c r="DF4" s="1">
        <v>141969.49965254977</v>
      </c>
      <c r="DG4" s="1">
        <v>141832.34534709007</v>
      </c>
      <c r="DH4" s="1">
        <v>141615.74547155751</v>
      </c>
      <c r="DI4" s="1">
        <v>142157.39952794861</v>
      </c>
      <c r="DJ4" s="1">
        <v>143163.95800032752</v>
      </c>
      <c r="DK4" s="1">
        <v>144078.86277051858</v>
      </c>
      <c r="DL4" s="1">
        <v>144174.22752427752</v>
      </c>
      <c r="DM4" s="1">
        <v>144521.35582297464</v>
      </c>
      <c r="DN4" s="1">
        <v>143809.30888805812</v>
      </c>
      <c r="DO4" s="1">
        <v>143951.4944851746</v>
      </c>
      <c r="DP4" s="1">
        <v>144301.4069690468</v>
      </c>
      <c r="DQ4" s="1">
        <v>144409.5313973692</v>
      </c>
      <c r="DR4" s="1">
        <v>144357.32716297929</v>
      </c>
      <c r="DS4" s="1">
        <v>144569.46166684214</v>
      </c>
      <c r="DT4" s="1">
        <v>145163.85429350479</v>
      </c>
      <c r="DU4" s="1">
        <v>145860.98969267626</v>
      </c>
      <c r="DV4" s="1">
        <v>146935.63503494958</v>
      </c>
      <c r="DW4" s="1">
        <v>147315.28063676821</v>
      </c>
      <c r="DX4" s="1">
        <v>147232.64037212805</v>
      </c>
      <c r="DY4" s="1">
        <v>146597.28332640487</v>
      </c>
      <c r="DZ4" s="1">
        <v>146381.90498762261</v>
      </c>
      <c r="EA4" s="1">
        <v>147017.6234888109</v>
      </c>
      <c r="EB4" s="1">
        <v>147285.03385478581</v>
      </c>
      <c r="ED4" s="1">
        <v>146381.63099908322</v>
      </c>
      <c r="EE4" s="1">
        <v>146564.70501047128</v>
      </c>
      <c r="EG4" s="1">
        <v>148086.70802853903</v>
      </c>
      <c r="EH4" s="1">
        <v>149113.62028636003</v>
      </c>
      <c r="EI4" s="1">
        <v>149614.0069278517</v>
      </c>
      <c r="EJ4" s="1">
        <v>149471.28023918445</v>
      </c>
      <c r="EK4" s="1">
        <v>149064.05285014218</v>
      </c>
      <c r="EL4" s="1">
        <v>148913.68858742996</v>
      </c>
      <c r="EM4" s="1">
        <v>149004.42931014829</v>
      </c>
      <c r="EN4" s="1">
        <v>148817.33498298383</v>
      </c>
      <c r="EO4" s="1">
        <v>148230.61111726749</v>
      </c>
      <c r="EP4" s="1">
        <v>146682.00601888908</v>
      </c>
      <c r="EQ4" s="1">
        <v>148098.98966487922</v>
      </c>
      <c r="ER4" s="1">
        <v>149186.15929704258</v>
      </c>
      <c r="ES4" s="1">
        <v>149647.42529321983</v>
      </c>
      <c r="ET4" s="1">
        <v>150002.40598604264</v>
      </c>
      <c r="EU4" s="1">
        <v>150111.9606994802</v>
      </c>
      <c r="EV4" s="1">
        <v>149565.22584297979</v>
      </c>
      <c r="EW4" s="1">
        <v>149205.45217662153</v>
      </c>
      <c r="EX4" s="1">
        <v>149144.27217568009</v>
      </c>
      <c r="EY4" s="1">
        <v>148783.41295605164</v>
      </c>
      <c r="EZ4" s="1">
        <v>148841.41909571528</v>
      </c>
      <c r="FA4" s="1">
        <v>148417.86988852511</v>
      </c>
      <c r="FB4" s="1">
        <v>148231.10249160125</v>
      </c>
      <c r="FC4" s="1">
        <v>148049.04103093332</v>
      </c>
      <c r="FD4" s="1">
        <v>148858.15915201802</v>
      </c>
      <c r="FE4" s="1">
        <v>149507.13198888703</v>
      </c>
      <c r="FF4" s="1">
        <v>150015.16864217381</v>
      </c>
      <c r="FG4" s="1">
        <v>150324.65283264103</v>
      </c>
      <c r="FH4" s="1">
        <v>149700.71482390352</v>
      </c>
      <c r="FI4" s="1">
        <v>148585.32452955854</v>
      </c>
      <c r="FJ4" s="1">
        <v>148107.13217575994</v>
      </c>
      <c r="FK4" s="1">
        <v>148596.61078254558</v>
      </c>
      <c r="FL4" s="1">
        <v>148353.20058913779</v>
      </c>
      <c r="FM4" s="1">
        <v>147430.4375230709</v>
      </c>
      <c r="FN4" s="1">
        <v>147379.96837154616</v>
      </c>
      <c r="FO4" s="1">
        <v>148100.40110482034</v>
      </c>
      <c r="FP4" s="1">
        <v>149762.44443987528</v>
      </c>
      <c r="FQ4" s="1">
        <v>150211.0456799962</v>
      </c>
      <c r="FR4" s="1">
        <v>150386.92975758255</v>
      </c>
      <c r="FS4" s="1">
        <v>150451.21519775555</v>
      </c>
      <c r="FT4" s="1">
        <v>149726.7472979197</v>
      </c>
      <c r="FU4" s="1">
        <v>149043.39892024494</v>
      </c>
      <c r="FV4" s="1">
        <v>148945.44604690257</v>
      </c>
      <c r="FW4" s="1">
        <v>149106.79445423</v>
      </c>
      <c r="FX4" s="1">
        <v>149195.59707905838</v>
      </c>
      <c r="FY4" s="1">
        <v>148497.32606620697</v>
      </c>
      <c r="FZ4" s="1">
        <v>149069.20010955416</v>
      </c>
      <c r="GA4" s="1">
        <v>148483.57825583988</v>
      </c>
      <c r="GB4" s="1">
        <v>148776.61114516569</v>
      </c>
      <c r="GC4" s="1">
        <v>148924.23126324709</v>
      </c>
      <c r="GD4" s="1">
        <v>149206.27042533911</v>
      </c>
      <c r="GE4" s="1">
        <v>149247.88163856044</v>
      </c>
      <c r="GF4" s="1">
        <v>149030.47560101032</v>
      </c>
      <c r="GG4" s="1">
        <v>148945.98343237449</v>
      </c>
      <c r="GH4" s="1">
        <v>148951.96322568832</v>
      </c>
      <c r="GI4" s="1">
        <v>148995.11675132927</v>
      </c>
      <c r="GJ4" s="1">
        <v>148871.58866967552</v>
      </c>
      <c r="GK4" s="1">
        <v>148276.97977507551</v>
      </c>
      <c r="GL4" s="1">
        <v>148942.88053113193</v>
      </c>
      <c r="GM4" s="1">
        <v>148808.370403443</v>
      </c>
      <c r="GN4" s="1">
        <v>149745.40093406651</v>
      </c>
      <c r="GO4" s="1">
        <v>148810.96075542213</v>
      </c>
      <c r="GP4" s="1">
        <v>144939.86798454897</v>
      </c>
      <c r="GQ4" s="1">
        <v>146470.76752839444</v>
      </c>
      <c r="GR4" s="1">
        <v>147365.24864208061</v>
      </c>
      <c r="GS4" s="1">
        <v>148678.87317191737</v>
      </c>
      <c r="GT4" s="1">
        <v>148877.16317540294</v>
      </c>
      <c r="GU4" s="1">
        <v>149109.27886668179</v>
      </c>
      <c r="GV4" s="1">
        <v>148714.9379900971</v>
      </c>
      <c r="GW4" s="1">
        <v>148067.43217877543</v>
      </c>
      <c r="GX4" s="1">
        <v>148336.37744975297</v>
      </c>
      <c r="GY4" s="1">
        <v>148293.30706808704</v>
      </c>
      <c r="GZ4" s="1">
        <v>149054.86771033701</v>
      </c>
      <c r="HA4" s="1" t="str">
        <f t="shared" si="0"/>
        <v/>
      </c>
      <c r="HB4" s="1" t="str">
        <f t="shared" si="0"/>
        <v/>
      </c>
      <c r="HC4" s="1" t="str">
        <f t="shared" si="0"/>
        <v/>
      </c>
      <c r="HD4" s="1" t="str">
        <f t="shared" si="0"/>
        <v/>
      </c>
      <c r="HE4" s="1" t="str">
        <f t="shared" si="0"/>
        <v/>
      </c>
      <c r="HF4" s="1" t="str">
        <f t="shared" si="0"/>
        <v/>
      </c>
      <c r="HG4" s="1" t="str">
        <f t="shared" si="0"/>
        <v/>
      </c>
      <c r="HH4" s="1" t="str">
        <f t="shared" si="0"/>
        <v/>
      </c>
      <c r="HI4" s="1" t="str">
        <f t="shared" si="0"/>
        <v/>
      </c>
      <c r="HJ4" s="1" t="str">
        <f t="shared" si="0"/>
        <v/>
      </c>
      <c r="HK4" s="1" t="str">
        <f t="shared" si="0"/>
        <v/>
      </c>
      <c r="HL4" s="1" t="str">
        <f t="shared" si="0"/>
        <v/>
      </c>
      <c r="HM4" s="1" t="str">
        <f t="shared" si="0"/>
        <v/>
      </c>
      <c r="HN4" s="1" t="str">
        <f t="shared" si="0"/>
        <v/>
      </c>
      <c r="HO4" s="1" t="str">
        <f t="shared" si="0"/>
        <v/>
      </c>
      <c r="HP4" s="1" t="str">
        <f t="shared" si="0"/>
        <v/>
      </c>
      <c r="HQ4" s="1" t="str">
        <f t="shared" si="0"/>
        <v/>
      </c>
      <c r="HR4" s="1" t="str">
        <f t="shared" si="0"/>
        <v/>
      </c>
      <c r="HS4" s="1" t="str">
        <f t="shared" si="0"/>
        <v/>
      </c>
      <c r="HT4" s="1" t="str">
        <f t="shared" si="0"/>
        <v/>
      </c>
      <c r="HU4" s="1" t="str">
        <f t="shared" si="0"/>
        <v/>
      </c>
      <c r="HV4" s="1" t="str">
        <f t="shared" si="0"/>
        <v/>
      </c>
      <c r="HW4" s="1" t="str">
        <f t="shared" si="0"/>
        <v/>
      </c>
      <c r="HX4" s="1" t="str">
        <f t="shared" si="0"/>
        <v/>
      </c>
      <c r="HY4" s="1" t="str">
        <f t="shared" si="0"/>
        <v/>
      </c>
      <c r="HZ4" s="1" t="str">
        <f t="shared" si="0"/>
        <v/>
      </c>
      <c r="IA4" s="1" t="str">
        <f t="shared" si="0"/>
        <v/>
      </c>
      <c r="IB4" s="1" t="str">
        <f t="shared" si="0"/>
        <v/>
      </c>
      <c r="IC4" s="1" t="str">
        <f t="shared" si="0"/>
        <v/>
      </c>
      <c r="ID4" s="1" t="str">
        <f t="shared" si="0"/>
        <v/>
      </c>
      <c r="IE4" s="1" t="str">
        <f t="shared" si="0"/>
        <v/>
      </c>
      <c r="IF4" s="1" t="str">
        <f t="shared" si="0"/>
        <v/>
      </c>
      <c r="IG4" s="1" t="str">
        <f t="shared" si="0"/>
        <v/>
      </c>
      <c r="IH4" s="1" t="str">
        <f t="shared" si="0"/>
        <v/>
      </c>
      <c r="II4" s="1" t="str">
        <f t="shared" si="0"/>
        <v/>
      </c>
      <c r="IJ4" s="1" t="str">
        <f t="shared" si="0"/>
        <v/>
      </c>
      <c r="IK4" s="1" t="str">
        <f t="shared" si="0"/>
        <v/>
      </c>
      <c r="IL4" s="1" t="str">
        <f t="shared" si="0"/>
        <v/>
      </c>
      <c r="IM4" s="1" t="str">
        <f t="shared" si="0"/>
        <v/>
      </c>
      <c r="IN4" s="1" t="str">
        <f t="shared" si="0"/>
        <v/>
      </c>
      <c r="IO4" s="1" t="str">
        <f t="shared" si="0"/>
        <v/>
      </c>
      <c r="IP4" s="1" t="str">
        <f t="shared" si="0"/>
        <v/>
      </c>
      <c r="IQ4" s="1" t="str">
        <f t="shared" si="0"/>
        <v/>
      </c>
      <c r="IR4" s="1" t="str">
        <f t="shared" si="0"/>
        <v/>
      </c>
      <c r="IS4" s="1" t="str">
        <f t="shared" si="0"/>
        <v/>
      </c>
      <c r="IT4" s="1" t="str">
        <f t="shared" si="0"/>
        <v/>
      </c>
      <c r="IU4" s="1" t="str">
        <f t="shared" si="0"/>
        <v/>
      </c>
      <c r="IV4" s="1" t="str">
        <f t="shared" si="0"/>
        <v/>
      </c>
      <c r="IW4" s="1" t="str">
        <f t="shared" si="0"/>
        <v/>
      </c>
      <c r="IX4" s="1" t="str">
        <f t="shared" si="0"/>
        <v/>
      </c>
      <c r="IY4" s="1" t="str">
        <f t="shared" si="0"/>
        <v/>
      </c>
      <c r="IZ4" s="1" t="str">
        <f t="shared" si="0"/>
        <v/>
      </c>
      <c r="JA4" s="1" t="str">
        <f t="shared" si="0"/>
        <v/>
      </c>
      <c r="JB4" s="1" t="str">
        <f t="shared" si="0"/>
        <v/>
      </c>
      <c r="JC4" s="1" t="str">
        <f t="shared" si="0"/>
        <v/>
      </c>
      <c r="JD4" s="1" t="str">
        <f t="shared" si="0"/>
        <v/>
      </c>
      <c r="JE4" s="1" t="str">
        <f t="shared" si="0"/>
        <v/>
      </c>
      <c r="JF4" s="1" t="str">
        <f t="shared" si="0"/>
        <v/>
      </c>
      <c r="JG4" s="1" t="str">
        <f t="shared" si="0"/>
        <v/>
      </c>
      <c r="JH4" s="1" t="str">
        <f t="shared" si="0"/>
        <v/>
      </c>
      <c r="LY4" s="1"/>
    </row>
    <row r="5" spans="1:337" x14ac:dyDescent="0.25">
      <c r="A5" s="5">
        <v>3</v>
      </c>
      <c r="B5" s="1">
        <v>141253.04986125673</v>
      </c>
      <c r="C5" s="1">
        <v>142450.19519068452</v>
      </c>
      <c r="D5" s="1">
        <v>142818.67757965735</v>
      </c>
      <c r="E5" s="1">
        <v>143463.23899875677</v>
      </c>
      <c r="F5" s="1">
        <v>143865.50450116576</v>
      </c>
      <c r="G5" s="1">
        <v>144356.91771215794</v>
      </c>
      <c r="H5" s="1">
        <v>144543.87049313355</v>
      </c>
      <c r="I5" s="1">
        <v>145119.65481067484</v>
      </c>
      <c r="J5" s="1">
        <v>145658.24690223194</v>
      </c>
      <c r="K5" s="1">
        <v>145977.54832834643</v>
      </c>
      <c r="L5" s="1">
        <v>145649.11298490933</v>
      </c>
      <c r="M5" s="1">
        <v>146050.78506345986</v>
      </c>
      <c r="N5" s="1">
        <v>147157.36064413816</v>
      </c>
      <c r="O5" s="1">
        <v>148330.9839710113</v>
      </c>
      <c r="P5" s="1">
        <v>149065.51248736019</v>
      </c>
      <c r="Q5" s="1">
        <v>149491.5024053774</v>
      </c>
      <c r="R5" s="1">
        <v>149802.05035776092</v>
      </c>
      <c r="S5" s="1">
        <v>149838.98476355622</v>
      </c>
      <c r="T5" s="1">
        <v>149762.71862604562</v>
      </c>
      <c r="U5" s="1">
        <v>149979.28095650047</v>
      </c>
      <c r="V5" s="1">
        <v>150477.42641175934</v>
      </c>
      <c r="W5" s="1">
        <v>150654.23599290274</v>
      </c>
      <c r="X5" s="1">
        <v>150575.20403275528</v>
      </c>
      <c r="Y5" s="1">
        <v>150762.27817455807</v>
      </c>
      <c r="Z5" s="1">
        <v>151679.76882968197</v>
      </c>
      <c r="AA5" s="1">
        <v>152462.25815603539</v>
      </c>
      <c r="AB5" s="1">
        <v>153256.00807470607</v>
      </c>
      <c r="AC5" s="1">
        <v>153663.76107191396</v>
      </c>
      <c r="AD5" s="1">
        <v>154069.90785945606</v>
      </c>
      <c r="AE5" s="1">
        <v>154398.35656506009</v>
      </c>
      <c r="AF5" s="1">
        <v>154468.51200077415</v>
      </c>
      <c r="AG5" s="1">
        <v>154885.83436232439</v>
      </c>
      <c r="AH5" s="1">
        <v>155208.22700347679</v>
      </c>
      <c r="AI5" s="1">
        <v>155622.27427299236</v>
      </c>
      <c r="AJ5" s="1">
        <v>155772.5104969822</v>
      </c>
      <c r="AK5" s="1">
        <v>156280.49902795715</v>
      </c>
      <c r="AL5" s="1">
        <v>157333.76901946022</v>
      </c>
      <c r="AM5" s="1">
        <v>158244.6175847149</v>
      </c>
      <c r="AN5" s="1">
        <v>159445.7737728566</v>
      </c>
      <c r="AO5" s="1">
        <v>160672.54550535613</v>
      </c>
      <c r="AP5" s="1">
        <v>161214.24071027787</v>
      </c>
      <c r="AQ5" s="1">
        <v>161532.51459659223</v>
      </c>
      <c r="AR5" s="1">
        <v>162177.1931471306</v>
      </c>
      <c r="AS5" s="1">
        <v>162941.68987223995</v>
      </c>
      <c r="AT5" s="1">
        <v>163747.65082531914</v>
      </c>
      <c r="AU5" s="1">
        <v>164443.2289045041</v>
      </c>
      <c r="AV5" s="1">
        <v>164936.6997294045</v>
      </c>
      <c r="AW5" s="1">
        <v>165751.72232378111</v>
      </c>
      <c r="AX5" s="1">
        <v>166075.30385697461</v>
      </c>
      <c r="AY5" s="1">
        <v>166335.52671735434</v>
      </c>
      <c r="AZ5" s="1">
        <v>165877.0163932736</v>
      </c>
      <c r="BA5" s="1">
        <v>166057.18000858981</v>
      </c>
      <c r="BB5" s="1">
        <v>165311.36168065231</v>
      </c>
      <c r="BC5" s="1">
        <v>163934.87172914814</v>
      </c>
      <c r="BD5" s="1">
        <v>163474.93937838028</v>
      </c>
      <c r="BE5" s="1">
        <v>162895.95319980395</v>
      </c>
      <c r="BF5" s="1">
        <v>162089.33422240691</v>
      </c>
      <c r="BG5" s="1">
        <v>161376.68202944577</v>
      </c>
      <c r="BH5" s="1">
        <v>159462.60891206501</v>
      </c>
      <c r="BI5" s="1">
        <v>157766.0104694058</v>
      </c>
      <c r="BJ5" s="1">
        <v>156557.21792652292</v>
      </c>
      <c r="BK5" s="1">
        <v>155134.34640575026</v>
      </c>
      <c r="BL5" s="1">
        <v>153459.13648266054</v>
      </c>
      <c r="BM5" s="1">
        <v>152402.63796351128</v>
      </c>
      <c r="BN5" s="1">
        <v>151377.15875876689</v>
      </c>
      <c r="BO5" s="1">
        <v>151313.31331372989</v>
      </c>
      <c r="BP5" s="1">
        <v>151820.11687177391</v>
      </c>
      <c r="BQ5" s="1">
        <v>151220.46235881431</v>
      </c>
      <c r="BR5" s="1">
        <v>150658.31849282235</v>
      </c>
      <c r="BS5" s="1">
        <v>150001.35336613166</v>
      </c>
      <c r="BT5" s="1">
        <v>148256.68118624834</v>
      </c>
      <c r="BU5" s="1">
        <v>148725.9786786364</v>
      </c>
      <c r="BV5" s="1">
        <v>149274.91450615073</v>
      </c>
      <c r="BW5" s="1">
        <v>148894.56235063108</v>
      </c>
      <c r="BX5" s="1">
        <v>147959.10475372057</v>
      </c>
      <c r="BY5" s="1">
        <v>148363.91347281472</v>
      </c>
      <c r="BZ5" s="1">
        <v>149375.25167535819</v>
      </c>
      <c r="CA5" s="1">
        <v>149739.25941535164</v>
      </c>
      <c r="CB5" s="1">
        <v>149669.89157341022</v>
      </c>
      <c r="CC5" s="1">
        <v>148954.6050667114</v>
      </c>
      <c r="CD5" s="1">
        <v>148282.0280566744</v>
      </c>
      <c r="CE5" s="1">
        <v>147944.29684855108</v>
      </c>
      <c r="CF5" s="1">
        <v>147644.85331911637</v>
      </c>
      <c r="CG5" s="1">
        <v>146857.76134255208</v>
      </c>
      <c r="CH5" s="1">
        <v>146526.28937844781</v>
      </c>
      <c r="CI5" s="1">
        <v>146781.6589921962</v>
      </c>
      <c r="CJ5" s="1">
        <v>146287.61129405751</v>
      </c>
      <c r="CK5" s="1">
        <v>147506.55520983745</v>
      </c>
      <c r="CL5" s="1">
        <v>147737.00893273897</v>
      </c>
      <c r="CM5" s="1">
        <v>148346.54238712246</v>
      </c>
      <c r="CN5" s="1">
        <v>147733.00438364147</v>
      </c>
      <c r="CO5" s="1">
        <v>146849.54081450883</v>
      </c>
      <c r="CP5" s="1">
        <v>146085.77718687811</v>
      </c>
      <c r="CQ5" s="1">
        <v>146116.86190514051</v>
      </c>
      <c r="CR5" s="1">
        <v>145303.14089279654</v>
      </c>
      <c r="CS5" s="1">
        <v>144459.08409530335</v>
      </c>
      <c r="CT5" s="1">
        <v>144240.80415410758</v>
      </c>
      <c r="CU5" s="1">
        <v>142162.4052514605</v>
      </c>
      <c r="CV5" s="1">
        <v>143986.25313543464</v>
      </c>
      <c r="CW5" s="1">
        <v>144613.24774003305</v>
      </c>
      <c r="CX5" s="1">
        <v>144987.22584245069</v>
      </c>
      <c r="CY5" s="1">
        <v>144572.57934902573</v>
      </c>
      <c r="CZ5" s="1">
        <v>144161.64169493609</v>
      </c>
      <c r="DA5" s="1">
        <v>144070.79213534395</v>
      </c>
      <c r="DB5" s="1">
        <v>143303.81632523396</v>
      </c>
      <c r="DC5" s="1">
        <v>142626.78764273756</v>
      </c>
      <c r="DD5" s="1">
        <v>142420.85148666525</v>
      </c>
      <c r="DE5" s="1">
        <v>141818.93516797555</v>
      </c>
      <c r="DF5" s="1">
        <v>142060.07593659125</v>
      </c>
      <c r="DG5" s="1">
        <v>141856.54845131759</v>
      </c>
      <c r="DH5" s="1">
        <v>141711.62103147098</v>
      </c>
      <c r="DI5" s="1">
        <v>142304.1657962756</v>
      </c>
      <c r="DJ5" s="1">
        <v>143337.06599205401</v>
      </c>
      <c r="DK5" s="1">
        <v>144049.51153634617</v>
      </c>
      <c r="DL5" s="1">
        <v>144218.37645124213</v>
      </c>
      <c r="DM5" s="1">
        <v>144760.77235405653</v>
      </c>
      <c r="DN5" s="1">
        <v>143773.15871978446</v>
      </c>
      <c r="DO5" s="1">
        <v>143910.49341361789</v>
      </c>
      <c r="DP5" s="1">
        <v>143939.4583692486</v>
      </c>
      <c r="DQ5" s="1">
        <v>144397.10605198605</v>
      </c>
      <c r="DR5" s="1">
        <v>145129.73760166878</v>
      </c>
      <c r="DS5" s="1">
        <v>145128.01880411673</v>
      </c>
      <c r="DT5" s="1">
        <v>145882.63696273859</v>
      </c>
      <c r="DU5" s="1">
        <v>146535.81975877509</v>
      </c>
      <c r="DV5" s="1">
        <v>147544.37306269753</v>
      </c>
      <c r="DW5" s="1">
        <v>147376.19777012587</v>
      </c>
      <c r="DX5" s="1">
        <v>147292.85056072182</v>
      </c>
      <c r="DY5" s="1">
        <v>146609.83093660296</v>
      </c>
      <c r="DZ5" s="1">
        <v>146417.58362215885</v>
      </c>
      <c r="EA5" s="1">
        <v>147176.91564369778</v>
      </c>
      <c r="EB5" s="1">
        <v>146922.79552263132</v>
      </c>
      <c r="ED5" s="1">
        <v>146743.91214838589</v>
      </c>
      <c r="EE5" s="1">
        <v>147166.0752440216</v>
      </c>
      <c r="EG5" s="1">
        <v>148733.90675186599</v>
      </c>
      <c r="EH5" s="1">
        <v>149566.94323142135</v>
      </c>
      <c r="EI5" s="1">
        <v>149476.64577982595</v>
      </c>
      <c r="EJ5" s="1">
        <v>149471.81289421857</v>
      </c>
      <c r="EK5" s="1">
        <v>149151.11320958196</v>
      </c>
      <c r="EL5" s="1">
        <v>148981.16607607566</v>
      </c>
      <c r="EM5" s="1">
        <v>148906.0984338476</v>
      </c>
      <c r="EN5" s="1">
        <v>148165.18162150722</v>
      </c>
      <c r="EO5" s="1">
        <v>148083.79917235795</v>
      </c>
      <c r="EP5" s="1">
        <v>146700.59699939686</v>
      </c>
      <c r="EQ5" s="1">
        <v>148422.07517078798</v>
      </c>
      <c r="ER5" s="1">
        <v>149985.75787551096</v>
      </c>
      <c r="ES5" s="1">
        <v>150324.47496083696</v>
      </c>
      <c r="ET5" s="1">
        <v>150087.02043740105</v>
      </c>
      <c r="EU5" s="1">
        <v>149829.96323252944</v>
      </c>
      <c r="EV5" s="1">
        <v>149350.47094505516</v>
      </c>
      <c r="EW5" s="1">
        <v>149084.70022867096</v>
      </c>
      <c r="EX5" s="1">
        <v>149128.85307147753</v>
      </c>
      <c r="EY5" s="1">
        <v>148380.53142416125</v>
      </c>
      <c r="EZ5" s="1">
        <v>148096.5919691865</v>
      </c>
      <c r="FA5" s="1">
        <v>148309.87860140181</v>
      </c>
      <c r="FB5" s="1">
        <v>148476.01446628512</v>
      </c>
      <c r="FC5" s="1">
        <v>148484.76802427572</v>
      </c>
      <c r="FD5" s="1">
        <v>149442.19476714524</v>
      </c>
      <c r="FE5" s="1">
        <v>150042.41855014954</v>
      </c>
      <c r="FF5" s="1">
        <v>150090.20120795019</v>
      </c>
      <c r="FG5" s="1">
        <v>149992.45294282128</v>
      </c>
      <c r="FH5" s="1">
        <v>149448.52137050236</v>
      </c>
      <c r="FI5" s="1">
        <v>148325.87260616926</v>
      </c>
      <c r="FJ5" s="1">
        <v>147906.24779014214</v>
      </c>
      <c r="FK5" s="1">
        <v>148328.27738470328</v>
      </c>
      <c r="FL5" s="1">
        <v>147584.59267309227</v>
      </c>
      <c r="FM5" s="1">
        <v>147201.06477283017</v>
      </c>
      <c r="FN5" s="1">
        <v>147546.60433234167</v>
      </c>
      <c r="FO5" s="1">
        <v>148672.78051439929</v>
      </c>
      <c r="FP5" s="1">
        <v>150731.80438453041</v>
      </c>
      <c r="FQ5" s="1">
        <v>150875.77127098048</v>
      </c>
      <c r="FR5" s="1">
        <v>150289.78600282682</v>
      </c>
      <c r="FS5" s="1">
        <v>150061.86013632233</v>
      </c>
      <c r="FT5" s="1">
        <v>149496.97105133944</v>
      </c>
      <c r="FU5" s="1">
        <v>148904.57169540331</v>
      </c>
      <c r="FV5" s="1">
        <v>148877.24733097552</v>
      </c>
      <c r="FW5" s="1">
        <v>148878.47427212694</v>
      </c>
      <c r="FX5" s="1">
        <v>148689.05027193131</v>
      </c>
      <c r="FY5" s="1">
        <v>148704.72315047492</v>
      </c>
      <c r="FZ5" s="1">
        <v>149376.77381599529</v>
      </c>
      <c r="GA5" s="1">
        <v>148844.51946311106</v>
      </c>
      <c r="GB5" s="1">
        <v>149171.10832327857</v>
      </c>
      <c r="GC5" s="1">
        <v>149110.73206387059</v>
      </c>
      <c r="GD5" s="1">
        <v>148832.75234127865</v>
      </c>
      <c r="GE5" s="1">
        <v>148620.98934884317</v>
      </c>
      <c r="GF5" s="1">
        <v>148846.84852974059</v>
      </c>
      <c r="GG5" s="1">
        <v>148986.52358256755</v>
      </c>
      <c r="GH5" s="1">
        <v>148946.47726963073</v>
      </c>
      <c r="GI5" s="1">
        <v>148816.77924979397</v>
      </c>
      <c r="GJ5" s="1">
        <v>148193.68299552839</v>
      </c>
      <c r="GK5" s="1">
        <v>148423.36186150162</v>
      </c>
      <c r="GL5" s="1">
        <v>149323.19110450335</v>
      </c>
      <c r="GM5" s="1">
        <v>149315.49210360352</v>
      </c>
      <c r="GN5" s="1">
        <v>150497.3514165252</v>
      </c>
      <c r="GO5" s="1">
        <v>149059.78722236026</v>
      </c>
      <c r="GP5" s="1">
        <v>144296.45787678967</v>
      </c>
      <c r="GQ5" s="1">
        <v>145785.4290520894</v>
      </c>
      <c r="GR5" s="1">
        <v>147092.56085281132</v>
      </c>
      <c r="GS5" s="1">
        <v>148774.67806163288</v>
      </c>
      <c r="GT5" s="1">
        <v>149230.63671927288</v>
      </c>
      <c r="GU5" s="1">
        <v>149098.76462305506</v>
      </c>
      <c r="GV5" s="1">
        <v>148167.90654582009</v>
      </c>
      <c r="GW5" s="1">
        <v>148119.02273409639</v>
      </c>
      <c r="GX5" s="1">
        <v>148475.94447104857</v>
      </c>
      <c r="GY5" s="1">
        <v>148624.99233503276</v>
      </c>
      <c r="GZ5" s="1">
        <v>149647.48504325101</v>
      </c>
      <c r="HA5" s="1" t="str">
        <f t="shared" si="0"/>
        <v/>
      </c>
      <c r="HB5" s="1" t="str">
        <f t="shared" si="0"/>
        <v/>
      </c>
      <c r="HC5" s="1" t="str">
        <f t="shared" si="0"/>
        <v/>
      </c>
      <c r="HD5" s="1" t="str">
        <f t="shared" si="0"/>
        <v/>
      </c>
      <c r="HE5" s="1" t="str">
        <f t="shared" si="0"/>
        <v/>
      </c>
      <c r="HF5" s="1" t="str">
        <f t="shared" si="0"/>
        <v/>
      </c>
      <c r="HG5" s="1" t="str">
        <f t="shared" si="0"/>
        <v/>
      </c>
      <c r="HH5" s="1" t="str">
        <f t="shared" si="0"/>
        <v/>
      </c>
      <c r="HI5" s="1" t="str">
        <f t="shared" si="0"/>
        <v/>
      </c>
      <c r="HJ5" s="1" t="str">
        <f t="shared" si="0"/>
        <v/>
      </c>
      <c r="HK5" s="1" t="str">
        <f t="shared" si="0"/>
        <v/>
      </c>
      <c r="HL5" s="1" t="str">
        <f t="shared" si="0"/>
        <v/>
      </c>
      <c r="HM5" s="1" t="str">
        <f t="shared" si="0"/>
        <v/>
      </c>
      <c r="HN5" s="1" t="str">
        <f t="shared" si="0"/>
        <v/>
      </c>
      <c r="HO5" s="1" t="str">
        <f t="shared" si="0"/>
        <v/>
      </c>
      <c r="HP5" s="1" t="str">
        <f t="shared" si="0"/>
        <v/>
      </c>
      <c r="HQ5" s="1" t="str">
        <f t="shared" si="0"/>
        <v/>
      </c>
      <c r="HR5" s="1" t="str">
        <f t="shared" si="0"/>
        <v/>
      </c>
      <c r="HS5" s="1" t="str">
        <f t="shared" si="0"/>
        <v/>
      </c>
      <c r="HT5" s="1" t="str">
        <f t="shared" si="0"/>
        <v/>
      </c>
      <c r="HU5" s="1" t="str">
        <f t="shared" si="0"/>
        <v/>
      </c>
      <c r="HV5" s="1" t="str">
        <f t="shared" si="0"/>
        <v/>
      </c>
      <c r="HW5" s="1" t="str">
        <f t="shared" si="0"/>
        <v/>
      </c>
      <c r="HX5" s="1" t="str">
        <f t="shared" si="0"/>
        <v/>
      </c>
      <c r="HY5" s="1" t="str">
        <f t="shared" si="0"/>
        <v/>
      </c>
      <c r="HZ5" s="1" t="str">
        <f t="shared" si="0"/>
        <v/>
      </c>
      <c r="IA5" s="1" t="str">
        <f t="shared" si="0"/>
        <v/>
      </c>
      <c r="IB5" s="1" t="str">
        <f t="shared" si="0"/>
        <v/>
      </c>
      <c r="IC5" s="1" t="str">
        <f t="shared" si="0"/>
        <v/>
      </c>
      <c r="ID5" s="1" t="str">
        <f t="shared" si="0"/>
        <v/>
      </c>
      <c r="IE5" s="1" t="str">
        <f t="shared" si="0"/>
        <v/>
      </c>
      <c r="IF5" s="1" t="str">
        <f t="shared" si="0"/>
        <v/>
      </c>
      <c r="IG5" s="1" t="str">
        <f t="shared" si="0"/>
        <v/>
      </c>
      <c r="IH5" s="1" t="str">
        <f t="shared" si="0"/>
        <v/>
      </c>
      <c r="II5" s="1" t="str">
        <f t="shared" si="0"/>
        <v/>
      </c>
      <c r="IJ5" s="1" t="str">
        <f t="shared" si="0"/>
        <v/>
      </c>
      <c r="IK5" s="1" t="str">
        <f t="shared" si="0"/>
        <v/>
      </c>
      <c r="IL5" s="1" t="str">
        <f t="shared" si="0"/>
        <v/>
      </c>
      <c r="IM5" s="1" t="str">
        <f t="shared" si="0"/>
        <v/>
      </c>
      <c r="IN5" s="1" t="str">
        <f t="shared" si="0"/>
        <v/>
      </c>
      <c r="IO5" s="1" t="str">
        <f t="shared" si="0"/>
        <v/>
      </c>
      <c r="IP5" s="1" t="str">
        <f t="shared" si="0"/>
        <v/>
      </c>
      <c r="IQ5" s="1" t="str">
        <f t="shared" si="0"/>
        <v/>
      </c>
      <c r="IR5" s="1" t="str">
        <f t="shared" si="0"/>
        <v/>
      </c>
      <c r="IS5" s="1" t="str">
        <f t="shared" si="0"/>
        <v/>
      </c>
      <c r="IT5" s="1" t="str">
        <f t="shared" si="0"/>
        <v/>
      </c>
      <c r="IU5" s="1" t="str">
        <f t="shared" si="0"/>
        <v/>
      </c>
      <c r="IV5" s="1" t="str">
        <f t="shared" si="0"/>
        <v/>
      </c>
      <c r="IW5" s="1" t="str">
        <f t="shared" si="0"/>
        <v/>
      </c>
      <c r="IX5" s="1" t="str">
        <f t="shared" si="0"/>
        <v/>
      </c>
      <c r="IY5" s="1" t="str">
        <f t="shared" si="0"/>
        <v/>
      </c>
      <c r="IZ5" s="1" t="str">
        <f t="shared" si="0"/>
        <v/>
      </c>
      <c r="JA5" s="1" t="str">
        <f t="shared" si="0"/>
        <v/>
      </c>
      <c r="JB5" s="1" t="str">
        <f t="shared" si="0"/>
        <v/>
      </c>
      <c r="JC5" s="1" t="str">
        <f t="shared" si="0"/>
        <v/>
      </c>
      <c r="JD5" s="1" t="str">
        <f t="shared" si="0"/>
        <v/>
      </c>
      <c r="JE5" s="1" t="str">
        <f t="shared" si="0"/>
        <v/>
      </c>
      <c r="JF5" s="1" t="str">
        <f t="shared" si="0"/>
        <v/>
      </c>
      <c r="JG5" s="1" t="str">
        <f t="shared" si="0"/>
        <v/>
      </c>
      <c r="JH5" s="1" t="str">
        <f t="shared" si="0"/>
        <v/>
      </c>
      <c r="LY5" s="1"/>
    </row>
    <row r="6" spans="1:337" x14ac:dyDescent="0.25">
      <c r="A6" s="5">
        <v>4</v>
      </c>
      <c r="B6" s="1">
        <v>142117.32700526016</v>
      </c>
      <c r="C6" s="1">
        <v>143077.76766049478</v>
      </c>
      <c r="D6" s="1">
        <v>143295.19027917139</v>
      </c>
      <c r="E6" s="1">
        <v>143938.38253744034</v>
      </c>
      <c r="F6" s="1">
        <v>144185.77928147092</v>
      </c>
      <c r="G6" s="1">
        <v>144354.88274266105</v>
      </c>
      <c r="H6" s="1">
        <v>144991.84087671846</v>
      </c>
      <c r="I6" s="1">
        <v>145707.43303586295</v>
      </c>
      <c r="J6" s="1">
        <v>145875.60276235192</v>
      </c>
      <c r="K6" s="1">
        <v>145773.95957359963</v>
      </c>
      <c r="L6" s="1">
        <v>146119.70792464021</v>
      </c>
      <c r="M6" s="1">
        <v>146884.26083224465</v>
      </c>
      <c r="N6" s="1">
        <v>147956.89881505305</v>
      </c>
      <c r="O6" s="1">
        <v>149134.52388589538</v>
      </c>
      <c r="P6" s="1">
        <v>149702.28006440995</v>
      </c>
      <c r="Q6" s="1">
        <v>150021.40674727497</v>
      </c>
      <c r="R6" s="1">
        <v>150160.80818031827</v>
      </c>
      <c r="S6" s="1">
        <v>149879.79388521911</v>
      </c>
      <c r="T6" s="1">
        <v>150093.70309085312</v>
      </c>
      <c r="U6" s="1">
        <v>150586.68621276563</v>
      </c>
      <c r="V6" s="1">
        <v>150727.78833766005</v>
      </c>
      <c r="W6" s="1">
        <v>150603.44560717442</v>
      </c>
      <c r="X6" s="1">
        <v>150961.66568720131</v>
      </c>
      <c r="Y6" s="1">
        <v>151474.23676246894</v>
      </c>
      <c r="Z6" s="1">
        <v>152404.66146399922</v>
      </c>
      <c r="AA6" s="1">
        <v>153091.28778889781</v>
      </c>
      <c r="AB6" s="1">
        <v>153832.94589068022</v>
      </c>
      <c r="AC6" s="1">
        <v>154056.99075662653</v>
      </c>
      <c r="AD6" s="1">
        <v>154344.01875984544</v>
      </c>
      <c r="AE6" s="1">
        <v>154430.10663853382</v>
      </c>
      <c r="AF6" s="1">
        <v>154767.50455987349</v>
      </c>
      <c r="AG6" s="1">
        <v>155410.33005627559</v>
      </c>
      <c r="AH6" s="1">
        <v>155535.58260472678</v>
      </c>
      <c r="AI6" s="1">
        <v>155636.65005724638</v>
      </c>
      <c r="AJ6" s="1">
        <v>156213.1382757565</v>
      </c>
      <c r="AK6" s="1">
        <v>157038.98194320581</v>
      </c>
      <c r="AL6" s="1">
        <v>158149.46417333226</v>
      </c>
      <c r="AM6" s="1">
        <v>158973.09487144047</v>
      </c>
      <c r="AN6" s="1">
        <v>160161.1665474425</v>
      </c>
      <c r="AO6" s="1">
        <v>161320.53834503083</v>
      </c>
      <c r="AP6" s="1">
        <v>161601.623651164</v>
      </c>
      <c r="AQ6" s="1">
        <v>161746.08865651814</v>
      </c>
      <c r="AR6" s="1">
        <v>162744.09548301407</v>
      </c>
      <c r="AS6" s="1">
        <v>163733.13069584113</v>
      </c>
      <c r="AT6" s="1">
        <v>164335.91764066392</v>
      </c>
      <c r="AU6" s="1">
        <v>164750.81218243059</v>
      </c>
      <c r="AV6" s="1">
        <v>165830.34633493592</v>
      </c>
      <c r="AW6" s="1">
        <v>166821.72312975558</v>
      </c>
      <c r="AX6" s="1">
        <v>167002.20707418112</v>
      </c>
      <c r="AY6" s="1">
        <v>167130.94650627815</v>
      </c>
      <c r="AZ6" s="1">
        <v>166564.23615491623</v>
      </c>
      <c r="BA6" s="1">
        <v>166473.10868140607</v>
      </c>
      <c r="BB6" s="1">
        <v>165221.99101485423</v>
      </c>
      <c r="BC6" s="1">
        <v>163442.84415281395</v>
      </c>
      <c r="BD6" s="1">
        <v>163126.55569861166</v>
      </c>
      <c r="BE6" s="1">
        <v>162738.50252035432</v>
      </c>
      <c r="BF6" s="1">
        <v>161660.81509897555</v>
      </c>
      <c r="BG6" s="1">
        <v>160705.35838132229</v>
      </c>
      <c r="BH6" s="1">
        <v>158894.80971898072</v>
      </c>
      <c r="BI6" s="1">
        <v>157414.43318696393</v>
      </c>
      <c r="BJ6" s="1">
        <v>155726.7737616286</v>
      </c>
      <c r="BK6" s="1">
        <v>154141.33581586275</v>
      </c>
      <c r="BL6" s="1">
        <v>152342.07330312999</v>
      </c>
      <c r="BM6" s="1">
        <v>151094.82807019085</v>
      </c>
      <c r="BN6" s="1">
        <v>149947.04753296837</v>
      </c>
      <c r="BO6" s="1">
        <v>150179.71653297939</v>
      </c>
      <c r="BP6" s="1">
        <v>151103.73626052644</v>
      </c>
      <c r="BQ6" s="1">
        <v>150402.52859654734</v>
      </c>
      <c r="BR6" s="1">
        <v>149875.47995962136</v>
      </c>
      <c r="BS6" s="1">
        <v>148919.86132796918</v>
      </c>
      <c r="BT6" s="1">
        <v>147390.21407571802</v>
      </c>
      <c r="BU6" s="1">
        <v>148382.11392997421</v>
      </c>
      <c r="BV6" s="1">
        <v>149006.46452885563</v>
      </c>
      <c r="BW6" s="1">
        <v>148701.69455968178</v>
      </c>
      <c r="BX6" s="1">
        <v>147678.001226586</v>
      </c>
      <c r="BY6" s="1">
        <v>148134.0492639713</v>
      </c>
      <c r="BZ6" s="1">
        <v>149303.13183450006</v>
      </c>
      <c r="CA6" s="1">
        <v>149724.09669756333</v>
      </c>
      <c r="CB6" s="1">
        <v>149557.64790779474</v>
      </c>
      <c r="CC6" s="1">
        <v>148859.56547415414</v>
      </c>
      <c r="CD6" s="1">
        <v>148019.40087631793</v>
      </c>
      <c r="CE6" s="1">
        <v>147278.13173124794</v>
      </c>
      <c r="CF6" s="1">
        <v>147252.14609100594</v>
      </c>
      <c r="CG6" s="1">
        <v>146786.64987480119</v>
      </c>
      <c r="CH6" s="1">
        <v>146412.63414460566</v>
      </c>
      <c r="CI6" s="1">
        <v>146906.31931556523</v>
      </c>
      <c r="CJ6" s="1">
        <v>146265.53729303789</v>
      </c>
      <c r="CK6" s="1">
        <v>147630.63099007285</v>
      </c>
      <c r="CL6" s="1">
        <v>147646.3714763124</v>
      </c>
      <c r="CM6" s="1">
        <v>148383.74037359376</v>
      </c>
      <c r="CN6" s="1">
        <v>147652.54687143723</v>
      </c>
      <c r="CO6" s="1">
        <v>146686.88232562627</v>
      </c>
      <c r="CP6" s="1">
        <v>145672.2780515186</v>
      </c>
      <c r="CQ6" s="1">
        <v>145490.54118004633</v>
      </c>
      <c r="CR6" s="1">
        <v>144838.65664124221</v>
      </c>
      <c r="CS6" s="1">
        <v>144455.72015138686</v>
      </c>
      <c r="CT6" s="1">
        <v>144149.52615320424</v>
      </c>
      <c r="CU6" s="1">
        <v>141738.95971852541</v>
      </c>
      <c r="CV6" s="1">
        <v>144024.83516152838</v>
      </c>
      <c r="CW6" s="1">
        <v>144557.80546748618</v>
      </c>
      <c r="CX6" s="1">
        <v>144733.00799766876</v>
      </c>
      <c r="CY6" s="1">
        <v>144259.15644603851</v>
      </c>
      <c r="CZ6" s="1">
        <v>143898.10389373809</v>
      </c>
      <c r="DA6" s="1">
        <v>143898.17519581461</v>
      </c>
      <c r="DB6" s="1">
        <v>142910.45147904562</v>
      </c>
      <c r="DC6" s="1">
        <v>141890.87918360403</v>
      </c>
      <c r="DD6" s="1">
        <v>142041.04131294141</v>
      </c>
      <c r="DE6" s="1">
        <v>141848.55751411105</v>
      </c>
      <c r="DF6" s="1">
        <v>142131.10733809686</v>
      </c>
      <c r="DG6" s="1">
        <v>141996.56325504952</v>
      </c>
      <c r="DH6" s="1">
        <v>141794.61875592038</v>
      </c>
      <c r="DI6" s="1">
        <v>142276.24883296175</v>
      </c>
      <c r="DJ6" s="1">
        <v>143145.44503642153</v>
      </c>
      <c r="DK6" s="1">
        <v>144060.25490798813</v>
      </c>
      <c r="DL6" s="1">
        <v>144363.17286681622</v>
      </c>
      <c r="DM6" s="1">
        <v>145008.76521406852</v>
      </c>
      <c r="DN6" s="1">
        <v>143673.83722495881</v>
      </c>
      <c r="DO6" s="1">
        <v>143419.74867796939</v>
      </c>
      <c r="DP6" s="1">
        <v>143809.45449029477</v>
      </c>
      <c r="DQ6" s="1">
        <v>145150.50140827813</v>
      </c>
      <c r="DR6" s="1">
        <v>145754.13254310386</v>
      </c>
      <c r="DS6" s="1">
        <v>145831.93394916202</v>
      </c>
      <c r="DT6" s="1">
        <v>146585.83819824248</v>
      </c>
      <c r="DU6" s="1">
        <v>146995.79333270586</v>
      </c>
      <c r="DV6" s="1">
        <v>147603.02921923934</v>
      </c>
      <c r="DW6" s="1">
        <v>147471.93132907385</v>
      </c>
      <c r="DX6" s="1">
        <v>147493.23686019715</v>
      </c>
      <c r="DY6" s="1">
        <v>146684.70558026212</v>
      </c>
      <c r="DZ6" s="1">
        <v>146408.25324518606</v>
      </c>
      <c r="EA6" s="1">
        <v>146758.74653530944</v>
      </c>
      <c r="EB6" s="1">
        <v>146869.69419253859</v>
      </c>
      <c r="ED6" s="1">
        <v>147237.07094185965</v>
      </c>
      <c r="EE6" s="1">
        <v>147735.57589963864</v>
      </c>
      <c r="EG6" s="1">
        <v>149086.68721019849</v>
      </c>
      <c r="EH6" s="1">
        <v>149463.44920069084</v>
      </c>
      <c r="EI6" s="1">
        <v>149560.41941061168</v>
      </c>
      <c r="EJ6" s="1">
        <v>149681.18159301984</v>
      </c>
      <c r="EK6" s="1">
        <v>149246.01426213788</v>
      </c>
      <c r="EL6" s="1">
        <v>148883.1037652588</v>
      </c>
      <c r="EM6" s="1">
        <v>148253.49339681774</v>
      </c>
      <c r="EN6" s="1">
        <v>147961.06479585473</v>
      </c>
      <c r="EO6" s="1">
        <v>148474.90564269247</v>
      </c>
      <c r="EP6" s="1">
        <v>146844.54045965686</v>
      </c>
      <c r="EQ6" s="1">
        <v>148929.91644692805</v>
      </c>
      <c r="ER6" s="1">
        <v>150739.90066102712</v>
      </c>
      <c r="ES6" s="1">
        <v>150605.61699160712</v>
      </c>
      <c r="ET6" s="1">
        <v>149682.27597664268</v>
      </c>
      <c r="EU6" s="1">
        <v>149657.10723229396</v>
      </c>
      <c r="EV6" s="1">
        <v>149266.74005951884</v>
      </c>
      <c r="EW6" s="1">
        <v>148993.37880701962</v>
      </c>
      <c r="EX6" s="1">
        <v>148906.95811682448</v>
      </c>
      <c r="EY6" s="1">
        <v>147632.39379540767</v>
      </c>
      <c r="EZ6" s="1">
        <v>147891.66507145713</v>
      </c>
      <c r="FA6" s="1">
        <v>148723.6937056944</v>
      </c>
      <c r="FB6" s="1">
        <v>148842.45112745013</v>
      </c>
      <c r="FC6" s="1">
        <v>148918.12606850005</v>
      </c>
      <c r="FD6" s="1">
        <v>149958.42874242633</v>
      </c>
      <c r="FE6" s="1">
        <v>150170.50361125203</v>
      </c>
      <c r="FF6" s="1">
        <v>149628.24368069426</v>
      </c>
      <c r="FG6" s="1">
        <v>149786.27966003324</v>
      </c>
      <c r="FH6" s="1">
        <v>149399.08735495398</v>
      </c>
      <c r="FI6" s="1">
        <v>148109.03162787878</v>
      </c>
      <c r="FJ6" s="1">
        <v>147331.7538755819</v>
      </c>
      <c r="FK6" s="1">
        <v>147775.84620922507</v>
      </c>
      <c r="FL6" s="1">
        <v>147414.24370731376</v>
      </c>
      <c r="FM6" s="1">
        <v>147471.06493546534</v>
      </c>
      <c r="FN6" s="1">
        <v>147937.5738578334</v>
      </c>
      <c r="FO6" s="1">
        <v>149363.31139087648</v>
      </c>
      <c r="FP6" s="1">
        <v>151565.99202322582</v>
      </c>
      <c r="FQ6" s="1">
        <v>150904.52692931512</v>
      </c>
      <c r="FR6" s="1">
        <v>150135.57437589075</v>
      </c>
      <c r="FS6" s="1">
        <v>149913.77340871369</v>
      </c>
      <c r="FT6" s="1">
        <v>149428.96490270324</v>
      </c>
      <c r="FU6" s="1">
        <v>148787.91234476879</v>
      </c>
      <c r="FV6" s="1">
        <v>148439.38752909901</v>
      </c>
      <c r="FW6" s="1">
        <v>148313.48427775459</v>
      </c>
      <c r="FX6" s="1">
        <v>148969.46732149692</v>
      </c>
      <c r="FY6" s="1">
        <v>149135.92810883609</v>
      </c>
      <c r="FZ6" s="1">
        <v>149995.59383959571</v>
      </c>
      <c r="GA6" s="1">
        <v>149333.85619331728</v>
      </c>
      <c r="GB6" s="1">
        <v>149402.31590223755</v>
      </c>
      <c r="GC6" s="1">
        <v>148704.81396991323</v>
      </c>
      <c r="GD6" s="1">
        <v>148464.90363826041</v>
      </c>
      <c r="GE6" s="1">
        <v>148304.29875032319</v>
      </c>
      <c r="GF6" s="1">
        <v>148916.99257067894</v>
      </c>
      <c r="GG6" s="1">
        <v>149011.04024562729</v>
      </c>
      <c r="GH6" s="1">
        <v>148719.78872061602</v>
      </c>
      <c r="GI6" s="1">
        <v>148129.30190558106</v>
      </c>
      <c r="GJ6" s="1">
        <v>148295.66009767057</v>
      </c>
      <c r="GK6" s="1">
        <v>148740.56914008234</v>
      </c>
      <c r="GL6" s="1">
        <v>149958.39569247764</v>
      </c>
      <c r="GM6" s="1">
        <v>149958.1509368422</v>
      </c>
      <c r="GN6" s="1">
        <v>151118.52747154862</v>
      </c>
      <c r="GO6" s="1">
        <v>148920.77543792146</v>
      </c>
      <c r="GP6" s="1">
        <v>143723.10568583506</v>
      </c>
      <c r="GQ6" s="1">
        <v>145256.8894026468</v>
      </c>
      <c r="GR6" s="1">
        <v>147062.89790329267</v>
      </c>
      <c r="GS6" s="1">
        <v>148868.56123954261</v>
      </c>
      <c r="GT6" s="1">
        <v>149455.06603200483</v>
      </c>
      <c r="GU6" s="1">
        <v>148565.30949778965</v>
      </c>
      <c r="GV6" s="1">
        <v>148244.7696172171</v>
      </c>
      <c r="GW6" s="1">
        <v>148404.87560155714</v>
      </c>
      <c r="GX6" s="1">
        <v>148625.04664249247</v>
      </c>
      <c r="GY6" s="1">
        <v>149274.28113550245</v>
      </c>
      <c r="GZ6" s="1">
        <v>150228.67271452901</v>
      </c>
      <c r="HA6" s="1" t="str">
        <f t="shared" si="0"/>
        <v/>
      </c>
      <c r="HB6" s="1" t="str">
        <f t="shared" si="0"/>
        <v/>
      </c>
      <c r="HC6" s="1" t="str">
        <f t="shared" si="0"/>
        <v/>
      </c>
      <c r="HD6" s="1" t="str">
        <f t="shared" si="0"/>
        <v/>
      </c>
      <c r="HE6" s="1" t="str">
        <f t="shared" si="0"/>
        <v/>
      </c>
      <c r="HF6" s="1" t="str">
        <f t="shared" si="0"/>
        <v/>
      </c>
      <c r="HG6" s="1" t="str">
        <f t="shared" si="0"/>
        <v/>
      </c>
      <c r="HH6" s="1" t="str">
        <f t="shared" si="0"/>
        <v/>
      </c>
      <c r="HI6" s="1" t="str">
        <f t="shared" si="0"/>
        <v/>
      </c>
      <c r="HJ6" s="1" t="str">
        <f t="shared" si="0"/>
        <v/>
      </c>
      <c r="HK6" s="1" t="str">
        <f t="shared" si="0"/>
        <v/>
      </c>
      <c r="HL6" s="1" t="str">
        <f t="shared" si="0"/>
        <v/>
      </c>
      <c r="HM6" s="1" t="str">
        <f t="shared" si="0"/>
        <v/>
      </c>
      <c r="HN6" s="1" t="str">
        <f t="shared" si="0"/>
        <v/>
      </c>
      <c r="HO6" s="1" t="str">
        <f t="shared" si="0"/>
        <v/>
      </c>
      <c r="HP6" s="1" t="str">
        <f t="shared" si="0"/>
        <v/>
      </c>
      <c r="HQ6" s="1" t="str">
        <f t="shared" si="0"/>
        <v/>
      </c>
      <c r="HR6" s="1" t="str">
        <f t="shared" si="0"/>
        <v/>
      </c>
      <c r="HS6" s="1" t="str">
        <f t="shared" si="0"/>
        <v/>
      </c>
      <c r="HT6" s="1" t="str">
        <f t="shared" si="0"/>
        <v/>
      </c>
      <c r="HU6" s="1" t="str">
        <f t="shared" si="0"/>
        <v/>
      </c>
      <c r="HV6" s="1" t="str">
        <f t="shared" si="0"/>
        <v/>
      </c>
      <c r="HW6" s="1" t="str">
        <f t="shared" si="0"/>
        <v/>
      </c>
      <c r="HX6" s="1" t="str">
        <f t="shared" si="0"/>
        <v/>
      </c>
      <c r="HY6" s="1" t="str">
        <f t="shared" si="0"/>
        <v/>
      </c>
      <c r="HZ6" s="1" t="str">
        <f t="shared" si="0"/>
        <v/>
      </c>
      <c r="IA6" s="1" t="str">
        <f t="shared" si="0"/>
        <v/>
      </c>
      <c r="IB6" s="1" t="str">
        <f t="shared" si="0"/>
        <v/>
      </c>
      <c r="IC6" s="1" t="str">
        <f t="shared" si="0"/>
        <v/>
      </c>
      <c r="ID6" s="1" t="str">
        <f t="shared" si="0"/>
        <v/>
      </c>
      <c r="IE6" s="1" t="str">
        <f t="shared" si="0"/>
        <v/>
      </c>
      <c r="IF6" s="1" t="str">
        <f t="shared" si="0"/>
        <v/>
      </c>
      <c r="IG6" s="1" t="str">
        <f t="shared" si="0"/>
        <v/>
      </c>
      <c r="IH6" s="1" t="str">
        <f t="shared" si="0"/>
        <v/>
      </c>
      <c r="II6" s="1" t="str">
        <f t="shared" si="0"/>
        <v/>
      </c>
      <c r="IJ6" s="1" t="str">
        <f t="shared" si="0"/>
        <v/>
      </c>
      <c r="IK6" s="1" t="str">
        <f t="shared" si="0"/>
        <v/>
      </c>
      <c r="IL6" s="1" t="str">
        <f t="shared" si="0"/>
        <v/>
      </c>
      <c r="IM6" s="1" t="str">
        <f t="shared" si="0"/>
        <v/>
      </c>
      <c r="IN6" s="1" t="str">
        <f t="shared" si="0"/>
        <v/>
      </c>
      <c r="IO6" s="1" t="str">
        <f t="shared" si="0"/>
        <v/>
      </c>
      <c r="IP6" s="1" t="str">
        <f t="shared" si="0"/>
        <v/>
      </c>
      <c r="IQ6" s="1" t="str">
        <f t="shared" si="0"/>
        <v/>
      </c>
      <c r="IR6" s="1" t="str">
        <f t="shared" si="0"/>
        <v/>
      </c>
      <c r="IS6" s="1" t="str">
        <f t="shared" si="0"/>
        <v/>
      </c>
      <c r="IT6" s="1" t="str">
        <f t="shared" si="0"/>
        <v/>
      </c>
      <c r="IU6" s="1" t="str">
        <f t="shared" si="0"/>
        <v/>
      </c>
      <c r="IV6" s="1" t="str">
        <f t="shared" si="0"/>
        <v/>
      </c>
      <c r="IW6" s="1" t="str">
        <f t="shared" si="0"/>
        <v/>
      </c>
      <c r="IX6" s="1" t="str">
        <f t="shared" si="0"/>
        <v/>
      </c>
      <c r="IY6" s="1" t="str">
        <f t="shared" si="0"/>
        <v/>
      </c>
      <c r="IZ6" s="1" t="str">
        <f t="shared" si="0"/>
        <v/>
      </c>
      <c r="JA6" s="1" t="str">
        <f t="shared" si="0"/>
        <v/>
      </c>
      <c r="JB6" s="1" t="str">
        <f t="shared" si="0"/>
        <v/>
      </c>
      <c r="JC6" s="1" t="str">
        <f t="shared" si="0"/>
        <v/>
      </c>
      <c r="JD6" s="1" t="str">
        <f t="shared" si="0"/>
        <v/>
      </c>
      <c r="JE6" s="1" t="str">
        <f t="shared" si="0"/>
        <v/>
      </c>
      <c r="JF6" s="1" t="str">
        <f t="shared" si="0"/>
        <v/>
      </c>
      <c r="JG6" s="1" t="str">
        <f t="shared" si="0"/>
        <v/>
      </c>
      <c r="JH6" s="1" t="str">
        <f t="shared" ref="GZ6:JH10" si="1">IF(JG6="","","")</f>
        <v/>
      </c>
      <c r="LY6" s="1"/>
    </row>
    <row r="7" spans="1:337" x14ac:dyDescent="0.25">
      <c r="A7" s="5">
        <v>5</v>
      </c>
      <c r="B7" s="1">
        <v>142627.15609639141</v>
      </c>
      <c r="C7" s="1">
        <v>143615.54545236067</v>
      </c>
      <c r="D7" s="1">
        <v>143727.24494275017</v>
      </c>
      <c r="E7" s="1">
        <v>144270.6566448969</v>
      </c>
      <c r="F7" s="1">
        <v>144169.22494286799</v>
      </c>
      <c r="G7" s="1">
        <v>144783.45770433702</v>
      </c>
      <c r="H7" s="1">
        <v>145591.06367843098</v>
      </c>
      <c r="I7" s="1">
        <v>145985.74658045871</v>
      </c>
      <c r="J7" s="1">
        <v>145687.38495593891</v>
      </c>
      <c r="K7" s="1">
        <v>146318.68965624983</v>
      </c>
      <c r="L7" s="1">
        <v>146959.32361528478</v>
      </c>
      <c r="M7" s="1">
        <v>147666.90679393307</v>
      </c>
      <c r="N7" s="1">
        <v>148740.04091209636</v>
      </c>
      <c r="O7" s="1">
        <v>149778.98228793198</v>
      </c>
      <c r="P7" s="1">
        <v>150268.18370394973</v>
      </c>
      <c r="Q7" s="1">
        <v>150396.00072578696</v>
      </c>
      <c r="R7" s="1">
        <v>150258.96321747953</v>
      </c>
      <c r="S7" s="1">
        <v>150243.50716820877</v>
      </c>
      <c r="T7" s="1">
        <v>150686.04812183214</v>
      </c>
      <c r="U7" s="1">
        <v>150805.19085498154</v>
      </c>
      <c r="V7" s="1">
        <v>150626.93345358354</v>
      </c>
      <c r="W7" s="1">
        <v>150936.42923099466</v>
      </c>
      <c r="X7" s="1">
        <v>151680.25749260793</v>
      </c>
      <c r="Y7" s="1">
        <v>152154.32764260058</v>
      </c>
      <c r="Z7" s="1">
        <v>152970.07697392703</v>
      </c>
      <c r="AA7" s="1">
        <v>153645.897786216</v>
      </c>
      <c r="AB7" s="1">
        <v>154248.39992377092</v>
      </c>
      <c r="AC7" s="1">
        <v>154349.40787495935</v>
      </c>
      <c r="AD7" s="1">
        <v>154362.63885581598</v>
      </c>
      <c r="AE7" s="1">
        <v>154724.06078392535</v>
      </c>
      <c r="AF7" s="1">
        <v>155283.52815745631</v>
      </c>
      <c r="AG7" s="1">
        <v>155730.45183882065</v>
      </c>
      <c r="AH7" s="1">
        <v>155504.09897386644</v>
      </c>
      <c r="AI7" s="1">
        <v>156056.33561476375</v>
      </c>
      <c r="AJ7" s="1">
        <v>156955.1826758931</v>
      </c>
      <c r="AK7" s="1">
        <v>157816.39467553029</v>
      </c>
      <c r="AL7" s="1">
        <v>158852.53021249146</v>
      </c>
      <c r="AM7" s="1">
        <v>159642.33367172891</v>
      </c>
      <c r="AN7" s="1">
        <v>160771.34627225879</v>
      </c>
      <c r="AO7" s="1">
        <v>161717.24233809375</v>
      </c>
      <c r="AP7" s="1">
        <v>161824.98042328126</v>
      </c>
      <c r="AQ7" s="1">
        <v>162263.6250778847</v>
      </c>
      <c r="AR7" s="1">
        <v>163401.31276234658</v>
      </c>
      <c r="AS7" s="1">
        <v>164318.62336274487</v>
      </c>
      <c r="AT7" s="1">
        <v>164650.59003849316</v>
      </c>
      <c r="AU7" s="1">
        <v>165596.16135670512</v>
      </c>
      <c r="AV7" s="1">
        <v>166900.10058843286</v>
      </c>
      <c r="AW7" s="1">
        <v>167851.6431752448</v>
      </c>
      <c r="AX7" s="1">
        <v>167863.2932520856</v>
      </c>
      <c r="AY7" s="1">
        <v>167890.86434440681</v>
      </c>
      <c r="AZ7" s="1">
        <v>167107.8872046108</v>
      </c>
      <c r="BA7" s="1">
        <v>166652.44221131416</v>
      </c>
      <c r="BB7" s="1">
        <v>165145.27046814287</v>
      </c>
      <c r="BC7" s="1">
        <v>163263.29948994651</v>
      </c>
      <c r="BD7" s="1">
        <v>162871.61288828755</v>
      </c>
      <c r="BE7" s="1">
        <v>162380.87198442678</v>
      </c>
      <c r="BF7" s="1">
        <v>160998.00266950065</v>
      </c>
      <c r="BG7" s="1">
        <v>160447.98738940118</v>
      </c>
      <c r="BH7" s="1">
        <v>158672.20049388806</v>
      </c>
      <c r="BI7" s="1">
        <v>156991.67246696522</v>
      </c>
      <c r="BJ7" s="1">
        <v>154809.90975458737</v>
      </c>
      <c r="BK7" s="1">
        <v>153172.43814174086</v>
      </c>
      <c r="BL7" s="1">
        <v>151180.99405262066</v>
      </c>
      <c r="BM7" s="1">
        <v>149604.39439991745</v>
      </c>
      <c r="BN7" s="1">
        <v>148447.12313686658</v>
      </c>
      <c r="BO7" s="1">
        <v>148992.39385888394</v>
      </c>
      <c r="BP7" s="1">
        <v>150221.20577788519</v>
      </c>
      <c r="BQ7" s="1">
        <v>149524.3387470778</v>
      </c>
      <c r="BR7" s="1">
        <v>148618.07798818473</v>
      </c>
      <c r="BS7" s="1">
        <v>148214.83423420769</v>
      </c>
      <c r="BT7" s="1">
        <v>146786.54904306817</v>
      </c>
      <c r="BU7" s="1">
        <v>147949.27093374555</v>
      </c>
      <c r="BV7" s="1">
        <v>148845.97566473018</v>
      </c>
      <c r="BW7" s="1">
        <v>148605.75652653299</v>
      </c>
      <c r="BX7" s="1">
        <v>147245.59088904911</v>
      </c>
      <c r="BY7" s="1">
        <v>147816.41878074099</v>
      </c>
      <c r="BZ7" s="1">
        <v>149215.22563431761</v>
      </c>
      <c r="CA7" s="1">
        <v>149709.89647883829</v>
      </c>
      <c r="CB7" s="1">
        <v>149647.92498881056</v>
      </c>
      <c r="CC7" s="1">
        <v>148660.51306604827</v>
      </c>
      <c r="CD7" s="1">
        <v>147356.64890702779</v>
      </c>
      <c r="CE7" s="1">
        <v>146941.74209573271</v>
      </c>
      <c r="CF7" s="1">
        <v>147293.09576482099</v>
      </c>
      <c r="CG7" s="1">
        <v>146772.30194165543</v>
      </c>
      <c r="CH7" s="1">
        <v>146393.02519724739</v>
      </c>
      <c r="CI7" s="1">
        <v>147162.55620807211</v>
      </c>
      <c r="CJ7" s="1">
        <v>146053.09246002836</v>
      </c>
      <c r="CK7" s="1">
        <v>147582.1147360504</v>
      </c>
      <c r="CL7" s="1">
        <v>147582.69542134943</v>
      </c>
      <c r="CM7" s="1">
        <v>148463.77260260488</v>
      </c>
      <c r="CN7" s="1">
        <v>147681.96274551822</v>
      </c>
      <c r="CO7" s="1">
        <v>146453.02886822086</v>
      </c>
      <c r="CP7" s="1">
        <v>144987.00205863864</v>
      </c>
      <c r="CQ7" s="1">
        <v>145069.13696651702</v>
      </c>
      <c r="CR7" s="1">
        <v>144922.14414414539</v>
      </c>
      <c r="CS7" s="1">
        <v>144445.13453610352</v>
      </c>
      <c r="CT7" s="1">
        <v>144172.82682146959</v>
      </c>
      <c r="CU7" s="1">
        <v>141317.72018528305</v>
      </c>
      <c r="CV7" s="1">
        <v>143810.99738381983</v>
      </c>
      <c r="CW7" s="1">
        <v>144217.98231370305</v>
      </c>
      <c r="CX7" s="1">
        <v>144452.41913992487</v>
      </c>
      <c r="CY7" s="1">
        <v>143945.29456487959</v>
      </c>
      <c r="CZ7" s="1">
        <v>143693.23029969959</v>
      </c>
      <c r="DA7" s="1">
        <v>143611.07018592494</v>
      </c>
      <c r="DB7" s="1">
        <v>142070.20733990287</v>
      </c>
      <c r="DC7" s="1">
        <v>141429.99008031213</v>
      </c>
      <c r="DD7" s="1">
        <v>142140.96603411698</v>
      </c>
      <c r="DE7" s="1">
        <v>141885.84377174239</v>
      </c>
      <c r="DF7" s="1">
        <v>142365.91672505956</v>
      </c>
      <c r="DG7" s="1">
        <v>142130.05023349432</v>
      </c>
      <c r="DH7" s="1">
        <v>141656.93459456309</v>
      </c>
      <c r="DI7" s="1">
        <v>141881.60633211894</v>
      </c>
      <c r="DJ7" s="1">
        <v>142945.17033078847</v>
      </c>
      <c r="DK7" s="1">
        <v>144167.99196831917</v>
      </c>
      <c r="DL7" s="1">
        <v>144510.60238255875</v>
      </c>
      <c r="DM7" s="1">
        <v>145205.95194595697</v>
      </c>
      <c r="DN7" s="1">
        <v>143139.44876525877</v>
      </c>
      <c r="DO7" s="1">
        <v>143257.24729959382</v>
      </c>
      <c r="DP7" s="1">
        <v>144425.05183091381</v>
      </c>
      <c r="DQ7" s="1">
        <v>145702.30418997654</v>
      </c>
      <c r="DR7" s="1">
        <v>146616.16603489412</v>
      </c>
      <c r="DS7" s="1">
        <v>146526.63489019361</v>
      </c>
      <c r="DT7" s="1">
        <v>147142.87769068021</v>
      </c>
      <c r="DU7" s="1">
        <v>146836.69927558722</v>
      </c>
      <c r="DV7" s="1">
        <v>147756.46427776018</v>
      </c>
      <c r="DW7" s="1">
        <v>147714.13656536711</v>
      </c>
      <c r="DX7" s="1">
        <v>147739.74553141586</v>
      </c>
      <c r="DY7" s="1">
        <v>146692.93675390282</v>
      </c>
      <c r="DZ7" s="1">
        <v>145853.70876982593</v>
      </c>
      <c r="EA7" s="1">
        <v>146667.202110582</v>
      </c>
      <c r="EB7" s="1">
        <v>147459.4580948957</v>
      </c>
      <c r="ED7" s="1">
        <v>147839.94939854948</v>
      </c>
      <c r="EE7" s="1">
        <v>148210.24759526947</v>
      </c>
      <c r="EG7" s="1">
        <v>148916.8053693588</v>
      </c>
      <c r="EH7" s="1">
        <v>149552.52509410135</v>
      </c>
      <c r="EI7" s="1">
        <v>149812.66309147986</v>
      </c>
      <c r="EJ7" s="1">
        <v>149912.61638523662</v>
      </c>
      <c r="EK7" s="1">
        <v>149225.15501487057</v>
      </c>
      <c r="EL7" s="1">
        <v>148201.84158979525</v>
      </c>
      <c r="EM7" s="1">
        <v>148033.12185359886</v>
      </c>
      <c r="EN7" s="1">
        <v>148330.57297654593</v>
      </c>
      <c r="EO7" s="1">
        <v>148999.70375630705</v>
      </c>
      <c r="EP7" s="1">
        <v>147066.52797109995</v>
      </c>
      <c r="EQ7" s="1">
        <v>149385.39632128837</v>
      </c>
      <c r="ER7" s="1">
        <v>151101.44863940147</v>
      </c>
      <c r="ES7" s="1">
        <v>150282.79171410389</v>
      </c>
      <c r="ET7" s="1">
        <v>149648.69616258104</v>
      </c>
      <c r="EU7" s="1">
        <v>149659.46983284084</v>
      </c>
      <c r="EV7" s="1">
        <v>149212.45387053132</v>
      </c>
      <c r="EW7" s="1">
        <v>148619.01169692256</v>
      </c>
      <c r="EX7" s="1">
        <v>148103.2623291607</v>
      </c>
      <c r="EY7" s="1">
        <v>147335.70495119813</v>
      </c>
      <c r="EZ7" s="1">
        <v>148224.83392845144</v>
      </c>
      <c r="FA7" s="1">
        <v>149248.23032497399</v>
      </c>
      <c r="FB7" s="1">
        <v>149319.35744363663</v>
      </c>
      <c r="FC7" s="1">
        <v>149287.25323377104</v>
      </c>
      <c r="FD7" s="1">
        <v>150122.15226903805</v>
      </c>
      <c r="FE7" s="1">
        <v>149726.17511463439</v>
      </c>
      <c r="FF7" s="1">
        <v>149343.57272735442</v>
      </c>
      <c r="FG7" s="1">
        <v>149814.36761264637</v>
      </c>
      <c r="FH7" s="1">
        <v>149391.64809956506</v>
      </c>
      <c r="FI7" s="1">
        <v>147510.39664681297</v>
      </c>
      <c r="FJ7" s="1">
        <v>146397.75753596111</v>
      </c>
      <c r="FK7" s="1">
        <v>147692.60809861129</v>
      </c>
      <c r="FL7" s="1">
        <v>147717.64333440724</v>
      </c>
      <c r="FM7" s="1">
        <v>147901.39641849999</v>
      </c>
      <c r="FN7" s="1">
        <v>148429.4076791493</v>
      </c>
      <c r="FO7" s="1">
        <v>149916.43544504954</v>
      </c>
      <c r="FP7" s="1">
        <v>151948.64281344219</v>
      </c>
      <c r="FQ7" s="1">
        <v>150493.8986696639</v>
      </c>
      <c r="FR7" s="1">
        <v>150035.82449055277</v>
      </c>
      <c r="FS7" s="1">
        <v>149926.83141341229</v>
      </c>
      <c r="FT7" s="1">
        <v>149377.83235923949</v>
      </c>
      <c r="FU7" s="1">
        <v>148360.36650932295</v>
      </c>
      <c r="FV7" s="1">
        <v>147806.3486519593</v>
      </c>
      <c r="FW7" s="1">
        <v>148437.20928934944</v>
      </c>
      <c r="FX7" s="1">
        <v>149458.40132776898</v>
      </c>
      <c r="FY7" s="1">
        <v>149487.35816563689</v>
      </c>
      <c r="FZ7" s="1">
        <v>150730.46011559502</v>
      </c>
      <c r="GA7" s="1">
        <v>149538.60236065832</v>
      </c>
      <c r="GB7" s="1">
        <v>149152.08401729085</v>
      </c>
      <c r="GC7" s="1">
        <v>148191.9023461852</v>
      </c>
      <c r="GD7" s="1">
        <v>148126.34880769654</v>
      </c>
      <c r="GE7" s="1">
        <v>148192.49869702925</v>
      </c>
      <c r="GF7" s="1">
        <v>148932.43542372406</v>
      </c>
      <c r="GG7" s="1">
        <v>148834.42360653888</v>
      </c>
      <c r="GH7" s="1">
        <v>148391.54948858003</v>
      </c>
      <c r="GI7" s="1">
        <v>148249.6018194675</v>
      </c>
      <c r="GJ7" s="1">
        <v>148561.06276244303</v>
      </c>
      <c r="GK7" s="1">
        <v>149177.78169885499</v>
      </c>
      <c r="GL7" s="1">
        <v>150742.58487439825</v>
      </c>
      <c r="GM7" s="1">
        <v>150468.38861314167</v>
      </c>
      <c r="GN7" s="1">
        <v>151136.79053485903</v>
      </c>
      <c r="GO7" s="1">
        <v>148379.69464639085</v>
      </c>
      <c r="GP7" s="1">
        <v>143192.31581115403</v>
      </c>
      <c r="GQ7" s="1">
        <v>144945.87394723159</v>
      </c>
      <c r="GR7" s="1">
        <v>146992.73786395087</v>
      </c>
      <c r="GS7" s="1">
        <v>148835.2739490525</v>
      </c>
      <c r="GT7" s="1">
        <v>149124.84551131938</v>
      </c>
      <c r="GU7" s="1">
        <v>148678.00300069322</v>
      </c>
      <c r="GV7" s="1">
        <v>148551.12687201891</v>
      </c>
      <c r="GW7" s="1">
        <v>148339.75171094667</v>
      </c>
      <c r="GX7" s="1">
        <v>148948.87025136646</v>
      </c>
      <c r="GY7" s="1">
        <v>149790.95158811493</v>
      </c>
      <c r="GZ7" s="1">
        <v>150396.655477981</v>
      </c>
      <c r="HA7" s="1" t="str">
        <f t="shared" si="1"/>
        <v/>
      </c>
      <c r="HB7" s="1" t="str">
        <f t="shared" si="1"/>
        <v/>
      </c>
      <c r="HC7" s="1" t="str">
        <f t="shared" si="1"/>
        <v/>
      </c>
      <c r="HD7" s="1" t="str">
        <f t="shared" si="1"/>
        <v/>
      </c>
      <c r="HE7" s="1" t="str">
        <f t="shared" si="1"/>
        <v/>
      </c>
      <c r="HF7" s="1" t="str">
        <f t="shared" si="1"/>
        <v/>
      </c>
      <c r="HG7" s="1" t="str">
        <f t="shared" si="1"/>
        <v/>
      </c>
      <c r="HH7" s="1" t="str">
        <f t="shared" si="1"/>
        <v/>
      </c>
      <c r="HI7" s="1" t="str">
        <f t="shared" si="1"/>
        <v/>
      </c>
      <c r="HJ7" s="1" t="str">
        <f t="shared" si="1"/>
        <v/>
      </c>
      <c r="HK7" s="1" t="str">
        <f t="shared" si="1"/>
        <v/>
      </c>
      <c r="HL7" s="1" t="str">
        <f t="shared" si="1"/>
        <v/>
      </c>
      <c r="HM7" s="1" t="str">
        <f t="shared" si="1"/>
        <v/>
      </c>
      <c r="HN7" s="1" t="str">
        <f t="shared" si="1"/>
        <v/>
      </c>
      <c r="HO7" s="1" t="str">
        <f t="shared" si="1"/>
        <v/>
      </c>
      <c r="HP7" s="1" t="str">
        <f t="shared" si="1"/>
        <v/>
      </c>
      <c r="HQ7" s="1" t="str">
        <f t="shared" si="1"/>
        <v/>
      </c>
      <c r="HR7" s="1" t="str">
        <f t="shared" si="1"/>
        <v/>
      </c>
      <c r="HS7" s="1" t="str">
        <f t="shared" si="1"/>
        <v/>
      </c>
      <c r="HT7" s="1" t="str">
        <f t="shared" si="1"/>
        <v/>
      </c>
      <c r="HU7" s="1" t="str">
        <f t="shared" si="1"/>
        <v/>
      </c>
      <c r="HV7" s="1" t="str">
        <f t="shared" si="1"/>
        <v/>
      </c>
      <c r="HW7" s="1" t="str">
        <f t="shared" si="1"/>
        <v/>
      </c>
      <c r="HX7" s="1" t="str">
        <f t="shared" si="1"/>
        <v/>
      </c>
      <c r="HY7" s="1" t="str">
        <f t="shared" si="1"/>
        <v/>
      </c>
      <c r="HZ7" s="1" t="str">
        <f t="shared" si="1"/>
        <v/>
      </c>
      <c r="IA7" s="1" t="str">
        <f t="shared" si="1"/>
        <v/>
      </c>
      <c r="IB7" s="1" t="str">
        <f t="shared" si="1"/>
        <v/>
      </c>
      <c r="IC7" s="1" t="str">
        <f t="shared" si="1"/>
        <v/>
      </c>
      <c r="ID7" s="1" t="str">
        <f t="shared" si="1"/>
        <v/>
      </c>
      <c r="IE7" s="1" t="str">
        <f t="shared" si="1"/>
        <v/>
      </c>
      <c r="IF7" s="1" t="str">
        <f t="shared" si="1"/>
        <v/>
      </c>
      <c r="IG7" s="1" t="str">
        <f t="shared" si="1"/>
        <v/>
      </c>
      <c r="IH7" s="1" t="str">
        <f t="shared" si="1"/>
        <v/>
      </c>
      <c r="II7" s="1" t="str">
        <f t="shared" si="1"/>
        <v/>
      </c>
      <c r="IJ7" s="1" t="str">
        <f t="shared" si="1"/>
        <v/>
      </c>
      <c r="IK7" s="1" t="str">
        <f t="shared" si="1"/>
        <v/>
      </c>
      <c r="IL7" s="1" t="str">
        <f t="shared" si="1"/>
        <v/>
      </c>
      <c r="IM7" s="1" t="str">
        <f t="shared" si="1"/>
        <v/>
      </c>
      <c r="IN7" s="1" t="str">
        <f t="shared" si="1"/>
        <v/>
      </c>
      <c r="IO7" s="1" t="str">
        <f t="shared" si="1"/>
        <v/>
      </c>
      <c r="IP7" s="1" t="str">
        <f t="shared" si="1"/>
        <v/>
      </c>
      <c r="IQ7" s="1" t="str">
        <f t="shared" si="1"/>
        <v/>
      </c>
      <c r="IR7" s="1" t="str">
        <f t="shared" si="1"/>
        <v/>
      </c>
      <c r="IS7" s="1" t="str">
        <f t="shared" si="1"/>
        <v/>
      </c>
      <c r="IT7" s="1" t="str">
        <f t="shared" si="1"/>
        <v/>
      </c>
      <c r="IU7" s="1" t="str">
        <f t="shared" si="1"/>
        <v/>
      </c>
      <c r="IV7" s="1" t="str">
        <f t="shared" si="1"/>
        <v/>
      </c>
      <c r="IW7" s="1" t="str">
        <f t="shared" si="1"/>
        <v/>
      </c>
      <c r="IX7" s="1" t="str">
        <f t="shared" si="1"/>
        <v/>
      </c>
      <c r="IY7" s="1" t="str">
        <f t="shared" si="1"/>
        <v/>
      </c>
      <c r="IZ7" s="1" t="str">
        <f t="shared" si="1"/>
        <v/>
      </c>
      <c r="JA7" s="1" t="str">
        <f t="shared" si="1"/>
        <v/>
      </c>
      <c r="JB7" s="1" t="str">
        <f t="shared" si="1"/>
        <v/>
      </c>
      <c r="JC7" s="1" t="str">
        <f t="shared" si="1"/>
        <v/>
      </c>
      <c r="JD7" s="1" t="str">
        <f t="shared" si="1"/>
        <v/>
      </c>
      <c r="JE7" s="1" t="str">
        <f t="shared" si="1"/>
        <v/>
      </c>
      <c r="JF7" s="1" t="str">
        <f t="shared" si="1"/>
        <v/>
      </c>
      <c r="JG7" s="1" t="str">
        <f t="shared" si="1"/>
        <v/>
      </c>
      <c r="JH7" s="1" t="str">
        <f t="shared" si="1"/>
        <v/>
      </c>
      <c r="LY7" s="1"/>
    </row>
    <row r="8" spans="1:337" x14ac:dyDescent="0.25">
      <c r="A8" s="5">
        <v>6</v>
      </c>
      <c r="B8" s="1">
        <v>143151.75049712913</v>
      </c>
      <c r="C8" s="1">
        <v>144106.35249086178</v>
      </c>
      <c r="D8" s="1">
        <v>144053.57042678577</v>
      </c>
      <c r="E8" s="1">
        <v>144275.61038119913</v>
      </c>
      <c r="F8" s="1">
        <v>144546.47962250619</v>
      </c>
      <c r="G8" s="1">
        <v>145363.80926385254</v>
      </c>
      <c r="H8" s="1">
        <v>145832.14483807294</v>
      </c>
      <c r="I8" s="1">
        <v>145766.64786867957</v>
      </c>
      <c r="J8" s="1">
        <v>146260.96089952774</v>
      </c>
      <c r="K8" s="1">
        <v>147125.87891595025</v>
      </c>
      <c r="L8" s="1">
        <v>147748.45241191861</v>
      </c>
      <c r="M8" s="1">
        <v>148416.0441557818</v>
      </c>
      <c r="N8" s="1">
        <v>149377.19433095283</v>
      </c>
      <c r="O8" s="1">
        <v>150357.82745414242</v>
      </c>
      <c r="P8" s="1">
        <v>150678.17867441004</v>
      </c>
      <c r="Q8" s="1">
        <v>150471.85211164149</v>
      </c>
      <c r="R8" s="1">
        <v>150578.3493844528</v>
      </c>
      <c r="S8" s="1">
        <v>150837.59168520232</v>
      </c>
      <c r="T8" s="1">
        <v>150952.62038245815</v>
      </c>
      <c r="U8" s="1">
        <v>150727.25369029626</v>
      </c>
      <c r="V8" s="1">
        <v>150962.6441603787</v>
      </c>
      <c r="W8" s="1">
        <v>151672.86773684854</v>
      </c>
      <c r="X8" s="1">
        <v>152354.18327737585</v>
      </c>
      <c r="Y8" s="1">
        <v>152688.85570014815</v>
      </c>
      <c r="Z8" s="1">
        <v>153343.14928543358</v>
      </c>
      <c r="AA8" s="1">
        <v>154084.68202077525</v>
      </c>
      <c r="AB8" s="1">
        <v>154548.86473017494</v>
      </c>
      <c r="AC8" s="1">
        <v>154370.87696662109</v>
      </c>
      <c r="AD8" s="1">
        <v>154649.23514626577</v>
      </c>
      <c r="AE8" s="1">
        <v>155235.07083556149</v>
      </c>
      <c r="AF8" s="1">
        <v>155591.17070275356</v>
      </c>
      <c r="AG8" s="1">
        <v>155727.46940039977</v>
      </c>
      <c r="AH8" s="1">
        <v>155949.82341355021</v>
      </c>
      <c r="AI8" s="1">
        <v>156772.15509996749</v>
      </c>
      <c r="AJ8" s="1">
        <v>157718.15013642958</v>
      </c>
      <c r="AK8" s="1">
        <v>158474.97603752703</v>
      </c>
      <c r="AL8" s="1">
        <v>159512.42327226256</v>
      </c>
      <c r="AM8" s="1">
        <v>160194.02574572721</v>
      </c>
      <c r="AN8" s="1">
        <v>161178.1890394605</v>
      </c>
      <c r="AO8" s="1">
        <v>161966.25521933514</v>
      </c>
      <c r="AP8" s="1">
        <v>162348.93240109103</v>
      </c>
      <c r="AQ8" s="1">
        <v>162974.4767244838</v>
      </c>
      <c r="AR8" s="1">
        <v>163937.65288421966</v>
      </c>
      <c r="AS8" s="1">
        <v>164631.3976709937</v>
      </c>
      <c r="AT8" s="1">
        <v>165453.11044802962</v>
      </c>
      <c r="AU8" s="1">
        <v>166615.14354038687</v>
      </c>
      <c r="AV8" s="1">
        <v>167928.96601797084</v>
      </c>
      <c r="AW8" s="1">
        <v>168810.84806151985</v>
      </c>
      <c r="AX8" s="1">
        <v>168775.00264036504</v>
      </c>
      <c r="AY8" s="1">
        <v>168409.38660642851</v>
      </c>
      <c r="AZ8" s="1">
        <v>167406.37440618125</v>
      </c>
      <c r="BA8" s="1">
        <v>166763.19080615445</v>
      </c>
      <c r="BB8" s="1">
        <v>165348.92512348574</v>
      </c>
      <c r="BC8" s="1">
        <v>163137.95818699282</v>
      </c>
      <c r="BD8" s="1">
        <v>162557.51815469516</v>
      </c>
      <c r="BE8" s="1">
        <v>161811.31510957133</v>
      </c>
      <c r="BF8" s="1">
        <v>160686.52104134281</v>
      </c>
      <c r="BG8" s="1">
        <v>160366.52964213898</v>
      </c>
      <c r="BH8" s="1">
        <v>158395.68761199008</v>
      </c>
      <c r="BI8" s="1">
        <v>156544.66099974938</v>
      </c>
      <c r="BJ8" s="1">
        <v>153888.47065017803</v>
      </c>
      <c r="BK8" s="1">
        <v>152212.66913466121</v>
      </c>
      <c r="BL8" s="1">
        <v>149804.17011904053</v>
      </c>
      <c r="BM8" s="1">
        <v>147939.59631212289</v>
      </c>
      <c r="BN8" s="1">
        <v>146938.47957237734</v>
      </c>
      <c r="BO8" s="1">
        <v>147793.43594439124</v>
      </c>
      <c r="BP8" s="1">
        <v>149297.79194271646</v>
      </c>
      <c r="BQ8" s="1">
        <v>148448.68713132833</v>
      </c>
      <c r="BR8" s="1">
        <v>147857.50328289089</v>
      </c>
      <c r="BS8" s="1">
        <v>147610.38793703861</v>
      </c>
      <c r="BT8" s="1">
        <v>146116.46489342413</v>
      </c>
      <c r="BU8" s="1">
        <v>147599.8221353665</v>
      </c>
      <c r="BV8" s="1">
        <v>148810.82709229639</v>
      </c>
      <c r="BW8" s="1">
        <v>148358.19202837662</v>
      </c>
      <c r="BX8" s="1">
        <v>146620.07693555619</v>
      </c>
      <c r="BY8" s="1">
        <v>147494.58227579409</v>
      </c>
      <c r="BZ8" s="1">
        <v>149110.91205854737</v>
      </c>
      <c r="CA8" s="1">
        <v>149777.18495132477</v>
      </c>
      <c r="CB8" s="1">
        <v>149763.14391255184</v>
      </c>
      <c r="CC8" s="1">
        <v>148241.42349718348</v>
      </c>
      <c r="CD8" s="1">
        <v>146978.96274847223</v>
      </c>
      <c r="CE8" s="1">
        <v>146897.72235488804</v>
      </c>
      <c r="CF8" s="1">
        <v>147350.72585800639</v>
      </c>
      <c r="CG8" s="1">
        <v>146876.63820121071</v>
      </c>
      <c r="CH8" s="1">
        <v>146479.18104564826</v>
      </c>
      <c r="CI8" s="1">
        <v>147222.24726535933</v>
      </c>
      <c r="CJ8" s="1">
        <v>145564.46879685705</v>
      </c>
      <c r="CK8" s="1">
        <v>147485.23382565746</v>
      </c>
      <c r="CL8" s="1">
        <v>147496.65825166728</v>
      </c>
      <c r="CM8" s="1">
        <v>148576.40850182707</v>
      </c>
      <c r="CN8" s="1">
        <v>147640.37782479203</v>
      </c>
      <c r="CO8" s="1">
        <v>145872.36662752315</v>
      </c>
      <c r="CP8" s="1">
        <v>144470.90142910052</v>
      </c>
      <c r="CQ8" s="1">
        <v>145195.61283782439</v>
      </c>
      <c r="CR8" s="1">
        <v>144966.01347407422</v>
      </c>
      <c r="CS8" s="1">
        <v>144606.7118235199</v>
      </c>
      <c r="CT8" s="1">
        <v>144140.3624148161</v>
      </c>
      <c r="CU8" s="1">
        <v>140651.13030377237</v>
      </c>
      <c r="CV8" s="1">
        <v>143288.45691842068</v>
      </c>
      <c r="CW8" s="1">
        <v>143871.20402312986</v>
      </c>
      <c r="CX8" s="1">
        <v>144207.6540759909</v>
      </c>
      <c r="CY8" s="1">
        <v>143710.84990694263</v>
      </c>
      <c r="CZ8" s="1">
        <v>143373.9548062078</v>
      </c>
      <c r="DA8" s="1">
        <v>142793.54390394554</v>
      </c>
      <c r="DB8" s="1">
        <v>141631.03902443848</v>
      </c>
      <c r="DC8" s="1">
        <v>141421.87789669202</v>
      </c>
      <c r="DD8" s="1">
        <v>142215.85843883088</v>
      </c>
      <c r="DE8" s="1">
        <v>142108.90025708551</v>
      </c>
      <c r="DF8" s="1">
        <v>142520.78504716547</v>
      </c>
      <c r="DG8" s="1">
        <v>142037.66911365843</v>
      </c>
      <c r="DH8" s="1">
        <v>141125.38271471643</v>
      </c>
      <c r="DI8" s="1">
        <v>141500.33901316574</v>
      </c>
      <c r="DJ8" s="1">
        <v>142866.81268022006</v>
      </c>
      <c r="DK8" s="1">
        <v>144287.36799865623</v>
      </c>
      <c r="DL8" s="1">
        <v>144604.74872004931</v>
      </c>
      <c r="DM8" s="1">
        <v>144917.03582062357</v>
      </c>
      <c r="DN8" s="1">
        <v>142982.40661229644</v>
      </c>
      <c r="DO8" s="1">
        <v>143657.66677332559</v>
      </c>
      <c r="DP8" s="1">
        <v>144947.37427907408</v>
      </c>
      <c r="DQ8" s="1">
        <v>146570.83832605608</v>
      </c>
      <c r="DR8" s="1">
        <v>147460.56369338563</v>
      </c>
      <c r="DS8" s="1">
        <v>147075.65218339575</v>
      </c>
      <c r="DT8" s="1">
        <v>147160.60794703994</v>
      </c>
      <c r="DU8" s="1">
        <v>146771.82125362079</v>
      </c>
      <c r="DV8" s="1">
        <v>148050.53883398569</v>
      </c>
      <c r="DW8" s="1">
        <v>148003.01660932094</v>
      </c>
      <c r="DX8" s="1">
        <v>147923.25440530575</v>
      </c>
      <c r="DY8" s="1">
        <v>146177.62383125653</v>
      </c>
      <c r="DZ8" s="1">
        <v>145622.33028064008</v>
      </c>
      <c r="EA8" s="1">
        <v>147218.85148583126</v>
      </c>
      <c r="EB8" s="1">
        <v>148139.37598961376</v>
      </c>
      <c r="ED8" s="1">
        <v>148323.37217850273</v>
      </c>
      <c r="EE8" s="1">
        <v>148458.53693630372</v>
      </c>
      <c r="EG8" s="1">
        <v>148894.24780802819</v>
      </c>
      <c r="EH8" s="1">
        <v>149757.5581393553</v>
      </c>
      <c r="EI8" s="1">
        <v>150097.15372800367</v>
      </c>
      <c r="EJ8" s="1">
        <v>150010.47555027035</v>
      </c>
      <c r="EK8" s="1">
        <v>148646.8190495086</v>
      </c>
      <c r="EL8" s="1">
        <v>147978.80154604651</v>
      </c>
      <c r="EM8" s="1">
        <v>148436.8682025958</v>
      </c>
      <c r="EN8" s="1">
        <v>148836.4288041009</v>
      </c>
      <c r="EO8" s="1">
        <v>149623.41054623143</v>
      </c>
      <c r="EP8" s="1">
        <v>147278.11541078813</v>
      </c>
      <c r="EQ8" s="1">
        <v>149481.2287106876</v>
      </c>
      <c r="ER8" s="1">
        <v>150923.00876972364</v>
      </c>
      <c r="ES8" s="1">
        <v>150163.41469556611</v>
      </c>
      <c r="ET8" s="1">
        <v>149714.39287274599</v>
      </c>
      <c r="EU8" s="1">
        <v>149721.5853414837</v>
      </c>
      <c r="EV8" s="1">
        <v>148716.85804671707</v>
      </c>
      <c r="EW8" s="1">
        <v>147918.35439131781</v>
      </c>
      <c r="EX8" s="1">
        <v>147931.2897743237</v>
      </c>
      <c r="EY8" s="1">
        <v>147562.80457341758</v>
      </c>
      <c r="EZ8" s="1">
        <v>148738.03032905413</v>
      </c>
      <c r="FA8" s="1">
        <v>149776.59510641027</v>
      </c>
      <c r="FB8" s="1">
        <v>149740.55389415662</v>
      </c>
      <c r="FC8" s="1">
        <v>149333.41703929764</v>
      </c>
      <c r="FD8" s="1">
        <v>149756.03012329875</v>
      </c>
      <c r="FE8" s="1">
        <v>149421.69373345742</v>
      </c>
      <c r="FF8" s="1">
        <v>149319.19725541896</v>
      </c>
      <c r="FG8" s="1">
        <v>149909.6590057665</v>
      </c>
      <c r="FH8" s="1">
        <v>149002.60814280572</v>
      </c>
      <c r="FI8" s="1">
        <v>146678.11174400948</v>
      </c>
      <c r="FJ8" s="1">
        <v>146010.92850184708</v>
      </c>
      <c r="FK8" s="1">
        <v>147893.68865362127</v>
      </c>
      <c r="FL8" s="1">
        <v>148147.6277088116</v>
      </c>
      <c r="FM8" s="1">
        <v>148420.40754108457</v>
      </c>
      <c r="FN8" s="1">
        <v>148742.27588510903</v>
      </c>
      <c r="FO8" s="1">
        <v>150019.43725105218</v>
      </c>
      <c r="FP8" s="1">
        <v>151849.49803810008</v>
      </c>
      <c r="FQ8" s="1">
        <v>150459.34978175536</v>
      </c>
      <c r="FR8" s="1">
        <v>150047.40543383633</v>
      </c>
      <c r="FS8" s="1">
        <v>149956.54663042654</v>
      </c>
      <c r="FT8" s="1">
        <v>148981.88819549099</v>
      </c>
      <c r="FU8" s="1">
        <v>147695.51732600422</v>
      </c>
      <c r="FV8" s="1">
        <v>147852.36317936031</v>
      </c>
      <c r="FW8" s="1">
        <v>148806.74473440426</v>
      </c>
      <c r="FX8" s="1">
        <v>149771.12380829008</v>
      </c>
      <c r="FY8" s="1">
        <v>150108.8627829465</v>
      </c>
      <c r="FZ8" s="1">
        <v>151279.36160022806</v>
      </c>
      <c r="GA8" s="1">
        <v>149350.07169540357</v>
      </c>
      <c r="GB8" s="1">
        <v>148541.18232681905</v>
      </c>
      <c r="GC8" s="1">
        <v>147987.62263872341</v>
      </c>
      <c r="GD8" s="1">
        <v>147987.13820448978</v>
      </c>
      <c r="GE8" s="1">
        <v>148059.01470492745</v>
      </c>
      <c r="GF8" s="1">
        <v>148767.44493107835</v>
      </c>
      <c r="GG8" s="1">
        <v>148173.46802257671</v>
      </c>
      <c r="GH8" s="1">
        <v>148427.02163531637</v>
      </c>
      <c r="GI8" s="1">
        <v>148538.47473507409</v>
      </c>
      <c r="GJ8" s="1">
        <v>149034.94561647964</v>
      </c>
      <c r="GK8" s="1">
        <v>149821.42899947107</v>
      </c>
      <c r="GL8" s="1">
        <v>151391.00086884579</v>
      </c>
      <c r="GM8" s="1">
        <v>150425.44046798622</v>
      </c>
      <c r="GN8" s="1">
        <v>150786.08640660258</v>
      </c>
      <c r="GO8" s="1">
        <v>148005.25045728279</v>
      </c>
      <c r="GP8" s="1">
        <v>142789.40340859533</v>
      </c>
      <c r="GQ8" s="1">
        <v>144621.2146782403</v>
      </c>
      <c r="GR8" s="1">
        <v>146733.07070000668</v>
      </c>
      <c r="GS8" s="1">
        <v>148626.61888840358</v>
      </c>
      <c r="GT8" s="1">
        <v>149328.55094439455</v>
      </c>
      <c r="GU8" s="1">
        <v>148834.07029180892</v>
      </c>
      <c r="GV8" s="1">
        <v>148786.10604492383</v>
      </c>
      <c r="GW8" s="1">
        <v>148937.34143701397</v>
      </c>
      <c r="GX8" s="1">
        <v>149381.83599110774</v>
      </c>
      <c r="GY8" s="1">
        <v>149924.60381220188</v>
      </c>
      <c r="GZ8" s="1">
        <v>150126.29220653701</v>
      </c>
      <c r="HA8" s="1" t="str">
        <f t="shared" si="1"/>
        <v/>
      </c>
      <c r="HB8" s="1" t="str">
        <f t="shared" si="1"/>
        <v/>
      </c>
      <c r="HC8" s="1" t="str">
        <f t="shared" si="1"/>
        <v/>
      </c>
      <c r="HD8" s="1" t="str">
        <f t="shared" si="1"/>
        <v/>
      </c>
      <c r="HE8" s="1" t="str">
        <f t="shared" si="1"/>
        <v/>
      </c>
      <c r="HF8" s="1" t="str">
        <f t="shared" si="1"/>
        <v/>
      </c>
      <c r="HG8" s="1" t="str">
        <f t="shared" si="1"/>
        <v/>
      </c>
      <c r="HH8" s="1" t="str">
        <f t="shared" si="1"/>
        <v/>
      </c>
      <c r="HI8" s="1" t="str">
        <f t="shared" si="1"/>
        <v/>
      </c>
      <c r="HJ8" s="1" t="str">
        <f t="shared" si="1"/>
        <v/>
      </c>
      <c r="HK8" s="1" t="str">
        <f t="shared" si="1"/>
        <v/>
      </c>
      <c r="HL8" s="1" t="str">
        <f t="shared" si="1"/>
        <v/>
      </c>
      <c r="HM8" s="1" t="str">
        <f t="shared" si="1"/>
        <v/>
      </c>
      <c r="HN8" s="1" t="str">
        <f t="shared" si="1"/>
        <v/>
      </c>
      <c r="HO8" s="1" t="str">
        <f t="shared" si="1"/>
        <v/>
      </c>
      <c r="HP8" s="1" t="str">
        <f t="shared" si="1"/>
        <v/>
      </c>
      <c r="HQ8" s="1" t="str">
        <f t="shared" si="1"/>
        <v/>
      </c>
      <c r="HR8" s="1" t="str">
        <f t="shared" si="1"/>
        <v/>
      </c>
      <c r="HS8" s="1" t="str">
        <f t="shared" si="1"/>
        <v/>
      </c>
      <c r="HT8" s="1" t="str">
        <f t="shared" si="1"/>
        <v/>
      </c>
      <c r="HU8" s="1" t="str">
        <f t="shared" si="1"/>
        <v/>
      </c>
      <c r="HV8" s="1" t="str">
        <f t="shared" si="1"/>
        <v/>
      </c>
      <c r="HW8" s="1" t="str">
        <f t="shared" si="1"/>
        <v/>
      </c>
      <c r="HX8" s="1" t="str">
        <f t="shared" si="1"/>
        <v/>
      </c>
      <c r="HY8" s="1" t="str">
        <f t="shared" si="1"/>
        <v/>
      </c>
      <c r="HZ8" s="1" t="str">
        <f t="shared" si="1"/>
        <v/>
      </c>
      <c r="IA8" s="1" t="str">
        <f t="shared" si="1"/>
        <v/>
      </c>
      <c r="IB8" s="1" t="str">
        <f t="shared" si="1"/>
        <v/>
      </c>
      <c r="IC8" s="1" t="str">
        <f t="shared" si="1"/>
        <v/>
      </c>
      <c r="ID8" s="1" t="str">
        <f t="shared" si="1"/>
        <v/>
      </c>
      <c r="IE8" s="1" t="str">
        <f t="shared" si="1"/>
        <v/>
      </c>
      <c r="IF8" s="1" t="str">
        <f t="shared" si="1"/>
        <v/>
      </c>
      <c r="IG8" s="1" t="str">
        <f t="shared" si="1"/>
        <v/>
      </c>
      <c r="IH8" s="1" t="str">
        <f t="shared" si="1"/>
        <v/>
      </c>
      <c r="II8" s="1" t="str">
        <f t="shared" si="1"/>
        <v/>
      </c>
      <c r="IJ8" s="1" t="str">
        <f t="shared" si="1"/>
        <v/>
      </c>
      <c r="IK8" s="1" t="str">
        <f t="shared" si="1"/>
        <v/>
      </c>
      <c r="IL8" s="1" t="str">
        <f t="shared" si="1"/>
        <v/>
      </c>
      <c r="IM8" s="1" t="str">
        <f t="shared" si="1"/>
        <v/>
      </c>
      <c r="IN8" s="1" t="str">
        <f t="shared" si="1"/>
        <v/>
      </c>
      <c r="IO8" s="1" t="str">
        <f t="shared" si="1"/>
        <v/>
      </c>
      <c r="IP8" s="1" t="str">
        <f t="shared" si="1"/>
        <v/>
      </c>
      <c r="IQ8" s="1" t="str">
        <f t="shared" si="1"/>
        <v/>
      </c>
      <c r="IR8" s="1" t="str">
        <f t="shared" si="1"/>
        <v/>
      </c>
      <c r="IS8" s="1" t="str">
        <f t="shared" si="1"/>
        <v/>
      </c>
      <c r="IT8" s="1" t="str">
        <f t="shared" si="1"/>
        <v/>
      </c>
      <c r="IU8" s="1" t="str">
        <f t="shared" si="1"/>
        <v/>
      </c>
      <c r="IV8" s="1" t="str">
        <f t="shared" si="1"/>
        <v/>
      </c>
      <c r="IW8" s="1" t="str">
        <f t="shared" si="1"/>
        <v/>
      </c>
      <c r="IX8" s="1" t="str">
        <f t="shared" si="1"/>
        <v/>
      </c>
      <c r="IY8" s="1" t="str">
        <f t="shared" si="1"/>
        <v/>
      </c>
      <c r="IZ8" s="1" t="str">
        <f t="shared" si="1"/>
        <v/>
      </c>
      <c r="JA8" s="1" t="str">
        <f t="shared" si="1"/>
        <v/>
      </c>
      <c r="JB8" s="1" t="str">
        <f t="shared" si="1"/>
        <v/>
      </c>
      <c r="JC8" s="1" t="str">
        <f t="shared" si="1"/>
        <v/>
      </c>
      <c r="JD8" s="1" t="str">
        <f t="shared" si="1"/>
        <v/>
      </c>
      <c r="JE8" s="1" t="str">
        <f t="shared" si="1"/>
        <v/>
      </c>
      <c r="JF8" s="1" t="str">
        <f t="shared" si="1"/>
        <v/>
      </c>
      <c r="JG8" s="1" t="str">
        <f t="shared" si="1"/>
        <v/>
      </c>
      <c r="JH8" s="1" t="str">
        <f t="shared" si="1"/>
        <v/>
      </c>
      <c r="LY8" s="1"/>
    </row>
    <row r="9" spans="1:337" x14ac:dyDescent="0.25">
      <c r="A9" s="4">
        <v>7</v>
      </c>
      <c r="B9" s="1">
        <v>143541.32535923252</v>
      </c>
      <c r="C9" s="1">
        <v>144476.36963981407</v>
      </c>
      <c r="D9" s="1">
        <v>144019.38492140808</v>
      </c>
      <c r="E9" s="1">
        <v>144659.7958817872</v>
      </c>
      <c r="F9" s="1">
        <v>145100.82451386232</v>
      </c>
      <c r="G9" s="1">
        <v>145563.62115958898</v>
      </c>
      <c r="H9" s="1">
        <v>145613.57366734114</v>
      </c>
      <c r="I9" s="1">
        <v>146373.17504046016</v>
      </c>
      <c r="J9" s="1">
        <v>147034.0047676751</v>
      </c>
      <c r="K9" s="1">
        <v>147972.95879817341</v>
      </c>
      <c r="L9" s="1">
        <v>148524.57564951066</v>
      </c>
      <c r="M9" s="1">
        <v>149051.77968374043</v>
      </c>
      <c r="N9" s="1">
        <v>149872.9100254511</v>
      </c>
      <c r="O9" s="1">
        <v>150797.09053060244</v>
      </c>
      <c r="P9" s="1">
        <v>150779.46205796173</v>
      </c>
      <c r="Q9" s="1">
        <v>150896.06401864815</v>
      </c>
      <c r="R9" s="1">
        <v>151239.62731397137</v>
      </c>
      <c r="S9" s="1">
        <v>151125.64991135884</v>
      </c>
      <c r="T9" s="1">
        <v>150846.23941165733</v>
      </c>
      <c r="U9" s="1">
        <v>151131.87073328914</v>
      </c>
      <c r="V9" s="1">
        <v>151701.61568689637</v>
      </c>
      <c r="W9" s="1">
        <v>152376.55587386937</v>
      </c>
      <c r="X9" s="1">
        <v>152986.94629591936</v>
      </c>
      <c r="Y9" s="1">
        <v>153177.38332548802</v>
      </c>
      <c r="Z9" s="1">
        <v>153730.49299363699</v>
      </c>
      <c r="AA9" s="1">
        <v>154313.63433335297</v>
      </c>
      <c r="AB9" s="1">
        <v>154591.96915236843</v>
      </c>
      <c r="AC9" s="1">
        <v>154696.90237579474</v>
      </c>
      <c r="AD9" s="1">
        <v>155152.92870987474</v>
      </c>
      <c r="AE9" s="1">
        <v>155544.52501765353</v>
      </c>
      <c r="AF9" s="1">
        <v>155603.03603300595</v>
      </c>
      <c r="AG9" s="1">
        <v>156154.62023006324</v>
      </c>
      <c r="AH9" s="1">
        <v>156640.64587286446</v>
      </c>
      <c r="AI9" s="1">
        <v>157512.42950268314</v>
      </c>
      <c r="AJ9" s="1">
        <v>158367.28169783973</v>
      </c>
      <c r="AK9" s="1">
        <v>159092.90606578178</v>
      </c>
      <c r="AL9" s="1">
        <v>160070.80908360388</v>
      </c>
      <c r="AM9" s="1">
        <v>160498.68366620704</v>
      </c>
      <c r="AN9" s="1">
        <v>161397.31335620518</v>
      </c>
      <c r="AO9" s="1">
        <v>162542.01808545948</v>
      </c>
      <c r="AP9" s="1">
        <v>163078.34389940719</v>
      </c>
      <c r="AQ9" s="1">
        <v>163530.28907056185</v>
      </c>
      <c r="AR9" s="1">
        <v>164262.58436712204</v>
      </c>
      <c r="AS9" s="1">
        <v>165432.56435564702</v>
      </c>
      <c r="AT9" s="1">
        <v>166548.96472823509</v>
      </c>
      <c r="AU9" s="1">
        <v>167650.97354442754</v>
      </c>
      <c r="AV9" s="1">
        <v>168898.29207137681</v>
      </c>
      <c r="AW9" s="1">
        <v>169765.34045290295</v>
      </c>
      <c r="AX9" s="1">
        <v>169508.58310071187</v>
      </c>
      <c r="AY9" s="1">
        <v>168749.23461665265</v>
      </c>
      <c r="AZ9" s="1">
        <v>167626.83866016858</v>
      </c>
      <c r="BA9" s="1">
        <v>167196.80410697329</v>
      </c>
      <c r="BB9" s="1">
        <v>165680.13492019835</v>
      </c>
      <c r="BC9" s="1">
        <v>162664.3625490581</v>
      </c>
      <c r="BD9" s="1">
        <v>162074.47569803614</v>
      </c>
      <c r="BE9" s="1">
        <v>161514.97559057485</v>
      </c>
      <c r="BF9" s="1">
        <v>160628.30421097914</v>
      </c>
      <c r="BG9" s="1">
        <v>160239.7946140265</v>
      </c>
      <c r="BH9" s="1">
        <v>157979.42873974907</v>
      </c>
      <c r="BI9" s="1">
        <v>155971.81441320022</v>
      </c>
      <c r="BJ9" s="1">
        <v>152872.37317753938</v>
      </c>
      <c r="BK9" s="1">
        <v>151088.51071557315</v>
      </c>
      <c r="BL9" s="1">
        <v>148341.80350499891</v>
      </c>
      <c r="BM9" s="1">
        <v>146384.98154249025</v>
      </c>
      <c r="BN9" s="1">
        <v>145368.89296500478</v>
      </c>
      <c r="BO9" s="1">
        <v>146565.08844162524</v>
      </c>
      <c r="BP9" s="1">
        <v>148075.37842793501</v>
      </c>
      <c r="BQ9" s="1">
        <v>147648.15044834456</v>
      </c>
      <c r="BR9" s="1">
        <v>147401.43302571494</v>
      </c>
      <c r="BS9" s="1">
        <v>146898.80083254754</v>
      </c>
      <c r="BT9" s="1">
        <v>145580.66560712398</v>
      </c>
      <c r="BU9" s="1">
        <v>147181.50597954297</v>
      </c>
      <c r="BV9" s="1">
        <v>148610.90609579853</v>
      </c>
      <c r="BW9" s="1">
        <v>147917.75791416288</v>
      </c>
      <c r="BX9" s="1">
        <v>146035.42832724206</v>
      </c>
      <c r="BY9" s="1">
        <v>147162.17736670779</v>
      </c>
      <c r="BZ9" s="1">
        <v>149068.59371652798</v>
      </c>
      <c r="CA9" s="1">
        <v>149826.45933903084</v>
      </c>
      <c r="CB9" s="1">
        <v>149444.73853614193</v>
      </c>
      <c r="CC9" s="1">
        <v>148017.19974502717</v>
      </c>
      <c r="CD9" s="1">
        <v>147012.00902408495</v>
      </c>
      <c r="CE9" s="1">
        <v>146904.79346875279</v>
      </c>
      <c r="CF9" s="1">
        <v>147457.79576359736</v>
      </c>
      <c r="CG9" s="1">
        <v>146946.5729904256</v>
      </c>
      <c r="CH9" s="1">
        <v>146353.15614886931</v>
      </c>
      <c r="CI9" s="1">
        <v>146945.8183088779</v>
      </c>
      <c r="CJ9" s="1">
        <v>145021.1210397245</v>
      </c>
      <c r="CK9" s="1">
        <v>147323.77535528981</v>
      </c>
      <c r="CL9" s="1">
        <v>147482.88039980235</v>
      </c>
      <c r="CM9" s="1">
        <v>148660.95330854112</v>
      </c>
      <c r="CN9" s="1">
        <v>147251.5421785675</v>
      </c>
      <c r="CO9" s="1">
        <v>145498.96000238281</v>
      </c>
      <c r="CP9" s="1">
        <v>144502.90877614007</v>
      </c>
      <c r="CQ9" s="1">
        <v>145282.21013175731</v>
      </c>
      <c r="CR9" s="1">
        <v>145086.01232321671</v>
      </c>
      <c r="CS9" s="1">
        <v>144690.06935282133</v>
      </c>
      <c r="CT9" s="1">
        <v>143972.53188828993</v>
      </c>
      <c r="CU9" s="1">
        <v>139674.8488145555</v>
      </c>
      <c r="CV9" s="1">
        <v>142787.39185970632</v>
      </c>
      <c r="CW9" s="1">
        <v>143566.2056692898</v>
      </c>
      <c r="CX9" s="1">
        <v>143955.80198972824</v>
      </c>
      <c r="CY9" s="1">
        <v>143404.82187002973</v>
      </c>
      <c r="CZ9" s="1">
        <v>142488.37707650097</v>
      </c>
      <c r="DA9" s="1">
        <v>142589.20223044549</v>
      </c>
      <c r="DB9" s="1">
        <v>141669.29823248816</v>
      </c>
      <c r="DC9" s="1">
        <v>141267.44995616307</v>
      </c>
      <c r="DD9" s="1">
        <v>142449.1295958166</v>
      </c>
      <c r="DE9" s="1">
        <v>142284.03310796758</v>
      </c>
      <c r="DF9" s="1">
        <v>142501.52422558359</v>
      </c>
      <c r="DG9" s="1">
        <v>141578.96120984532</v>
      </c>
      <c r="DH9" s="1">
        <v>140634.28847795085</v>
      </c>
      <c r="DI9" s="1">
        <v>141258.6616796478</v>
      </c>
      <c r="DJ9" s="1">
        <v>142837.42258923489</v>
      </c>
      <c r="DK9" s="1">
        <v>144352.09897265153</v>
      </c>
      <c r="DL9" s="1">
        <v>144216.78523505782</v>
      </c>
      <c r="DM9" s="1">
        <v>144989.26860320117</v>
      </c>
      <c r="DN9" s="1">
        <v>143274.67170011875</v>
      </c>
      <c r="DO9" s="1">
        <v>144189.497393937</v>
      </c>
      <c r="DP9" s="1">
        <v>145698.11104718328</v>
      </c>
      <c r="DQ9" s="1">
        <v>147413.11551460571</v>
      </c>
      <c r="DR9" s="1">
        <v>148160.15814336468</v>
      </c>
      <c r="DS9" s="1">
        <v>147086.03296394838</v>
      </c>
      <c r="DT9" s="1">
        <v>147289.36995385544</v>
      </c>
      <c r="DU9" s="1">
        <v>146847.08892699485</v>
      </c>
      <c r="DV9" s="1">
        <v>148395.34646554379</v>
      </c>
      <c r="DW9" s="1">
        <v>148229.87421200669</v>
      </c>
      <c r="DX9" s="1">
        <v>147554.96925503213</v>
      </c>
      <c r="DY9" s="1">
        <v>146037.75416752824</v>
      </c>
      <c r="DZ9" s="1">
        <v>145905.54778555335</v>
      </c>
      <c r="EA9" s="1">
        <v>147913.96234244521</v>
      </c>
      <c r="EB9" s="1">
        <v>148641.95849443274</v>
      </c>
      <c r="ED9" s="1">
        <v>148574.27798139496</v>
      </c>
      <c r="EE9" s="1">
        <v>148315.36419453385</v>
      </c>
      <c r="EG9" s="1">
        <v>149001.65970482092</v>
      </c>
      <c r="EH9" s="1">
        <v>149963.42446294689</v>
      </c>
      <c r="EI9" s="1">
        <v>150229.27260795634</v>
      </c>
      <c r="EJ9" s="1">
        <v>149557.733425788</v>
      </c>
      <c r="EK9" s="1">
        <v>148484.3860387562</v>
      </c>
      <c r="EL9" s="1">
        <v>148338.78666521952</v>
      </c>
      <c r="EM9" s="1">
        <v>149054.69650454336</v>
      </c>
      <c r="EN9" s="1">
        <v>149449.42560862983</v>
      </c>
      <c r="EO9" s="1">
        <v>150077.04696277945</v>
      </c>
      <c r="EP9" s="1">
        <v>147215.35800300504</v>
      </c>
      <c r="EQ9" s="1">
        <v>149115.50527776621</v>
      </c>
      <c r="ER9" s="1">
        <v>150930.35687046626</v>
      </c>
      <c r="ES9" s="1">
        <v>150201.51637327124</v>
      </c>
      <c r="ET9" s="1">
        <v>149808.03776247735</v>
      </c>
      <c r="EU9" s="1">
        <v>149370.686977231</v>
      </c>
      <c r="EV9" s="1">
        <v>148211.75579515222</v>
      </c>
      <c r="EW9" s="1">
        <v>147664.42009510074</v>
      </c>
      <c r="EX9" s="1">
        <v>148250.7180213994</v>
      </c>
      <c r="EY9" s="1">
        <v>147937.28789324331</v>
      </c>
      <c r="EZ9" s="1">
        <v>149262.75355704638</v>
      </c>
      <c r="FA9" s="1">
        <v>150332.9974738353</v>
      </c>
      <c r="FB9" s="1">
        <v>149784.41170381929</v>
      </c>
      <c r="FC9" s="1">
        <v>148867.89307176429</v>
      </c>
      <c r="FD9" s="1">
        <v>149541.81029310403</v>
      </c>
      <c r="FE9" s="1">
        <v>149423.83293099958</v>
      </c>
      <c r="FF9" s="1">
        <v>149364.14809785265</v>
      </c>
      <c r="FG9" s="1">
        <v>149645.87125349784</v>
      </c>
      <c r="FH9" s="1">
        <v>148373.93495128522</v>
      </c>
      <c r="FI9" s="1">
        <v>146313.56559526629</v>
      </c>
      <c r="FJ9" s="1">
        <v>146141.15804469708</v>
      </c>
      <c r="FK9" s="1">
        <v>148012.78425654318</v>
      </c>
      <c r="FL9" s="1">
        <v>148597.24869479635</v>
      </c>
      <c r="FM9" s="1">
        <v>148678.46834247309</v>
      </c>
      <c r="FN9" s="1">
        <v>148592.54971200728</v>
      </c>
      <c r="FO9" s="1">
        <v>149639.77841656609</v>
      </c>
      <c r="FP9" s="1">
        <v>152011.82660429436</v>
      </c>
      <c r="FQ9" s="1">
        <v>150594.23192004947</v>
      </c>
      <c r="FR9" s="1">
        <v>150117.23407712986</v>
      </c>
      <c r="FS9" s="1">
        <v>149639.41270234156</v>
      </c>
      <c r="FT9" s="1">
        <v>148385.46224921543</v>
      </c>
      <c r="FU9" s="1">
        <v>147904.72774504538</v>
      </c>
      <c r="FV9" s="1">
        <v>148129.91569582396</v>
      </c>
      <c r="FW9" s="1">
        <v>149302.60010140092</v>
      </c>
      <c r="FX9" s="1">
        <v>150304.45309925871</v>
      </c>
      <c r="FY9" s="1">
        <v>150574.44474245069</v>
      </c>
      <c r="FZ9" s="1">
        <v>151321.02598988236</v>
      </c>
      <c r="GA9" s="1">
        <v>148646.24502531311</v>
      </c>
      <c r="GB9" s="1">
        <v>148388.74245962413</v>
      </c>
      <c r="GC9" s="1">
        <v>147897.24830807539</v>
      </c>
      <c r="GD9" s="1">
        <v>147827.28080861038</v>
      </c>
      <c r="GE9" s="1">
        <v>147641.6617047753</v>
      </c>
      <c r="GF9" s="1">
        <v>148030.86496965075</v>
      </c>
      <c r="GG9" s="1">
        <v>148231.62890979901</v>
      </c>
      <c r="GH9" s="1">
        <v>148569.86155476479</v>
      </c>
      <c r="GI9" s="1">
        <v>148955.81509258284</v>
      </c>
      <c r="GJ9" s="1">
        <v>149613.40791145118</v>
      </c>
      <c r="GK9" s="1">
        <v>150337.63490210174</v>
      </c>
      <c r="GL9" s="1">
        <v>151484.24059018731</v>
      </c>
      <c r="GM9" s="1">
        <v>149978.5092738356</v>
      </c>
      <c r="GN9" s="1">
        <v>150753.13217102195</v>
      </c>
      <c r="GO9" s="1">
        <v>147846.6608705828</v>
      </c>
      <c r="GP9" s="1">
        <v>142422.90985237603</v>
      </c>
      <c r="GQ9" s="1">
        <v>144121.19384048012</v>
      </c>
      <c r="GR9" s="1">
        <v>145924.06055369845</v>
      </c>
      <c r="GS9" s="1">
        <v>148756.15294976276</v>
      </c>
      <c r="GT9" s="1">
        <v>149621.60750006599</v>
      </c>
      <c r="GU9" s="1">
        <v>149055.09827171371</v>
      </c>
      <c r="GV9" s="1">
        <v>149219.04542864813</v>
      </c>
      <c r="GW9" s="1">
        <v>149459.20123360999</v>
      </c>
      <c r="GX9" s="1">
        <v>149439.42677564174</v>
      </c>
      <c r="GY9" s="1">
        <v>149584.92233377096</v>
      </c>
      <c r="GZ9" s="1">
        <v>149951.80317074401</v>
      </c>
      <c r="HA9" s="1" t="str">
        <f t="shared" si="1"/>
        <v/>
      </c>
      <c r="HB9" s="1" t="str">
        <f t="shared" si="1"/>
        <v/>
      </c>
      <c r="HC9" s="1" t="str">
        <f t="shared" si="1"/>
        <v/>
      </c>
      <c r="HD9" s="1" t="str">
        <f t="shared" si="1"/>
        <v/>
      </c>
      <c r="HE9" s="1" t="str">
        <f t="shared" si="1"/>
        <v/>
      </c>
      <c r="HF9" s="1" t="str">
        <f t="shared" si="1"/>
        <v/>
      </c>
      <c r="HG9" s="1" t="str">
        <f t="shared" si="1"/>
        <v/>
      </c>
      <c r="HH9" s="1" t="str">
        <f t="shared" si="1"/>
        <v/>
      </c>
      <c r="HI9" s="1" t="str">
        <f t="shared" si="1"/>
        <v/>
      </c>
      <c r="HJ9" s="1" t="str">
        <f t="shared" si="1"/>
        <v/>
      </c>
      <c r="HK9" s="1" t="str">
        <f t="shared" si="1"/>
        <v/>
      </c>
      <c r="HL9" s="1" t="str">
        <f t="shared" si="1"/>
        <v/>
      </c>
      <c r="HM9" s="1" t="str">
        <f t="shared" si="1"/>
        <v/>
      </c>
      <c r="HN9" s="1" t="str">
        <f t="shared" si="1"/>
        <v/>
      </c>
      <c r="HO9" s="1" t="str">
        <f t="shared" si="1"/>
        <v/>
      </c>
      <c r="HP9" s="1" t="str">
        <f t="shared" si="1"/>
        <v/>
      </c>
      <c r="HQ9" s="1" t="str">
        <f t="shared" si="1"/>
        <v/>
      </c>
      <c r="HR9" s="1" t="str">
        <f t="shared" si="1"/>
        <v/>
      </c>
      <c r="HS9" s="1" t="str">
        <f t="shared" si="1"/>
        <v/>
      </c>
      <c r="HT9" s="1" t="str">
        <f t="shared" si="1"/>
        <v/>
      </c>
      <c r="HU9" s="1" t="str">
        <f t="shared" si="1"/>
        <v/>
      </c>
      <c r="HV9" s="1" t="str">
        <f t="shared" si="1"/>
        <v/>
      </c>
      <c r="HW9" s="1" t="str">
        <f t="shared" si="1"/>
        <v/>
      </c>
      <c r="HX9" s="1" t="str">
        <f t="shared" si="1"/>
        <v/>
      </c>
      <c r="HY9" s="1" t="str">
        <f t="shared" si="1"/>
        <v/>
      </c>
      <c r="HZ9" s="1" t="str">
        <f t="shared" si="1"/>
        <v/>
      </c>
      <c r="IA9" s="1" t="str">
        <f t="shared" si="1"/>
        <v/>
      </c>
      <c r="IB9" s="1" t="str">
        <f t="shared" si="1"/>
        <v/>
      </c>
      <c r="IC9" s="1" t="str">
        <f t="shared" si="1"/>
        <v/>
      </c>
      <c r="ID9" s="1" t="str">
        <f t="shared" si="1"/>
        <v/>
      </c>
      <c r="IE9" s="1" t="str">
        <f t="shared" si="1"/>
        <v/>
      </c>
      <c r="IF9" s="1" t="str">
        <f t="shared" si="1"/>
        <v/>
      </c>
      <c r="IG9" s="1" t="str">
        <f t="shared" si="1"/>
        <v/>
      </c>
      <c r="IH9" s="1" t="str">
        <f t="shared" si="1"/>
        <v/>
      </c>
      <c r="II9" s="1" t="str">
        <f t="shared" si="1"/>
        <v/>
      </c>
      <c r="IJ9" s="1" t="str">
        <f t="shared" si="1"/>
        <v/>
      </c>
      <c r="IK9" s="1" t="str">
        <f t="shared" si="1"/>
        <v/>
      </c>
      <c r="IL9" s="1" t="str">
        <f t="shared" si="1"/>
        <v/>
      </c>
      <c r="IM9" s="1" t="str">
        <f t="shared" si="1"/>
        <v/>
      </c>
      <c r="IN9" s="1" t="str">
        <f t="shared" si="1"/>
        <v/>
      </c>
      <c r="IO9" s="1" t="str">
        <f t="shared" si="1"/>
        <v/>
      </c>
      <c r="IP9" s="1" t="str">
        <f t="shared" si="1"/>
        <v/>
      </c>
      <c r="IQ9" s="1" t="str">
        <f t="shared" si="1"/>
        <v/>
      </c>
      <c r="IR9" s="1" t="str">
        <f t="shared" si="1"/>
        <v/>
      </c>
      <c r="IS9" s="1" t="str">
        <f t="shared" si="1"/>
        <v/>
      </c>
      <c r="IT9" s="1" t="str">
        <f t="shared" si="1"/>
        <v/>
      </c>
      <c r="IU9" s="1" t="str">
        <f t="shared" si="1"/>
        <v/>
      </c>
      <c r="IV9" s="1" t="str">
        <f t="shared" si="1"/>
        <v/>
      </c>
      <c r="IW9" s="1" t="str">
        <f t="shared" si="1"/>
        <v/>
      </c>
      <c r="IX9" s="1" t="str">
        <f t="shared" si="1"/>
        <v/>
      </c>
      <c r="IY9" s="1" t="str">
        <f t="shared" si="1"/>
        <v/>
      </c>
      <c r="IZ9" s="1" t="str">
        <f t="shared" si="1"/>
        <v/>
      </c>
      <c r="JA9" s="1" t="str">
        <f t="shared" si="1"/>
        <v/>
      </c>
      <c r="JB9" s="1" t="str">
        <f t="shared" si="1"/>
        <v/>
      </c>
      <c r="JC9" s="1" t="str">
        <f t="shared" si="1"/>
        <v/>
      </c>
      <c r="JD9" s="1" t="str">
        <f t="shared" si="1"/>
        <v/>
      </c>
      <c r="JE9" s="1" t="str">
        <f t="shared" si="1"/>
        <v/>
      </c>
      <c r="JF9" s="1" t="str">
        <f t="shared" si="1"/>
        <v/>
      </c>
      <c r="JG9" s="1" t="str">
        <f t="shared" si="1"/>
        <v/>
      </c>
      <c r="JH9" s="1" t="str">
        <f t="shared" si="1"/>
        <v/>
      </c>
      <c r="LY9" s="1"/>
    </row>
    <row r="10" spans="1:337" x14ac:dyDescent="0.25">
      <c r="A10" s="4">
        <v>8</v>
      </c>
      <c r="B10" s="1">
        <v>143900.37922572915</v>
      </c>
      <c r="C10" s="1">
        <v>144477.19885241648</v>
      </c>
      <c r="D10" s="1">
        <v>144401.94134309195</v>
      </c>
      <c r="E10" s="1">
        <v>145203.57787883747</v>
      </c>
      <c r="F10" s="1">
        <v>145299.02953762494</v>
      </c>
      <c r="G10" s="1">
        <v>145350.81717234291</v>
      </c>
      <c r="H10" s="1">
        <v>146220.72458757815</v>
      </c>
      <c r="I10" s="1">
        <v>147156.22272672789</v>
      </c>
      <c r="J10" s="1">
        <v>147896.93816605606</v>
      </c>
      <c r="K10" s="1">
        <v>148750.5282733101</v>
      </c>
      <c r="L10" s="1">
        <v>149147.54260231688</v>
      </c>
      <c r="M10" s="1">
        <v>149527.19972565517</v>
      </c>
      <c r="N10" s="1">
        <v>150237.13087974454</v>
      </c>
      <c r="O10" s="1">
        <v>150935.4540063219</v>
      </c>
      <c r="P10" s="1">
        <v>151248.24705957057</v>
      </c>
      <c r="Q10" s="1">
        <v>151546.36274674593</v>
      </c>
      <c r="R10" s="1">
        <v>151553.63089428045</v>
      </c>
      <c r="S10" s="1">
        <v>150988.30424118068</v>
      </c>
      <c r="T10" s="1">
        <v>151283.2253851149</v>
      </c>
      <c r="U10" s="1">
        <v>151869.83883810585</v>
      </c>
      <c r="V10" s="1">
        <v>152407.8333132955</v>
      </c>
      <c r="W10" s="1">
        <v>152955.75477320346</v>
      </c>
      <c r="X10" s="1">
        <v>153507.93023072736</v>
      </c>
      <c r="Y10" s="1">
        <v>153526.0697829338</v>
      </c>
      <c r="Z10" s="1">
        <v>153998.25146157751</v>
      </c>
      <c r="AA10" s="1">
        <v>154350.30936811224</v>
      </c>
      <c r="AB10" s="1">
        <v>154940.44221434736</v>
      </c>
      <c r="AC10" s="1">
        <v>155214.85293242225</v>
      </c>
      <c r="AD10" s="1">
        <v>155478.3345375839</v>
      </c>
      <c r="AE10" s="1">
        <v>155545.9353244885</v>
      </c>
      <c r="AF10" s="1">
        <v>156019.69107233718</v>
      </c>
      <c r="AG10" s="1">
        <v>156878.28914440461</v>
      </c>
      <c r="AH10" s="1">
        <v>157343.42331286395</v>
      </c>
      <c r="AI10" s="1">
        <v>158142.35308775288</v>
      </c>
      <c r="AJ10" s="1">
        <v>158975.92235138154</v>
      </c>
      <c r="AK10" s="1">
        <v>159607.38516925526</v>
      </c>
      <c r="AL10" s="1">
        <v>160341.70812359199</v>
      </c>
      <c r="AM10" s="1">
        <v>160658.73460713873</v>
      </c>
      <c r="AN10" s="1">
        <v>161923.5842149024</v>
      </c>
      <c r="AO10" s="1">
        <v>163295.59587669093</v>
      </c>
      <c r="AP10" s="1">
        <v>163637.53371254302</v>
      </c>
      <c r="AQ10" s="1">
        <v>163713.74722815727</v>
      </c>
      <c r="AR10" s="1">
        <v>164980.36264008222</v>
      </c>
      <c r="AS10" s="1">
        <v>166525.9635578368</v>
      </c>
      <c r="AT10" s="1">
        <v>167574.3812791403</v>
      </c>
      <c r="AU10" s="1">
        <v>168612.36021720176</v>
      </c>
      <c r="AV10" s="1">
        <v>169868.09598403095</v>
      </c>
      <c r="AW10" s="1">
        <v>170581.25658369483</v>
      </c>
      <c r="AX10" s="1">
        <v>169978.22389668829</v>
      </c>
      <c r="AY10" s="1">
        <v>169063.2961287628</v>
      </c>
      <c r="AZ10" s="1">
        <v>168087.91961264893</v>
      </c>
      <c r="BA10" s="1">
        <v>167722.79817913991</v>
      </c>
      <c r="BB10" s="1">
        <v>165771.09865090053</v>
      </c>
      <c r="BC10" s="1">
        <v>161880.21236244519</v>
      </c>
      <c r="BD10" s="1">
        <v>161915.48294788896</v>
      </c>
      <c r="BE10" s="1">
        <v>161485.58506185957</v>
      </c>
      <c r="BF10" s="1">
        <v>160611.81165590099</v>
      </c>
      <c r="BG10" s="1">
        <v>160046.32612776785</v>
      </c>
      <c r="BH10" s="1">
        <v>157559.78668299012</v>
      </c>
      <c r="BI10" s="1">
        <v>155269.72825667507</v>
      </c>
      <c r="BJ10" s="1">
        <v>151596.65846413956</v>
      </c>
      <c r="BK10" s="1">
        <v>149879.37269598636</v>
      </c>
      <c r="BL10" s="1">
        <v>146866.94593984808</v>
      </c>
      <c r="BM10" s="1">
        <v>144809.87835829094</v>
      </c>
      <c r="BN10" s="1">
        <v>143787.17126417096</v>
      </c>
      <c r="BO10" s="1">
        <v>145099.49917255391</v>
      </c>
      <c r="BP10" s="1">
        <v>147215.83955086296</v>
      </c>
      <c r="BQ10" s="1">
        <v>147083.17737807569</v>
      </c>
      <c r="BR10" s="1">
        <v>146801.88647078269</v>
      </c>
      <c r="BS10" s="1">
        <v>146244.00061750834</v>
      </c>
      <c r="BT10" s="1">
        <v>145197.95987745351</v>
      </c>
      <c r="BU10" s="1">
        <v>146685.9984215005</v>
      </c>
      <c r="BV10" s="1">
        <v>148270.28792486616</v>
      </c>
      <c r="BW10" s="1">
        <v>147415.67704070735</v>
      </c>
      <c r="BX10" s="1">
        <v>145606.07511062047</v>
      </c>
      <c r="BY10" s="1">
        <v>146927.038221161</v>
      </c>
      <c r="BZ10" s="1">
        <v>149013.41073684406</v>
      </c>
      <c r="CA10" s="1">
        <v>149575.79710112748</v>
      </c>
      <c r="CB10" s="1">
        <v>149307.15114431112</v>
      </c>
      <c r="CC10" s="1">
        <v>148181.54832908197</v>
      </c>
      <c r="CD10" s="1">
        <v>147025.44557960978</v>
      </c>
      <c r="CE10" s="1">
        <v>146982.91411874731</v>
      </c>
      <c r="CF10" s="1">
        <v>147540.26969590361</v>
      </c>
      <c r="CG10" s="1">
        <v>146878.18057093656</v>
      </c>
      <c r="CH10" s="1">
        <v>146039.62570644551</v>
      </c>
      <c r="CI10" s="1">
        <v>146589.46004377276</v>
      </c>
      <c r="CJ10" s="1">
        <v>144561.86006944225</v>
      </c>
      <c r="CK10" s="1">
        <v>147229.19553268177</v>
      </c>
      <c r="CL10" s="1">
        <v>147454.0167333814</v>
      </c>
      <c r="CM10" s="1">
        <v>148563.29531464892</v>
      </c>
      <c r="CN10" s="1">
        <v>147069.92506424477</v>
      </c>
      <c r="CO10" s="1">
        <v>145671.48152922175</v>
      </c>
      <c r="CP10" s="1">
        <v>144494.79861746641</v>
      </c>
      <c r="CQ10" s="1">
        <v>145504.71274633339</v>
      </c>
      <c r="CR10" s="1">
        <v>145208.42139465254</v>
      </c>
      <c r="CS10" s="1">
        <v>144567.52662218912</v>
      </c>
      <c r="CT10" s="1">
        <v>143561.83062314664</v>
      </c>
      <c r="CU10" s="1">
        <v>138702.80076274843</v>
      </c>
      <c r="CV10" s="1">
        <v>142330.81830946205</v>
      </c>
      <c r="CW10" s="1">
        <v>143330.22768214677</v>
      </c>
      <c r="CX10" s="1">
        <v>143626.08348529658</v>
      </c>
      <c r="CY10" s="1">
        <v>142577.59157837741</v>
      </c>
      <c r="CZ10" s="1">
        <v>142291.40329131079</v>
      </c>
      <c r="DA10" s="1">
        <v>142781.71050949208</v>
      </c>
      <c r="DB10" s="1">
        <v>141719.29639037116</v>
      </c>
      <c r="DC10" s="1">
        <v>141196.47334144439</v>
      </c>
      <c r="DD10" s="1">
        <v>142658.36891383614</v>
      </c>
      <c r="DE10" s="1">
        <v>142260.92247790413</v>
      </c>
      <c r="DF10" s="1">
        <v>142145.3718882117</v>
      </c>
      <c r="DG10" s="1">
        <v>141144.56165911682</v>
      </c>
      <c r="DH10" s="1">
        <v>140241.19637590373</v>
      </c>
      <c r="DI10" s="1">
        <v>141092.27311053665</v>
      </c>
      <c r="DJ10" s="1">
        <v>142732.6680084159</v>
      </c>
      <c r="DK10" s="1">
        <v>143936.37281632586</v>
      </c>
      <c r="DL10" s="1">
        <v>144161.19614712516</v>
      </c>
      <c r="DM10" s="1">
        <v>145680.84648266609</v>
      </c>
      <c r="DN10" s="1">
        <v>143786.35282008132</v>
      </c>
      <c r="DO10" s="1">
        <v>144787.16092952044</v>
      </c>
      <c r="DP10" s="1">
        <v>146425.88821479114</v>
      </c>
      <c r="DQ10" s="1">
        <v>148110.60374962201</v>
      </c>
      <c r="DR10" s="1">
        <v>148323.82385820674</v>
      </c>
      <c r="DS10" s="1">
        <v>147207.3495433887</v>
      </c>
      <c r="DT10" s="1">
        <v>147558.86028139497</v>
      </c>
      <c r="DU10" s="1">
        <v>146963.34540877418</v>
      </c>
      <c r="DV10" s="1">
        <v>148675.81143622386</v>
      </c>
      <c r="DW10" s="1">
        <v>147904.3263367925</v>
      </c>
      <c r="DX10" s="1">
        <v>147566.81066653924</v>
      </c>
      <c r="DY10" s="1">
        <v>146348.36567087722</v>
      </c>
      <c r="DZ10" s="1">
        <v>146405.66643069166</v>
      </c>
      <c r="EA10" s="1">
        <v>148381.46533948282</v>
      </c>
      <c r="EB10" s="1">
        <v>149259.99668689654</v>
      </c>
      <c r="ED10" s="1">
        <v>148446.87585730979</v>
      </c>
      <c r="EE10" s="1">
        <v>148180.71019250993</v>
      </c>
      <c r="EG10" s="1">
        <v>149122.89049006352</v>
      </c>
      <c r="EH10" s="1">
        <v>150055.98216531245</v>
      </c>
      <c r="EI10" s="1">
        <v>149797.47347720055</v>
      </c>
      <c r="EJ10" s="1">
        <v>149614.8840710689</v>
      </c>
      <c r="EK10" s="1">
        <v>148914.60272217338</v>
      </c>
      <c r="EL10" s="1">
        <v>148939.20029512828</v>
      </c>
      <c r="EM10" s="1">
        <v>149765.5543560418</v>
      </c>
      <c r="EN10" s="1">
        <v>150031.77808972591</v>
      </c>
      <c r="EO10" s="1">
        <v>150294.96833138994</v>
      </c>
      <c r="EP10" s="1">
        <v>146768.70372006221</v>
      </c>
      <c r="EQ10" s="1">
        <v>148895.25595267658</v>
      </c>
      <c r="ER10" s="1">
        <v>151066.2806927411</v>
      </c>
      <c r="ES10" s="1">
        <v>150275.35492849449</v>
      </c>
      <c r="ET10" s="1">
        <v>149539.6496306718</v>
      </c>
      <c r="EU10" s="1">
        <v>148924.75764499913</v>
      </c>
      <c r="EV10" s="1">
        <v>147994.57689499459</v>
      </c>
      <c r="EW10" s="1">
        <v>147932.43162535763</v>
      </c>
      <c r="EX10" s="1">
        <v>148746.49822649977</v>
      </c>
      <c r="EY10" s="1">
        <v>148270.17456970646</v>
      </c>
      <c r="EZ10" s="1">
        <v>149714.50968393902</v>
      </c>
      <c r="FA10" s="1">
        <v>150530.9615726911</v>
      </c>
      <c r="FB10" s="1">
        <v>149420.95092133246</v>
      </c>
      <c r="FC10" s="1">
        <v>148491.25778347105</v>
      </c>
      <c r="FD10" s="1">
        <v>149530.92193167002</v>
      </c>
      <c r="FE10" s="1">
        <v>149491.10990983926</v>
      </c>
      <c r="FF10" s="1">
        <v>149126.39315439749</v>
      </c>
      <c r="FG10" s="1">
        <v>149110.48875629247</v>
      </c>
      <c r="FH10" s="1">
        <v>148205.54328300126</v>
      </c>
      <c r="FI10" s="1">
        <v>146451.24231536349</v>
      </c>
      <c r="FJ10" s="1">
        <v>146458.83078547963</v>
      </c>
      <c r="FK10" s="1">
        <v>148471.10899874935</v>
      </c>
      <c r="FL10" s="1">
        <v>149026.36477696346</v>
      </c>
      <c r="FM10" s="1">
        <v>148634.53967014703</v>
      </c>
      <c r="FN10" s="1">
        <v>148110.83874289729</v>
      </c>
      <c r="FO10" s="1">
        <v>149520.62509070709</v>
      </c>
      <c r="FP10" s="1">
        <v>152334.56412374263</v>
      </c>
      <c r="FQ10" s="1">
        <v>150736.59942596607</v>
      </c>
      <c r="FR10" s="1">
        <v>149916.24362110841</v>
      </c>
      <c r="FS10" s="1">
        <v>149118.84129404207</v>
      </c>
      <c r="FT10" s="1">
        <v>148382.2071233762</v>
      </c>
      <c r="FU10" s="1">
        <v>148234.83710568253</v>
      </c>
      <c r="FV10" s="1">
        <v>148504.88702920818</v>
      </c>
      <c r="FW10" s="1">
        <v>149902.34326137276</v>
      </c>
      <c r="FX10" s="1">
        <v>150791.92930517119</v>
      </c>
      <c r="FY10" s="1">
        <v>150535.50165366946</v>
      </c>
      <c r="FZ10" s="1">
        <v>150904.3789071787</v>
      </c>
      <c r="GA10" s="1">
        <v>148331.96117532195</v>
      </c>
      <c r="GB10" s="1">
        <v>148348.70580851822</v>
      </c>
      <c r="GC10" s="1">
        <v>147789.04504451866</v>
      </c>
      <c r="GD10" s="1">
        <v>147384.78649656309</v>
      </c>
      <c r="GE10" s="1">
        <v>146885.23223988392</v>
      </c>
      <c r="GF10" s="1">
        <v>148185.54615285242</v>
      </c>
      <c r="GG10" s="1">
        <v>148535.97054016037</v>
      </c>
      <c r="GH10" s="1">
        <v>148805.90927590907</v>
      </c>
      <c r="GI10" s="1">
        <v>149469.28256637842</v>
      </c>
      <c r="GJ10" s="1">
        <v>150118.63115691702</v>
      </c>
      <c r="GK10" s="1">
        <v>150322.37459582271</v>
      </c>
      <c r="GL10" s="1">
        <v>151140.11902195826</v>
      </c>
      <c r="GM10" s="1">
        <v>149841.23212871933</v>
      </c>
      <c r="GN10" s="1">
        <v>150896.26584739325</v>
      </c>
      <c r="GO10" s="1">
        <v>147713.2157595359</v>
      </c>
      <c r="GP10" s="1">
        <v>141966.67452737666</v>
      </c>
      <c r="GQ10" s="1">
        <v>143062.39579984179</v>
      </c>
      <c r="GR10" s="1">
        <v>145814.01776467098</v>
      </c>
      <c r="GS10" s="1">
        <v>148977.81254501996</v>
      </c>
      <c r="GT10" s="1">
        <v>149519.37553189043</v>
      </c>
      <c r="GU10" s="1">
        <v>149559.95603044727</v>
      </c>
      <c r="GV10" s="1">
        <v>149435.2063743019</v>
      </c>
      <c r="GW10" s="1">
        <v>149640.71598531003</v>
      </c>
      <c r="GX10" s="1">
        <v>149080.27659039956</v>
      </c>
      <c r="GY10" s="1">
        <v>149407.12709781242</v>
      </c>
      <c r="GZ10" s="1">
        <v>149962.06568774299</v>
      </c>
      <c r="HA10" s="1" t="str">
        <f t="shared" si="1"/>
        <v/>
      </c>
      <c r="HB10" s="1" t="str">
        <f t="shared" si="1"/>
        <v/>
      </c>
      <c r="HC10" s="1" t="str">
        <f t="shared" si="1"/>
        <v/>
      </c>
      <c r="HD10" s="1" t="str">
        <f t="shared" si="1"/>
        <v/>
      </c>
      <c r="HE10" s="1" t="str">
        <f t="shared" si="1"/>
        <v/>
      </c>
      <c r="HF10" s="1" t="str">
        <f t="shared" si="1"/>
        <v/>
      </c>
      <c r="HG10" s="1" t="str">
        <f t="shared" si="1"/>
        <v/>
      </c>
      <c r="HH10" s="1" t="str">
        <f t="shared" si="1"/>
        <v/>
      </c>
      <c r="HI10" s="1" t="str">
        <f t="shared" si="1"/>
        <v/>
      </c>
      <c r="HJ10" s="1" t="str">
        <f t="shared" si="1"/>
        <v/>
      </c>
      <c r="HK10" s="1" t="str">
        <f t="shared" si="1"/>
        <v/>
      </c>
      <c r="HL10" s="1" t="str">
        <f t="shared" si="1"/>
        <v/>
      </c>
      <c r="HM10" s="1" t="str">
        <f t="shared" si="1"/>
        <v/>
      </c>
      <c r="HN10" s="1" t="str">
        <f t="shared" si="1"/>
        <v/>
      </c>
      <c r="HO10" s="1" t="str">
        <f t="shared" si="1"/>
        <v/>
      </c>
      <c r="HP10" s="1" t="str">
        <f t="shared" si="1"/>
        <v/>
      </c>
      <c r="HQ10" s="1" t="str">
        <f t="shared" si="1"/>
        <v/>
      </c>
      <c r="HR10" s="1" t="str">
        <f t="shared" si="1"/>
        <v/>
      </c>
      <c r="HS10" s="1" t="str">
        <f t="shared" si="1"/>
        <v/>
      </c>
      <c r="HT10" s="1" t="str">
        <f t="shared" si="1"/>
        <v/>
      </c>
      <c r="HU10" s="1" t="str">
        <f t="shared" si="1"/>
        <v/>
      </c>
      <c r="HV10" s="1" t="str">
        <f t="shared" si="1"/>
        <v/>
      </c>
      <c r="HW10" s="1" t="str">
        <f t="shared" si="1"/>
        <v/>
      </c>
      <c r="HX10" s="1" t="str">
        <f t="shared" si="1"/>
        <v/>
      </c>
      <c r="HY10" s="1" t="str">
        <f t="shared" si="1"/>
        <v/>
      </c>
      <c r="HZ10" s="1" t="str">
        <f t="shared" si="1"/>
        <v/>
      </c>
      <c r="IA10" s="1" t="str">
        <f t="shared" si="1"/>
        <v/>
      </c>
      <c r="IB10" s="1" t="str">
        <f t="shared" si="1"/>
        <v/>
      </c>
      <c r="IC10" s="1" t="str">
        <f t="shared" si="1"/>
        <v/>
      </c>
      <c r="ID10" s="1" t="str">
        <f t="shared" si="1"/>
        <v/>
      </c>
      <c r="IE10" s="1" t="str">
        <f t="shared" si="1"/>
        <v/>
      </c>
      <c r="IF10" s="1" t="str">
        <f t="shared" si="1"/>
        <v/>
      </c>
      <c r="IG10" s="1" t="str">
        <f t="shared" si="1"/>
        <v/>
      </c>
      <c r="IH10" s="1" t="str">
        <f t="shared" si="1"/>
        <v/>
      </c>
      <c r="II10" s="1" t="str">
        <f t="shared" si="1"/>
        <v/>
      </c>
      <c r="IJ10" s="1" t="str">
        <f t="shared" si="1"/>
        <v/>
      </c>
      <c r="IK10" s="1" t="str">
        <f t="shared" si="1"/>
        <v/>
      </c>
      <c r="IL10" s="1" t="str">
        <f t="shared" si="1"/>
        <v/>
      </c>
      <c r="IM10" s="1" t="str">
        <f t="shared" si="1"/>
        <v/>
      </c>
      <c r="IN10" s="1" t="str">
        <f t="shared" si="1"/>
        <v/>
      </c>
      <c r="IO10" s="1" t="str">
        <f t="shared" si="1"/>
        <v/>
      </c>
      <c r="IP10" s="1" t="str">
        <f t="shared" si="1"/>
        <v/>
      </c>
      <c r="IQ10" s="1" t="str">
        <f t="shared" si="1"/>
        <v/>
      </c>
      <c r="IR10" s="1" t="str">
        <f t="shared" si="1"/>
        <v/>
      </c>
      <c r="IS10" s="1" t="str">
        <f t="shared" si="1"/>
        <v/>
      </c>
      <c r="IT10" s="1" t="str">
        <f t="shared" si="1"/>
        <v/>
      </c>
      <c r="IU10" s="1" t="str">
        <f t="shared" si="1"/>
        <v/>
      </c>
      <c r="IV10" s="1" t="str">
        <f t="shared" si="1"/>
        <v/>
      </c>
      <c r="IW10" s="1" t="str">
        <f t="shared" si="1"/>
        <v/>
      </c>
      <c r="IX10" s="1" t="str">
        <f t="shared" si="1"/>
        <v/>
      </c>
      <c r="IY10" s="1" t="str">
        <f t="shared" si="1"/>
        <v/>
      </c>
      <c r="IZ10" s="1" t="str">
        <f t="shared" si="1"/>
        <v/>
      </c>
      <c r="JA10" s="1" t="str">
        <f t="shared" si="1"/>
        <v/>
      </c>
      <c r="JB10" s="1" t="str">
        <f t="shared" si="1"/>
        <v/>
      </c>
      <c r="JC10" s="1" t="str">
        <f t="shared" si="1"/>
        <v/>
      </c>
      <c r="JD10" s="1" t="str">
        <f t="shared" si="1"/>
        <v/>
      </c>
      <c r="JE10" s="1" t="str">
        <f t="shared" si="1"/>
        <v/>
      </c>
      <c r="JF10" s="1" t="str">
        <f t="shared" si="1"/>
        <v/>
      </c>
      <c r="JG10" s="1" t="str">
        <f t="shared" si="1"/>
        <v/>
      </c>
      <c r="JH10" s="1" t="str">
        <f t="shared" si="1"/>
        <v/>
      </c>
      <c r="LY10" s="1"/>
    </row>
    <row r="11" spans="1:337" x14ac:dyDescent="0.25">
      <c r="A11" s="5">
        <v>9</v>
      </c>
      <c r="B11" s="1">
        <v>143892.07826394838</v>
      </c>
      <c r="C11" s="1">
        <v>144906.22623703658</v>
      </c>
      <c r="D11" s="1">
        <v>144904.08861256507</v>
      </c>
      <c r="E11" s="1">
        <v>145415.21329273036</v>
      </c>
      <c r="F11" s="1">
        <v>145065.40188175187</v>
      </c>
      <c r="G11" s="1">
        <v>145849.71686281278</v>
      </c>
      <c r="H11" s="1">
        <v>146992.73344274203</v>
      </c>
      <c r="I11" s="1">
        <v>148021.96981208638</v>
      </c>
      <c r="J11" s="1">
        <v>148666.53713572313</v>
      </c>
      <c r="K11" s="1">
        <v>149366.34673107378</v>
      </c>
      <c r="L11" s="1">
        <v>149636.30577338015</v>
      </c>
      <c r="M11" s="1">
        <v>149872.57565836713</v>
      </c>
      <c r="N11" s="1">
        <v>150335.04266065039</v>
      </c>
      <c r="O11" s="1">
        <v>151445.72452866536</v>
      </c>
      <c r="P11" s="1">
        <v>151934.52477620021</v>
      </c>
      <c r="Q11" s="1">
        <v>151804.62674658984</v>
      </c>
      <c r="R11" s="1">
        <v>151579.79227612668</v>
      </c>
      <c r="S11" s="1">
        <v>151482.53668301381</v>
      </c>
      <c r="T11" s="1">
        <v>152011.88848893228</v>
      </c>
      <c r="U11" s="1">
        <v>152563.06297568453</v>
      </c>
      <c r="V11" s="1">
        <v>153004.10299921568</v>
      </c>
      <c r="W11" s="1">
        <v>153496.26881267881</v>
      </c>
      <c r="X11" s="1">
        <v>153891.3919689972</v>
      </c>
      <c r="Y11" s="1">
        <v>153719.16467358108</v>
      </c>
      <c r="Z11" s="1">
        <v>153994.34374302128</v>
      </c>
      <c r="AA11" s="1">
        <v>154657.42648095993</v>
      </c>
      <c r="AB11" s="1">
        <v>155481.88327739859</v>
      </c>
      <c r="AC11" s="1">
        <v>155526.35077822383</v>
      </c>
      <c r="AD11" s="1">
        <v>155438.58465290244</v>
      </c>
      <c r="AE11" s="1">
        <v>155964.09621608281</v>
      </c>
      <c r="AF11" s="1">
        <v>156730.3568176335</v>
      </c>
      <c r="AG11" s="1">
        <v>157626.39845643652</v>
      </c>
      <c r="AH11" s="1">
        <v>157985.69686574198</v>
      </c>
      <c r="AI11" s="1">
        <v>158732.40626072377</v>
      </c>
      <c r="AJ11" s="1">
        <v>159479.67692518217</v>
      </c>
      <c r="AK11" s="1">
        <v>159838.63718698101</v>
      </c>
      <c r="AL11" s="1">
        <v>160487.77631453433</v>
      </c>
      <c r="AM11" s="1">
        <v>161108.46579499898</v>
      </c>
      <c r="AN11" s="1">
        <v>162628.81525754137</v>
      </c>
      <c r="AO11" s="1">
        <v>163884.84886712854</v>
      </c>
      <c r="AP11" s="1">
        <v>163814.69739670341</v>
      </c>
      <c r="AQ11" s="1">
        <v>164523.89464255501</v>
      </c>
      <c r="AR11" s="1">
        <v>165932.21561906702</v>
      </c>
      <c r="AS11" s="1">
        <v>167548.05774823739</v>
      </c>
      <c r="AT11" s="1">
        <v>168486.58555347961</v>
      </c>
      <c r="AU11" s="1">
        <v>169582.34967652056</v>
      </c>
      <c r="AV11" s="1">
        <v>170696.23279074812</v>
      </c>
      <c r="AW11" s="1">
        <v>171204.78876438638</v>
      </c>
      <c r="AX11" s="1">
        <v>170349.78263474524</v>
      </c>
      <c r="AY11" s="1">
        <v>169568.64234356667</v>
      </c>
      <c r="AZ11" s="1">
        <v>168560.88760966557</v>
      </c>
      <c r="BA11" s="1">
        <v>167941.93632434899</v>
      </c>
      <c r="BB11" s="1">
        <v>165439.14958294504</v>
      </c>
      <c r="BC11" s="1">
        <v>161417.5004183345</v>
      </c>
      <c r="BD11" s="1">
        <v>161924.02977437183</v>
      </c>
      <c r="BE11" s="1">
        <v>161442.72468578885</v>
      </c>
      <c r="BF11" s="1">
        <v>160533.90437841183</v>
      </c>
      <c r="BG11" s="1">
        <v>159810.45417585946</v>
      </c>
      <c r="BH11" s="1">
        <v>157030.87582988391</v>
      </c>
      <c r="BI11" s="1">
        <v>154412.67345727139</v>
      </c>
      <c r="BJ11" s="1">
        <v>150313.02795137331</v>
      </c>
      <c r="BK11" s="1">
        <v>148574.61538694293</v>
      </c>
      <c r="BL11" s="1">
        <v>145329.15212869615</v>
      </c>
      <c r="BM11" s="1">
        <v>143123.98342073546</v>
      </c>
      <c r="BN11" s="1">
        <v>142015.89513058367</v>
      </c>
      <c r="BO11" s="1">
        <v>143894.07123757678</v>
      </c>
      <c r="BP11" s="1">
        <v>146674.3625264733</v>
      </c>
      <c r="BQ11" s="1">
        <v>146477.89419526805</v>
      </c>
      <c r="BR11" s="1">
        <v>146271.61362924258</v>
      </c>
      <c r="BS11" s="1">
        <v>145676.33105828246</v>
      </c>
      <c r="BT11" s="1">
        <v>144666.04161501752</v>
      </c>
      <c r="BU11" s="1">
        <v>146105.76640451397</v>
      </c>
      <c r="BV11" s="1">
        <v>147824.95223051705</v>
      </c>
      <c r="BW11" s="1">
        <v>146938.20947075132</v>
      </c>
      <c r="BX11" s="1">
        <v>145220.8081568394</v>
      </c>
      <c r="BY11" s="1">
        <v>146689.36171388207</v>
      </c>
      <c r="BZ11" s="1">
        <v>148774.86304550292</v>
      </c>
      <c r="CA11" s="1">
        <v>149433.42755217166</v>
      </c>
      <c r="CB11" s="1">
        <v>149600.15154390587</v>
      </c>
      <c r="CC11" s="1">
        <v>148354.56180273602</v>
      </c>
      <c r="CD11" s="1">
        <v>147108.49626973539</v>
      </c>
      <c r="CE11" s="1">
        <v>147103.04241738041</v>
      </c>
      <c r="CF11" s="1">
        <v>147554.41192964325</v>
      </c>
      <c r="CG11" s="1">
        <v>146658.87755246204</v>
      </c>
      <c r="CH11" s="1">
        <v>145646.91126177259</v>
      </c>
      <c r="CI11" s="1">
        <v>146312.35695933132</v>
      </c>
      <c r="CJ11" s="1">
        <v>144197.67347574944</v>
      </c>
      <c r="CK11" s="1">
        <v>147080.62834132611</v>
      </c>
      <c r="CL11" s="1">
        <v>147243.18304661906</v>
      </c>
      <c r="CM11" s="1">
        <v>148523.06095700769</v>
      </c>
      <c r="CN11" s="1">
        <v>147432.95997555088</v>
      </c>
      <c r="CO11" s="1">
        <v>145804.75179493328</v>
      </c>
      <c r="CP11" s="1">
        <v>144622.09327073619</v>
      </c>
      <c r="CQ11" s="1">
        <v>145531.95684980362</v>
      </c>
      <c r="CR11" s="1">
        <v>145134.11136690638</v>
      </c>
      <c r="CS11" s="1">
        <v>144128.80907017228</v>
      </c>
      <c r="CT11" s="1">
        <v>143240.87082041253</v>
      </c>
      <c r="CU11" s="1">
        <v>137828.7350718058</v>
      </c>
      <c r="CV11" s="1">
        <v>141943.90705562616</v>
      </c>
      <c r="CW11" s="1">
        <v>143003.79390446024</v>
      </c>
      <c r="CX11" s="1">
        <v>142827.1514474306</v>
      </c>
      <c r="CY11" s="1">
        <v>142364.73247384571</v>
      </c>
      <c r="CZ11" s="1">
        <v>142450.07228868402</v>
      </c>
      <c r="DA11" s="1">
        <v>142968.50556878746</v>
      </c>
      <c r="DB11" s="1">
        <v>141712.18765589778</v>
      </c>
      <c r="DC11" s="1">
        <v>141216.40940654435</v>
      </c>
      <c r="DD11" s="1">
        <v>142647.20142360535</v>
      </c>
      <c r="DE11" s="1">
        <v>141804.234831977</v>
      </c>
      <c r="DF11" s="1">
        <v>141738.7809623137</v>
      </c>
      <c r="DG11" s="1">
        <v>140812.05134825248</v>
      </c>
      <c r="DH11" s="1">
        <v>139820.65285425202</v>
      </c>
      <c r="DI11" s="1">
        <v>140898.89799669717</v>
      </c>
      <c r="DJ11" s="1">
        <v>142056.30000243708</v>
      </c>
      <c r="DK11" s="1">
        <v>143856.75742593245</v>
      </c>
      <c r="DL11" s="1">
        <v>144740.43873803632</v>
      </c>
      <c r="DM11" s="1">
        <v>146425.38742269791</v>
      </c>
      <c r="DN11" s="1">
        <v>144345.91756037087</v>
      </c>
      <c r="DO11" s="1">
        <v>145395.77992156777</v>
      </c>
      <c r="DP11" s="1">
        <v>147008.82267104794</v>
      </c>
      <c r="DQ11" s="1">
        <v>148271.9136220018</v>
      </c>
      <c r="DR11" s="1">
        <v>148597.58343961954</v>
      </c>
      <c r="DS11" s="1">
        <v>147469.22887314652</v>
      </c>
      <c r="DT11" s="1">
        <v>147898.05848460819</v>
      </c>
      <c r="DU11" s="1">
        <v>146995.25065876119</v>
      </c>
      <c r="DV11" s="1">
        <v>148405.44085115448</v>
      </c>
      <c r="DW11" s="1">
        <v>147958.76113080556</v>
      </c>
      <c r="DX11" s="1">
        <v>148149.10668461327</v>
      </c>
      <c r="DY11" s="1">
        <v>146781.26091570655</v>
      </c>
      <c r="DZ11" s="1">
        <v>146963.04152727933</v>
      </c>
      <c r="EA11" s="1">
        <v>148768.8213160208</v>
      </c>
      <c r="EB11" s="1">
        <v>149542.96512105814</v>
      </c>
      <c r="ED11" s="1">
        <v>148318.45842850977</v>
      </c>
      <c r="EE11" s="1">
        <v>148200.98649319808</v>
      </c>
      <c r="EG11" s="1">
        <v>149134.61835553817</v>
      </c>
      <c r="EH11" s="1">
        <v>149727.8040839223</v>
      </c>
      <c r="EI11" s="1">
        <v>149770.43286637875</v>
      </c>
      <c r="EJ11" s="1">
        <v>150159.91777083348</v>
      </c>
      <c r="EK11" s="1">
        <v>149492.47265148477</v>
      </c>
      <c r="EL11" s="1">
        <v>149628.54826512979</v>
      </c>
      <c r="EM11" s="1">
        <v>150346.23875960341</v>
      </c>
      <c r="EN11" s="1">
        <v>150243.76165470321</v>
      </c>
      <c r="EO11" s="1">
        <v>150104.94174579252</v>
      </c>
      <c r="EP11" s="1">
        <v>146363.1940274486</v>
      </c>
      <c r="EQ11" s="1">
        <v>148830.38460380104</v>
      </c>
      <c r="ER11" s="1">
        <v>151227.72101419815</v>
      </c>
      <c r="ES11" s="1">
        <v>150102.17368758656</v>
      </c>
      <c r="ET11" s="1">
        <v>149112.30178922624</v>
      </c>
      <c r="EU11" s="1">
        <v>148853.68673238379</v>
      </c>
      <c r="EV11" s="1">
        <v>148299.16188142542</v>
      </c>
      <c r="EW11" s="1">
        <v>148346.1375946168</v>
      </c>
      <c r="EX11" s="1">
        <v>149212.67797793762</v>
      </c>
      <c r="EY11" s="1">
        <v>148562.54764775035</v>
      </c>
      <c r="EZ11" s="1">
        <v>149811.41171253548</v>
      </c>
      <c r="FA11" s="1">
        <v>150199.27663919958</v>
      </c>
      <c r="FB11" s="1">
        <v>149111.07306074351</v>
      </c>
      <c r="FC11" s="1">
        <v>148360.7345988513</v>
      </c>
      <c r="FD11" s="1">
        <v>149562.87184221816</v>
      </c>
      <c r="FE11" s="1">
        <v>149206.03045836571</v>
      </c>
      <c r="FF11" s="1">
        <v>148558.49654977562</v>
      </c>
      <c r="FG11" s="1">
        <v>149080.90334058687</v>
      </c>
      <c r="FH11" s="1">
        <v>148533.05150801025</v>
      </c>
      <c r="FI11" s="1">
        <v>146753.1485337656</v>
      </c>
      <c r="FJ11" s="1">
        <v>146898.74752519801</v>
      </c>
      <c r="FK11" s="1">
        <v>148821.15374326363</v>
      </c>
      <c r="FL11" s="1">
        <v>148991.06528259229</v>
      </c>
      <c r="FM11" s="1">
        <v>148294.38984122348</v>
      </c>
      <c r="FN11" s="1">
        <v>147797.79269419005</v>
      </c>
      <c r="FO11" s="1">
        <v>149566.27838364581</v>
      </c>
      <c r="FP11" s="1">
        <v>152670.95962008959</v>
      </c>
      <c r="FQ11" s="1">
        <v>150592.77498690368</v>
      </c>
      <c r="FR11" s="1">
        <v>149360.84887628895</v>
      </c>
      <c r="FS11" s="1">
        <v>149187.58060227535</v>
      </c>
      <c r="FT11" s="1">
        <v>148718.94573597214</v>
      </c>
      <c r="FU11" s="1">
        <v>148668.22740891244</v>
      </c>
      <c r="FV11" s="1">
        <v>148960.2663545229</v>
      </c>
      <c r="FW11" s="1">
        <v>150108.40546631493</v>
      </c>
      <c r="FX11" s="1">
        <v>150773.95169763424</v>
      </c>
      <c r="FY11" s="1">
        <v>150041.82524706208</v>
      </c>
      <c r="FZ11" s="1">
        <v>150802.66989317362</v>
      </c>
      <c r="GA11" s="1">
        <v>148245.65730382071</v>
      </c>
      <c r="GB11" s="1">
        <v>148289.75992316584</v>
      </c>
      <c r="GC11" s="1">
        <v>147544.02125222655</v>
      </c>
      <c r="GD11" s="1">
        <v>146604.32739401321</v>
      </c>
      <c r="GE11" s="1">
        <v>146788.91431669268</v>
      </c>
      <c r="GF11" s="1">
        <v>148453.75835538801</v>
      </c>
      <c r="GG11" s="1">
        <v>148954.2035137479</v>
      </c>
      <c r="GH11" s="1">
        <v>149416.46902634646</v>
      </c>
      <c r="GI11" s="1">
        <v>149953.58134333891</v>
      </c>
      <c r="GJ11" s="1">
        <v>150001.81535141979</v>
      </c>
      <c r="GK11" s="1">
        <v>149880.14232821984</v>
      </c>
      <c r="GL11" s="1">
        <v>151085.95087027462</v>
      </c>
      <c r="GM11" s="1">
        <v>149904.09027848288</v>
      </c>
      <c r="GN11" s="1">
        <v>151005.70577024296</v>
      </c>
      <c r="GO11" s="1">
        <v>147338.30368844757</v>
      </c>
      <c r="GP11" s="1">
        <v>141318.54093774746</v>
      </c>
      <c r="GQ11" s="1">
        <v>142675.75215736625</v>
      </c>
      <c r="GR11" s="1">
        <v>145830.15455156309</v>
      </c>
      <c r="GS11" s="1">
        <v>149157.51816011948</v>
      </c>
      <c r="GT11" s="1">
        <v>150338.41074985941</v>
      </c>
      <c r="GU11" s="1">
        <v>150082.768608199</v>
      </c>
      <c r="GV11" s="1">
        <v>149496.55516874228</v>
      </c>
      <c r="GW11" s="1">
        <v>149553.01637609213</v>
      </c>
      <c r="GX11" s="1">
        <v>149108.07203136355</v>
      </c>
      <c r="GY11" s="1">
        <v>149393.51931609286</v>
      </c>
      <c r="GZ11" s="1">
        <v>150002.54885789199</v>
      </c>
      <c r="HA11" s="1" t="str">
        <f t="shared" ref="GZ11:JH14" si="2">IF(GZ11="","","")</f>
        <v/>
      </c>
      <c r="HB11" s="1" t="str">
        <f t="shared" si="2"/>
        <v/>
      </c>
      <c r="HC11" s="1" t="str">
        <f t="shared" si="2"/>
        <v/>
      </c>
      <c r="HD11" s="1" t="str">
        <f t="shared" si="2"/>
        <v/>
      </c>
      <c r="HE11" s="1" t="str">
        <f t="shared" si="2"/>
        <v/>
      </c>
      <c r="HF11" s="1" t="str">
        <f t="shared" si="2"/>
        <v/>
      </c>
      <c r="HG11" s="1" t="str">
        <f t="shared" si="2"/>
        <v/>
      </c>
      <c r="HH11" s="1" t="str">
        <f t="shared" si="2"/>
        <v/>
      </c>
      <c r="HI11" s="1" t="str">
        <f t="shared" si="2"/>
        <v/>
      </c>
      <c r="HJ11" s="1" t="str">
        <f t="shared" si="2"/>
        <v/>
      </c>
      <c r="HK11" s="1" t="str">
        <f t="shared" si="2"/>
        <v/>
      </c>
      <c r="HL11" s="1" t="str">
        <f t="shared" si="2"/>
        <v/>
      </c>
      <c r="HM11" s="1" t="str">
        <f t="shared" si="2"/>
        <v/>
      </c>
      <c r="HN11" s="1" t="str">
        <f t="shared" si="2"/>
        <v/>
      </c>
      <c r="HO11" s="1" t="str">
        <f t="shared" si="2"/>
        <v/>
      </c>
      <c r="HP11" s="1" t="str">
        <f t="shared" si="2"/>
        <v/>
      </c>
      <c r="HQ11" s="1" t="str">
        <f t="shared" si="2"/>
        <v/>
      </c>
      <c r="HR11" s="1" t="str">
        <f t="shared" si="2"/>
        <v/>
      </c>
      <c r="HS11" s="1" t="str">
        <f t="shared" si="2"/>
        <v/>
      </c>
      <c r="HT11" s="1" t="str">
        <f t="shared" si="2"/>
        <v/>
      </c>
      <c r="HU11" s="1" t="str">
        <f t="shared" si="2"/>
        <v/>
      </c>
      <c r="HV11" s="1" t="str">
        <f t="shared" si="2"/>
        <v/>
      </c>
      <c r="HW11" s="1" t="str">
        <f t="shared" si="2"/>
        <v/>
      </c>
      <c r="HX11" s="1" t="str">
        <f t="shared" si="2"/>
        <v/>
      </c>
      <c r="HY11" s="1" t="str">
        <f t="shared" si="2"/>
        <v/>
      </c>
      <c r="HZ11" s="1" t="str">
        <f t="shared" si="2"/>
        <v/>
      </c>
      <c r="IA11" s="1" t="str">
        <f t="shared" si="2"/>
        <v/>
      </c>
      <c r="IB11" s="1" t="str">
        <f t="shared" si="2"/>
        <v/>
      </c>
      <c r="IC11" s="1" t="str">
        <f t="shared" si="2"/>
        <v/>
      </c>
      <c r="ID11" s="1" t="str">
        <f t="shared" si="2"/>
        <v/>
      </c>
      <c r="IE11" s="1" t="str">
        <f t="shared" si="2"/>
        <v/>
      </c>
      <c r="IF11" s="1" t="str">
        <f t="shared" si="2"/>
        <v/>
      </c>
      <c r="IG11" s="1" t="str">
        <f t="shared" si="2"/>
        <v/>
      </c>
      <c r="IH11" s="1" t="str">
        <f t="shared" si="2"/>
        <v/>
      </c>
      <c r="II11" s="1" t="str">
        <f t="shared" si="2"/>
        <v/>
      </c>
      <c r="IJ11" s="1" t="str">
        <f t="shared" si="2"/>
        <v/>
      </c>
      <c r="IK11" s="1" t="str">
        <f t="shared" si="2"/>
        <v/>
      </c>
      <c r="IL11" s="1" t="str">
        <f t="shared" si="2"/>
        <v/>
      </c>
      <c r="IM11" s="1" t="str">
        <f t="shared" si="2"/>
        <v/>
      </c>
      <c r="IN11" s="1" t="str">
        <f t="shared" si="2"/>
        <v/>
      </c>
      <c r="IO11" s="1" t="str">
        <f t="shared" si="2"/>
        <v/>
      </c>
      <c r="IP11" s="1" t="str">
        <f t="shared" si="2"/>
        <v/>
      </c>
      <c r="IQ11" s="1" t="str">
        <f t="shared" si="2"/>
        <v/>
      </c>
      <c r="IR11" s="1" t="str">
        <f t="shared" si="2"/>
        <v/>
      </c>
      <c r="IS11" s="1" t="str">
        <f t="shared" si="2"/>
        <v/>
      </c>
      <c r="IT11" s="1" t="str">
        <f t="shared" si="2"/>
        <v/>
      </c>
      <c r="IU11" s="1" t="str">
        <f t="shared" si="2"/>
        <v/>
      </c>
      <c r="IV11" s="1" t="str">
        <f t="shared" si="2"/>
        <v/>
      </c>
      <c r="IW11" s="1" t="str">
        <f t="shared" si="2"/>
        <v/>
      </c>
      <c r="IX11" s="1" t="str">
        <f t="shared" si="2"/>
        <v/>
      </c>
      <c r="IY11" s="1" t="str">
        <f t="shared" si="2"/>
        <v/>
      </c>
      <c r="IZ11" s="1" t="str">
        <f t="shared" si="2"/>
        <v/>
      </c>
      <c r="JA11" s="1" t="str">
        <f t="shared" si="2"/>
        <v/>
      </c>
      <c r="JB11" s="1" t="str">
        <f t="shared" si="2"/>
        <v/>
      </c>
      <c r="JC11" s="1" t="str">
        <f t="shared" si="2"/>
        <v/>
      </c>
      <c r="JD11" s="1" t="str">
        <f t="shared" si="2"/>
        <v/>
      </c>
      <c r="JE11" s="1" t="str">
        <f t="shared" si="2"/>
        <v/>
      </c>
      <c r="JF11" s="1" t="str">
        <f t="shared" si="2"/>
        <v/>
      </c>
      <c r="JG11" s="1" t="str">
        <f t="shared" si="2"/>
        <v/>
      </c>
      <c r="JH11" s="1" t="str">
        <f t="shared" si="2"/>
        <v/>
      </c>
      <c r="LY11" s="1"/>
    </row>
    <row r="12" spans="1:337" x14ac:dyDescent="0.25">
      <c r="A12" s="5">
        <v>10</v>
      </c>
      <c r="B12" s="1">
        <v>144282.27872260267</v>
      </c>
      <c r="C12" s="1">
        <v>145462.4508234614</v>
      </c>
      <c r="D12" s="1">
        <v>145153.6023871967</v>
      </c>
      <c r="E12" s="1">
        <v>145183.41356032266</v>
      </c>
      <c r="F12" s="1">
        <v>145565.86330914928</v>
      </c>
      <c r="G12" s="1">
        <v>146651.41062666225</v>
      </c>
      <c r="H12" s="1">
        <v>147854.69915155414</v>
      </c>
      <c r="I12" s="1">
        <v>148778.09880414692</v>
      </c>
      <c r="J12" s="1">
        <v>149255.4931675377</v>
      </c>
      <c r="K12" s="1">
        <v>149873.86451570768</v>
      </c>
      <c r="L12" s="1">
        <v>149991.56064250076</v>
      </c>
      <c r="M12" s="1">
        <v>149967.86633124831</v>
      </c>
      <c r="N12" s="1">
        <v>150661.77620046708</v>
      </c>
      <c r="O12" s="1">
        <v>152117.35256653567</v>
      </c>
      <c r="P12" s="1">
        <v>152230.60213392973</v>
      </c>
      <c r="Q12" s="1">
        <v>151712.52664503438</v>
      </c>
      <c r="R12" s="1">
        <v>152028.73207440902</v>
      </c>
      <c r="S12" s="1">
        <v>152230.68096455204</v>
      </c>
      <c r="T12" s="1">
        <v>152753.71736432769</v>
      </c>
      <c r="U12" s="1">
        <v>153216.21132088389</v>
      </c>
      <c r="V12" s="1">
        <v>153560.79718580015</v>
      </c>
      <c r="W12" s="1">
        <v>153908.92042260233</v>
      </c>
      <c r="X12" s="1">
        <v>154138.48649413727</v>
      </c>
      <c r="Y12" s="1">
        <v>153712.55643189859</v>
      </c>
      <c r="Z12" s="1">
        <v>154292.94811557315</v>
      </c>
      <c r="AA12" s="1">
        <v>155161.18996544817</v>
      </c>
      <c r="AB12" s="1">
        <v>155815.60598448347</v>
      </c>
      <c r="AC12" s="1">
        <v>155425.17719345519</v>
      </c>
      <c r="AD12" s="1">
        <v>155875.4280815644</v>
      </c>
      <c r="AE12" s="1">
        <v>156670.54956602197</v>
      </c>
      <c r="AF12" s="1">
        <v>157466.47649230866</v>
      </c>
      <c r="AG12" s="1">
        <v>158263.70766302611</v>
      </c>
      <c r="AH12" s="1">
        <v>158565.03019802304</v>
      </c>
      <c r="AI12" s="1">
        <v>159219.31654775678</v>
      </c>
      <c r="AJ12" s="1">
        <v>159699.21047202783</v>
      </c>
      <c r="AK12" s="1">
        <v>159950.55537843032</v>
      </c>
      <c r="AL12" s="1">
        <v>160926.85239923029</v>
      </c>
      <c r="AM12" s="1">
        <v>161745.8892188305</v>
      </c>
      <c r="AN12" s="1">
        <v>163173.8318621073</v>
      </c>
      <c r="AO12" s="1">
        <v>164053.70094625276</v>
      </c>
      <c r="AP12" s="1">
        <v>164629.56763773639</v>
      </c>
      <c r="AQ12" s="1">
        <v>165551.58709029504</v>
      </c>
      <c r="AR12" s="1">
        <v>166934.34639841432</v>
      </c>
      <c r="AS12" s="1">
        <v>168458.11703215769</v>
      </c>
      <c r="AT12" s="1">
        <v>169444.40593965934</v>
      </c>
      <c r="AU12" s="1">
        <v>170390.93110566481</v>
      </c>
      <c r="AV12" s="1">
        <v>171327.1474577336</v>
      </c>
      <c r="AW12" s="1">
        <v>171733.67666127929</v>
      </c>
      <c r="AX12" s="1">
        <v>171022.43428005138</v>
      </c>
      <c r="AY12" s="1">
        <v>170103.73215923604</v>
      </c>
      <c r="AZ12" s="1">
        <v>168839.82081426354</v>
      </c>
      <c r="BA12" s="1">
        <v>167852.76528362988</v>
      </c>
      <c r="BB12" s="1">
        <v>165574.78276697823</v>
      </c>
      <c r="BC12" s="1">
        <v>161401.63815636229</v>
      </c>
      <c r="BD12" s="1">
        <v>161911.25729211234</v>
      </c>
      <c r="BE12" s="1">
        <v>161352.20722532395</v>
      </c>
      <c r="BF12" s="1">
        <v>160334.17313479254</v>
      </c>
      <c r="BG12" s="1">
        <v>159467.53748540848</v>
      </c>
      <c r="BH12" s="1">
        <v>156280.52020578863</v>
      </c>
      <c r="BI12" s="1">
        <v>153446.32520402846</v>
      </c>
      <c r="BJ12" s="1">
        <v>149052.56079977</v>
      </c>
      <c r="BK12" s="1">
        <v>147283.62816593648</v>
      </c>
      <c r="BL12" s="1">
        <v>143786.134398586</v>
      </c>
      <c r="BM12" s="1">
        <v>141061.92663461849</v>
      </c>
      <c r="BN12" s="1">
        <v>140496.1414936872</v>
      </c>
      <c r="BO12" s="1">
        <v>142992.86657896027</v>
      </c>
      <c r="BP12" s="1">
        <v>145989.27663750321</v>
      </c>
      <c r="BQ12" s="1">
        <v>145968.74437170307</v>
      </c>
      <c r="BR12" s="1">
        <v>145845.04852939525</v>
      </c>
      <c r="BS12" s="1">
        <v>145018.53249211051</v>
      </c>
      <c r="BT12" s="1">
        <v>143979.54931943998</v>
      </c>
      <c r="BU12" s="1">
        <v>145467.01602125197</v>
      </c>
      <c r="BV12" s="1">
        <v>147358.18010759249</v>
      </c>
      <c r="BW12" s="1">
        <v>146618.80934409707</v>
      </c>
      <c r="BX12" s="1">
        <v>144807.8594630874</v>
      </c>
      <c r="BY12" s="1">
        <v>146232.16664696942</v>
      </c>
      <c r="BZ12" s="1">
        <v>148644.36839787819</v>
      </c>
      <c r="CA12" s="1">
        <v>149719.01890415759</v>
      </c>
      <c r="CB12" s="1">
        <v>149972.47027651375</v>
      </c>
      <c r="CC12" s="1">
        <v>148539.21800749487</v>
      </c>
      <c r="CD12" s="1">
        <v>147317.14574643131</v>
      </c>
      <c r="CE12" s="1">
        <v>147058.50451518822</v>
      </c>
      <c r="CF12" s="1">
        <v>147372.02434077184</v>
      </c>
      <c r="CG12" s="1">
        <v>146432.36399028677</v>
      </c>
      <c r="CH12" s="1">
        <v>145325.23315322201</v>
      </c>
      <c r="CI12" s="1">
        <v>146125.70834213306</v>
      </c>
      <c r="CJ12" s="1">
        <v>143901.54069812142</v>
      </c>
      <c r="CK12" s="1">
        <v>146796.62505781185</v>
      </c>
      <c r="CL12" s="1">
        <v>147093.54631311033</v>
      </c>
      <c r="CM12" s="1">
        <v>148819.32214281562</v>
      </c>
      <c r="CN12" s="1">
        <v>147757.6756720221</v>
      </c>
      <c r="CO12" s="1">
        <v>146071.74368860619</v>
      </c>
      <c r="CP12" s="1">
        <v>144719.61693728238</v>
      </c>
      <c r="CQ12" s="1">
        <v>145439.61425461018</v>
      </c>
      <c r="CR12" s="1">
        <v>144783.43060044202</v>
      </c>
      <c r="CS12" s="1">
        <v>143849.14152329107</v>
      </c>
      <c r="CT12" s="1">
        <v>142827.53805564012</v>
      </c>
      <c r="CU12" s="1">
        <v>137197.8715308829</v>
      </c>
      <c r="CV12" s="1">
        <v>141470.23963493848</v>
      </c>
      <c r="CW12" s="1">
        <v>142254.74705764168</v>
      </c>
      <c r="CX12" s="1">
        <v>142522.88297701621</v>
      </c>
      <c r="CY12" s="1">
        <v>142531.72440265806</v>
      </c>
      <c r="CZ12" s="1">
        <v>142605.74244653492</v>
      </c>
      <c r="DA12" s="1">
        <v>143221.18731714957</v>
      </c>
      <c r="DB12" s="1">
        <v>141703.2534238745</v>
      </c>
      <c r="DC12" s="1">
        <v>141071.83743504932</v>
      </c>
      <c r="DD12" s="1">
        <v>142242.93714493758</v>
      </c>
      <c r="DE12" s="1">
        <v>141393.13574004802</v>
      </c>
      <c r="DF12" s="1">
        <v>141489.57593834284</v>
      </c>
      <c r="DG12" s="1">
        <v>140499.0406234109</v>
      </c>
      <c r="DH12" s="1">
        <v>139377.74003637285</v>
      </c>
      <c r="DI12" s="1">
        <v>140363.06373468286</v>
      </c>
      <c r="DJ12" s="1">
        <v>141898.24798684704</v>
      </c>
      <c r="DK12" s="1">
        <v>144403.84413551481</v>
      </c>
      <c r="DL12" s="1">
        <v>145506.69513786744</v>
      </c>
      <c r="DM12" s="1">
        <v>147339.47280022706</v>
      </c>
      <c r="DN12" s="1">
        <v>144894.97784340769</v>
      </c>
      <c r="DO12" s="1">
        <v>145849.02216048393</v>
      </c>
      <c r="DP12" s="1">
        <v>147055.22238736469</v>
      </c>
      <c r="DQ12" s="1">
        <v>148515.16006694169</v>
      </c>
      <c r="DR12" s="1">
        <v>148988.23025412767</v>
      </c>
      <c r="DS12" s="1">
        <v>147799.991672181</v>
      </c>
      <c r="DT12" s="1">
        <v>148168.81435344843</v>
      </c>
      <c r="DU12" s="1">
        <v>146435.35773852046</v>
      </c>
      <c r="DV12" s="1">
        <v>148513.26787855389</v>
      </c>
      <c r="DW12" s="1">
        <v>148583.43479020172</v>
      </c>
      <c r="DX12" s="1">
        <v>148851.51305098977</v>
      </c>
      <c r="DY12" s="1">
        <v>147268.07666947177</v>
      </c>
      <c r="DZ12" s="1">
        <v>147458.52012314118</v>
      </c>
      <c r="EA12" s="1">
        <v>148950.65198944492</v>
      </c>
      <c r="EB12" s="1">
        <v>149397.33675139269</v>
      </c>
      <c r="ED12" s="1">
        <v>148345.80426325646</v>
      </c>
      <c r="EE12" s="1">
        <v>148274.50794035842</v>
      </c>
      <c r="EG12" s="1">
        <v>148570.75680360408</v>
      </c>
      <c r="EH12" s="1">
        <v>149702.49401119479</v>
      </c>
      <c r="EI12" s="1">
        <v>150398.43305826018</v>
      </c>
      <c r="EJ12" s="1">
        <v>150848.56261252897</v>
      </c>
      <c r="EK12" s="1">
        <v>150207.18377146591</v>
      </c>
      <c r="EL12" s="1">
        <v>150252.7067210571</v>
      </c>
      <c r="EM12" s="1">
        <v>150562.56914106887</v>
      </c>
      <c r="EN12" s="1">
        <v>149925.33923175739</v>
      </c>
      <c r="EO12" s="1">
        <v>149953.23902574173</v>
      </c>
      <c r="EP12" s="1">
        <v>146125.83086912782</v>
      </c>
      <c r="EQ12" s="1">
        <v>148842.21406754758</v>
      </c>
      <c r="ER12" s="1">
        <v>151137.9321425354</v>
      </c>
      <c r="ES12" s="1">
        <v>149379.04821582916</v>
      </c>
      <c r="ET12" s="1">
        <v>149086.17944574112</v>
      </c>
      <c r="EU12" s="1">
        <v>149237.66565770929</v>
      </c>
      <c r="EV12" s="1">
        <v>148749.12618129674</v>
      </c>
      <c r="EW12" s="1">
        <v>148858.66033146778</v>
      </c>
      <c r="EX12" s="1">
        <v>149674.05171018257</v>
      </c>
      <c r="EY12" s="1">
        <v>148550.00850790594</v>
      </c>
      <c r="EZ12" s="1">
        <v>149333.13605360012</v>
      </c>
      <c r="FA12" s="1">
        <v>150005.34090506649</v>
      </c>
      <c r="FB12" s="1">
        <v>149056.40221452567</v>
      </c>
      <c r="FC12" s="1">
        <v>148302.17892776855</v>
      </c>
      <c r="FD12" s="1">
        <v>149213.72295637944</v>
      </c>
      <c r="FE12" s="1">
        <v>148488.10636694153</v>
      </c>
      <c r="FF12" s="1">
        <v>148533.64374533633</v>
      </c>
      <c r="FG12" s="1">
        <v>149459.7204584846</v>
      </c>
      <c r="FH12" s="1">
        <v>149015.98990108582</v>
      </c>
      <c r="FI12" s="1">
        <v>147178.32336260664</v>
      </c>
      <c r="FJ12" s="1">
        <v>147132.91304271127</v>
      </c>
      <c r="FK12" s="1">
        <v>148799.58105427629</v>
      </c>
      <c r="FL12" s="1">
        <v>148511.80318638234</v>
      </c>
      <c r="FM12" s="1">
        <v>148017.99626354768</v>
      </c>
      <c r="FN12" s="1">
        <v>147676.53106491113</v>
      </c>
      <c r="FO12" s="1">
        <v>149632.23757309132</v>
      </c>
      <c r="FP12" s="1">
        <v>152655.09871943065</v>
      </c>
      <c r="FQ12" s="1">
        <v>150175.28452977043</v>
      </c>
      <c r="FR12" s="1">
        <v>149350.17716083647</v>
      </c>
      <c r="FS12" s="1">
        <v>149605.53916497025</v>
      </c>
      <c r="FT12" s="1">
        <v>149188.88731331276</v>
      </c>
      <c r="FU12" s="1">
        <v>149228.86520207609</v>
      </c>
      <c r="FV12" s="1">
        <v>149276.54524830857</v>
      </c>
      <c r="FW12" s="1">
        <v>149973.47237902804</v>
      </c>
      <c r="FX12" s="1">
        <v>150300.32260622038</v>
      </c>
      <c r="FY12" s="1">
        <v>149867.25237298437</v>
      </c>
      <c r="FZ12" s="1">
        <v>150898.68993651104</v>
      </c>
      <c r="GA12" s="1">
        <v>148089.5405890407</v>
      </c>
      <c r="GB12" s="1">
        <v>148092.16384539939</v>
      </c>
      <c r="GC12" s="1">
        <v>146813.22400373628</v>
      </c>
      <c r="GD12" s="1">
        <v>146485.67893247952</v>
      </c>
      <c r="GE12" s="1">
        <v>146995.04947219658</v>
      </c>
      <c r="GF12" s="1">
        <v>148893.67348588214</v>
      </c>
      <c r="GG12" s="1">
        <v>149545.17076577048</v>
      </c>
      <c r="GH12" s="1">
        <v>149896.1182832043</v>
      </c>
      <c r="GI12" s="1">
        <v>149910.61995374804</v>
      </c>
      <c r="GJ12" s="1">
        <v>149541.42080392878</v>
      </c>
      <c r="GK12" s="1">
        <v>149729.95286342001</v>
      </c>
      <c r="GL12" s="1">
        <v>151244.80293513235</v>
      </c>
      <c r="GM12" s="1">
        <v>149937.95301675724</v>
      </c>
      <c r="GN12" s="1">
        <v>150881.27500070102</v>
      </c>
      <c r="GO12" s="1">
        <v>146576.1176470127</v>
      </c>
      <c r="GP12" s="1">
        <v>140979.47596567759</v>
      </c>
      <c r="GQ12" s="1">
        <v>142467.41986803402</v>
      </c>
      <c r="GR12" s="1">
        <v>145925.58914806152</v>
      </c>
      <c r="GS12" s="1">
        <v>149589.80533636108</v>
      </c>
      <c r="GT12" s="1">
        <v>151213.725704646</v>
      </c>
      <c r="GU12" s="1">
        <v>150190.98183954964</v>
      </c>
      <c r="GV12" s="1">
        <v>149383.81225507893</v>
      </c>
      <c r="GW12" s="1">
        <v>149419.20317261049</v>
      </c>
      <c r="GX12" s="1">
        <v>149181.09843531821</v>
      </c>
      <c r="GY12" s="1">
        <v>149382.54746567889</v>
      </c>
      <c r="GZ12" s="1">
        <v>149911.054747566</v>
      </c>
      <c r="HA12" s="1" t="str">
        <f t="shared" si="2"/>
        <v/>
      </c>
      <c r="HB12" s="1" t="str">
        <f t="shared" si="2"/>
        <v/>
      </c>
      <c r="HC12" s="1" t="str">
        <f t="shared" si="2"/>
        <v/>
      </c>
      <c r="HD12" s="1" t="str">
        <f t="shared" si="2"/>
        <v/>
      </c>
      <c r="HE12" s="1" t="str">
        <f t="shared" si="2"/>
        <v/>
      </c>
      <c r="HF12" s="1" t="str">
        <f t="shared" si="2"/>
        <v/>
      </c>
      <c r="HG12" s="1" t="str">
        <f t="shared" si="2"/>
        <v/>
      </c>
      <c r="HH12" s="1" t="str">
        <f t="shared" si="2"/>
        <v/>
      </c>
      <c r="HI12" s="1" t="str">
        <f t="shared" si="2"/>
        <v/>
      </c>
      <c r="HJ12" s="1" t="str">
        <f t="shared" si="2"/>
        <v/>
      </c>
      <c r="HK12" s="1" t="str">
        <f t="shared" si="2"/>
        <v/>
      </c>
      <c r="HL12" s="1" t="str">
        <f t="shared" si="2"/>
        <v/>
      </c>
      <c r="HM12" s="1" t="str">
        <f t="shared" si="2"/>
        <v/>
      </c>
      <c r="HN12" s="1" t="str">
        <f t="shared" si="2"/>
        <v/>
      </c>
      <c r="HO12" s="1" t="str">
        <f t="shared" si="2"/>
        <v/>
      </c>
      <c r="HP12" s="1" t="str">
        <f t="shared" si="2"/>
        <v/>
      </c>
      <c r="HQ12" s="1" t="str">
        <f t="shared" si="2"/>
        <v/>
      </c>
      <c r="HR12" s="1" t="str">
        <f t="shared" si="2"/>
        <v/>
      </c>
      <c r="HS12" s="1" t="str">
        <f t="shared" si="2"/>
        <v/>
      </c>
      <c r="HT12" s="1" t="str">
        <f t="shared" si="2"/>
        <v/>
      </c>
      <c r="HU12" s="1" t="str">
        <f t="shared" si="2"/>
        <v/>
      </c>
      <c r="HV12" s="1" t="str">
        <f t="shared" si="2"/>
        <v/>
      </c>
      <c r="HW12" s="1" t="str">
        <f t="shared" si="2"/>
        <v/>
      </c>
      <c r="HX12" s="1" t="str">
        <f t="shared" si="2"/>
        <v/>
      </c>
      <c r="HY12" s="1" t="str">
        <f t="shared" si="2"/>
        <v/>
      </c>
      <c r="HZ12" s="1" t="str">
        <f t="shared" si="2"/>
        <v/>
      </c>
      <c r="IA12" s="1" t="str">
        <f t="shared" si="2"/>
        <v/>
      </c>
      <c r="IB12" s="1" t="str">
        <f t="shared" si="2"/>
        <v/>
      </c>
      <c r="IC12" s="1" t="str">
        <f t="shared" si="2"/>
        <v/>
      </c>
      <c r="ID12" s="1" t="str">
        <f t="shared" si="2"/>
        <v/>
      </c>
      <c r="IE12" s="1" t="str">
        <f t="shared" si="2"/>
        <v/>
      </c>
      <c r="IF12" s="1" t="str">
        <f t="shared" si="2"/>
        <v/>
      </c>
      <c r="IG12" s="1" t="str">
        <f t="shared" si="2"/>
        <v/>
      </c>
      <c r="IH12" s="1" t="str">
        <f t="shared" si="2"/>
        <v/>
      </c>
      <c r="II12" s="1" t="str">
        <f t="shared" si="2"/>
        <v/>
      </c>
      <c r="IJ12" s="1" t="str">
        <f t="shared" si="2"/>
        <v/>
      </c>
      <c r="IK12" s="1" t="str">
        <f t="shared" si="2"/>
        <v/>
      </c>
      <c r="IL12" s="1" t="str">
        <f t="shared" si="2"/>
        <v/>
      </c>
      <c r="IM12" s="1" t="str">
        <f t="shared" si="2"/>
        <v/>
      </c>
      <c r="IN12" s="1" t="str">
        <f t="shared" si="2"/>
        <v/>
      </c>
      <c r="IO12" s="1" t="str">
        <f t="shared" si="2"/>
        <v/>
      </c>
      <c r="IP12" s="1" t="str">
        <f t="shared" si="2"/>
        <v/>
      </c>
      <c r="IQ12" s="1" t="str">
        <f t="shared" si="2"/>
        <v/>
      </c>
      <c r="IR12" s="1" t="str">
        <f t="shared" si="2"/>
        <v/>
      </c>
      <c r="IS12" s="1" t="str">
        <f t="shared" si="2"/>
        <v/>
      </c>
      <c r="IT12" s="1" t="str">
        <f t="shared" si="2"/>
        <v/>
      </c>
      <c r="IU12" s="1" t="str">
        <f t="shared" si="2"/>
        <v/>
      </c>
      <c r="IV12" s="1" t="str">
        <f t="shared" si="2"/>
        <v/>
      </c>
      <c r="IW12" s="1" t="str">
        <f t="shared" si="2"/>
        <v/>
      </c>
      <c r="IX12" s="1" t="str">
        <f t="shared" si="2"/>
        <v/>
      </c>
      <c r="IY12" s="1" t="str">
        <f t="shared" si="2"/>
        <v/>
      </c>
      <c r="IZ12" s="1" t="str">
        <f t="shared" si="2"/>
        <v/>
      </c>
      <c r="JA12" s="1" t="str">
        <f t="shared" si="2"/>
        <v/>
      </c>
      <c r="JB12" s="1" t="str">
        <f t="shared" si="2"/>
        <v/>
      </c>
      <c r="JC12" s="1" t="str">
        <f t="shared" si="2"/>
        <v/>
      </c>
      <c r="JD12" s="1" t="str">
        <f t="shared" si="2"/>
        <v/>
      </c>
      <c r="JE12" s="1" t="str">
        <f t="shared" si="2"/>
        <v/>
      </c>
      <c r="JF12" s="1" t="str">
        <f t="shared" si="2"/>
        <v/>
      </c>
      <c r="JG12" s="1" t="str">
        <f t="shared" si="2"/>
        <v/>
      </c>
      <c r="JH12" s="1" t="str">
        <f t="shared" si="2"/>
        <v/>
      </c>
      <c r="LY12" s="1"/>
    </row>
    <row r="13" spans="1:337" x14ac:dyDescent="0.25">
      <c r="A13" s="5">
        <v>11</v>
      </c>
      <c r="B13" s="1">
        <v>144866.02890107932</v>
      </c>
      <c r="C13" s="1">
        <v>145764.68800930807</v>
      </c>
      <c r="D13" s="1">
        <v>144882.95761077321</v>
      </c>
      <c r="E13" s="1">
        <v>145713.48023466615</v>
      </c>
      <c r="F13" s="1">
        <v>146348.69182601036</v>
      </c>
      <c r="G13" s="1">
        <v>147450.25173264137</v>
      </c>
      <c r="H13" s="1">
        <v>148622.62366798686</v>
      </c>
      <c r="I13" s="1">
        <v>149372.28779817952</v>
      </c>
      <c r="J13" s="1">
        <v>149767.74138500093</v>
      </c>
      <c r="K13" s="1">
        <v>150250.6069855814</v>
      </c>
      <c r="L13" s="1">
        <v>150074.96971229446</v>
      </c>
      <c r="M13" s="1">
        <v>150267.93741999904</v>
      </c>
      <c r="N13" s="1">
        <v>151334.57259335316</v>
      </c>
      <c r="O13" s="1">
        <v>152493.52178750804</v>
      </c>
      <c r="P13" s="1">
        <v>152146.63893254386</v>
      </c>
      <c r="Q13" s="1">
        <v>152246.69294508453</v>
      </c>
      <c r="R13" s="1">
        <v>152778.49823768926</v>
      </c>
      <c r="S13" s="1">
        <v>153005.60326039186</v>
      </c>
      <c r="T13" s="1">
        <v>153411.31567244217</v>
      </c>
      <c r="U13" s="1">
        <v>153756.00596879266</v>
      </c>
      <c r="V13" s="1">
        <v>153949.57573495107</v>
      </c>
      <c r="W13" s="1">
        <v>154102.0093534828</v>
      </c>
      <c r="X13" s="1">
        <v>154137.6298958027</v>
      </c>
      <c r="Y13" s="1">
        <v>153961.20466875489</v>
      </c>
      <c r="Z13" s="1">
        <v>154782.69181474892</v>
      </c>
      <c r="AA13" s="1">
        <v>155436.57127612893</v>
      </c>
      <c r="AB13" s="1">
        <v>155744.76332316393</v>
      </c>
      <c r="AC13" s="1">
        <v>155908.96390239496</v>
      </c>
      <c r="AD13" s="1">
        <v>156570.4864511987</v>
      </c>
      <c r="AE13" s="1">
        <v>157402.57879080117</v>
      </c>
      <c r="AF13" s="1">
        <v>158092.52703544969</v>
      </c>
      <c r="AG13" s="1">
        <v>158861.95916860542</v>
      </c>
      <c r="AH13" s="1">
        <v>159029.05654422395</v>
      </c>
      <c r="AI13" s="1">
        <v>159419.72913891444</v>
      </c>
      <c r="AJ13" s="1">
        <v>159802.46113704506</v>
      </c>
      <c r="AK13" s="1">
        <v>160357.49471519023</v>
      </c>
      <c r="AL13" s="1">
        <v>161552.29002802045</v>
      </c>
      <c r="AM13" s="1">
        <v>162274.15635107382</v>
      </c>
      <c r="AN13" s="1">
        <v>163292.31917166238</v>
      </c>
      <c r="AO13" s="1">
        <v>164873.86028464793</v>
      </c>
      <c r="AP13" s="1">
        <v>165661.84992429658</v>
      </c>
      <c r="AQ13" s="1">
        <v>166495.7124600411</v>
      </c>
      <c r="AR13" s="1">
        <v>167898.53780769708</v>
      </c>
      <c r="AS13" s="1">
        <v>169414.76482891291</v>
      </c>
      <c r="AT13" s="1">
        <v>170257.72661661776</v>
      </c>
      <c r="AU13" s="1">
        <v>170954.23620499845</v>
      </c>
      <c r="AV13" s="1">
        <v>171861.7472817871</v>
      </c>
      <c r="AW13" s="1">
        <v>172378.85389309196</v>
      </c>
      <c r="AX13" s="1">
        <v>171769.87447350673</v>
      </c>
      <c r="AY13" s="1">
        <v>170458.46742340171</v>
      </c>
      <c r="AZ13" s="1">
        <v>168862.10241942378</v>
      </c>
      <c r="BA13" s="1">
        <v>168171.34427918954</v>
      </c>
      <c r="BB13" s="1">
        <v>166085.70726862695</v>
      </c>
      <c r="BC13" s="1">
        <v>161193.3830669098</v>
      </c>
      <c r="BD13" s="1">
        <v>161854.68066702137</v>
      </c>
      <c r="BE13" s="1">
        <v>161218.03061357391</v>
      </c>
      <c r="BF13" s="1">
        <v>159951.70049483952</v>
      </c>
      <c r="BG13" s="1">
        <v>158979.48797519191</v>
      </c>
      <c r="BH13" s="1">
        <v>155476.56610028073</v>
      </c>
      <c r="BI13" s="1">
        <v>152590.98070951249</v>
      </c>
      <c r="BJ13" s="1">
        <v>147798.20003418691</v>
      </c>
      <c r="BK13" s="1">
        <v>145902.5446969606</v>
      </c>
      <c r="BL13" s="1">
        <v>141742.97082832956</v>
      </c>
      <c r="BM13" s="1">
        <v>139434.0488005587</v>
      </c>
      <c r="BN13" s="1">
        <v>139192.65721853316</v>
      </c>
      <c r="BO13" s="1">
        <v>141948.27861491605</v>
      </c>
      <c r="BP13" s="1">
        <v>145373.45435100398</v>
      </c>
      <c r="BQ13" s="1">
        <v>145562.42154718298</v>
      </c>
      <c r="BR13" s="1">
        <v>145384.5938962535</v>
      </c>
      <c r="BS13" s="1">
        <v>144233.96784575103</v>
      </c>
      <c r="BT13" s="1">
        <v>143233.47946121177</v>
      </c>
      <c r="BU13" s="1">
        <v>144908.31374619371</v>
      </c>
      <c r="BV13" s="1">
        <v>147063.97121983487</v>
      </c>
      <c r="BW13" s="1">
        <v>146251.44103628607</v>
      </c>
      <c r="BX13" s="1">
        <v>143875.23643954721</v>
      </c>
      <c r="BY13" s="1">
        <v>145894.72485578764</v>
      </c>
      <c r="BZ13" s="1">
        <v>148737.03464390809</v>
      </c>
      <c r="CA13" s="1">
        <v>149882.19568099995</v>
      </c>
      <c r="CB13" s="1">
        <v>150273.44745542706</v>
      </c>
      <c r="CC13" s="1">
        <v>148761.31628744595</v>
      </c>
      <c r="CD13" s="1">
        <v>147317.79558253405</v>
      </c>
      <c r="CE13" s="1">
        <v>146874.01923272855</v>
      </c>
      <c r="CF13" s="1">
        <v>147161.23734287953</v>
      </c>
      <c r="CG13" s="1">
        <v>146227.63740908619</v>
      </c>
      <c r="CH13" s="1">
        <v>145121.08022299135</v>
      </c>
      <c r="CI13" s="1">
        <v>145855.90529186395</v>
      </c>
      <c r="CJ13" s="1">
        <v>143454.69662542472</v>
      </c>
      <c r="CK13" s="1">
        <v>146612.60487272128</v>
      </c>
      <c r="CL13" s="1">
        <v>147278.57921133758</v>
      </c>
      <c r="CM13" s="1">
        <v>149091.98952069413</v>
      </c>
      <c r="CN13" s="1">
        <v>148214.89003998504</v>
      </c>
      <c r="CO13" s="1">
        <v>146309.85179507075</v>
      </c>
      <c r="CP13" s="1">
        <v>144590.15485179712</v>
      </c>
      <c r="CQ13" s="1">
        <v>145214.95512528426</v>
      </c>
      <c r="CR13" s="1">
        <v>144555.32258007527</v>
      </c>
      <c r="CS13" s="1">
        <v>143454.8183235476</v>
      </c>
      <c r="CT13" s="1">
        <v>142399.62908727938</v>
      </c>
      <c r="CU13" s="1">
        <v>136526.16525020258</v>
      </c>
      <c r="CV13" s="1">
        <v>140691.94536031422</v>
      </c>
      <c r="CW13" s="1">
        <v>141855.81050936517</v>
      </c>
      <c r="CX13" s="1">
        <v>142669.85268882505</v>
      </c>
      <c r="CY13" s="1">
        <v>142704.04543631693</v>
      </c>
      <c r="CZ13" s="1">
        <v>142826.72291159938</v>
      </c>
      <c r="DA13" s="1">
        <v>143413.08056189094</v>
      </c>
      <c r="DB13" s="1">
        <v>141589.69704592359</v>
      </c>
      <c r="DC13" s="1">
        <v>140528.11478496896</v>
      </c>
      <c r="DD13" s="1">
        <v>141853.02249129687</v>
      </c>
      <c r="DE13" s="1">
        <v>141092.98055357655</v>
      </c>
      <c r="DF13" s="1">
        <v>141287.70896962349</v>
      </c>
      <c r="DG13" s="1">
        <v>140137.53684410424</v>
      </c>
      <c r="DH13" s="1">
        <v>138505.74240740674</v>
      </c>
      <c r="DI13" s="1">
        <v>139934.50355721661</v>
      </c>
      <c r="DJ13" s="1">
        <v>142279.74785486568</v>
      </c>
      <c r="DK13" s="1">
        <v>145000.84649874846</v>
      </c>
      <c r="DL13" s="1">
        <v>146516.41408734114</v>
      </c>
      <c r="DM13" s="1">
        <v>148220.41087574064</v>
      </c>
      <c r="DN13" s="1">
        <v>145297.5037189541</v>
      </c>
      <c r="DO13" s="1">
        <v>145756.03322290818</v>
      </c>
      <c r="DP13" s="1">
        <v>147211.66016600528</v>
      </c>
      <c r="DQ13" s="1">
        <v>148886.70274761936</v>
      </c>
      <c r="DR13" s="1">
        <v>149414.85539755935</v>
      </c>
      <c r="DS13" s="1">
        <v>148062.35879496729</v>
      </c>
      <c r="DT13" s="1">
        <v>147917.25260077699</v>
      </c>
      <c r="DU13" s="1">
        <v>146261.89290809748</v>
      </c>
      <c r="DV13" s="1">
        <v>149192.03227191651</v>
      </c>
      <c r="DW13" s="1">
        <v>149328.39087503118</v>
      </c>
      <c r="DX13" s="1">
        <v>149657.75587142576</v>
      </c>
      <c r="DY13" s="1">
        <v>147741.24731424512</v>
      </c>
      <c r="DZ13" s="1">
        <v>147576.61915947497</v>
      </c>
      <c r="EA13" s="1">
        <v>148935.03252247779</v>
      </c>
      <c r="EB13" s="1">
        <v>149435.19393809393</v>
      </c>
      <c r="ED13" s="1">
        <v>148427.37789699319</v>
      </c>
      <c r="EE13" s="1">
        <v>148234.21244120423</v>
      </c>
      <c r="EG13" s="1">
        <v>148483.60058662266</v>
      </c>
      <c r="EH13" s="1">
        <v>150185.84579156741</v>
      </c>
      <c r="EI13" s="1">
        <v>151131.81772704661</v>
      </c>
      <c r="EJ13" s="1">
        <v>151653.15197113281</v>
      </c>
      <c r="EK13" s="1">
        <v>150879.4217902032</v>
      </c>
      <c r="EL13" s="1">
        <v>150417.5252250933</v>
      </c>
      <c r="EM13" s="1">
        <v>150244.54653601022</v>
      </c>
      <c r="EN13" s="1">
        <v>149788.52414453976</v>
      </c>
      <c r="EO13" s="1">
        <v>149949.29750286127</v>
      </c>
      <c r="EP13" s="1">
        <v>145964.26682518789</v>
      </c>
      <c r="EQ13" s="1">
        <v>148648.5319420122</v>
      </c>
      <c r="ER13" s="1">
        <v>150607.38729630652</v>
      </c>
      <c r="ES13" s="1">
        <v>149298.19000826642</v>
      </c>
      <c r="ET13" s="1">
        <v>149480.79815329495</v>
      </c>
      <c r="EU13" s="1">
        <v>149731.71122771379</v>
      </c>
      <c r="EV13" s="1">
        <v>149297.65979013595</v>
      </c>
      <c r="EW13" s="1">
        <v>149300.47586924641</v>
      </c>
      <c r="EX13" s="1">
        <v>149737.13847457495</v>
      </c>
      <c r="EY13" s="1">
        <v>148180.84043348869</v>
      </c>
      <c r="EZ13" s="1">
        <v>149048.74009728222</v>
      </c>
      <c r="FA13" s="1">
        <v>150049.58766846173</v>
      </c>
      <c r="FB13" s="1">
        <v>149070.41735349962</v>
      </c>
      <c r="FC13" s="1">
        <v>147908.52097299549</v>
      </c>
      <c r="FD13" s="1">
        <v>148623.92612082674</v>
      </c>
      <c r="FE13" s="1">
        <v>148446.7810141829</v>
      </c>
      <c r="FF13" s="1">
        <v>148671.18762115354</v>
      </c>
      <c r="FG13" s="1">
        <v>149946.56214130731</v>
      </c>
      <c r="FH13" s="1">
        <v>149613.04018293583</v>
      </c>
      <c r="FI13" s="1">
        <v>147471.91692129362</v>
      </c>
      <c r="FJ13" s="1">
        <v>146844.40964918083</v>
      </c>
      <c r="FK13" s="1">
        <v>148379.64485367364</v>
      </c>
      <c r="FL13" s="1">
        <v>148267.50407277839</v>
      </c>
      <c r="FM13" s="1">
        <v>147943.44667161308</v>
      </c>
      <c r="FN13" s="1">
        <v>147601.34016376935</v>
      </c>
      <c r="FO13" s="1">
        <v>149353.58647894504</v>
      </c>
      <c r="FP13" s="1">
        <v>152429.3790932534</v>
      </c>
      <c r="FQ13" s="1">
        <v>150610.13268808028</v>
      </c>
      <c r="FR13" s="1">
        <v>149765.98882464739</v>
      </c>
      <c r="FS13" s="1">
        <v>150150.60856344557</v>
      </c>
      <c r="FT13" s="1">
        <v>149777.26302171391</v>
      </c>
      <c r="FU13" s="1">
        <v>149523.81097941141</v>
      </c>
      <c r="FV13" s="1">
        <v>149180.12404004415</v>
      </c>
      <c r="FW13" s="1">
        <v>149646.90802701676</v>
      </c>
      <c r="FX13" s="1">
        <v>150144.61789142556</v>
      </c>
      <c r="FY13" s="1">
        <v>149894.89954955899</v>
      </c>
      <c r="FZ13" s="1">
        <v>150953.07097091002</v>
      </c>
      <c r="GA13" s="1">
        <v>147706.46373712737</v>
      </c>
      <c r="GB13" s="1">
        <v>147714.53526529088</v>
      </c>
      <c r="GC13" s="1">
        <v>146708.74447865761</v>
      </c>
      <c r="GD13" s="1">
        <v>146670.4559412922</v>
      </c>
      <c r="GE13" s="1">
        <v>147368.03734015234</v>
      </c>
      <c r="GF13" s="1">
        <v>149403.91708937139</v>
      </c>
      <c r="GG13" s="1">
        <v>149790.92540366575</v>
      </c>
      <c r="GH13" s="1">
        <v>149848.44715918903</v>
      </c>
      <c r="GI13" s="1">
        <v>149437.76753596065</v>
      </c>
      <c r="GJ13" s="1">
        <v>149411.84396920999</v>
      </c>
      <c r="GK13" s="1">
        <v>149797.32158492188</v>
      </c>
      <c r="GL13" s="1">
        <v>151370.90399028582</v>
      </c>
      <c r="GM13" s="1">
        <v>149739.9994638341</v>
      </c>
      <c r="GN13" s="1">
        <v>150298.77407429327</v>
      </c>
      <c r="GO13" s="1">
        <v>146457.22611442997</v>
      </c>
      <c r="GP13" s="1">
        <v>140816.03448744136</v>
      </c>
      <c r="GQ13" s="1">
        <v>142360.11464367306</v>
      </c>
      <c r="GR13" s="1">
        <v>146367.35844228874</v>
      </c>
      <c r="GS13" s="1">
        <v>149998.92437957201</v>
      </c>
      <c r="GT13" s="1">
        <v>151641.0138644469</v>
      </c>
      <c r="GU13" s="1">
        <v>149801.81493435951</v>
      </c>
      <c r="GV13" s="1">
        <v>149291.11345305882</v>
      </c>
      <c r="GW13" s="1">
        <v>149456.8383887698</v>
      </c>
      <c r="GX13" s="1">
        <v>149248.44720146721</v>
      </c>
      <c r="GY13" s="1">
        <v>149320.57355205057</v>
      </c>
      <c r="GZ13" s="1">
        <v>149384.657963367</v>
      </c>
      <c r="HA13" s="1" t="str">
        <f t="shared" si="2"/>
        <v/>
      </c>
      <c r="HB13" s="1" t="str">
        <f t="shared" si="2"/>
        <v/>
      </c>
      <c r="HC13" s="1" t="str">
        <f t="shared" si="2"/>
        <v/>
      </c>
      <c r="HD13" s="1" t="str">
        <f t="shared" si="2"/>
        <v/>
      </c>
      <c r="HE13" s="1" t="str">
        <f t="shared" si="2"/>
        <v/>
      </c>
      <c r="HF13" s="1" t="str">
        <f t="shared" si="2"/>
        <v/>
      </c>
      <c r="HG13" s="1" t="str">
        <f t="shared" si="2"/>
        <v/>
      </c>
      <c r="HH13" s="1" t="str">
        <f t="shared" si="2"/>
        <v/>
      </c>
      <c r="HI13" s="1" t="str">
        <f t="shared" si="2"/>
        <v/>
      </c>
      <c r="HJ13" s="1" t="str">
        <f t="shared" si="2"/>
        <v/>
      </c>
      <c r="HK13" s="1" t="str">
        <f t="shared" si="2"/>
        <v/>
      </c>
      <c r="HL13" s="1" t="str">
        <f t="shared" si="2"/>
        <v/>
      </c>
      <c r="HM13" s="1" t="str">
        <f t="shared" si="2"/>
        <v/>
      </c>
      <c r="HN13" s="1" t="str">
        <f t="shared" si="2"/>
        <v/>
      </c>
      <c r="HO13" s="1" t="str">
        <f t="shared" si="2"/>
        <v/>
      </c>
      <c r="HP13" s="1" t="str">
        <f t="shared" si="2"/>
        <v/>
      </c>
      <c r="HQ13" s="1" t="str">
        <f t="shared" si="2"/>
        <v/>
      </c>
      <c r="HR13" s="1" t="str">
        <f t="shared" si="2"/>
        <v/>
      </c>
      <c r="HS13" s="1" t="str">
        <f t="shared" si="2"/>
        <v/>
      </c>
      <c r="HT13" s="1" t="str">
        <f t="shared" si="2"/>
        <v/>
      </c>
      <c r="HU13" s="1" t="str">
        <f t="shared" si="2"/>
        <v/>
      </c>
      <c r="HV13" s="1" t="str">
        <f t="shared" si="2"/>
        <v/>
      </c>
      <c r="HW13" s="1" t="str">
        <f t="shared" si="2"/>
        <v/>
      </c>
      <c r="HX13" s="1" t="str">
        <f t="shared" si="2"/>
        <v/>
      </c>
      <c r="HY13" s="1" t="str">
        <f t="shared" si="2"/>
        <v/>
      </c>
      <c r="HZ13" s="1" t="str">
        <f t="shared" si="2"/>
        <v/>
      </c>
      <c r="IA13" s="1" t="str">
        <f t="shared" si="2"/>
        <v/>
      </c>
      <c r="IB13" s="1" t="str">
        <f t="shared" si="2"/>
        <v/>
      </c>
      <c r="IC13" s="1" t="str">
        <f t="shared" si="2"/>
        <v/>
      </c>
      <c r="ID13" s="1" t="str">
        <f t="shared" si="2"/>
        <v/>
      </c>
      <c r="IE13" s="1" t="str">
        <f t="shared" si="2"/>
        <v/>
      </c>
      <c r="IF13" s="1" t="str">
        <f t="shared" si="2"/>
        <v/>
      </c>
      <c r="IG13" s="1" t="str">
        <f t="shared" si="2"/>
        <v/>
      </c>
      <c r="IH13" s="1" t="str">
        <f t="shared" si="2"/>
        <v/>
      </c>
      <c r="II13" s="1" t="str">
        <f t="shared" si="2"/>
        <v/>
      </c>
      <c r="IJ13" s="1" t="str">
        <f t="shared" si="2"/>
        <v/>
      </c>
      <c r="IK13" s="1" t="str">
        <f t="shared" si="2"/>
        <v/>
      </c>
      <c r="IL13" s="1" t="str">
        <f t="shared" si="2"/>
        <v/>
      </c>
      <c r="IM13" s="1" t="str">
        <f t="shared" si="2"/>
        <v/>
      </c>
      <c r="IN13" s="1" t="str">
        <f t="shared" si="2"/>
        <v/>
      </c>
      <c r="IO13" s="1" t="str">
        <f t="shared" si="2"/>
        <v/>
      </c>
      <c r="IP13" s="1" t="str">
        <f t="shared" si="2"/>
        <v/>
      </c>
      <c r="IQ13" s="1" t="str">
        <f t="shared" si="2"/>
        <v/>
      </c>
      <c r="IR13" s="1" t="str">
        <f t="shared" si="2"/>
        <v/>
      </c>
      <c r="IS13" s="1" t="str">
        <f t="shared" si="2"/>
        <v/>
      </c>
      <c r="IT13" s="1" t="str">
        <f t="shared" si="2"/>
        <v/>
      </c>
      <c r="IU13" s="1" t="str">
        <f t="shared" si="2"/>
        <v/>
      </c>
      <c r="IV13" s="1" t="str">
        <f t="shared" si="2"/>
        <v/>
      </c>
      <c r="IW13" s="1" t="str">
        <f t="shared" si="2"/>
        <v/>
      </c>
      <c r="IX13" s="1" t="str">
        <f t="shared" si="2"/>
        <v/>
      </c>
      <c r="IY13" s="1" t="str">
        <f t="shared" si="2"/>
        <v/>
      </c>
      <c r="IZ13" s="1" t="str">
        <f t="shared" si="2"/>
        <v/>
      </c>
      <c r="JA13" s="1" t="str">
        <f t="shared" si="2"/>
        <v/>
      </c>
      <c r="JB13" s="1" t="str">
        <f t="shared" si="2"/>
        <v/>
      </c>
      <c r="JC13" s="1" t="str">
        <f t="shared" si="2"/>
        <v/>
      </c>
      <c r="JD13" s="1" t="str">
        <f t="shared" si="2"/>
        <v/>
      </c>
      <c r="JE13" s="1" t="str">
        <f t="shared" si="2"/>
        <v/>
      </c>
      <c r="JF13" s="1" t="str">
        <f t="shared" si="2"/>
        <v/>
      </c>
      <c r="JG13" s="1" t="str">
        <f t="shared" si="2"/>
        <v/>
      </c>
      <c r="JH13" s="1" t="str">
        <f t="shared" si="2"/>
        <v/>
      </c>
      <c r="LY13" s="1"/>
    </row>
    <row r="14" spans="1:337" x14ac:dyDescent="0.25">
      <c r="A14" s="5">
        <v>12</v>
      </c>
      <c r="B14" s="1">
        <v>145019.53881297153</v>
      </c>
      <c r="C14" s="1">
        <v>145495.75878568704</v>
      </c>
      <c r="D14" s="1">
        <v>145391.56131776166</v>
      </c>
      <c r="E14" s="1">
        <v>146478.87022666197</v>
      </c>
      <c r="F14" s="1">
        <v>147157.65553732967</v>
      </c>
      <c r="G14" s="1">
        <v>148209.94275575015</v>
      </c>
      <c r="H14" s="1">
        <v>149205.28177882012</v>
      </c>
      <c r="I14" s="1">
        <v>149905.1613794431</v>
      </c>
      <c r="J14" s="1">
        <v>150143.33047715601</v>
      </c>
      <c r="K14" s="1">
        <v>150325.31047311448</v>
      </c>
      <c r="L14" s="1">
        <v>150402.15238118311</v>
      </c>
      <c r="M14" s="1">
        <v>150898.91572790506</v>
      </c>
      <c r="N14" s="1">
        <v>151635.30316253327</v>
      </c>
      <c r="O14" s="1">
        <v>152363.56977765713</v>
      </c>
      <c r="P14" s="1">
        <v>152747.76798408444</v>
      </c>
      <c r="Q14" s="1">
        <v>153057.69778351142</v>
      </c>
      <c r="R14" s="1">
        <v>153501.47948987555</v>
      </c>
      <c r="S14" s="1">
        <v>153685.21649923513</v>
      </c>
      <c r="T14" s="1">
        <v>154002.92633912293</v>
      </c>
      <c r="U14" s="1">
        <v>154159.69114916946</v>
      </c>
      <c r="V14" s="1">
        <v>154244.19087761943</v>
      </c>
      <c r="W14" s="1">
        <v>154119.90609856998</v>
      </c>
      <c r="X14" s="1">
        <v>154420.34240961607</v>
      </c>
      <c r="Y14" s="1">
        <v>154422.02418515756</v>
      </c>
      <c r="Z14" s="1">
        <v>155069.8200844145</v>
      </c>
      <c r="AA14" s="1">
        <v>155420.1444801497</v>
      </c>
      <c r="AB14" s="1">
        <v>156238.94037463755</v>
      </c>
      <c r="AC14" s="1">
        <v>156592.96115200003</v>
      </c>
      <c r="AD14" s="1">
        <v>157276.55727539497</v>
      </c>
      <c r="AE14" s="1">
        <v>158023.22200843558</v>
      </c>
      <c r="AF14" s="1">
        <v>158678.66363372939</v>
      </c>
      <c r="AG14" s="1">
        <v>159358.71860532204</v>
      </c>
      <c r="AH14" s="1">
        <v>159228.51172071125</v>
      </c>
      <c r="AI14" s="1">
        <v>159501.68648449687</v>
      </c>
      <c r="AJ14" s="1">
        <v>160195.90710138186</v>
      </c>
      <c r="AK14" s="1">
        <v>160931.56219889407</v>
      </c>
      <c r="AL14" s="1">
        <v>161992.51022943493</v>
      </c>
      <c r="AM14" s="1">
        <v>162363.49859246571</v>
      </c>
      <c r="AN14" s="1">
        <v>164073.0952421414</v>
      </c>
      <c r="AO14" s="1">
        <v>165904.51570352979</v>
      </c>
      <c r="AP14" s="1">
        <v>166610.5046926029</v>
      </c>
      <c r="AQ14" s="1">
        <v>167368.1797780132</v>
      </c>
      <c r="AR14" s="1">
        <v>168758.62140581931</v>
      </c>
      <c r="AS14" s="1">
        <v>170225.37693699216</v>
      </c>
      <c r="AT14" s="1">
        <v>170758.002932715</v>
      </c>
      <c r="AU14" s="1">
        <v>171386.23679223272</v>
      </c>
      <c r="AV14" s="1">
        <v>172514.76842962997</v>
      </c>
      <c r="AW14" s="1">
        <v>173054.55581320194</v>
      </c>
      <c r="AX14" s="1">
        <v>172256.94275538338</v>
      </c>
      <c r="AY14" s="1">
        <v>170574.12731593769</v>
      </c>
      <c r="AZ14" s="1">
        <v>169194.35366022517</v>
      </c>
      <c r="BA14" s="1">
        <v>168784.93093630631</v>
      </c>
      <c r="BB14" s="1">
        <v>166275.70397255686</v>
      </c>
      <c r="BC14" s="1">
        <v>160859.63963855192</v>
      </c>
      <c r="BD14" s="1">
        <v>161755.07827250942</v>
      </c>
      <c r="BE14" s="1">
        <v>160971.06293011684</v>
      </c>
      <c r="BF14" s="1">
        <v>159425.22225127235</v>
      </c>
      <c r="BG14" s="1">
        <v>158391.75882780939</v>
      </c>
      <c r="BH14" s="1">
        <v>154790.50466573515</v>
      </c>
      <c r="BI14" s="1">
        <v>151788.68082482455</v>
      </c>
      <c r="BJ14" s="1">
        <v>146458.95237999607</v>
      </c>
      <c r="BK14" s="1">
        <v>144126.17898092521</v>
      </c>
      <c r="BL14" s="1">
        <v>140162.82460915251</v>
      </c>
      <c r="BM14" s="1">
        <v>138072.5866419563</v>
      </c>
      <c r="BN14" s="1">
        <v>137826.03635894152</v>
      </c>
      <c r="BO14" s="1">
        <v>140969.7117062271</v>
      </c>
      <c r="BP14" s="1">
        <v>144908.23336899438</v>
      </c>
      <c r="BQ14" s="1">
        <v>144950.37303829665</v>
      </c>
      <c r="BR14" s="1">
        <v>144768.01970757014</v>
      </c>
      <c r="BS14" s="1">
        <v>143435.10911020119</v>
      </c>
      <c r="BT14" s="1">
        <v>142524.55665750842</v>
      </c>
      <c r="BU14" s="1">
        <v>144433.82198955968</v>
      </c>
      <c r="BV14" s="1">
        <v>146742.2659425555</v>
      </c>
      <c r="BW14" s="1">
        <v>145635.86963768493</v>
      </c>
      <c r="BX14" s="1">
        <v>143189.94991505594</v>
      </c>
      <c r="BY14" s="1">
        <v>145778.63584311161</v>
      </c>
      <c r="BZ14" s="1">
        <v>148836.19146096343</v>
      </c>
      <c r="CA14" s="1">
        <v>150081.69663294055</v>
      </c>
      <c r="CB14" s="1">
        <v>150576.00584175243</v>
      </c>
      <c r="CC14" s="1">
        <v>148868.51617536944</v>
      </c>
      <c r="CD14" s="1">
        <v>147128.58455872466</v>
      </c>
      <c r="CE14" s="1">
        <v>146577.51932594573</v>
      </c>
      <c r="CF14" s="1">
        <v>146993.38216673821</v>
      </c>
      <c r="CG14" s="1">
        <v>146061.08536454517</v>
      </c>
      <c r="CH14" s="1">
        <v>144847.89993370924</v>
      </c>
      <c r="CI14" s="1">
        <v>145198.81500884914</v>
      </c>
      <c r="CJ14" s="1">
        <v>143030.02661624254</v>
      </c>
      <c r="CK14" s="1">
        <v>146764.88115441432</v>
      </c>
      <c r="CL14" s="1">
        <v>147440.94460086944</v>
      </c>
      <c r="CM14" s="1">
        <v>149454.73750559386</v>
      </c>
      <c r="CN14" s="1">
        <v>148644.03364244013</v>
      </c>
      <c r="CO14" s="1">
        <v>146307.14343801036</v>
      </c>
      <c r="CP14" s="1">
        <v>144130.24844377744</v>
      </c>
      <c r="CQ14" s="1">
        <v>144965.83713569457</v>
      </c>
      <c r="CR14" s="1">
        <v>144315.77854567734</v>
      </c>
      <c r="CS14" s="1">
        <v>143075.61265271227</v>
      </c>
      <c r="CT14" s="1">
        <v>141897.03856371928</v>
      </c>
      <c r="CU14" s="1">
        <v>135618.13190791002</v>
      </c>
      <c r="CV14" s="1">
        <v>140366.95641628426</v>
      </c>
      <c r="CW14" s="1">
        <v>142006.39211948036</v>
      </c>
      <c r="CX14" s="1">
        <v>142855.65757071401</v>
      </c>
      <c r="CY14" s="1">
        <v>142938.76921507853</v>
      </c>
      <c r="CZ14" s="1">
        <v>142988.19730486209</v>
      </c>
      <c r="DA14" s="1">
        <v>143419.5173220656</v>
      </c>
      <c r="DB14" s="1">
        <v>141153.22970584119</v>
      </c>
      <c r="DC14" s="1">
        <v>140168.7237740038</v>
      </c>
      <c r="DD14" s="1">
        <v>141569.12448796167</v>
      </c>
      <c r="DE14" s="1">
        <v>140756.21168069475</v>
      </c>
      <c r="DF14" s="1">
        <v>140993.99159683665</v>
      </c>
      <c r="DG14" s="1">
        <v>139334.14517060999</v>
      </c>
      <c r="DH14" s="1">
        <v>137950.46460744552</v>
      </c>
      <c r="DI14" s="1">
        <v>140130.19064467761</v>
      </c>
      <c r="DJ14" s="1">
        <v>142682.87277987826</v>
      </c>
      <c r="DK14" s="1">
        <v>145764.12440690992</v>
      </c>
      <c r="DL14" s="1">
        <v>147467.73377834639</v>
      </c>
      <c r="DM14" s="1">
        <v>148801.80881599087</v>
      </c>
      <c r="DN14" s="1">
        <v>145152.91918731044</v>
      </c>
      <c r="DO14" s="1">
        <v>145758.30588126063</v>
      </c>
      <c r="DP14" s="1">
        <v>147507.77929034288</v>
      </c>
      <c r="DQ14" s="1">
        <v>149306.81238385814</v>
      </c>
      <c r="DR14" s="1">
        <v>149777.08782796061</v>
      </c>
      <c r="DS14" s="1">
        <v>147802.81812276752</v>
      </c>
      <c r="DT14" s="1">
        <v>148038.29399360926</v>
      </c>
      <c r="DU14" s="1">
        <v>146633.43212306901</v>
      </c>
      <c r="DV14" s="1">
        <v>149990.6518875859</v>
      </c>
      <c r="DW14" s="1">
        <v>150176.78736197768</v>
      </c>
      <c r="DX14" s="1">
        <v>150441.01009356155</v>
      </c>
      <c r="DY14" s="1">
        <v>147979.63238592393</v>
      </c>
      <c r="DZ14" s="1">
        <v>147271.70449359028</v>
      </c>
      <c r="EA14" s="1">
        <v>149060.6728954289</v>
      </c>
      <c r="EB14" s="1">
        <v>149644.60709457513</v>
      </c>
      <c r="ED14" s="1">
        <v>148414.62953970162</v>
      </c>
      <c r="EE14" s="1">
        <v>147666.90512323723</v>
      </c>
      <c r="EG14" s="1">
        <v>148893.40659852413</v>
      </c>
      <c r="EH14" s="1">
        <v>150680.53296271258</v>
      </c>
      <c r="EI14" s="1">
        <v>151959.82904742437</v>
      </c>
      <c r="EJ14" s="1">
        <v>152412.09600242763</v>
      </c>
      <c r="EK14" s="1">
        <v>151054.84363607538</v>
      </c>
      <c r="EL14" s="1">
        <v>149998.02563645688</v>
      </c>
      <c r="EM14" s="1">
        <v>150112.95398544258</v>
      </c>
      <c r="EN14" s="1">
        <v>149783.20876035644</v>
      </c>
      <c r="EO14" s="1">
        <v>150020.14439022733</v>
      </c>
      <c r="EP14" s="1">
        <v>145601.14968450676</v>
      </c>
      <c r="EQ14" s="1">
        <v>148378.97554645172</v>
      </c>
      <c r="ER14" s="1">
        <v>150590.62865428033</v>
      </c>
      <c r="ES14" s="1">
        <v>149708.26905696245</v>
      </c>
      <c r="ET14" s="1">
        <v>149960.19683215709</v>
      </c>
      <c r="EU14" s="1">
        <v>150261.85005967779</v>
      </c>
      <c r="EV14" s="1">
        <v>149775.08675799399</v>
      </c>
      <c r="EW14" s="1">
        <v>149387.8278645089</v>
      </c>
      <c r="EX14" s="1">
        <v>149260.70847608586</v>
      </c>
      <c r="EY14" s="1">
        <v>148001.49388443847</v>
      </c>
      <c r="EZ14" s="1">
        <v>148985.45630703782</v>
      </c>
      <c r="FA14" s="1">
        <v>150124.56083827475</v>
      </c>
      <c r="FB14" s="1">
        <v>148803.22249312172</v>
      </c>
      <c r="FC14" s="1">
        <v>147045.97096051939</v>
      </c>
      <c r="FD14" s="1">
        <v>148493.68967194608</v>
      </c>
      <c r="FE14" s="1">
        <v>148658.55158908013</v>
      </c>
      <c r="FF14" s="1">
        <v>149105.65703783423</v>
      </c>
      <c r="FG14" s="1">
        <v>150555.3548753486</v>
      </c>
      <c r="FH14" s="1">
        <v>150069.90123577847</v>
      </c>
      <c r="FI14" s="1">
        <v>147322.76928158032</v>
      </c>
      <c r="FJ14" s="1">
        <v>146197.17575930059</v>
      </c>
      <c r="FK14" s="1">
        <v>148109.82691115717</v>
      </c>
      <c r="FL14" s="1">
        <v>148207.64263037173</v>
      </c>
      <c r="FM14" s="1">
        <v>147923.76737029094</v>
      </c>
      <c r="FN14" s="1">
        <v>147272.29963465157</v>
      </c>
      <c r="FO14" s="1">
        <v>148870.91458252713</v>
      </c>
      <c r="FP14" s="1">
        <v>152787.18545907328</v>
      </c>
      <c r="FQ14" s="1">
        <v>151146.06056805421</v>
      </c>
      <c r="FR14" s="1">
        <v>150325.49763791449</v>
      </c>
      <c r="FS14" s="1">
        <v>150720.41696690675</v>
      </c>
      <c r="FT14" s="1">
        <v>150185.2320265577</v>
      </c>
      <c r="FU14" s="1">
        <v>149209.28048324984</v>
      </c>
      <c r="FV14" s="1">
        <v>148706.1316410939</v>
      </c>
      <c r="FW14" s="1">
        <v>149436.52059998258</v>
      </c>
      <c r="FX14" s="1">
        <v>150189.8955490677</v>
      </c>
      <c r="FY14" s="1">
        <v>149885.55278308832</v>
      </c>
      <c r="FZ14" s="1">
        <v>150721.02867274385</v>
      </c>
      <c r="GA14" s="1">
        <v>146855.72216100962</v>
      </c>
      <c r="GB14" s="1">
        <v>147707.21927825955</v>
      </c>
      <c r="GC14" s="1">
        <v>146907.00833736308</v>
      </c>
      <c r="GD14" s="1">
        <v>147023.08908712113</v>
      </c>
      <c r="GE14" s="1">
        <v>147885.30055906574</v>
      </c>
      <c r="GF14" s="1">
        <v>149829.36115419492</v>
      </c>
      <c r="GG14" s="1">
        <v>149750.25565848214</v>
      </c>
      <c r="GH14" s="1">
        <v>149371.2544728613</v>
      </c>
      <c r="GI14" s="1">
        <v>149260.92253147531</v>
      </c>
      <c r="GJ14" s="1">
        <v>149536.03992910252</v>
      </c>
      <c r="GK14" s="1">
        <v>149836.84073990336</v>
      </c>
      <c r="GL14" s="1">
        <v>151259.4270041312</v>
      </c>
      <c r="GM14" s="1">
        <v>149090.41511670925</v>
      </c>
      <c r="GN14" s="1">
        <v>150480.83064298128</v>
      </c>
      <c r="GO14" s="1">
        <v>146572.01087422163</v>
      </c>
      <c r="GP14" s="1">
        <v>140704.81147758086</v>
      </c>
      <c r="GQ14" s="1">
        <v>142338.23176708369</v>
      </c>
      <c r="GR14" s="1">
        <v>146630.79816291691</v>
      </c>
      <c r="GS14" s="1">
        <v>150360.61879763709</v>
      </c>
      <c r="GT14" s="1">
        <v>151378.61194501998</v>
      </c>
      <c r="GU14" s="1">
        <v>149614.12831412599</v>
      </c>
      <c r="GV14" s="1">
        <v>149306.92870148638</v>
      </c>
      <c r="GW14" s="1">
        <v>149518.85006304499</v>
      </c>
      <c r="GX14" s="1">
        <v>149300.23019315384</v>
      </c>
      <c r="GY14" s="1">
        <v>148590.0147802002</v>
      </c>
      <c r="GZ14" s="1">
        <v>149465.1444777</v>
      </c>
      <c r="HA14" s="1" t="str">
        <f t="shared" si="2"/>
        <v/>
      </c>
      <c r="HB14" s="1" t="str">
        <f t="shared" si="2"/>
        <v/>
      </c>
      <c r="HC14" s="1" t="str">
        <f t="shared" si="2"/>
        <v/>
      </c>
      <c r="HD14" s="1" t="str">
        <f t="shared" si="2"/>
        <v/>
      </c>
      <c r="HE14" s="1" t="str">
        <f t="shared" si="2"/>
        <v/>
      </c>
      <c r="HF14" s="1" t="str">
        <f t="shared" si="2"/>
        <v/>
      </c>
      <c r="HG14" s="1" t="str">
        <f t="shared" si="2"/>
        <v/>
      </c>
      <c r="HH14" s="1" t="str">
        <f t="shared" si="2"/>
        <v/>
      </c>
      <c r="HI14" s="1" t="str">
        <f t="shared" si="2"/>
        <v/>
      </c>
      <c r="HJ14" s="1" t="str">
        <f t="shared" si="2"/>
        <v/>
      </c>
      <c r="HK14" s="1" t="str">
        <f t="shared" si="2"/>
        <v/>
      </c>
      <c r="HL14" s="1" t="str">
        <f t="shared" si="2"/>
        <v/>
      </c>
      <c r="HM14" s="1" t="str">
        <f t="shared" si="2"/>
        <v/>
      </c>
      <c r="HN14" s="1" t="str">
        <f t="shared" si="2"/>
        <v/>
      </c>
      <c r="HO14" s="1" t="str">
        <f t="shared" si="2"/>
        <v/>
      </c>
      <c r="HP14" s="1" t="str">
        <f t="shared" si="2"/>
        <v/>
      </c>
      <c r="HQ14" s="1" t="str">
        <f t="shared" si="2"/>
        <v/>
      </c>
      <c r="HR14" s="1" t="str">
        <f t="shared" si="2"/>
        <v/>
      </c>
      <c r="HS14" s="1" t="str">
        <f t="shared" si="2"/>
        <v/>
      </c>
      <c r="HT14" s="1" t="str">
        <f t="shared" si="2"/>
        <v/>
      </c>
      <c r="HU14" s="1" t="str">
        <f t="shared" si="2"/>
        <v/>
      </c>
      <c r="HV14" s="1" t="str">
        <f t="shared" si="2"/>
        <v/>
      </c>
      <c r="HW14" s="1" t="str">
        <f t="shared" si="2"/>
        <v/>
      </c>
      <c r="HX14" s="1" t="str">
        <f t="shared" si="2"/>
        <v/>
      </c>
      <c r="HY14" s="1" t="str">
        <f t="shared" si="2"/>
        <v/>
      </c>
      <c r="HZ14" s="1" t="str">
        <f t="shared" si="2"/>
        <v/>
      </c>
      <c r="IA14" s="1" t="str">
        <f t="shared" si="2"/>
        <v/>
      </c>
      <c r="IB14" s="1" t="str">
        <f t="shared" si="2"/>
        <v/>
      </c>
      <c r="IC14" s="1" t="str">
        <f t="shared" si="2"/>
        <v/>
      </c>
      <c r="ID14" s="1" t="str">
        <f t="shared" si="2"/>
        <v/>
      </c>
      <c r="IE14" s="1" t="str">
        <f t="shared" si="2"/>
        <v/>
      </c>
      <c r="IF14" s="1" t="str">
        <f t="shared" si="2"/>
        <v/>
      </c>
      <c r="IG14" s="1" t="str">
        <f t="shared" si="2"/>
        <v/>
      </c>
      <c r="IH14" s="1" t="str">
        <f t="shared" si="2"/>
        <v/>
      </c>
      <c r="II14" s="1" t="str">
        <f t="shared" si="2"/>
        <v/>
      </c>
      <c r="IJ14" s="1" t="str">
        <f t="shared" si="2"/>
        <v/>
      </c>
      <c r="IK14" s="1" t="str">
        <f t="shared" si="2"/>
        <v/>
      </c>
      <c r="IL14" s="1" t="str">
        <f t="shared" si="2"/>
        <v/>
      </c>
      <c r="IM14" s="1" t="str">
        <f t="shared" si="2"/>
        <v/>
      </c>
      <c r="IN14" s="1" t="str">
        <f t="shared" si="2"/>
        <v/>
      </c>
      <c r="IO14" s="1" t="str">
        <f t="shared" si="2"/>
        <v/>
      </c>
      <c r="IP14" s="1" t="str">
        <f t="shared" si="2"/>
        <v/>
      </c>
      <c r="IQ14" s="1" t="str">
        <f t="shared" si="2"/>
        <v/>
      </c>
      <c r="IR14" s="1" t="str">
        <f t="shared" si="2"/>
        <v/>
      </c>
      <c r="IS14" s="1" t="str">
        <f t="shared" si="2"/>
        <v/>
      </c>
      <c r="IT14" s="1" t="str">
        <f t="shared" si="2"/>
        <v/>
      </c>
      <c r="IU14" s="1" t="str">
        <f t="shared" si="2"/>
        <v/>
      </c>
      <c r="IV14" s="1" t="str">
        <f t="shared" si="2"/>
        <v/>
      </c>
      <c r="IW14" s="1" t="str">
        <f t="shared" si="2"/>
        <v/>
      </c>
      <c r="IX14" s="1" t="str">
        <f t="shared" si="2"/>
        <v/>
      </c>
      <c r="IY14" s="1" t="str">
        <f t="shared" si="2"/>
        <v/>
      </c>
      <c r="IZ14" s="1" t="str">
        <f t="shared" si="2"/>
        <v/>
      </c>
      <c r="JA14" s="1" t="str">
        <f t="shared" si="2"/>
        <v/>
      </c>
      <c r="JB14" s="1" t="str">
        <f t="shared" si="2"/>
        <v/>
      </c>
      <c r="JC14" s="1" t="str">
        <f t="shared" si="2"/>
        <v/>
      </c>
      <c r="JD14" s="1" t="str">
        <f t="shared" si="2"/>
        <v/>
      </c>
      <c r="JE14" s="1" t="str">
        <f t="shared" si="2"/>
        <v/>
      </c>
      <c r="JF14" s="1" t="str">
        <f t="shared" si="2"/>
        <v/>
      </c>
      <c r="JG14" s="1" t="str">
        <f t="shared" si="2"/>
        <v/>
      </c>
      <c r="JH14" s="1" t="str">
        <f t="shared" si="2"/>
        <v/>
      </c>
      <c r="LY14" s="1"/>
    </row>
    <row r="15" spans="1:337" hidden="1" x14ac:dyDescent="0.25">
      <c r="A15" s="5"/>
      <c r="LY15" s="1"/>
    </row>
    <row r="16" spans="1:337" hidden="1" x14ac:dyDescent="0.25">
      <c r="A16" s="5"/>
      <c r="LY16" s="1"/>
    </row>
    <row r="17" spans="1:337" hidden="1" x14ac:dyDescent="0.25">
      <c r="A17" s="5"/>
      <c r="LY17" s="1"/>
    </row>
    <row r="18" spans="1:337" hidden="1" x14ac:dyDescent="0.25">
      <c r="A18" s="5"/>
      <c r="LY18" s="1"/>
    </row>
    <row r="19" spans="1:337" hidden="1" x14ac:dyDescent="0.25">
      <c r="A19" s="5"/>
      <c r="LY19" s="1"/>
    </row>
    <row r="20" spans="1:337" hidden="1" x14ac:dyDescent="0.25">
      <c r="A20" s="5"/>
      <c r="LY20" s="1"/>
    </row>
    <row r="21" spans="1:337" hidden="1" x14ac:dyDescent="0.25">
      <c r="A21" s="5"/>
      <c r="LY21" s="1"/>
    </row>
    <row r="22" spans="1:337" hidden="1" x14ac:dyDescent="0.25">
      <c r="A22" s="5"/>
      <c r="LY22" s="1"/>
    </row>
    <row r="23" spans="1:337" hidden="1" x14ac:dyDescent="0.25">
      <c r="A23" s="5"/>
      <c r="LY23" s="1"/>
    </row>
    <row r="24" spans="1:337" hidden="1" x14ac:dyDescent="0.25">
      <c r="A24" s="5"/>
      <c r="LY24" s="1"/>
    </row>
    <row r="25" spans="1:337" hidden="1" x14ac:dyDescent="0.25">
      <c r="A25" s="5"/>
      <c r="LY25" s="1"/>
    </row>
    <row r="26" spans="1:337" hidden="1" x14ac:dyDescent="0.25">
      <c r="A26" s="5"/>
      <c r="LY26" s="1"/>
    </row>
    <row r="27" spans="1:337" x14ac:dyDescent="0.25">
      <c r="A27" s="5"/>
      <c r="JN27" s="18"/>
      <c r="LY27" s="1"/>
    </row>
    <row r="28" spans="1:337" x14ac:dyDescent="0.25">
      <c r="A28" s="5"/>
      <c r="B28" s="1">
        <f t="shared" ref="B28:BM28" si="3">IF(OR(B3="",C3=""),0,MIN(24,C28+1))</f>
        <v>24</v>
      </c>
      <c r="C28" s="1">
        <f t="shared" si="3"/>
        <v>24</v>
      </c>
      <c r="D28" s="1">
        <f t="shared" si="3"/>
        <v>24</v>
      </c>
      <c r="E28" s="1">
        <f t="shared" si="3"/>
        <v>24</v>
      </c>
      <c r="F28" s="1">
        <f t="shared" si="3"/>
        <v>24</v>
      </c>
      <c r="G28" s="1">
        <f t="shared" si="3"/>
        <v>24</v>
      </c>
      <c r="H28" s="1">
        <f t="shared" si="3"/>
        <v>24</v>
      </c>
      <c r="I28" s="1">
        <f t="shared" si="3"/>
        <v>24</v>
      </c>
      <c r="J28" s="1">
        <f t="shared" si="3"/>
        <v>24</v>
      </c>
      <c r="K28" s="1">
        <f t="shared" si="3"/>
        <v>24</v>
      </c>
      <c r="L28" s="1">
        <f t="shared" si="3"/>
        <v>24</v>
      </c>
      <c r="M28" s="1">
        <f t="shared" si="3"/>
        <v>24</v>
      </c>
      <c r="N28" s="1">
        <f t="shared" si="3"/>
        <v>24</v>
      </c>
      <c r="O28" s="1">
        <f t="shared" si="3"/>
        <v>24</v>
      </c>
      <c r="P28" s="1">
        <f t="shared" si="3"/>
        <v>24</v>
      </c>
      <c r="Q28" s="1">
        <f t="shared" si="3"/>
        <v>24</v>
      </c>
      <c r="R28" s="1">
        <f t="shared" si="3"/>
        <v>24</v>
      </c>
      <c r="S28" s="1">
        <f t="shared" si="3"/>
        <v>24</v>
      </c>
      <c r="T28" s="1">
        <f t="shared" si="3"/>
        <v>24</v>
      </c>
      <c r="U28" s="1">
        <f t="shared" si="3"/>
        <v>24</v>
      </c>
      <c r="V28" s="1">
        <f t="shared" si="3"/>
        <v>24</v>
      </c>
      <c r="W28" s="1">
        <f t="shared" si="3"/>
        <v>24</v>
      </c>
      <c r="X28" s="1">
        <f t="shared" si="3"/>
        <v>24</v>
      </c>
      <c r="Y28" s="1">
        <f t="shared" si="3"/>
        <v>24</v>
      </c>
      <c r="Z28" s="1">
        <f t="shared" si="3"/>
        <v>24</v>
      </c>
      <c r="AA28" s="1">
        <f t="shared" si="3"/>
        <v>24</v>
      </c>
      <c r="AB28" s="1">
        <f t="shared" si="3"/>
        <v>24</v>
      </c>
      <c r="AC28" s="1">
        <f t="shared" si="3"/>
        <v>24</v>
      </c>
      <c r="AD28" s="1">
        <f t="shared" si="3"/>
        <v>24</v>
      </c>
      <c r="AE28" s="1">
        <f t="shared" si="3"/>
        <v>24</v>
      </c>
      <c r="AF28" s="1">
        <f t="shared" si="3"/>
        <v>24</v>
      </c>
      <c r="AG28" s="1">
        <f t="shared" si="3"/>
        <v>24</v>
      </c>
      <c r="AH28" s="1">
        <f t="shared" si="3"/>
        <v>24</v>
      </c>
      <c r="AI28" s="1">
        <f t="shared" si="3"/>
        <v>24</v>
      </c>
      <c r="AJ28" s="1">
        <f t="shared" si="3"/>
        <v>24</v>
      </c>
      <c r="AK28" s="1">
        <f t="shared" si="3"/>
        <v>24</v>
      </c>
      <c r="AL28" s="1">
        <f t="shared" si="3"/>
        <v>24</v>
      </c>
      <c r="AM28" s="1">
        <f t="shared" si="3"/>
        <v>24</v>
      </c>
      <c r="AN28" s="1">
        <f t="shared" si="3"/>
        <v>24</v>
      </c>
      <c r="AO28" s="1">
        <f t="shared" si="3"/>
        <v>24</v>
      </c>
      <c r="AP28" s="1">
        <f t="shared" si="3"/>
        <v>24</v>
      </c>
      <c r="AQ28" s="1">
        <f t="shared" si="3"/>
        <v>24</v>
      </c>
      <c r="AR28" s="1">
        <f t="shared" si="3"/>
        <v>24</v>
      </c>
      <c r="AS28" s="1">
        <f t="shared" si="3"/>
        <v>24</v>
      </c>
      <c r="AT28" s="1">
        <f t="shared" si="3"/>
        <v>24</v>
      </c>
      <c r="AU28" s="1">
        <f t="shared" si="3"/>
        <v>24</v>
      </c>
      <c r="AV28" s="1">
        <f t="shared" si="3"/>
        <v>24</v>
      </c>
      <c r="AW28" s="1">
        <f t="shared" si="3"/>
        <v>24</v>
      </c>
      <c r="AX28" s="1">
        <f t="shared" si="3"/>
        <v>24</v>
      </c>
      <c r="AY28" s="1">
        <f t="shared" si="3"/>
        <v>24</v>
      </c>
      <c r="AZ28" s="1">
        <f t="shared" si="3"/>
        <v>24</v>
      </c>
      <c r="BA28" s="1">
        <f t="shared" si="3"/>
        <v>24</v>
      </c>
      <c r="BB28" s="1">
        <f t="shared" si="3"/>
        <v>24</v>
      </c>
      <c r="BC28" s="1">
        <f t="shared" si="3"/>
        <v>24</v>
      </c>
      <c r="BD28" s="1">
        <f t="shared" si="3"/>
        <v>24</v>
      </c>
      <c r="BE28" s="1">
        <f t="shared" si="3"/>
        <v>24</v>
      </c>
      <c r="BF28" s="1">
        <f t="shared" si="3"/>
        <v>24</v>
      </c>
      <c r="BG28" s="1">
        <f t="shared" si="3"/>
        <v>24</v>
      </c>
      <c r="BH28" s="1">
        <f t="shared" si="3"/>
        <v>24</v>
      </c>
      <c r="BI28" s="1">
        <f t="shared" si="3"/>
        <v>24</v>
      </c>
      <c r="BJ28" s="1">
        <f t="shared" si="3"/>
        <v>24</v>
      </c>
      <c r="BK28" s="1">
        <f t="shared" si="3"/>
        <v>24</v>
      </c>
      <c r="BL28" s="1">
        <f t="shared" si="3"/>
        <v>24</v>
      </c>
      <c r="BM28" s="1">
        <f t="shared" si="3"/>
        <v>24</v>
      </c>
      <c r="BN28" s="1">
        <f t="shared" ref="BN28:DY28" si="4">IF(OR(BN3="",BO3=""),0,MIN(24,BO28+1))</f>
        <v>24</v>
      </c>
      <c r="BO28" s="1">
        <f t="shared" si="4"/>
        <v>24</v>
      </c>
      <c r="BP28" s="1">
        <f t="shared" si="4"/>
        <v>24</v>
      </c>
      <c r="BQ28" s="1">
        <f t="shared" si="4"/>
        <v>24</v>
      </c>
      <c r="BR28" s="1">
        <f t="shared" si="4"/>
        <v>24</v>
      </c>
      <c r="BS28" s="1">
        <f t="shared" si="4"/>
        <v>24</v>
      </c>
      <c r="BT28" s="1">
        <f t="shared" si="4"/>
        <v>24</v>
      </c>
      <c r="BU28" s="1">
        <f t="shared" si="4"/>
        <v>24</v>
      </c>
      <c r="BV28" s="1">
        <f t="shared" si="4"/>
        <v>24</v>
      </c>
      <c r="BW28" s="1">
        <f t="shared" si="4"/>
        <v>24</v>
      </c>
      <c r="BX28" s="1">
        <f t="shared" si="4"/>
        <v>24</v>
      </c>
      <c r="BY28" s="1">
        <f t="shared" si="4"/>
        <v>24</v>
      </c>
      <c r="BZ28" s="1">
        <f t="shared" si="4"/>
        <v>24</v>
      </c>
      <c r="CA28" s="1">
        <f t="shared" si="4"/>
        <v>24</v>
      </c>
      <c r="CB28" s="1">
        <f t="shared" si="4"/>
        <v>24</v>
      </c>
      <c r="CC28" s="1">
        <f t="shared" si="4"/>
        <v>24</v>
      </c>
      <c r="CD28" s="1">
        <f t="shared" si="4"/>
        <v>24</v>
      </c>
      <c r="CE28" s="1">
        <f t="shared" si="4"/>
        <v>24</v>
      </c>
      <c r="CF28" s="1">
        <f t="shared" si="4"/>
        <v>24</v>
      </c>
      <c r="CG28" s="1">
        <f t="shared" si="4"/>
        <v>24</v>
      </c>
      <c r="CH28" s="1">
        <f t="shared" si="4"/>
        <v>24</v>
      </c>
      <c r="CI28" s="1">
        <f t="shared" si="4"/>
        <v>24</v>
      </c>
      <c r="CJ28" s="1">
        <f t="shared" si="4"/>
        <v>24</v>
      </c>
      <c r="CK28" s="1">
        <f t="shared" si="4"/>
        <v>24</v>
      </c>
      <c r="CL28" s="1">
        <f t="shared" si="4"/>
        <v>24</v>
      </c>
      <c r="CM28" s="1">
        <f t="shared" si="4"/>
        <v>24</v>
      </c>
      <c r="CN28" s="1">
        <f t="shared" si="4"/>
        <v>24</v>
      </c>
      <c r="CO28" s="1">
        <f t="shared" si="4"/>
        <v>24</v>
      </c>
      <c r="CP28" s="1">
        <f t="shared" si="4"/>
        <v>24</v>
      </c>
      <c r="CQ28" s="1">
        <f t="shared" si="4"/>
        <v>24</v>
      </c>
      <c r="CR28" s="1">
        <f t="shared" si="4"/>
        <v>24</v>
      </c>
      <c r="CS28" s="1">
        <f t="shared" si="4"/>
        <v>24</v>
      </c>
      <c r="CT28" s="1">
        <f t="shared" si="4"/>
        <v>24</v>
      </c>
      <c r="CU28" s="1">
        <f t="shared" si="4"/>
        <v>24</v>
      </c>
      <c r="CV28" s="1">
        <f t="shared" si="4"/>
        <v>24</v>
      </c>
      <c r="CW28" s="1">
        <f t="shared" si="4"/>
        <v>24</v>
      </c>
      <c r="CX28" s="1">
        <f t="shared" si="4"/>
        <v>24</v>
      </c>
      <c r="CY28" s="1">
        <f t="shared" si="4"/>
        <v>24</v>
      </c>
      <c r="CZ28" s="1">
        <f t="shared" si="4"/>
        <v>24</v>
      </c>
      <c r="DA28" s="1">
        <f t="shared" si="4"/>
        <v>24</v>
      </c>
      <c r="DB28" s="1">
        <f t="shared" si="4"/>
        <v>24</v>
      </c>
      <c r="DC28" s="1">
        <f t="shared" si="4"/>
        <v>24</v>
      </c>
      <c r="DD28" s="1">
        <f t="shared" si="4"/>
        <v>24</v>
      </c>
      <c r="DE28" s="1">
        <f t="shared" si="4"/>
        <v>23</v>
      </c>
      <c r="DF28" s="1">
        <f t="shared" si="4"/>
        <v>22</v>
      </c>
      <c r="DG28" s="1">
        <f t="shared" si="4"/>
        <v>21</v>
      </c>
      <c r="DH28" s="1">
        <f t="shared" si="4"/>
        <v>20</v>
      </c>
      <c r="DI28" s="1">
        <f t="shared" si="4"/>
        <v>19</v>
      </c>
      <c r="DJ28" s="1">
        <f t="shared" si="4"/>
        <v>18</v>
      </c>
      <c r="DK28" s="1">
        <f t="shared" si="4"/>
        <v>17</v>
      </c>
      <c r="DL28" s="1">
        <f t="shared" si="4"/>
        <v>16</v>
      </c>
      <c r="DM28" s="1">
        <f t="shared" si="4"/>
        <v>15</v>
      </c>
      <c r="DN28" s="1">
        <f t="shared" si="4"/>
        <v>14</v>
      </c>
      <c r="DO28" s="1">
        <f t="shared" si="4"/>
        <v>13</v>
      </c>
      <c r="DP28" s="1">
        <f t="shared" si="4"/>
        <v>12</v>
      </c>
      <c r="DQ28" s="1">
        <f t="shared" si="4"/>
        <v>11</v>
      </c>
      <c r="DR28" s="1">
        <f t="shared" si="4"/>
        <v>10</v>
      </c>
      <c r="DS28" s="1">
        <f t="shared" si="4"/>
        <v>9</v>
      </c>
      <c r="DT28" s="1">
        <f t="shared" si="4"/>
        <v>8</v>
      </c>
      <c r="DU28" s="1">
        <f t="shared" si="4"/>
        <v>7</v>
      </c>
      <c r="DV28" s="1">
        <f t="shared" si="4"/>
        <v>6</v>
      </c>
      <c r="DW28" s="1">
        <f t="shared" si="4"/>
        <v>5</v>
      </c>
      <c r="DX28" s="1">
        <f t="shared" si="4"/>
        <v>4</v>
      </c>
      <c r="DY28" s="1">
        <f t="shared" si="4"/>
        <v>3</v>
      </c>
      <c r="DZ28" s="1">
        <f t="shared" ref="DZ28:GK28" si="5">IF(OR(DZ3="",EA3=""),0,MIN(24,EA28+1))</f>
        <v>2</v>
      </c>
      <c r="EA28" s="1">
        <f t="shared" si="5"/>
        <v>1</v>
      </c>
      <c r="EB28" s="1">
        <f t="shared" si="5"/>
        <v>0</v>
      </c>
      <c r="EC28" s="1">
        <f t="shared" si="5"/>
        <v>0</v>
      </c>
      <c r="ED28" s="1">
        <f t="shared" si="5"/>
        <v>1</v>
      </c>
      <c r="EE28" s="1">
        <f t="shared" si="5"/>
        <v>0</v>
      </c>
      <c r="EF28" s="1">
        <f t="shared" si="5"/>
        <v>0</v>
      </c>
      <c r="EG28" s="1">
        <f t="shared" si="5"/>
        <v>24</v>
      </c>
      <c r="EH28" s="1">
        <f t="shared" si="5"/>
        <v>24</v>
      </c>
      <c r="EI28" s="1">
        <f t="shared" si="5"/>
        <v>24</v>
      </c>
      <c r="EJ28" s="1">
        <f t="shared" si="5"/>
        <v>24</v>
      </c>
      <c r="EK28" s="1">
        <f t="shared" si="5"/>
        <v>24</v>
      </c>
      <c r="EL28" s="1">
        <f t="shared" si="5"/>
        <v>24</v>
      </c>
      <c r="EM28" s="1">
        <f t="shared" si="5"/>
        <v>24</v>
      </c>
      <c r="EN28" s="1">
        <f t="shared" si="5"/>
        <v>24</v>
      </c>
      <c r="EO28" s="1">
        <f t="shared" si="5"/>
        <v>24</v>
      </c>
      <c r="EP28" s="1">
        <f t="shared" si="5"/>
        <v>24</v>
      </c>
      <c r="EQ28" s="1">
        <f t="shared" si="5"/>
        <v>24</v>
      </c>
      <c r="ER28" s="1">
        <f t="shared" si="5"/>
        <v>24</v>
      </c>
      <c r="ES28" s="1">
        <f t="shared" si="5"/>
        <v>24</v>
      </c>
      <c r="ET28" s="1">
        <f t="shared" si="5"/>
        <v>24</v>
      </c>
      <c r="EU28" s="1">
        <f t="shared" si="5"/>
        <v>24</v>
      </c>
      <c r="EV28" s="1">
        <f t="shared" si="5"/>
        <v>24</v>
      </c>
      <c r="EW28" s="1">
        <f t="shared" si="5"/>
        <v>24</v>
      </c>
      <c r="EX28" s="1">
        <f t="shared" si="5"/>
        <v>24</v>
      </c>
      <c r="EY28" s="1">
        <f t="shared" si="5"/>
        <v>24</v>
      </c>
      <c r="EZ28" s="1">
        <f t="shared" si="5"/>
        <v>24</v>
      </c>
      <c r="FA28" s="1">
        <f t="shared" si="5"/>
        <v>24</v>
      </c>
      <c r="FB28" s="1">
        <f t="shared" si="5"/>
        <v>24</v>
      </c>
      <c r="FC28" s="1">
        <f t="shared" si="5"/>
        <v>24</v>
      </c>
      <c r="FD28" s="1">
        <f t="shared" si="5"/>
        <v>24</v>
      </c>
      <c r="FE28" s="1">
        <f t="shared" si="5"/>
        <v>24</v>
      </c>
      <c r="FF28" s="1">
        <f t="shared" si="5"/>
        <v>24</v>
      </c>
      <c r="FG28" s="1">
        <f t="shared" si="5"/>
        <v>24</v>
      </c>
      <c r="FH28" s="1">
        <f t="shared" si="5"/>
        <v>24</v>
      </c>
      <c r="FI28" s="1">
        <f t="shared" si="5"/>
        <v>24</v>
      </c>
      <c r="FJ28" s="1">
        <f t="shared" si="5"/>
        <v>24</v>
      </c>
      <c r="FK28" s="1">
        <f t="shared" si="5"/>
        <v>24</v>
      </c>
      <c r="FL28" s="1">
        <f t="shared" si="5"/>
        <v>24</v>
      </c>
      <c r="FM28" s="1">
        <f t="shared" si="5"/>
        <v>24</v>
      </c>
      <c r="FN28" s="1">
        <f t="shared" si="5"/>
        <v>24</v>
      </c>
      <c r="FO28" s="1">
        <f t="shared" si="5"/>
        <v>24</v>
      </c>
      <c r="FP28" s="1">
        <f t="shared" si="5"/>
        <v>24</v>
      </c>
      <c r="FQ28" s="1">
        <f t="shared" si="5"/>
        <v>24</v>
      </c>
      <c r="FR28" s="1">
        <f t="shared" si="5"/>
        <v>24</v>
      </c>
      <c r="FS28" s="1">
        <f t="shared" si="5"/>
        <v>24</v>
      </c>
      <c r="FT28" s="1">
        <f t="shared" si="5"/>
        <v>24</v>
      </c>
      <c r="FU28" s="1">
        <f t="shared" si="5"/>
        <v>24</v>
      </c>
      <c r="FV28" s="1">
        <f t="shared" si="5"/>
        <v>24</v>
      </c>
      <c r="FW28" s="1">
        <f t="shared" si="5"/>
        <v>24</v>
      </c>
      <c r="FX28" s="1">
        <f t="shared" si="5"/>
        <v>24</v>
      </c>
      <c r="FY28" s="1">
        <f t="shared" si="5"/>
        <v>24</v>
      </c>
      <c r="FZ28" s="1">
        <f t="shared" si="5"/>
        <v>24</v>
      </c>
      <c r="GA28" s="1">
        <f t="shared" si="5"/>
        <v>24</v>
      </c>
      <c r="GB28" s="1">
        <f t="shared" si="5"/>
        <v>23</v>
      </c>
      <c r="GC28" s="1">
        <f t="shared" si="5"/>
        <v>22</v>
      </c>
      <c r="GD28" s="1">
        <f t="shared" si="5"/>
        <v>21</v>
      </c>
      <c r="GE28" s="1">
        <f t="shared" si="5"/>
        <v>20</v>
      </c>
      <c r="GF28" s="1">
        <f t="shared" si="5"/>
        <v>19</v>
      </c>
      <c r="GG28" s="1">
        <f t="shared" si="5"/>
        <v>18</v>
      </c>
      <c r="GH28" s="1">
        <f t="shared" si="5"/>
        <v>17</v>
      </c>
      <c r="GI28" s="1">
        <f t="shared" si="5"/>
        <v>16</v>
      </c>
      <c r="GJ28" s="1">
        <f t="shared" si="5"/>
        <v>15</v>
      </c>
      <c r="GK28" s="1">
        <f t="shared" si="5"/>
        <v>14</v>
      </c>
      <c r="GL28" s="1">
        <f t="shared" ref="GL28:GX28" si="6">IF(OR(GL3="",GM3=""),0,MIN(24,GM28+1))</f>
        <v>13</v>
      </c>
      <c r="GM28" s="1">
        <f t="shared" si="6"/>
        <v>12</v>
      </c>
      <c r="GN28" s="1">
        <f t="shared" si="6"/>
        <v>11</v>
      </c>
      <c r="GO28" s="1">
        <f t="shared" si="6"/>
        <v>10</v>
      </c>
      <c r="GP28" s="1">
        <f t="shared" si="6"/>
        <v>9</v>
      </c>
      <c r="GQ28" s="1">
        <f t="shared" si="6"/>
        <v>8</v>
      </c>
      <c r="GR28" s="1">
        <f t="shared" si="6"/>
        <v>7</v>
      </c>
      <c r="GS28" s="1">
        <f t="shared" si="6"/>
        <v>6</v>
      </c>
      <c r="GT28" s="1">
        <f t="shared" si="6"/>
        <v>5</v>
      </c>
      <c r="GU28" s="1">
        <f t="shared" si="6"/>
        <v>4</v>
      </c>
      <c r="GV28" s="1">
        <f t="shared" si="6"/>
        <v>3</v>
      </c>
      <c r="GW28" s="1">
        <f t="shared" si="6"/>
        <v>2</v>
      </c>
      <c r="GX28" s="1">
        <f t="shared" si="6"/>
        <v>1</v>
      </c>
      <c r="GY28" s="1">
        <f>IF(OR(GY3="",JH3=""),0,MIN(24,JH28+1))</f>
        <v>0</v>
      </c>
      <c r="GZ28" s="1">
        <f t="shared" ref="GZ28:HH28" si="7">IF(OR(GZ3="",HA3=""),0,MIN(24,HA28+1))</f>
        <v>0</v>
      </c>
      <c r="HA28" s="1">
        <f t="shared" si="7"/>
        <v>0</v>
      </c>
      <c r="HB28" s="1">
        <f t="shared" si="7"/>
        <v>0</v>
      </c>
      <c r="HC28" s="1">
        <f t="shared" si="7"/>
        <v>0</v>
      </c>
      <c r="HD28" s="1">
        <f t="shared" si="7"/>
        <v>0</v>
      </c>
      <c r="HE28" s="1">
        <f t="shared" si="7"/>
        <v>0</v>
      </c>
      <c r="HF28" s="1">
        <f t="shared" si="7"/>
        <v>0</v>
      </c>
      <c r="HG28" s="1">
        <f t="shared" si="7"/>
        <v>0</v>
      </c>
      <c r="HH28" s="1">
        <f t="shared" si="7"/>
        <v>0</v>
      </c>
      <c r="HI28" s="1">
        <f>IF(OR(HI3="",JR3=""),0,MIN(24,JR28+1))</f>
        <v>0</v>
      </c>
      <c r="HJ28" s="1">
        <f t="shared" ref="HJ28:HR28" si="8">IF(OR(HJ3="",HK3=""),0,MIN(24,HK28+1))</f>
        <v>0</v>
      </c>
      <c r="HK28" s="1">
        <f t="shared" si="8"/>
        <v>0</v>
      </c>
      <c r="HL28" s="1">
        <f t="shared" si="8"/>
        <v>0</v>
      </c>
      <c r="HM28" s="1">
        <f t="shared" si="8"/>
        <v>0</v>
      </c>
      <c r="HN28" s="1">
        <f t="shared" si="8"/>
        <v>0</v>
      </c>
      <c r="HO28" s="1">
        <f t="shared" si="8"/>
        <v>0</v>
      </c>
      <c r="HP28" s="1">
        <f t="shared" si="8"/>
        <v>0</v>
      </c>
      <c r="HQ28" s="1">
        <f t="shared" si="8"/>
        <v>0</v>
      </c>
      <c r="HR28" s="1">
        <f t="shared" si="8"/>
        <v>0</v>
      </c>
      <c r="HS28" s="1">
        <f>IF(OR(HS3="",KB3=""),0,MIN(24,KB28+1))</f>
        <v>0</v>
      </c>
      <c r="HT28" s="1">
        <f t="shared" ref="HT28:IB28" si="9">IF(OR(HT3="",HU3=""),0,MIN(24,HU28+1))</f>
        <v>0</v>
      </c>
      <c r="HU28" s="1">
        <f t="shared" si="9"/>
        <v>0</v>
      </c>
      <c r="HV28" s="1">
        <f t="shared" si="9"/>
        <v>0</v>
      </c>
      <c r="HW28" s="1">
        <f t="shared" si="9"/>
        <v>0</v>
      </c>
      <c r="HX28" s="1">
        <f t="shared" si="9"/>
        <v>0</v>
      </c>
      <c r="HY28" s="1">
        <f t="shared" si="9"/>
        <v>0</v>
      </c>
      <c r="HZ28" s="1">
        <f t="shared" si="9"/>
        <v>0</v>
      </c>
      <c r="IA28" s="1">
        <f t="shared" si="9"/>
        <v>0</v>
      </c>
      <c r="IB28" s="1">
        <f t="shared" si="9"/>
        <v>0</v>
      </c>
      <c r="IC28" s="1">
        <f>IF(OR(IC3="",KL3=""),0,MIN(24,KL28+1))</f>
        <v>0</v>
      </c>
      <c r="ID28" s="1">
        <f t="shared" ref="ID28:IL28" si="10">IF(OR(ID3="",IE3=""),0,MIN(24,IE28+1))</f>
        <v>0</v>
      </c>
      <c r="IE28" s="1">
        <f t="shared" si="10"/>
        <v>0</v>
      </c>
      <c r="IF28" s="1">
        <f t="shared" si="10"/>
        <v>0</v>
      </c>
      <c r="IG28" s="1">
        <f t="shared" si="10"/>
        <v>0</v>
      </c>
      <c r="IH28" s="1">
        <f t="shared" si="10"/>
        <v>0</v>
      </c>
      <c r="II28" s="1">
        <f t="shared" si="10"/>
        <v>0</v>
      </c>
      <c r="IJ28" s="1">
        <f t="shared" si="10"/>
        <v>0</v>
      </c>
      <c r="IK28" s="1">
        <f t="shared" si="10"/>
        <v>0</v>
      </c>
      <c r="IL28" s="1">
        <f t="shared" si="10"/>
        <v>0</v>
      </c>
      <c r="IM28" s="1">
        <f>IF(OR(IM3="",KV3=""),0,MIN(24,KV28+1))</f>
        <v>0</v>
      </c>
      <c r="IN28" s="1">
        <f t="shared" ref="IN28:IV28" si="11">IF(OR(IN3="",IO3=""),0,MIN(24,IO28+1))</f>
        <v>0</v>
      </c>
      <c r="IO28" s="1">
        <f t="shared" si="11"/>
        <v>0</v>
      </c>
      <c r="IP28" s="1">
        <f t="shared" si="11"/>
        <v>0</v>
      </c>
      <c r="IQ28" s="1">
        <f t="shared" si="11"/>
        <v>0</v>
      </c>
      <c r="IR28" s="1">
        <f t="shared" si="11"/>
        <v>0</v>
      </c>
      <c r="IS28" s="1">
        <f t="shared" si="11"/>
        <v>0</v>
      </c>
      <c r="IT28" s="1">
        <f t="shared" si="11"/>
        <v>0</v>
      </c>
      <c r="IU28" s="1">
        <f t="shared" si="11"/>
        <v>0</v>
      </c>
      <c r="IV28" s="1">
        <f t="shared" si="11"/>
        <v>0</v>
      </c>
      <c r="IW28" s="1">
        <f>IF(OR(IW3="",LF3=""),0,MIN(24,LF28+1))</f>
        <v>0</v>
      </c>
      <c r="IX28" s="1">
        <f t="shared" ref="IX28:JF28" si="12">IF(OR(IX3="",IY3=""),0,MIN(24,IY28+1))</f>
        <v>0</v>
      </c>
      <c r="IY28" s="1">
        <f t="shared" si="12"/>
        <v>0</v>
      </c>
      <c r="IZ28" s="1">
        <f t="shared" si="12"/>
        <v>0</v>
      </c>
      <c r="JA28" s="1">
        <f t="shared" si="12"/>
        <v>0</v>
      </c>
      <c r="JB28" s="1">
        <f t="shared" si="12"/>
        <v>0</v>
      </c>
      <c r="JC28" s="1">
        <f t="shared" si="12"/>
        <v>0</v>
      </c>
      <c r="JD28" s="1">
        <f t="shared" si="12"/>
        <v>0</v>
      </c>
      <c r="JE28" s="1">
        <f t="shared" si="12"/>
        <v>0</v>
      </c>
      <c r="JF28" s="1">
        <f t="shared" si="12"/>
        <v>0</v>
      </c>
      <c r="JG28" s="1">
        <f>IF(OR(JG3="",LP3=""),0,MIN(24,LP28+1))</f>
        <v>0</v>
      </c>
      <c r="JH28" s="1">
        <f>IF(OR(JH3="",JI3=""),0,MIN(24,JI28+1))</f>
        <v>0</v>
      </c>
      <c r="LY28" s="1"/>
    </row>
    <row r="29" spans="1:337" ht="15.75" x14ac:dyDescent="0.25">
      <c r="A29" s="3" t="s">
        <v>1</v>
      </c>
      <c r="B29" s="7">
        <v>37986</v>
      </c>
      <c r="C29" s="7">
        <v>38017</v>
      </c>
      <c r="D29" s="7">
        <v>38046</v>
      </c>
      <c r="E29" s="7">
        <v>38077</v>
      </c>
      <c r="F29" s="7">
        <v>38107</v>
      </c>
      <c r="G29" s="7">
        <v>38138</v>
      </c>
      <c r="H29" s="7">
        <v>38168</v>
      </c>
      <c r="I29" s="7">
        <v>38199</v>
      </c>
      <c r="J29" s="7">
        <v>38230</v>
      </c>
      <c r="K29" s="7">
        <v>38260</v>
      </c>
      <c r="L29" s="7">
        <v>38291</v>
      </c>
      <c r="M29" s="7">
        <v>38321</v>
      </c>
      <c r="N29" s="7">
        <v>38352</v>
      </c>
      <c r="O29" s="7">
        <v>38383</v>
      </c>
      <c r="P29" s="7">
        <v>38411</v>
      </c>
      <c r="Q29" s="7">
        <v>38442</v>
      </c>
      <c r="R29" s="7">
        <v>38472</v>
      </c>
      <c r="S29" s="7">
        <v>38503</v>
      </c>
      <c r="T29" s="7">
        <v>38533</v>
      </c>
      <c r="U29" s="7">
        <v>38564</v>
      </c>
      <c r="V29" s="7">
        <v>38595</v>
      </c>
      <c r="W29" s="7">
        <v>38625</v>
      </c>
      <c r="X29" s="7">
        <v>38656</v>
      </c>
      <c r="Y29" s="7">
        <v>38686</v>
      </c>
      <c r="Z29" s="7">
        <v>38717</v>
      </c>
      <c r="AA29" s="7">
        <v>38748</v>
      </c>
      <c r="AB29" s="7">
        <v>38776</v>
      </c>
      <c r="AC29" s="7">
        <v>38807</v>
      </c>
      <c r="AD29" s="7">
        <v>38837</v>
      </c>
      <c r="AE29" s="7">
        <v>38868</v>
      </c>
      <c r="AF29" s="7">
        <v>38898</v>
      </c>
      <c r="AG29" s="7">
        <v>38929</v>
      </c>
      <c r="AH29" s="7">
        <v>38960</v>
      </c>
      <c r="AI29" s="7">
        <v>38990</v>
      </c>
      <c r="AJ29" s="7">
        <v>39021</v>
      </c>
      <c r="AK29" s="7">
        <v>39051</v>
      </c>
      <c r="AL29" s="7">
        <v>39082</v>
      </c>
      <c r="AM29" s="7">
        <v>39113</v>
      </c>
      <c r="AN29" s="7">
        <v>39141</v>
      </c>
      <c r="AO29" s="7">
        <v>39172</v>
      </c>
      <c r="AP29" s="7">
        <v>39202</v>
      </c>
      <c r="AQ29" s="7">
        <v>39233</v>
      </c>
      <c r="AR29" s="7">
        <v>39263</v>
      </c>
      <c r="AS29" s="7">
        <v>39294</v>
      </c>
      <c r="AT29" s="7">
        <v>39325</v>
      </c>
      <c r="AU29" s="7">
        <v>39355</v>
      </c>
      <c r="AV29" s="7">
        <v>39386</v>
      </c>
      <c r="AW29" s="7">
        <v>39416</v>
      </c>
      <c r="AX29" s="7">
        <v>39447</v>
      </c>
      <c r="AY29" s="7">
        <v>39478</v>
      </c>
      <c r="AZ29" s="7">
        <v>39507</v>
      </c>
      <c r="BA29" s="7">
        <v>39538</v>
      </c>
      <c r="BB29" s="7">
        <v>39568</v>
      </c>
      <c r="BC29" s="7">
        <v>39599</v>
      </c>
      <c r="BD29" s="7">
        <v>39629</v>
      </c>
      <c r="BE29" s="7">
        <v>39660</v>
      </c>
      <c r="BF29" s="7">
        <v>39691</v>
      </c>
      <c r="BG29" s="7">
        <v>39721</v>
      </c>
      <c r="BH29" s="7">
        <v>39752</v>
      </c>
      <c r="BI29" s="7">
        <v>39782</v>
      </c>
      <c r="BJ29" s="7">
        <v>39813</v>
      </c>
      <c r="BK29" s="7">
        <v>39844</v>
      </c>
      <c r="BL29" s="7">
        <v>39872</v>
      </c>
      <c r="BM29" s="7">
        <v>39903</v>
      </c>
      <c r="BN29" s="7">
        <v>39933</v>
      </c>
      <c r="BO29" s="7">
        <v>39964</v>
      </c>
      <c r="BP29" s="7">
        <v>39994</v>
      </c>
      <c r="BQ29" s="7">
        <v>40025</v>
      </c>
      <c r="BR29" s="7">
        <v>40056</v>
      </c>
      <c r="BS29" s="7">
        <v>40086</v>
      </c>
      <c r="BT29" s="7">
        <v>40117</v>
      </c>
      <c r="BU29" s="7">
        <v>40147</v>
      </c>
      <c r="BV29" s="7">
        <v>40178</v>
      </c>
      <c r="BW29" s="7">
        <v>40209</v>
      </c>
      <c r="BX29" s="7">
        <v>40237</v>
      </c>
      <c r="BY29" s="7">
        <v>40268</v>
      </c>
      <c r="BZ29" s="7">
        <v>40298</v>
      </c>
      <c r="CA29" s="7">
        <v>40329</v>
      </c>
      <c r="CB29" s="7">
        <v>40359</v>
      </c>
      <c r="CC29" s="7">
        <v>40390</v>
      </c>
      <c r="CD29" s="7">
        <v>40421</v>
      </c>
      <c r="CE29" s="7">
        <v>40451</v>
      </c>
      <c r="CF29" s="7">
        <v>40482</v>
      </c>
      <c r="CG29" s="7">
        <v>40512</v>
      </c>
      <c r="CH29" s="7">
        <v>40543</v>
      </c>
      <c r="CI29" s="7">
        <v>40574</v>
      </c>
      <c r="CJ29" s="7">
        <v>40602</v>
      </c>
      <c r="CK29" s="7">
        <v>40633</v>
      </c>
      <c r="CL29" s="7">
        <v>40663</v>
      </c>
      <c r="CM29" s="7">
        <v>40694</v>
      </c>
      <c r="CN29" s="7">
        <v>40724</v>
      </c>
      <c r="CO29" s="7">
        <v>40755</v>
      </c>
      <c r="CP29" s="7">
        <v>40786</v>
      </c>
      <c r="CQ29" s="7">
        <v>40816</v>
      </c>
      <c r="CR29" s="7">
        <v>40847</v>
      </c>
      <c r="CS29" s="7">
        <v>40877</v>
      </c>
      <c r="CT29" s="7">
        <v>40908</v>
      </c>
      <c r="CU29" s="7">
        <v>40939</v>
      </c>
      <c r="CV29" s="8">
        <v>40968</v>
      </c>
      <c r="CW29" s="7">
        <v>40999</v>
      </c>
      <c r="CX29" s="7">
        <v>41029</v>
      </c>
      <c r="CY29" s="7">
        <v>41060</v>
      </c>
      <c r="CZ29" s="7">
        <v>41090</v>
      </c>
      <c r="DA29" s="7">
        <v>41121</v>
      </c>
      <c r="DB29" s="7">
        <v>41152</v>
      </c>
      <c r="DC29" s="7">
        <v>41182</v>
      </c>
      <c r="DD29" s="7">
        <v>41213</v>
      </c>
      <c r="DE29" s="7">
        <v>41243</v>
      </c>
      <c r="DF29" s="7">
        <v>41274</v>
      </c>
      <c r="DG29" s="7">
        <v>41305</v>
      </c>
      <c r="DH29" s="7">
        <v>41333</v>
      </c>
      <c r="DI29" s="7">
        <v>41364</v>
      </c>
      <c r="DJ29" s="7">
        <v>41394</v>
      </c>
      <c r="DK29" s="7">
        <v>41425</v>
      </c>
      <c r="DL29" s="7">
        <v>41455</v>
      </c>
      <c r="DM29" s="7">
        <v>41486</v>
      </c>
      <c r="DN29" s="7">
        <v>41517</v>
      </c>
      <c r="DO29" s="7">
        <v>41547</v>
      </c>
      <c r="DP29" s="7">
        <v>41578</v>
      </c>
      <c r="DQ29" s="7">
        <v>41608</v>
      </c>
      <c r="DR29" s="7">
        <v>41639</v>
      </c>
      <c r="DS29" s="7">
        <v>41670</v>
      </c>
      <c r="DT29" s="7">
        <v>41698</v>
      </c>
      <c r="DU29" s="7">
        <v>41729</v>
      </c>
      <c r="DV29" s="7">
        <v>41759</v>
      </c>
      <c r="DW29" s="7">
        <v>41790</v>
      </c>
      <c r="DX29" s="7">
        <v>41820</v>
      </c>
      <c r="DY29" s="7">
        <v>41851</v>
      </c>
      <c r="DZ29" s="7">
        <v>41882</v>
      </c>
      <c r="EA29" s="7">
        <v>41912</v>
      </c>
      <c r="EB29" s="7">
        <v>41943</v>
      </c>
      <c r="EC29" s="7">
        <v>41973</v>
      </c>
      <c r="ED29" s="7">
        <v>42004</v>
      </c>
      <c r="EE29" s="7">
        <v>42035</v>
      </c>
      <c r="EF29" s="7">
        <v>42063</v>
      </c>
      <c r="EG29" s="7">
        <v>42094</v>
      </c>
      <c r="EH29" s="7">
        <v>42124</v>
      </c>
      <c r="EI29" s="7">
        <v>42155</v>
      </c>
      <c r="EJ29" s="7">
        <v>42185</v>
      </c>
      <c r="EK29" s="7">
        <v>42216</v>
      </c>
      <c r="EL29" s="7">
        <v>42247</v>
      </c>
      <c r="EM29" s="7">
        <v>42277</v>
      </c>
      <c r="EN29" s="7">
        <v>42308</v>
      </c>
      <c r="EO29" s="7">
        <v>42338</v>
      </c>
      <c r="EP29" s="7">
        <v>42369</v>
      </c>
      <c r="EQ29" s="7">
        <v>42400</v>
      </c>
      <c r="ER29" s="7">
        <v>42429</v>
      </c>
      <c r="ES29" s="7">
        <v>42460</v>
      </c>
      <c r="ET29" s="7">
        <v>42490</v>
      </c>
      <c r="EU29" s="7">
        <v>42521</v>
      </c>
      <c r="EV29" s="7">
        <v>42551</v>
      </c>
      <c r="EW29" s="7">
        <v>42582</v>
      </c>
      <c r="EX29" s="7">
        <v>42613</v>
      </c>
      <c r="EY29" s="7">
        <v>42643</v>
      </c>
      <c r="EZ29" s="7">
        <v>42674</v>
      </c>
      <c r="FA29" s="7">
        <v>42704</v>
      </c>
      <c r="FB29" s="7">
        <v>42735</v>
      </c>
      <c r="FC29" s="7">
        <v>42766</v>
      </c>
      <c r="FD29" s="7">
        <v>42794</v>
      </c>
      <c r="FE29" s="7">
        <v>42825</v>
      </c>
      <c r="FF29" s="7">
        <v>42855</v>
      </c>
      <c r="FG29" s="7">
        <v>42886</v>
      </c>
      <c r="FH29" s="7">
        <v>42916</v>
      </c>
      <c r="FI29" s="7">
        <v>42947</v>
      </c>
      <c r="FJ29" s="7">
        <v>42978</v>
      </c>
      <c r="FK29" s="7">
        <v>43008</v>
      </c>
      <c r="FL29" s="7">
        <v>43039</v>
      </c>
      <c r="FM29" s="7">
        <v>43069</v>
      </c>
      <c r="FN29" s="7">
        <v>43100</v>
      </c>
      <c r="FO29" s="7">
        <v>43131</v>
      </c>
      <c r="FP29" s="7">
        <v>43159</v>
      </c>
      <c r="FQ29" s="7">
        <v>43190</v>
      </c>
      <c r="FR29" s="7">
        <v>43220</v>
      </c>
      <c r="FS29" s="7">
        <v>43251</v>
      </c>
      <c r="FT29" s="7">
        <v>43281</v>
      </c>
      <c r="FU29" s="7">
        <v>43312</v>
      </c>
      <c r="FV29" s="7">
        <v>43343</v>
      </c>
      <c r="FW29" s="7">
        <v>43373</v>
      </c>
      <c r="FX29" s="7">
        <v>43404</v>
      </c>
      <c r="FY29" s="7">
        <v>43434</v>
      </c>
      <c r="FZ29" s="7">
        <v>43465</v>
      </c>
      <c r="GA29" s="7">
        <v>43496</v>
      </c>
      <c r="GB29" s="7">
        <v>43524</v>
      </c>
      <c r="GC29" s="7">
        <v>43555</v>
      </c>
      <c r="GD29" s="7">
        <v>43585</v>
      </c>
      <c r="GE29" s="7">
        <v>43616</v>
      </c>
      <c r="GF29" s="7">
        <v>43646</v>
      </c>
      <c r="GG29" s="7">
        <v>43677</v>
      </c>
      <c r="GH29" s="7">
        <v>43708</v>
      </c>
      <c r="GI29" s="7">
        <v>43738</v>
      </c>
      <c r="GJ29" s="7">
        <v>43769</v>
      </c>
      <c r="GK29" s="7">
        <v>43799</v>
      </c>
      <c r="GL29" s="7">
        <v>43830</v>
      </c>
      <c r="GM29" s="7">
        <v>43861</v>
      </c>
      <c r="GN29" s="7">
        <v>43890</v>
      </c>
      <c r="GO29" s="7">
        <v>43921</v>
      </c>
      <c r="GP29" s="7">
        <v>43951</v>
      </c>
      <c r="GQ29" s="7">
        <v>43982</v>
      </c>
      <c r="GR29" s="7">
        <v>44012</v>
      </c>
      <c r="GS29" s="7">
        <v>44043</v>
      </c>
      <c r="GT29" s="7">
        <v>44074</v>
      </c>
      <c r="GU29" s="7">
        <v>44104</v>
      </c>
      <c r="GV29" s="7">
        <v>44135</v>
      </c>
      <c r="GW29" s="7">
        <v>44165</v>
      </c>
      <c r="GX29" s="7">
        <v>44196</v>
      </c>
      <c r="GY29" s="7">
        <v>44227</v>
      </c>
      <c r="GZ29" s="7">
        <v>44255</v>
      </c>
      <c r="HA29" s="7">
        <v>44286</v>
      </c>
      <c r="HB29" s="7">
        <v>44316</v>
      </c>
      <c r="HC29" s="7">
        <v>44347</v>
      </c>
      <c r="HD29" s="7">
        <v>44377</v>
      </c>
      <c r="HE29" s="7">
        <v>44408</v>
      </c>
      <c r="HF29" s="7">
        <v>44439</v>
      </c>
      <c r="HG29" s="7">
        <v>44469</v>
      </c>
      <c r="HH29" s="7">
        <v>44500</v>
      </c>
      <c r="HI29" s="7">
        <v>44530</v>
      </c>
      <c r="HJ29" s="7">
        <v>44561</v>
      </c>
      <c r="HK29" s="7">
        <v>44592</v>
      </c>
      <c r="HL29" s="7">
        <v>44620</v>
      </c>
      <c r="HM29" s="7">
        <v>44651</v>
      </c>
      <c r="HN29" s="7">
        <v>44681</v>
      </c>
      <c r="HO29" s="7">
        <v>44712</v>
      </c>
      <c r="HP29" s="7">
        <v>44742</v>
      </c>
      <c r="HQ29" s="7">
        <v>44773</v>
      </c>
      <c r="HR29" s="7">
        <v>44804</v>
      </c>
      <c r="HS29" s="7">
        <v>44834</v>
      </c>
      <c r="HT29" s="7">
        <v>44865</v>
      </c>
      <c r="HU29" s="7">
        <v>44895</v>
      </c>
      <c r="HV29" s="7">
        <v>44926</v>
      </c>
      <c r="HW29" s="7">
        <v>44957</v>
      </c>
      <c r="HX29" s="7">
        <v>44985</v>
      </c>
      <c r="HY29" s="7">
        <v>45016</v>
      </c>
      <c r="HZ29" s="7">
        <v>45046</v>
      </c>
      <c r="IA29" s="7">
        <v>45077</v>
      </c>
      <c r="IB29" s="7">
        <v>45107</v>
      </c>
      <c r="IC29" s="7">
        <v>45138</v>
      </c>
      <c r="ID29" s="7">
        <v>45169</v>
      </c>
      <c r="IE29" s="7">
        <v>45199</v>
      </c>
      <c r="IF29" s="7">
        <v>45230</v>
      </c>
      <c r="IG29" s="7">
        <v>45260</v>
      </c>
      <c r="IH29" s="7">
        <v>45291</v>
      </c>
      <c r="II29" s="7">
        <v>45322</v>
      </c>
      <c r="IJ29" s="7">
        <v>45351</v>
      </c>
      <c r="IK29" s="7">
        <v>45382</v>
      </c>
      <c r="IL29" s="7">
        <v>45412</v>
      </c>
      <c r="IM29" s="7">
        <v>45443</v>
      </c>
      <c r="IN29" s="7">
        <v>45473</v>
      </c>
      <c r="IO29" s="7">
        <v>45504</v>
      </c>
      <c r="IP29" s="7">
        <v>45535</v>
      </c>
      <c r="IQ29" s="7">
        <v>45565</v>
      </c>
      <c r="IR29" s="7">
        <v>45596</v>
      </c>
      <c r="IS29" s="7">
        <v>45626</v>
      </c>
      <c r="IT29" s="7">
        <v>45657</v>
      </c>
      <c r="IU29" s="7">
        <v>45688</v>
      </c>
      <c r="IV29" s="7">
        <v>45716</v>
      </c>
      <c r="IW29" s="7">
        <v>45747</v>
      </c>
      <c r="IX29" s="7">
        <v>45777</v>
      </c>
      <c r="IY29" s="7">
        <v>45808</v>
      </c>
      <c r="IZ29" s="7">
        <v>45838</v>
      </c>
      <c r="JA29" s="7">
        <v>45869</v>
      </c>
      <c r="JB29" s="7">
        <v>45900</v>
      </c>
      <c r="JC29" s="7">
        <v>45930</v>
      </c>
      <c r="JD29" s="7">
        <v>45961</v>
      </c>
      <c r="JE29" s="7">
        <v>45991</v>
      </c>
      <c r="JF29" s="7">
        <v>46022</v>
      </c>
      <c r="JG29" s="7">
        <v>46053</v>
      </c>
      <c r="JH29" s="7">
        <v>46081</v>
      </c>
      <c r="JI29" s="10" t="s">
        <v>2</v>
      </c>
      <c r="JJ29" s="11" t="s">
        <v>3</v>
      </c>
      <c r="JK29" s="10" t="s">
        <v>4</v>
      </c>
      <c r="JL29" s="12" t="s">
        <v>5</v>
      </c>
      <c r="JM29" s="10" t="s">
        <v>6</v>
      </c>
      <c r="JN29" s="19">
        <v>1.28</v>
      </c>
      <c r="LY29" s="1"/>
    </row>
    <row r="30" spans="1:337" x14ac:dyDescent="0.25">
      <c r="A30" s="4">
        <v>1</v>
      </c>
      <c r="B30" s="9">
        <f ca="1">IF(OR(B3="",B$28&lt;$A30),"",B3/OFFSET(SSAutCLM!$A$2,MATCH(B$29,SSAutCLM!$A$2:$A$500)+$A30-1,1)-1)</f>
        <v>-7.3684168076504353E-4</v>
      </c>
      <c r="C30" s="9">
        <f ca="1">IF(OR(C3="",C$28&lt;$A30),"",C3/OFFSET(SSAutCLM!$A$2,MATCH(C$29,SSAutCLM!$A$2:$A$500)+$A30-1,1)-1)</f>
        <v>1.4774124007082001E-3</v>
      </c>
      <c r="D30" s="9">
        <f ca="1">IF(OR(D3="",D$28&lt;$A30),"",D3/OFFSET(SSAutCLM!$A$2,MATCH(D$29,SSAutCLM!$A$2:$A$500)+$A30-1,1)-1)</f>
        <v>-1.1591521042829678E-3</v>
      </c>
      <c r="E30" s="9">
        <f ca="1">IF(OR(E3="",E$28&lt;$A30),"",E3/OFFSET(SSAutCLM!$A$2,MATCH(E$29,SSAutCLM!$A$2:$A$500)+$A30-1,1)-1)</f>
        <v>5.085477263624405E-4</v>
      </c>
      <c r="F30" s="9">
        <f ca="1">IF(OR(F3="",F$28&lt;$A30),"",F3/OFFSET(SSAutCLM!$A$2,MATCH(F$29,SSAutCLM!$A$2:$A$500)+$A30-1,1)-1)</f>
        <v>-1.1157705879794033E-3</v>
      </c>
      <c r="G30" s="9">
        <f ca="1">IF(OR(G3="",G$28&lt;$A30),"",G3/OFFSET(SSAutCLM!$A$2,MATCH(G$29,SSAutCLM!$A$2:$A$500)+$A30-1,1)-1)</f>
        <v>-1.1785754751281186E-3</v>
      </c>
      <c r="H30" s="9">
        <f ca="1">IF(OR(H3="",H$28&lt;$A30),"",H3/OFFSET(SSAutCLM!$A$2,MATCH(H$29,SSAutCLM!$A$2:$A$500)+$A30-1,1)-1)</f>
        <v>-1.0900267243791895E-3</v>
      </c>
      <c r="I30" s="9">
        <f ca="1">IF(OR(I3="",I$28&lt;$A30),"",I3/OFFSET(SSAutCLM!$A$2,MATCH(I$29,SSAutCLM!$A$2:$A$500)+$A30-1,1)-1)</f>
        <v>2.9441481938885516E-4</v>
      </c>
      <c r="J30" s="9">
        <f ca="1">IF(OR(J3="",J$28&lt;$A30),"",J3/OFFSET(SSAutCLM!$A$2,MATCH(J$29,SSAutCLM!$A$2:$A$500)+$A30-1,1)-1)</f>
        <v>-5.2136707946592864E-4</v>
      </c>
      <c r="K30" s="9">
        <f ca="1">IF(OR(K3="",K$28&lt;$A30),"",K3/OFFSET(SSAutCLM!$A$2,MATCH(K$29,SSAutCLM!$A$2:$A$500)+$A30-1,1)-1)</f>
        <v>1.1238592791564805E-3</v>
      </c>
      <c r="L30" s="9">
        <f ca="1">IF(OR(L3="",L$28&lt;$A30),"",L3/OFFSET(SSAutCLM!$A$2,MATCH(L$29,SSAutCLM!$A$2:$A$500)+$A30-1,1)-1)</f>
        <v>2.2582511450419673E-4</v>
      </c>
      <c r="M30" s="9">
        <f ca="1">IF(OR(M3="",M$28&lt;$A30),"",M3/OFFSET(SSAutCLM!$A$2,MATCH(M$29,SSAutCLM!$A$2:$A$500)+$A30-1,1)-1)</f>
        <v>-1.5191342798637208E-3</v>
      </c>
      <c r="N30" s="9">
        <f ca="1">IF(OR(N3="",N$28&lt;$A30),"",N3/OFFSET(SSAutCLM!$A$2,MATCH(N$29,SSAutCLM!$A$2:$A$500)+$A30-1,1)-1)</f>
        <v>-1.8277629040291954E-3</v>
      </c>
      <c r="O30" s="9">
        <f ca="1">IF(OR(O3="",O$28&lt;$A30),"",O3/OFFSET(SSAutCLM!$A$2,MATCH(O$29,SSAutCLM!$A$2:$A$500)+$A30-1,1)-1)</f>
        <v>4.8261860817078173E-4</v>
      </c>
      <c r="P30" s="9">
        <f ca="1">IF(OR(P3="",P$28&lt;$A30),"",P3/OFFSET(SSAutCLM!$A$2,MATCH(P$29,SSAutCLM!$A$2:$A$500)+$A30-1,1)-1)</f>
        <v>1.2430018501479179E-3</v>
      </c>
      <c r="Q30" s="9">
        <f ca="1">IF(OR(Q3="",Q$28&lt;$A30),"",Q3/OFFSET(SSAutCLM!$A$2,MATCH(Q$29,SSAutCLM!$A$2:$A$500)+$A30-1,1)-1)</f>
        <v>1.9831654893500694E-3</v>
      </c>
      <c r="R30" s="9">
        <f ca="1">IF(OR(R3="",R$28&lt;$A30),"",R3/OFFSET(SSAutCLM!$A$2,MATCH(R$29,SSAutCLM!$A$2:$A$500)+$A30-1,1)-1)</f>
        <v>1.681104952750534E-3</v>
      </c>
      <c r="S30" s="9">
        <f ca="1">IF(OR(S3="",S$28&lt;$A30),"",S3/OFFSET(SSAutCLM!$A$2,MATCH(S$29,SSAutCLM!$A$2:$A$500)+$A30-1,1)-1)</f>
        <v>4.090393218463273E-4</v>
      </c>
      <c r="T30" s="9">
        <f ca="1">IF(OR(T3="",T$28&lt;$A30),"",T3/OFFSET(SSAutCLM!$A$2,MATCH(T$29,SSAutCLM!$A$2:$A$500)+$A30-1,1)-1)</f>
        <v>4.2199277235521748E-4</v>
      </c>
      <c r="U30" s="9">
        <f ca="1">IF(OR(U3="",U$28&lt;$A30),"",U3/OFFSET(SSAutCLM!$A$2,MATCH(U$29,SSAutCLM!$A$2:$A$500)+$A30-1,1)-1)</f>
        <v>5.148258153198082E-4</v>
      </c>
      <c r="V30" s="9">
        <f ca="1">IF(OR(V3="",V$28&lt;$A30),"",V3/OFFSET(SSAutCLM!$A$2,MATCH(V$29,SSAutCLM!$A$2:$A$500)+$A30-1,1)-1)</f>
        <v>1.83586374475464E-4</v>
      </c>
      <c r="W30" s="9">
        <f ca="1">IF(OR(W3="",W$28&lt;$A30),"",W3/OFFSET(SSAutCLM!$A$2,MATCH(W$29,SSAutCLM!$A$2:$A$500)+$A30-1,1)-1)</f>
        <v>2.1606646928051809E-4</v>
      </c>
      <c r="X30" s="9">
        <f ca="1">IF(OR(X3="",X$28&lt;$A30),"",X3/OFFSET(SSAutCLM!$A$2,MATCH(X$29,SSAutCLM!$A$2:$A$500)+$A30-1,1)-1)</f>
        <v>9.2482216108336068E-4</v>
      </c>
      <c r="Y30" s="9">
        <f ca="1">IF(OR(Y3="",Y$28&lt;$A30),"",Y3/OFFSET(SSAutCLM!$A$2,MATCH(Y$29,SSAutCLM!$A$2:$A$500)+$A30-1,1)-1)</f>
        <v>-8.9567420619296456E-4</v>
      </c>
      <c r="Z30" s="9">
        <f ca="1">IF(OR(Z3="",Z$28&lt;$A30),"",Z3/OFFSET(SSAutCLM!$A$2,MATCH(Z$29,SSAutCLM!$A$2:$A$500)+$A30-1,1)-1)</f>
        <v>-4.6984148604778397E-4</v>
      </c>
      <c r="AA30" s="9">
        <f ca="1">IF(OR(AA3="",AA$28&lt;$A30),"",AA3/OFFSET(SSAutCLM!$A$2,MATCH(AA$29,SSAutCLM!$A$2:$A$500)+$A30-1,1)-1)</f>
        <v>-8.1398077537087055E-4</v>
      </c>
      <c r="AB30" s="9">
        <f ca="1">IF(OR(AB3="",AB$28&lt;$A30),"",AB3/OFFSET(SSAutCLM!$A$2,MATCH(AB$29,SSAutCLM!$A$2:$A$500)+$A30-1,1)-1)</f>
        <v>6.6980674263183992E-4</v>
      </c>
      <c r="AC30" s="9">
        <f ca="1">IF(OR(AC3="",AC$28&lt;$A30),"",AC3/OFFSET(SSAutCLM!$A$2,MATCH(AC$29,SSAutCLM!$A$2:$A$500)+$A30-1,1)-1)</f>
        <v>-4.5188606692003752E-5</v>
      </c>
      <c r="AD30" s="9">
        <f ca="1">IF(OR(AD3="",AD$28&lt;$A30),"",AD3/OFFSET(SSAutCLM!$A$2,MATCH(AD$29,SSAutCLM!$A$2:$A$500)+$A30-1,1)-1)</f>
        <v>-2.5102079780026099E-4</v>
      </c>
      <c r="AE30" s="9">
        <f ca="1">IF(OR(AE3="",AE$28&lt;$A30),"",AE3/OFFSET(SSAutCLM!$A$2,MATCH(AE$29,SSAutCLM!$A$2:$A$500)+$A30-1,1)-1)</f>
        <v>-1.5562049079897999E-4</v>
      </c>
      <c r="AF30" s="9">
        <f ca="1">IF(OR(AF3="",AF$28&lt;$A30),"",AF3/OFFSET(SSAutCLM!$A$2,MATCH(AF$29,SSAutCLM!$A$2:$A$500)+$A30-1,1)-1)</f>
        <v>-6.312730269786293E-4</v>
      </c>
      <c r="AG30" s="9">
        <f ca="1">IF(OR(AG3="",AG$28&lt;$A30),"",AG3/OFFSET(SSAutCLM!$A$2,MATCH(AG$29,SSAutCLM!$A$2:$A$500)+$A30-1,1)-1)</f>
        <v>8.1515489373051864E-4</v>
      </c>
      <c r="AH30" s="9">
        <f ca="1">IF(OR(AH3="",AH$28&lt;$A30),"",AH3/OFFSET(SSAutCLM!$A$2,MATCH(AH$29,SSAutCLM!$A$2:$A$500)+$A30-1,1)-1)</f>
        <v>-5.6607461213875609E-4</v>
      </c>
      <c r="AI30" s="9">
        <f ca="1">IF(OR(AI3="",AI$28&lt;$A30),"",AI3/OFFSET(SSAutCLM!$A$2,MATCH(AI$29,SSAutCLM!$A$2:$A$500)+$A30-1,1)-1)</f>
        <v>-7.7716678987049814E-4</v>
      </c>
      <c r="AJ30" s="9">
        <f ca="1">IF(OR(AJ3="",AJ$28&lt;$A30),"",AJ3/OFFSET(SSAutCLM!$A$2,MATCH(AJ$29,SSAutCLM!$A$2:$A$500)+$A30-1,1)-1)</f>
        <v>-2.2720675790732781E-4</v>
      </c>
      <c r="AK30" s="9">
        <f ca="1">IF(OR(AK3="",AK$28&lt;$A30),"",AK3/OFFSET(SSAutCLM!$A$2,MATCH(AK$29,SSAutCLM!$A$2:$A$500)+$A30-1,1)-1)</f>
        <v>-9.7656007255297883E-4</v>
      </c>
      <c r="AL30" s="9">
        <f ca="1">IF(OR(AL3="",AL$28&lt;$A30),"",AL3/OFFSET(SSAutCLM!$A$2,MATCH(AL$29,SSAutCLM!$A$2:$A$500)+$A30-1,1)-1)</f>
        <v>-4.9890621354686804E-4</v>
      </c>
      <c r="AM30" s="9">
        <f ca="1">IF(OR(AM3="",AM$28&lt;$A30),"",AM3/OFFSET(SSAutCLM!$A$2,MATCH(AM$29,SSAutCLM!$A$2:$A$500)+$A30-1,1)-1)</f>
        <v>-1.8538715174076792E-3</v>
      </c>
      <c r="AN30" s="9">
        <f ca="1">IF(OR(AN3="",AN$28&lt;$A30),"",AN3/OFFSET(SSAutCLM!$A$2,MATCH(AN$29,SSAutCLM!$A$2:$A$500)+$A30-1,1)-1)</f>
        <v>-1.8109547502941359E-3</v>
      </c>
      <c r="AO30" s="9">
        <f ca="1">IF(OR(AO3="",AO$28&lt;$A30),"",AO3/OFFSET(SSAutCLM!$A$2,MATCH(AO$29,SSAutCLM!$A$2:$A$500)+$A30-1,1)-1)</f>
        <v>3.0245329875944194E-4</v>
      </c>
      <c r="AP30" s="9">
        <f ca="1">IF(OR(AP3="",AP$28&lt;$A30),"",AP3/OFFSET(SSAutCLM!$A$2,MATCH(AP$29,SSAutCLM!$A$2:$A$500)+$A30-1,1)-1)</f>
        <v>2.4605379740516575E-4</v>
      </c>
      <c r="AQ30" s="9">
        <f ca="1">IF(OR(AQ3="",AQ$28&lt;$A30),"",AQ3/OFFSET(SSAutCLM!$A$2,MATCH(AQ$29,SSAutCLM!$A$2:$A$500)+$A30-1,1)-1)</f>
        <v>-1.5824901123098201E-3</v>
      </c>
      <c r="AR30" s="9">
        <f ca="1">IF(OR(AR3="",AR$28&lt;$A30),"",AR3/OFFSET(SSAutCLM!$A$2,MATCH(AR$29,SSAutCLM!$A$2:$A$500)+$A30-1,1)-1)</f>
        <v>-8.5491563011652616E-4</v>
      </c>
      <c r="AS30" s="9">
        <f ca="1">IF(OR(AS3="",AS$28&lt;$A30),"",AS3/OFFSET(SSAutCLM!$A$2,MATCH(AS$29,SSAutCLM!$A$2:$A$500)+$A30-1,1)-1)</f>
        <v>-6.2152472939391856E-5</v>
      </c>
      <c r="AT30" s="9">
        <f ca="1">IF(OR(AT3="",AT$28&lt;$A30),"",AT3/OFFSET(SSAutCLM!$A$2,MATCH(AT$29,SSAutCLM!$A$2:$A$500)+$A30-1,1)-1)</f>
        <v>-6.3788576297474364E-4</v>
      </c>
      <c r="AU30" s="9">
        <f ca="1">IF(OR(AU3="",AU$28&lt;$A30),"",AU3/OFFSET(SSAutCLM!$A$2,MATCH(AU$29,SSAutCLM!$A$2:$A$500)+$A30-1,1)-1)</f>
        <v>-8.2511660650197438E-4</v>
      </c>
      <c r="AV30" s="9">
        <f ca="1">IF(OR(AV3="",AV$28&lt;$A30),"",AV3/OFFSET(SSAutCLM!$A$2,MATCH(AV$29,SSAutCLM!$A$2:$A$500)+$A30-1,1)-1)</f>
        <v>6.6180023605766358E-4</v>
      </c>
      <c r="AW30" s="9">
        <f ca="1">IF(OR(AW3="",AW$28&lt;$A30),"",AW3/OFFSET(SSAutCLM!$A$2,MATCH(AW$29,SSAutCLM!$A$2:$A$500)+$A30-1,1)-1)</f>
        <v>1.799845008489509E-3</v>
      </c>
      <c r="AX30" s="9">
        <f ca="1">IF(OR(AX3="",AX$28&lt;$A30),"",AX3/OFFSET(SSAutCLM!$A$2,MATCH(AX$29,SSAutCLM!$A$2:$A$500)+$A30-1,1)-1)</f>
        <v>2.1782534015815092E-3</v>
      </c>
      <c r="AY30" s="9">
        <f ca="1">IF(OR(AY3="",AY$28&lt;$A30),"",AY3/OFFSET(SSAutCLM!$A$2,MATCH(AY$29,SSAutCLM!$A$2:$A$500)+$A30-1,1)-1)</f>
        <v>3.4953907080899072E-3</v>
      </c>
      <c r="AZ30" s="9">
        <f ca="1">IF(OR(AZ3="",AZ$28&lt;$A30),"",AZ3/OFFSET(SSAutCLM!$A$2,MATCH(AZ$29,SSAutCLM!$A$2:$A$500)+$A30-1,1)-1)</f>
        <v>6.3768268487374158E-4</v>
      </c>
      <c r="BA30" s="9">
        <f ca="1">IF(OR(BA3="",BA$28&lt;$A30),"",BA3/OFFSET(SSAutCLM!$A$2,MATCH(BA$29,SSAutCLM!$A$2:$A$500)+$A30-1,1)-1)</f>
        <v>3.0860874535183491E-3</v>
      </c>
      <c r="BB30" s="9">
        <f ca="1">IF(OR(BB3="",BB$28&lt;$A30),"",BB3/OFFSET(SSAutCLM!$A$2,MATCH(BB$29,SSAutCLM!$A$2:$A$500)+$A30-1,1)-1)</f>
        <v>2.4340268490712358E-3</v>
      </c>
      <c r="BC30" s="9">
        <f ca="1">IF(OR(BC3="",BC$28&lt;$A30),"",BC3/OFFSET(SSAutCLM!$A$2,MATCH(BC$29,SSAutCLM!$A$2:$A$500)+$A30-1,1)-1)</f>
        <v>1.4397753244295153E-3</v>
      </c>
      <c r="BD30" s="9">
        <f ca="1">IF(OR(BD3="",BD$28&lt;$A30),"",BD3/OFFSET(SSAutCLM!$A$2,MATCH(BD$29,SSAutCLM!$A$2:$A$500)+$A30-1,1)-1)</f>
        <v>1.351135107675816E-3</v>
      </c>
      <c r="BE30" s="9">
        <f ca="1">IF(OR(BE3="",BE$28&lt;$A30),"",BE3/OFFSET(SSAutCLM!$A$2,MATCH(BE$29,SSAutCLM!$A$2:$A$500)+$A30-1,1)-1)</f>
        <v>2.1192216065677449E-3</v>
      </c>
      <c r="BF30" s="9">
        <f ca="1">IF(OR(BF3="",BF$28&lt;$A30),"",BF3/OFFSET(SSAutCLM!$A$2,MATCH(BF$29,SSAutCLM!$A$2:$A$500)+$A30-1,1)-1)</f>
        <v>9.2993641837213481E-4</v>
      </c>
      <c r="BG30" s="9">
        <f ca="1">IF(OR(BG3="",BG$28&lt;$A30),"",BG3/OFFSET(SSAutCLM!$A$2,MATCH(BG$29,SSAutCLM!$A$2:$A$500)+$A30-1,1)-1)</f>
        <v>3.037528049235183E-3</v>
      </c>
      <c r="BH30" s="9">
        <f ca="1">IF(OR(BH3="",BH$28&lt;$A30),"",BH3/OFFSET(SSAutCLM!$A$2,MATCH(BH$29,SSAutCLM!$A$2:$A$500)+$A30-1,1)-1)</f>
        <v>3.4098989593667195E-3</v>
      </c>
      <c r="BI30" s="9">
        <f ca="1">IF(OR(BI3="",BI$28&lt;$A30),"",BI3/OFFSET(SSAutCLM!$A$2,MATCH(BI$29,SSAutCLM!$A$2:$A$500)+$A30-1,1)-1)</f>
        <v>8.6895554783184004E-4</v>
      </c>
      <c r="BJ30" s="9">
        <f ca="1">IF(OR(BJ3="",BJ$28&lt;$A30),"",BJ3/OFFSET(SSAutCLM!$A$2,MATCH(BJ$29,SSAutCLM!$A$2:$A$500)+$A30-1,1)-1)</f>
        <v>1.0998139742433022E-3</v>
      </c>
      <c r="BK30" s="9">
        <f ca="1">IF(OR(BK3="",BK$28&lt;$A30),"",BK3/OFFSET(SSAutCLM!$A$2,MATCH(BK$29,SSAutCLM!$A$2:$A$500)+$A30-1,1)-1)</f>
        <v>7.0010701898870487E-4</v>
      </c>
      <c r="BL30" s="9">
        <f ca="1">IF(OR(BL3="",BL$28&lt;$A30),"",BL3/OFFSET(SSAutCLM!$A$2,MATCH(BL$29,SSAutCLM!$A$2:$A$500)+$A30-1,1)-1)</f>
        <v>3.2434562947170065E-4</v>
      </c>
      <c r="BM30" s="9">
        <f ca="1">IF(OR(BM3="",BM$28&lt;$A30),"",BM3/OFFSET(SSAutCLM!$A$2,MATCH(BM$29,SSAutCLM!$A$2:$A$500)+$A30-1,1)-1)</f>
        <v>-6.7959041601250991E-4</v>
      </c>
      <c r="BN30" s="9">
        <f ca="1">IF(OR(BN3="",BN$28&lt;$A30),"",BN3/OFFSET(SSAutCLM!$A$2,MATCH(BN$29,SSAutCLM!$A$2:$A$500)+$A30-1,1)-1)</f>
        <v>-3.0783840047190481E-3</v>
      </c>
      <c r="BO30" s="9">
        <f ca="1">IF(OR(BO3="",BO$28&lt;$A30),"",BO3/OFFSET(SSAutCLM!$A$2,MATCH(BO$29,SSAutCLM!$A$2:$A$500)+$A30-1,1)-1)</f>
        <v>-3.4938501110365339E-3</v>
      </c>
      <c r="BP30" s="9">
        <f ca="1">IF(OR(BP3="",BP$28&lt;$A30),"",BP3/OFFSET(SSAutCLM!$A$2,MATCH(BP$29,SSAutCLM!$A$2:$A$500)+$A30-1,1)-1)</f>
        <v>-1.79502416429278E-4</v>
      </c>
      <c r="BQ30" s="9">
        <f ca="1">IF(OR(BQ3="",BQ$28&lt;$A30),"",BQ3/OFFSET(SSAutCLM!$A$2,MATCH(BQ$29,SSAutCLM!$A$2:$A$500)+$A30-1,1)-1)</f>
        <v>-2.5112042742758689E-4</v>
      </c>
      <c r="BR30" s="9">
        <f ca="1">IF(OR(BR3="",BR$28&lt;$A30),"",BR3/OFFSET(SSAutCLM!$A$2,MATCH(BR$29,SSAutCLM!$A$2:$A$500)+$A30-1,1)-1)</f>
        <v>-1.4139757127273889E-5</v>
      </c>
      <c r="BS30" s="9">
        <f ca="1">IF(OR(BS3="",BS$28&lt;$A30),"",BS3/OFFSET(SSAutCLM!$A$2,MATCH(BS$29,SSAutCLM!$A$2:$A$500)+$A30-1,1)-1)</f>
        <v>1.0219933140287463E-3</v>
      </c>
      <c r="BT30" s="9">
        <f ca="1">IF(OR(BT3="",BT$28&lt;$A30),"",BT3/OFFSET(SSAutCLM!$A$2,MATCH(BT$29,SSAutCLM!$A$2:$A$500)+$A30-1,1)-1)</f>
        <v>-2.7211301116784048E-3</v>
      </c>
      <c r="BU30" s="9">
        <f ca="1">IF(OR(BU3="",BU$28&lt;$A30),"",BU3/OFFSET(SSAutCLM!$A$2,MATCH(BU$29,SSAutCLM!$A$2:$A$500)+$A30-1,1)-1)</f>
        <v>-1.7321730552952719E-3</v>
      </c>
      <c r="BV30" s="9">
        <f ca="1">IF(OR(BV3="",BV$28&lt;$A30),"",BV3/OFFSET(SSAutCLM!$A$2,MATCH(BV$29,SSAutCLM!$A$2:$A$500)+$A30-1,1)-1)</f>
        <v>4.9890333608582083E-5</v>
      </c>
      <c r="BW30" s="9">
        <f ca="1">IF(OR(BW3="",BW$28&lt;$A30),"",BW3/OFFSET(SSAutCLM!$A$2,MATCH(BW$29,SSAutCLM!$A$2:$A$500)+$A30-1,1)-1)</f>
        <v>9.8897432951816633E-4</v>
      </c>
      <c r="BX30" s="9">
        <f ca="1">IF(OR(BX3="",BX$28&lt;$A30),"",BX3/OFFSET(SSAutCLM!$A$2,MATCH(BX$29,SSAutCLM!$A$2:$A$500)+$A30-1,1)-1)</f>
        <v>-1.5691452899248004E-3</v>
      </c>
      <c r="BY30" s="9">
        <f ca="1">IF(OR(BY3="",BY$28&lt;$A30),"",BY3/OFFSET(SSAutCLM!$A$2,MATCH(BY$29,SSAutCLM!$A$2:$A$500)+$A30-1,1)-1)</f>
        <v>-2.7184373986667287E-3</v>
      </c>
      <c r="BZ30" s="9">
        <f ca="1">IF(OR(BZ3="",BZ$28&lt;$A30),"",BZ3/OFFSET(SSAutCLM!$A$2,MATCH(BZ$29,SSAutCLM!$A$2:$A$500)+$A30-1,1)-1)</f>
        <v>-9.348072042307809E-4</v>
      </c>
      <c r="CA30" s="9">
        <f ca="1">IF(OR(CA3="",CA$28&lt;$A30),"",CA3/OFFSET(SSAutCLM!$A$2,MATCH(CA$29,SSAutCLM!$A$2:$A$500)+$A30-1,1)-1)</f>
        <v>-3.7554860720767635E-5</v>
      </c>
      <c r="CB30" s="9">
        <f ca="1">IF(OR(CB3="",CB$28&lt;$A30),"",CB3/OFFSET(SSAutCLM!$A$2,MATCH(CB$29,SSAutCLM!$A$2:$A$500)+$A30-1,1)-1)</f>
        <v>9.4723150036402082E-4</v>
      </c>
      <c r="CC30" s="9">
        <f ca="1">IF(OR(CC3="",CC$28&lt;$A30),"",CC3/OFFSET(SSAutCLM!$A$2,MATCH(CC$29,SSAutCLM!$A$2:$A$500)+$A30-1,1)-1)</f>
        <v>1.1759813031695376E-3</v>
      </c>
      <c r="CD30" s="9">
        <f ca="1">IF(OR(CD3="",CD$28&lt;$A30),"",CD3/OFFSET(SSAutCLM!$A$2,MATCH(CD$29,SSAutCLM!$A$2:$A$500)+$A30-1,1)-1)</f>
        <v>2.6680909612575299E-4</v>
      </c>
      <c r="CE30" s="9">
        <f ca="1">IF(OR(CE3="",CE$28&lt;$A30),"",CE3/OFFSET(SSAutCLM!$A$2,MATCH(CE$29,SSAutCLM!$A$2:$A$500)+$A30-1,1)-1)</f>
        <v>-7.6362750465219786E-4</v>
      </c>
      <c r="CF30" s="9">
        <f ca="1">IF(OR(CF3="",CF$28&lt;$A30),"",CF3/OFFSET(SSAutCLM!$A$2,MATCH(CF$29,SSAutCLM!$A$2:$A$500)+$A30-1,1)-1)</f>
        <v>7.8892544250708241E-4</v>
      </c>
      <c r="CG30" s="9">
        <f ca="1">IF(OR(CG3="",CG$28&lt;$A30),"",CG3/OFFSET(SSAutCLM!$A$2,MATCH(CG$29,SSAutCLM!$A$2:$A$500)+$A30-1,1)-1)</f>
        <v>6.7030465871109612E-4</v>
      </c>
      <c r="CH30" s="9">
        <f ca="1">IF(OR(CH3="",CH$28&lt;$A30),"",CH3/OFFSET(SSAutCLM!$A$2,MATCH(CH$29,SSAutCLM!$A$2:$A$500)+$A30-1,1)-1)</f>
        <v>-1.1616036061677937E-3</v>
      </c>
      <c r="CI30" s="9">
        <f ca="1">IF(OR(CI3="",CI$28&lt;$A30),"",CI3/OFFSET(SSAutCLM!$A$2,MATCH(CI$29,SSAutCLM!$A$2:$A$500)+$A30-1,1)-1)</f>
        <v>1.1451196945062581E-3</v>
      </c>
      <c r="CJ30" s="9">
        <f ca="1">IF(OR(CJ3="",CJ$28&lt;$A30),"",CJ3/OFFSET(SSAutCLM!$A$2,MATCH(CJ$29,SSAutCLM!$A$2:$A$500)+$A30-1,1)-1)</f>
        <v>-2.8891812010469753E-3</v>
      </c>
      <c r="CK30" s="9">
        <f ca="1">IF(OR(CK3="",CK$28&lt;$A30),"",CK3/OFFSET(SSAutCLM!$A$2,MATCH(CK$29,SSAutCLM!$A$2:$A$500)+$A30-1,1)-1)</f>
        <v>-1.9185780469999081E-4</v>
      </c>
      <c r="CL30" s="9">
        <f ca="1">IF(OR(CL3="",CL$28&lt;$A30),"",CL3/OFFSET(SSAutCLM!$A$2,MATCH(CL$29,SSAutCLM!$A$2:$A$500)+$A30-1,1)-1)</f>
        <v>-1.521953842838264E-3</v>
      </c>
      <c r="CM30" s="9">
        <f ca="1">IF(OR(CM3="",CM$28&lt;$A30),"",CM3/OFFSET(SSAutCLM!$A$2,MATCH(CM$29,SSAutCLM!$A$2:$A$500)+$A30-1,1)-1)</f>
        <v>1.075342128425083E-3</v>
      </c>
      <c r="CN30" s="9">
        <f ca="1">IF(OR(CN3="",CN$28&lt;$A30),"",CN3/OFFSET(SSAutCLM!$A$2,MATCH(CN$29,SSAutCLM!$A$2:$A$500)+$A30-1,1)-1)</f>
        <v>1.819426591567419E-3</v>
      </c>
      <c r="CO30" s="9">
        <f ca="1">IF(OR(CO3="",CO$28&lt;$A30),"",CO3/OFFSET(SSAutCLM!$A$2,MATCH(CO$29,SSAutCLM!$A$2:$A$500)+$A30-1,1)-1)</f>
        <v>1.4362991867291619E-3</v>
      </c>
      <c r="CP30" s="9">
        <f ca="1">IF(OR(CP3="",CP$28&lt;$A30),"",CP3/OFFSET(SSAutCLM!$A$2,MATCH(CP$29,SSAutCLM!$A$2:$A$500)+$A30-1,1)-1)</f>
        <v>-7.3211853162902241E-4</v>
      </c>
      <c r="CQ30" s="9">
        <f ca="1">IF(OR(CQ3="",CQ$28&lt;$A30),"",CQ3/OFFSET(SSAutCLM!$A$2,MATCH(CQ$29,SSAutCLM!$A$2:$A$500)+$A30-1,1)-1)</f>
        <v>5.4773412175479486E-4</v>
      </c>
      <c r="CR30" s="9">
        <f ca="1">IF(OR(CR3="",CR$28&lt;$A30),"",CR3/OFFSET(SSAutCLM!$A$2,MATCH(CR$29,SSAutCLM!$A$2:$A$500)+$A30-1,1)-1)</f>
        <v>6.9677025154279981E-4</v>
      </c>
      <c r="CS30" s="9">
        <f ca="1">IF(OR(CS3="",CS$28&lt;$A30),"",CS3/OFFSET(SSAutCLM!$A$2,MATCH(CS$29,SSAutCLM!$A$2:$A$500)+$A30-1,1)-1)</f>
        <v>7.8970068024086792E-4</v>
      </c>
      <c r="CT30" s="9">
        <f ca="1">IF(OR(CT3="",CT$28&lt;$A30),"",CT3/OFFSET(SSAutCLM!$A$2,MATCH(CT$29,SSAutCLM!$A$2:$A$500)+$A30-1,1)-1)</f>
        <v>5.1974827924636813E-3</v>
      </c>
      <c r="CU30" s="9">
        <f ca="1">IF(OR(CU3="",CU$28&lt;$A30),"",CU3/OFFSET(SSAutCLM!$A$2,MATCH(CU$29,SSAutCLM!$A$2:$A$500)+$A30-1,1)-1)</f>
        <v>-5.5684829980725548E-3</v>
      </c>
      <c r="CV30" s="9">
        <f ca="1">IF(OR(CV3="",CV$28&lt;$A30),"",CV3/OFFSET(SSAutCLM!$A$2,MATCH(CV$29,SSAutCLM!$A$2:$A$500)+$A30-1,1)-1)</f>
        <v>-1.0801763993117941E-3</v>
      </c>
      <c r="CW30" s="9">
        <f ca="1">IF(OR(CW3="",CW$28&lt;$A30),"",CW3/OFFSET(SSAutCLM!$A$2,MATCH(CW$29,SSAutCLM!$A$2:$A$500)+$A30-1,1)-1)</f>
        <v>-1.1394757677982703E-3</v>
      </c>
      <c r="CX30" s="9">
        <f ca="1">IF(OR(CX3="",CX$28&lt;$A30),"",CX3/OFFSET(SSAutCLM!$A$2,MATCH(CX$29,SSAutCLM!$A$2:$A$500)+$A30-1,1)-1)</f>
        <v>-3.2318355816629563E-5</v>
      </c>
      <c r="CY30" s="9">
        <f ca="1">IF(OR(CY3="",CY$28&lt;$A30),"",CY3/OFFSET(SSAutCLM!$A$2,MATCH(CY$29,SSAutCLM!$A$2:$A$500)+$A30-1,1)-1)</f>
        <v>3.3659187256129819E-4</v>
      </c>
      <c r="CZ30" s="9">
        <f ca="1">IF(OR(CZ3="",CZ$28&lt;$A30),"",CZ3/OFFSET(SSAutCLM!$A$2,MATCH(CZ$29,SSAutCLM!$A$2:$A$500)+$A30-1,1)-1)</f>
        <v>-3.767497397209052E-4</v>
      </c>
      <c r="DA30" s="9">
        <f ca="1">IF(OR(DA3="",DA$28&lt;$A30),"",DA3/OFFSET(SSAutCLM!$A$2,MATCH(DA$29,SSAutCLM!$A$2:$A$500)+$A30-1,1)-1)</f>
        <v>1.4341061268570154E-3</v>
      </c>
      <c r="DB30" s="9">
        <f ca="1">IF(OR(DB3="",DB$28&lt;$A30),"",DB3/OFFSET(SSAutCLM!$A$2,MATCH(DB$29,SSAutCLM!$A$2:$A$500)+$A30-1,1)-1)</f>
        <v>4.0152930726722325E-4</v>
      </c>
      <c r="DC30" s="9">
        <f ca="1">IF(OR(DC3="",DC$28&lt;$A30),"",DC3/OFFSET(SSAutCLM!$A$2,MATCH(DC$29,SSAutCLM!$A$2:$A$500)+$A30-1,1)-1)</f>
        <v>-1.2806232260897943E-3</v>
      </c>
      <c r="DD30" s="9">
        <f ca="1">IF(OR(DD3="",DD$28&lt;$A30),"",DD3/OFFSET(SSAutCLM!$A$2,MATCH(DD$29,SSAutCLM!$A$2:$A$500)+$A30-1,1)-1)</f>
        <v>4.7315800023861598E-4</v>
      </c>
      <c r="DE30" s="9">
        <f ca="1">IF(OR(DE3="",DE$28&lt;$A30),"",DE3/OFFSET(SSAutCLM!$A$2,MATCH(DE$29,SSAutCLM!$A$2:$A$500)+$A30-1,1)-1)</f>
        <v>-2.6471122459448271E-4</v>
      </c>
      <c r="DF30" s="9">
        <f ca="1">IF(OR(DF3="",DF$28&lt;$A30),"",DF3/OFFSET(SSAutCLM!$A$2,MATCH(DF$29,SSAutCLM!$A$2:$A$500)+$A30-1,1)-1)</f>
        <v>6.835588706506357E-4</v>
      </c>
      <c r="DG30" s="9">
        <f ca="1">IF(OR(DG3="",DG$28&lt;$A30),"",DG3/OFFSET(SSAutCLM!$A$2,MATCH(DG$29,SSAutCLM!$A$2:$A$500)+$A30-1,1)-1)</f>
        <v>1.1600838679501901E-3</v>
      </c>
      <c r="DH30" s="9">
        <f ca="1">IF(OR(DH3="",DH$28&lt;$A30),"",DH3/OFFSET(SSAutCLM!$A$2,MATCH(DH$29,SSAutCLM!$A$2:$A$500)+$A30-1,1)-1)</f>
        <v>-1.8560157410473233E-3</v>
      </c>
      <c r="DI30" s="9">
        <f ca="1">IF(OR(DI3="",DI$28&lt;$A30),"",DI3/OFFSET(SSAutCLM!$A$2,MATCH(DI$29,SSAutCLM!$A$2:$A$500)+$A30-1,1)-1)</f>
        <v>-2.2077705871507147E-3</v>
      </c>
      <c r="DJ30" s="9">
        <f ca="1">IF(OR(DJ3="",DJ$28&lt;$A30),"",DJ3/OFFSET(SSAutCLM!$A$2,MATCH(DJ$29,SSAutCLM!$A$2:$A$500)+$A30-1,1)-1)</f>
        <v>-2.1170509000533189E-3</v>
      </c>
      <c r="DK30" s="9">
        <f ca="1">IF(OR(DK3="",DK$28&lt;$A30),"",DK3/OFFSET(SSAutCLM!$A$2,MATCH(DK$29,SSAutCLM!$A$2:$A$500)+$A30-1,1)-1)</f>
        <v>-5.6325997292594465E-4</v>
      </c>
      <c r="DL30" s="9">
        <f ca="1">IF(OR(DL3="",DL$28&lt;$A30),"",DL3/OFFSET(SSAutCLM!$A$2,MATCH(DL$29,SSAutCLM!$A$2:$A$500)+$A30-1,1)-1)</f>
        <v>-8.9587874985330718E-4</v>
      </c>
      <c r="DM30" s="9">
        <f ca="1">IF(OR(DM3="",DM$28&lt;$A30),"",DM3/OFFSET(SSAutCLM!$A$2,MATCH(DM$29,SSAutCLM!$A$2:$A$500)+$A30-1,1)-1)</f>
        <v>2.553501810129033E-3</v>
      </c>
      <c r="DN30" s="9">
        <f ca="1">IF(OR(DN3="",DN$28&lt;$A30),"",DN3/OFFSET(SSAutCLM!$A$2,MATCH(DN$29,SSAutCLM!$A$2:$A$500)+$A30-1,1)-1)</f>
        <v>-6.4514387822178776E-4</v>
      </c>
      <c r="DO30" s="9">
        <f ca="1">IF(OR(DO3="",DO$28&lt;$A30),"",DO3/OFFSET(SSAutCLM!$A$2,MATCH(DO$29,SSAutCLM!$A$2:$A$500)+$A30-1,1)-1)</f>
        <v>-1.2368639437704276E-3</v>
      </c>
      <c r="DP30" s="9">
        <f ca="1">IF(OR(DP3="",DP$28&lt;$A30),"",DP3/OFFSET(SSAutCLM!$A$2,MATCH(DP$29,SSAutCLM!$A$2:$A$500)+$A30-1,1)-1)</f>
        <v>-1.3418850427734386E-3</v>
      </c>
      <c r="DQ30" s="9">
        <f ca="1">IF(OR(DQ3="",DQ$28&lt;$A30),"",DQ3/OFFSET(SSAutCLM!$A$2,MATCH(DQ$29,SSAutCLM!$A$2:$A$500)+$A30-1,1)-1)</f>
        <v>1.1084990508125614E-4</v>
      </c>
      <c r="DR30" s="9">
        <f ca="1">IF(OR(DR3="",DR$28&lt;$A30),"",DR3/OFFSET(SSAutCLM!$A$2,MATCH(DR$29,SSAutCLM!$A$2:$A$500)+$A30-1,1)-1)</f>
        <v>1.5773228449502685E-3</v>
      </c>
      <c r="DS30" s="9">
        <f ca="1">IF(OR(DS3="",DS$28&lt;$A30),"",DS3/OFFSET(SSAutCLM!$A$2,MATCH(DS$29,SSAutCLM!$A$2:$A$500)+$A30-1,1)-1)</f>
        <v>-7.723029005947124E-4</v>
      </c>
      <c r="DT30" s="9">
        <f ca="1">IF(OR(DT3="",DT$28&lt;$A30),"",DT3/OFFSET(SSAutCLM!$A$2,MATCH(DT$29,SSAutCLM!$A$2:$A$500)+$A30-1,1)-1)</f>
        <v>2.4554483959260409E-4</v>
      </c>
      <c r="DU30" s="9">
        <f ca="1">IF(OR(DU3="",DU$28&lt;$A30),"",DU3/OFFSET(SSAutCLM!$A$2,MATCH(DU$29,SSAutCLM!$A$2:$A$500)+$A30-1,1)-1)</f>
        <v>-1.1171039962988294E-3</v>
      </c>
      <c r="DV30" s="9">
        <f ca="1">IF(OR(DV3="",DV$28&lt;$A30),"",DV3/OFFSET(SSAutCLM!$A$2,MATCH(DV$29,SSAutCLM!$A$2:$A$500)+$A30-1,1)-1)</f>
        <v>5.2561428578434821E-4</v>
      </c>
      <c r="DW30" s="9">
        <f ca="1">IF(OR(DW3="",DW$28&lt;$A30),"",DW3/OFFSET(SSAutCLM!$A$2,MATCH(DW$29,SSAutCLM!$A$2:$A$500)+$A30-1,1)-1)</f>
        <v>1.2468788162878219E-4</v>
      </c>
      <c r="DX30" s="9">
        <f ca="1">IF(OR(DX3="",DX$28&lt;$A30),"",DX3/OFFSET(SSAutCLM!$A$2,MATCH(DX$29,SSAutCLM!$A$2:$A$500)+$A30-1,1)-1)</f>
        <v>2.2049446072776036E-3</v>
      </c>
      <c r="DY30" s="9">
        <f ca="1">IF(OR(DY3="",DY$28&lt;$A30),"",DY3/OFFSET(SSAutCLM!$A$2,MATCH(DY$29,SSAutCLM!$A$2:$A$500)+$A30-1,1)-1)</f>
        <v>8.883876262828494E-4</v>
      </c>
      <c r="DZ30" s="9">
        <f ca="1">IF(OR(DZ3="",DZ$28&lt;$A30),"",DZ3/OFFSET(SSAutCLM!$A$2,MATCH(DZ$29,SSAutCLM!$A$2:$A$500)+$A30-1,1)-1)</f>
        <v>-1.4112989427431666E-3</v>
      </c>
      <c r="EA30" s="9">
        <f ca="1">IF(OR(EA3="",EA$28&lt;$A30),"",EA3/OFFSET(SSAutCLM!$A$2,MATCH(EA$29,SSAutCLM!$A$2:$A$500)+$A30-1,1)-1)</f>
        <v>-5.140666678836725E-4</v>
      </c>
      <c r="EB30" s="9" t="str">
        <f ca="1">IF(OR(EB3="",EB$28&lt;$A30),"",EB3/OFFSET(SSAutCLM!$A$2,MATCH(EB$29,SSAutCLM!$A$2:$A$500)+$A30-1,1)-1)</f>
        <v/>
      </c>
      <c r="EC30" s="9" t="str">
        <f ca="1">IF(OR(EC3="",EC$28&lt;$A30),"",EC3/OFFSET(SSAutCLM!$A$2,MATCH(EC$29,SSAutCLM!$A$2:$A$500)+$A30-1,1)-1)</f>
        <v/>
      </c>
      <c r="ED30" s="9">
        <f ca="1">IF(OR(ED3="",ED$28&lt;$A30),"",ED3/OFFSET(SSAutCLM!$A$2,MATCH(ED$29,SSAutCLM!$A$2:$A$500)+$A30-1,1)-1)</f>
        <v>4.0783140851763378E-4</v>
      </c>
      <c r="EE30" s="9" t="str">
        <f ca="1">IF(OR(EE3="",EE$28&lt;$A30),"",EE3/OFFSET(SSAutCLM!$A$2,MATCH(EE$29,SSAutCLM!$A$2:$A$500)+$A30-1,1)-1)</f>
        <v/>
      </c>
      <c r="EF30" s="9" t="str">
        <f ca="1">IF(OR(EF3="",EF$28&lt;$A30),"",EF3/OFFSET(SSAutCLM!$A$2,MATCH(EF$29,SSAutCLM!$A$2:$A$500)+$A30-1,1)-1)</f>
        <v/>
      </c>
      <c r="EG30" s="9">
        <f ca="1">IF(OR(EG3="",EG$28&lt;$A30),"",EG3/OFFSET(SSAutCLM!$A$2,MATCH(EG$29,SSAutCLM!$A$2:$A$500)+$A30-1,1)-1)</f>
        <v>-1.075680122761935E-3</v>
      </c>
      <c r="EH30" s="9">
        <f ca="1">IF(OR(EH3="",EH$28&lt;$A30),"",EH3/OFFSET(SSAutCLM!$A$2,MATCH(EH$29,SSAutCLM!$A$2:$A$500)+$A30-1,1)-1)</f>
        <v>-3.0886355475512328E-4</v>
      </c>
      <c r="EI30" s="9">
        <f ca="1">IF(OR(EI3="",EI$28&lt;$A30),"",EI3/OFFSET(SSAutCLM!$A$2,MATCH(EI$29,SSAutCLM!$A$2:$A$500)+$A30-1,1)-1)</f>
        <v>8.2066378761513903E-5</v>
      </c>
      <c r="EJ30" s="9">
        <f ca="1">IF(OR(EJ3="",EJ$28&lt;$A30),"",EJ3/OFFSET(SSAutCLM!$A$2,MATCH(EJ$29,SSAutCLM!$A$2:$A$500)+$A30-1,1)-1)</f>
        <v>1.3634942602778199E-3</v>
      </c>
      <c r="EK30" s="9">
        <f ca="1">IF(OR(EK3="",EK$28&lt;$A30),"",EK3/OFFSET(SSAutCLM!$A$2,MATCH(EK$29,SSAutCLM!$A$2:$A$500)+$A30-1,1)-1)</f>
        <v>9.9575690696873664E-4</v>
      </c>
      <c r="EL30" s="9">
        <f ca="1">IF(OR(EL3="",EL$28&lt;$A30),"",EL3/OFFSET(SSAutCLM!$A$2,MATCH(EL$29,SSAutCLM!$A$2:$A$500)+$A30-1,1)-1)</f>
        <v>4.9929806982262903E-5</v>
      </c>
      <c r="EM30" s="9">
        <f ca="1">IF(OR(EM3="",EM$28&lt;$A30),"",EM3/OFFSET(SSAutCLM!$A$2,MATCH(EM$29,SSAutCLM!$A$2:$A$500)+$A30-1,1)-1)</f>
        <v>5.6424168606583613E-4</v>
      </c>
      <c r="EN30" s="9">
        <f ca="1">IF(OR(EN3="",EN$28&lt;$A30),"",EN3/OFFSET(SSAutCLM!$A$2,MATCH(EN$29,SSAutCLM!$A$2:$A$500)+$A30-1,1)-1)</f>
        <v>-1.3218881036691776E-4</v>
      </c>
      <c r="EO30" s="9">
        <f ca="1">IF(OR(EO3="",EO$28&lt;$A30),"",EO3/OFFSET(SSAutCLM!$A$2,MATCH(EO$29,SSAutCLM!$A$2:$A$500)+$A30-1,1)-1)</f>
        <v>7.0352012646757167E-3</v>
      </c>
      <c r="EP30" s="9">
        <f ca="1">IF(OR(EP3="",EP$28&lt;$A30),"",EP3/OFFSET(SSAutCLM!$A$2,MATCH(EP$29,SSAutCLM!$A$2:$A$500)+$A30-1,1)-1)</f>
        <v>-5.9821977704909157E-3</v>
      </c>
      <c r="EQ30" s="9">
        <f ca="1">IF(OR(EQ3="",EQ$28&lt;$A30),"",EQ3/OFFSET(SSAutCLM!$A$2,MATCH(EQ$29,SSAutCLM!$A$2:$A$500)+$A30-1,1)-1)</f>
        <v>-1.7189737207071731E-3</v>
      </c>
      <c r="ER30" s="9">
        <f ca="1">IF(OR(ER3="",ER$28&lt;$A30),"",ER3/OFFSET(SSAutCLM!$A$2,MATCH(ER$29,SSAutCLM!$A$2:$A$500)+$A30-1,1)-1)</f>
        <v>1.1707341831559415E-3</v>
      </c>
      <c r="ES30" s="9">
        <f ca="1">IF(OR(ES3="",ES$28&lt;$A30),"",ES3/OFFSET(SSAutCLM!$A$2,MATCH(ES$29,SSAutCLM!$A$2:$A$500)+$A30-1,1)-1)</f>
        <v>8.8633079978728269E-4</v>
      </c>
      <c r="ET30" s="9">
        <f ca="1">IF(OR(ET3="",ET$28&lt;$A30),"",ET3/OFFSET(SSAutCLM!$A$2,MATCH(ET$29,SSAutCLM!$A$2:$A$500)+$A30-1,1)-1)</f>
        <v>2.6639773484760099E-4</v>
      </c>
      <c r="EU30" s="9">
        <f ca="1">IF(OR(EU3="",EU$28&lt;$A30),"",EU3/OFFSET(SSAutCLM!$A$2,MATCH(EU$29,SSAutCLM!$A$2:$A$500)+$A30-1,1)-1)</f>
        <v>7.898641161330211E-4</v>
      </c>
      <c r="EV30" s="9">
        <f ca="1">IF(OR(EV3="",EV$28&lt;$A30),"",EV3/OFFSET(SSAutCLM!$A$2,MATCH(EV$29,SSAutCLM!$A$2:$A$500)+$A30-1,1)-1)</f>
        <v>5.5774564707689045E-4</v>
      </c>
      <c r="EW30" s="9">
        <f ca="1">IF(OR(EW3="",EW$28&lt;$A30),"",EW3/OFFSET(SSAutCLM!$A$2,MATCH(EW$29,SSAutCLM!$A$2:$A$500)+$A30-1,1)-1)</f>
        <v>1.0623404636644906E-4</v>
      </c>
      <c r="EX30" s="9">
        <f ca="1">IF(OR(EX3="",EX$28&lt;$A30),"",EX3/OFFSET(SSAutCLM!$A$2,MATCH(EX$29,SSAutCLM!$A$2:$A$500)+$A30-1,1)-1)</f>
        <v>1.0532859522882632E-3</v>
      </c>
      <c r="EY30" s="9">
        <f ca="1">IF(OR(EY3="",EY$28&lt;$A30),"",EY3/OFFSET(SSAutCLM!$A$2,MATCH(EY$29,SSAutCLM!$A$2:$A$500)+$A30-1,1)-1)</f>
        <v>-1.1774318012773843E-3</v>
      </c>
      <c r="EZ30" s="9">
        <f ca="1">IF(OR(EZ3="",EZ$28&lt;$A30),"",EZ3/OFFSET(SSAutCLM!$A$2,MATCH(EZ$29,SSAutCLM!$A$2:$A$500)+$A30-1,1)-1)</f>
        <v>-8.6146405142695226E-4</v>
      </c>
      <c r="FA30" s="9">
        <f ca="1">IF(OR(FA3="",FA$28&lt;$A30),"",FA3/OFFSET(SSAutCLM!$A$2,MATCH(FA$29,SSAutCLM!$A$2:$A$500)+$A30-1,1)-1)</f>
        <v>9.9657758771742877E-4</v>
      </c>
      <c r="FB30" s="9">
        <f ca="1">IF(OR(FB3="",FB$28&lt;$A30),"",FB3/OFFSET(SSAutCLM!$A$2,MATCH(FB$29,SSAutCLM!$A$2:$A$500)+$A30-1,1)-1)</f>
        <v>2.0660050057905721E-3</v>
      </c>
      <c r="FC30" s="9">
        <f ca="1">IF(OR(FC3="",FC$28&lt;$A30),"",FC3/OFFSET(SSAutCLM!$A$2,MATCH(FC$29,SSAutCLM!$A$2:$A$500)+$A30-1,1)-1)</f>
        <v>-1.4490010302186107E-3</v>
      </c>
      <c r="FD30" s="9">
        <f ca="1">IF(OR(FD3="",FD$28&lt;$A30),"",FD3/OFFSET(SSAutCLM!$A$2,MATCH(FD$29,SSAutCLM!$A$2:$A$500)+$A30-1,1)-1)</f>
        <v>-7.477273126643702E-5</v>
      </c>
      <c r="FE30" s="9">
        <f ca="1">IF(OR(FE3="",FE$28&lt;$A30),"",FE3/OFFSET(SSAutCLM!$A$2,MATCH(FE$29,SSAutCLM!$A$2:$A$500)+$A30-1,1)-1)</f>
        <v>-1.5344786837057089E-4</v>
      </c>
      <c r="FF30" s="9">
        <f ca="1">IF(OR(FF3="",FF$28&lt;$A30),"",FF3/OFFSET(SSAutCLM!$A$2,MATCH(FF$29,SSAutCLM!$A$2:$A$500)+$A30-1,1)-1)</f>
        <v>-5.4739177737206379E-4</v>
      </c>
      <c r="FG30" s="9">
        <f ca="1">IF(OR(FG3="",FG$28&lt;$A30),"",FG3/OFFSET(SSAutCLM!$A$2,MATCH(FG$29,SSAutCLM!$A$2:$A$500)+$A30-1,1)-1)</f>
        <v>1.2236931257423311E-3</v>
      </c>
      <c r="FH30" s="9">
        <f ca="1">IF(OR(FH3="",FH$28&lt;$A30),"",FH3/OFFSET(SSAutCLM!$A$2,MATCH(FH$29,SSAutCLM!$A$2:$A$500)+$A30-1,1)-1)</f>
        <v>3.3047886802668458E-3</v>
      </c>
      <c r="FI30" s="9">
        <f ca="1">IF(OR(FI3="",FI$28&lt;$A30),"",FI3/OFFSET(SSAutCLM!$A$2,MATCH(FI$29,SSAutCLM!$A$2:$A$500)+$A30-1,1)-1)</f>
        <v>9.0655969342701148E-4</v>
      </c>
      <c r="FJ30" s="9">
        <f ca="1">IF(OR(FJ3="",FJ$28&lt;$A30),"",FJ3/OFFSET(SSAutCLM!$A$2,MATCH(FJ$29,SSAutCLM!$A$2:$A$500)+$A30-1,1)-1)</f>
        <v>-2.5220406619945734E-3</v>
      </c>
      <c r="FK30" s="9">
        <f ca="1">IF(OR(FK3="",FK$28&lt;$A30),"",FK3/OFFSET(SSAutCLM!$A$2,MATCH(FK$29,SSAutCLM!$A$2:$A$500)+$A30-1,1)-1)</f>
        <v>-2.3258111835411377E-4</v>
      </c>
      <c r="FL30" s="9">
        <f ca="1">IF(OR(FL3="",FL$28&lt;$A30),"",FL3/OFFSET(SSAutCLM!$A$2,MATCH(FL$29,SSAutCLM!$A$2:$A$500)+$A30-1,1)-1)</f>
        <v>6.5944807878715039E-4</v>
      </c>
      <c r="FM30" s="9">
        <f ca="1">IF(OR(FM3="",FM$28&lt;$A30),"",FM3/OFFSET(SSAutCLM!$A$2,MATCH(FM$29,SSAutCLM!$A$2:$A$500)+$A30-1,1)-1)</f>
        <v>-1.7958193106315523E-4</v>
      </c>
      <c r="FN30" s="9">
        <f ca="1">IF(OR(FN3="",FN$28&lt;$A30),"",FN3/OFFSET(SSAutCLM!$A$2,MATCH(FN$29,SSAutCLM!$A$2:$A$500)+$A30-1,1)-1)</f>
        <v>-1.4785346168844082E-3</v>
      </c>
      <c r="FO30" s="9">
        <f ca="1">IF(OR(FO3="",FO$28&lt;$A30),"",FO3/OFFSET(SSAutCLM!$A$2,MATCH(FO$29,SSAutCLM!$A$2:$A$500)+$A30-1,1)-1)</f>
        <v>-4.1085602809703969E-3</v>
      </c>
      <c r="FP30" s="9">
        <f ca="1">IF(OR(FP3="",FP$28&lt;$A30),"",FP3/OFFSET(SSAutCLM!$A$2,MATCH(FP$29,SSAutCLM!$A$2:$A$500)+$A30-1,1)-1)</f>
        <v>1.1761312541842539E-3</v>
      </c>
      <c r="FQ30" s="9">
        <f ca="1">IF(OR(FQ3="",FQ$28&lt;$A30),"",FQ3/OFFSET(SSAutCLM!$A$2,MATCH(FQ$29,SSAutCLM!$A$2:$A$500)+$A30-1,1)-1)</f>
        <v>1.1488318415662224E-3</v>
      </c>
      <c r="FR30" s="9">
        <f ca="1">IF(OR(FR3="",FR$28&lt;$A30),"",FR3/OFFSET(SSAutCLM!$A$2,MATCH(FR$29,SSAutCLM!$A$2:$A$500)+$A30-1,1)-1)</f>
        <v>1.5302910016767868E-4</v>
      </c>
      <c r="FS30" s="9">
        <f ca="1">IF(OR(FS3="",FS$28&lt;$A30),"",FS3/OFFSET(SSAutCLM!$A$2,MATCH(FS$29,SSAutCLM!$A$2:$A$500)+$A30-1,1)-1)</f>
        <v>8.5408126011188301E-4</v>
      </c>
      <c r="FT30" s="9">
        <f ca="1">IF(OR(FT3="",FT$28&lt;$A30),"",FT3/OFFSET(SSAutCLM!$A$2,MATCH(FT$29,SSAutCLM!$A$2:$A$500)+$A30-1,1)-1)</f>
        <v>1.7142229276823073E-3</v>
      </c>
      <c r="FU30" s="9">
        <f ca="1">IF(OR(FU3="",FU$28&lt;$A30),"",FU3/OFFSET(SSAutCLM!$A$2,MATCH(FU$29,SSAutCLM!$A$2:$A$500)+$A30-1,1)-1)</f>
        <v>2.0453793361352446E-4</v>
      </c>
      <c r="FV30" s="9">
        <f ca="1">IF(OR(FV3="",FV$28&lt;$A30),"",FV3/OFFSET(SSAutCLM!$A$2,MATCH(FV$29,SSAutCLM!$A$2:$A$500)+$A30-1,1)-1)</f>
        <v>-1.0122081670285166E-3</v>
      </c>
      <c r="FW30" s="9">
        <f ca="1">IF(OR(FW3="",FW$28&lt;$A30),"",FW3/OFFSET(SSAutCLM!$A$2,MATCH(FW$29,SSAutCLM!$A$2:$A$500)+$A30-1,1)-1)</f>
        <v>-1.4227109597492182E-3</v>
      </c>
      <c r="FX30" s="9">
        <f ca="1">IF(OR(FX3="",FX$28&lt;$A30),"",FX3/OFFSET(SSAutCLM!$A$2,MATCH(FX$29,SSAutCLM!$A$2:$A$500)+$A30-1,1)-1)</f>
        <v>7.0123470160310397E-4</v>
      </c>
      <c r="FY30" s="9">
        <f ca="1">IF(OR(FY3="",FY$28&lt;$A30),"",FY3/OFFSET(SSAutCLM!$A$2,MATCH(FY$29,SSAutCLM!$A$2:$A$500)+$A30-1,1)-1)</f>
        <v>-8.9581294628771069E-4</v>
      </c>
      <c r="FZ30" s="9">
        <f ca="1">IF(OR(FZ3="",FZ$28&lt;$A30),"",FZ3/OFFSET(SSAutCLM!$A$2,MATCH(FZ$29,SSAutCLM!$A$2:$A$500)+$A30-1,1)-1)</f>
        <v>3.2696272342427335E-3</v>
      </c>
      <c r="GA30" s="9">
        <f ca="1">IF(OR(GA3="",GA$28&lt;$A30),"",GA3/OFFSET(SSAutCLM!$A$2,MATCH(GA$29,SSAutCLM!$A$2:$A$500)+$A30-1,1)-1)</f>
        <v>-1.7918071440969907E-4</v>
      </c>
      <c r="GB30" s="9">
        <f ca="1">IF(OR(GB3="",GB$28&lt;$A30),"",GB3/OFFSET(SSAutCLM!$A$2,MATCH(GB$29,SSAutCLM!$A$2:$A$500)+$A30-1,1)-1)</f>
        <v>9.6196867403630648E-4</v>
      </c>
      <c r="GC30" s="9">
        <f ca="1">IF(OR(GC3="",GC$28&lt;$A30),"",GC3/OFFSET(SSAutCLM!$A$2,MATCH(GC$29,SSAutCLM!$A$2:$A$500)+$A30-1,1)-1)</f>
        <v>-2.6041550868205476E-4</v>
      </c>
      <c r="GD30" s="9">
        <f ca="1">IF(OR(GD3="",GD$28&lt;$A30),"",GD3/OFFSET(SSAutCLM!$A$2,MATCH(GD$29,SSAutCLM!$A$2:$A$500)+$A30-1,1)-1)</f>
        <v>-7.8417301463040712E-4</v>
      </c>
      <c r="GE30" s="9">
        <f ca="1">IF(OR(GE3="",GE$28&lt;$A30),"",GE3/OFFSET(SSAutCLM!$A$2,MATCH(GE$29,SSAutCLM!$A$2:$A$500)+$A30-1,1)-1)</f>
        <v>-1.5476267540243116E-3</v>
      </c>
      <c r="GF30" s="9">
        <f ca="1">IF(OR(GF3="",GF$28&lt;$A30),"",GF3/OFFSET(SSAutCLM!$A$2,MATCH(GF$29,SSAutCLM!$A$2:$A$500)+$A30-1,1)-1)</f>
        <v>1.3897077975388861E-4</v>
      </c>
      <c r="GG30" s="9">
        <f ca="1">IF(OR(GG3="",GG$28&lt;$A30),"",GG3/OFFSET(SSAutCLM!$A$2,MATCH(GG$29,SSAutCLM!$A$2:$A$500)+$A30-1,1)-1)</f>
        <v>-5.2690872069083294E-4</v>
      </c>
      <c r="GH30" s="9">
        <f ca="1">IF(OR(GH3="",GH$28&lt;$A30),"",GH3/OFFSET(SSAutCLM!$A$2,MATCH(GH$29,SSAutCLM!$A$2:$A$500)+$A30-1,1)-1)</f>
        <v>-7.3457855342851097E-5</v>
      </c>
      <c r="GI30" s="9">
        <f ca="1">IF(OR(GI3="",GI$28&lt;$A30),"",GI3/OFFSET(SSAutCLM!$A$2,MATCH(GI$29,SSAutCLM!$A$2:$A$500)+$A30-1,1)-1)</f>
        <v>-4.7260286135486496E-4</v>
      </c>
      <c r="GJ30" s="9">
        <f ca="1">IF(OR(GJ3="",GJ$28&lt;$A30),"",GJ3/OFFSET(SSAutCLM!$A$2,MATCH(GJ$29,SSAutCLM!$A$2:$A$500)+$A30-1,1)-1)</f>
        <v>-3.4356150024816845E-4</v>
      </c>
      <c r="GK30" s="9">
        <f ca="1">IF(OR(GK3="",GK$28&lt;$A30),"",GK3/OFFSET(SSAutCLM!$A$2,MATCH(GK$29,SSAutCLM!$A$2:$A$500)+$A30-1,1)-1)</f>
        <v>-1.5530237356043974E-3</v>
      </c>
      <c r="GL30" s="9">
        <f ca="1">IF(OR(GL3="",GL$28&lt;$A30),"",GL3/OFFSET(SSAutCLM!$A$2,MATCH(GL$29,SSAutCLM!$A$2:$A$500)+$A30-1,1)-1)</f>
        <v>1.5222201396343227E-3</v>
      </c>
      <c r="GM30" s="9">
        <f ca="1">IF(OR(GM3="",GM$28&lt;$A30),"",GM3/OFFSET(SSAutCLM!$A$2,MATCH(GM$29,SSAutCLM!$A$2:$A$500)+$A30-1,1)-1)</f>
        <v>-1.8521676016748367E-3</v>
      </c>
      <c r="GN30" s="9">
        <f ca="1">IF(OR(GN3="",GN$28&lt;$A30),"",GN3/OFFSET(SSAutCLM!$A$2,MATCH(GN$29,SSAutCLM!$A$2:$A$500)+$A30-1,1)-1)</f>
        <v>6.6514519234579517E-3</v>
      </c>
      <c r="GO30" s="9">
        <f ca="1">IF(OR(GO3="",GO$28&lt;$A30),"",GO3/OFFSET(SSAutCLM!$A$2,MATCH(GO$29,SSAutCLM!$A$2:$A$500)+$A30-1,1)-1)</f>
        <v>1.7933569034255692E-2</v>
      </c>
      <c r="GP30" s="9">
        <f ca="1">IF(OR(GP3="",GP$28&lt;$A30),"",GP3/OFFSET(SSAutCLM!$A$2,MATCH(GP$29,SSAutCLM!$A$2:$A$500)+$A30-1,1)-1)</f>
        <v>-6.8074487143628959E-3</v>
      </c>
      <c r="GQ30" s="9">
        <f ca="1">IF(OR(GQ3="",GQ$28&lt;$A30),"",GQ3/OFFSET(SSAutCLM!$A$2,MATCH(GQ$29,SSAutCLM!$A$2:$A$500)+$A30-1,1)-1)</f>
        <v>-7.135776528407467E-3</v>
      </c>
      <c r="GR30" s="9">
        <f ca="1">IF(OR(GR3="",GR$28&lt;$A30),"",GR3/OFFSET(SSAutCLM!$A$2,MATCH(GR$29,SSAutCLM!$A$2:$A$500)+$A30-1,1)-1)</f>
        <v>-5.6106943093008343E-3</v>
      </c>
      <c r="GS30" s="9">
        <f ca="1">IF(OR(GS3="",GS$28&lt;$A30),"",GS3/OFFSET(SSAutCLM!$A$2,MATCH(GS$29,SSAutCLM!$A$2:$A$500)+$A30-1,1)-1)</f>
        <v>-5.3907107496498075E-4</v>
      </c>
      <c r="GT30" s="9">
        <f ca="1">IF(OR(GT3="",GT$28&lt;$A30),"",GT3/OFFSET(SSAutCLM!$A$2,MATCH(GT$29,SSAutCLM!$A$2:$A$500)+$A30-1,1)-1)</f>
        <v>-5.8408826851963358E-4</v>
      </c>
      <c r="GU30" s="9">
        <f ca="1">IF(OR(GU3="",GU$28&lt;$A30),"",GU3/OFFSET(SSAutCLM!$A$2,MATCH(GU$29,SSAutCLM!$A$2:$A$500)+$A30-1,1)-1)</f>
        <v>9.4449431700294184E-4</v>
      </c>
      <c r="GV30" s="9">
        <f ca="1">IF(OR(GV3="",GV$28&lt;$A30),"",GV3/OFFSET(SSAutCLM!$A$2,MATCH(GV$29,SSAutCLM!$A$2:$A$500)+$A30-1,1)-1)</f>
        <v>-2.391325587426385E-4</v>
      </c>
      <c r="GW30" s="9">
        <f ca="1">IF(OR(GW3="",GW$28&lt;$A30),"",GW3/OFFSET(SSAutCLM!$A$2,MATCH(GW$29,SSAutCLM!$A$2:$A$500)+$A30-1,1)-1)</f>
        <v>-3.7456272241875865E-4</v>
      </c>
      <c r="GX30" s="9">
        <f ca="1">IF(OR(GX3="",GX$28&lt;$A30),"",GX3/OFFSET(SSAutCLM!$A$2,MATCH(GX$29,SSAutCLM!$A$2:$A$500)+$A30-1,1)-1)</f>
        <v>4.7761000160440048E-4</v>
      </c>
      <c r="GY30" s="9" t="str">
        <f ca="1">IF(OR(GY3="",GY$28&lt;$A30),"",GY3/OFFSET(SSAutCLM!$A$2,MATCH(GY$29,SSAutCLM!$A$2:$A$500)+$A30-1,1)-1)</f>
        <v/>
      </c>
      <c r="GZ30" s="9" t="str">
        <f ca="1">IF(OR(GZ3="",GZ$28&lt;$A30),"",GZ3/OFFSET(SSAutCLM!$A$2,MATCH(GZ$29,SSAutCLM!$A$2:$A$500)+$A30-1,1)-1)</f>
        <v/>
      </c>
      <c r="HA30" s="9" t="str">
        <f ca="1">IF(OR(HA3="",HA$28&lt;$A30),"",HA3/OFFSET(SSAutCLM!$A$2,MATCH(HA$29,SSAutCLM!$A$2:$A$500)+$A30-1,1)-1)</f>
        <v/>
      </c>
      <c r="HB30" s="9" t="str">
        <f ca="1">IF(OR(HB3="",HB$28&lt;$A30),"",HB3/OFFSET(SSAutCLM!$A$2,MATCH(HB$29,SSAutCLM!$A$2:$A$500)+$A30-1,1)-1)</f>
        <v/>
      </c>
      <c r="HC30" s="9" t="str">
        <f ca="1">IF(OR(HC3="",HC$28&lt;$A30),"",HC3/OFFSET(SSAutCLM!$A$2,MATCH(HC$29,SSAutCLM!$A$2:$A$500)+$A30-1,1)-1)</f>
        <v/>
      </c>
      <c r="HD30" s="9" t="str">
        <f ca="1">IF(OR(HD3="",HD$28&lt;$A30),"",HD3/OFFSET(SSAutCLM!$A$2,MATCH(HD$29,SSAutCLM!$A$2:$A$500)+$A30-1,1)-1)</f>
        <v/>
      </c>
      <c r="HE30" s="9" t="str">
        <f ca="1">IF(OR(HE3="",HE$28&lt;$A30),"",HE3/OFFSET(SSAutCLM!$A$2,MATCH(HE$29,SSAutCLM!$A$2:$A$500)+$A30-1,1)-1)</f>
        <v/>
      </c>
      <c r="HF30" s="9" t="str">
        <f ca="1">IF(OR(HF3="",HF$28&lt;$A30),"",HF3/OFFSET(SSAutCLM!$A$2,MATCH(HF$29,SSAutCLM!$A$2:$A$500)+$A30-1,1)-1)</f>
        <v/>
      </c>
      <c r="HG30" s="9" t="str">
        <f ca="1">IF(OR(HG3="",HG$28&lt;$A30),"",HG3/OFFSET(SSAutCLM!$A$2,MATCH(HG$29,SSAutCLM!$A$2:$A$500)+$A30-1,1)-1)</f>
        <v/>
      </c>
      <c r="HH30" s="9" t="str">
        <f ca="1">IF(OR(HH3="",HH$28&lt;$A30),"",HH3/OFFSET(SSAutCLM!$A$2,MATCH(HH$29,SSAutCLM!$A$2:$A$500)+$A30-1,1)-1)</f>
        <v/>
      </c>
      <c r="HI30" s="9" t="str">
        <f ca="1">IF(OR(HI3="",HI$28&lt;$A30),"",HI3/OFFSET(SSAutCLM!$A$2,MATCH(HI$29,SSAutCLM!$A$2:$A$500)+$A30-1,1)-1)</f>
        <v/>
      </c>
      <c r="HJ30" s="9" t="str">
        <f ca="1">IF(OR(HJ3="",HJ$28&lt;$A30),"",HJ3/OFFSET(SSAutCLM!$A$2,MATCH(HJ$29,SSAutCLM!$A$2:$A$500)+$A30-1,1)-1)</f>
        <v/>
      </c>
      <c r="HK30" s="9" t="str">
        <f ca="1">IF(OR(HK3="",HK$28&lt;$A30),"",HK3/OFFSET(SSAutCLM!$A$2,MATCH(HK$29,SSAutCLM!$A$2:$A$500)+$A30-1,1)-1)</f>
        <v/>
      </c>
      <c r="HL30" s="9" t="str">
        <f ca="1">IF(OR(HL3="",HL$28&lt;$A30),"",HL3/OFFSET(SSAutCLM!$A$2,MATCH(HL$29,SSAutCLM!$A$2:$A$500)+$A30-1,1)-1)</f>
        <v/>
      </c>
      <c r="HM30" s="9" t="str">
        <f ca="1">IF(OR(HM3="",HM$28&lt;$A30),"",HM3/OFFSET(SSAutCLM!$A$2,MATCH(HM$29,SSAutCLM!$A$2:$A$500)+$A30-1,1)-1)</f>
        <v/>
      </c>
      <c r="HN30" s="9" t="str">
        <f ca="1">IF(OR(HN3="",HN$28&lt;$A30),"",HN3/OFFSET(SSAutCLM!$A$2,MATCH(HN$29,SSAutCLM!$A$2:$A$500)+$A30-1,1)-1)</f>
        <v/>
      </c>
      <c r="HO30" s="9" t="str">
        <f ca="1">IF(OR(HO3="",HO$28&lt;$A30),"",HO3/OFFSET(SSAutCLM!$A$2,MATCH(HO$29,SSAutCLM!$A$2:$A$500)+$A30-1,1)-1)</f>
        <v/>
      </c>
      <c r="HP30" s="9" t="str">
        <f ca="1">IF(OR(HP3="",HP$28&lt;$A30),"",HP3/OFFSET(SSAutCLM!$A$2,MATCH(HP$29,SSAutCLM!$A$2:$A$500)+$A30-1,1)-1)</f>
        <v/>
      </c>
      <c r="HQ30" s="9" t="str">
        <f ca="1">IF(OR(HQ3="",HQ$28&lt;$A30),"",HQ3/OFFSET(SSAutCLM!$A$2,MATCH(HQ$29,SSAutCLM!$A$2:$A$500)+$A30-1,1)-1)</f>
        <v/>
      </c>
      <c r="HR30" s="9" t="str">
        <f ca="1">IF(OR(HR3="",HR$28&lt;$A30),"",HR3/OFFSET(SSAutCLM!$A$2,MATCH(HR$29,SSAutCLM!$A$2:$A$500)+$A30-1,1)-1)</f>
        <v/>
      </c>
      <c r="HS30" s="9" t="str">
        <f ca="1">IF(OR(HS3="",HS$28&lt;$A30),"",HS3/OFFSET(SSAutCLM!$A$2,MATCH(HS$29,SSAutCLM!$A$2:$A$500)+$A30-1,1)-1)</f>
        <v/>
      </c>
      <c r="HT30" s="9" t="str">
        <f ca="1">IF(OR(HT3="",HT$28&lt;$A30),"",HT3/OFFSET(SSAutCLM!$A$2,MATCH(HT$29,SSAutCLM!$A$2:$A$500)+$A30-1,1)-1)</f>
        <v/>
      </c>
      <c r="HU30" s="9" t="str">
        <f ca="1">IF(OR(HU3="",HU$28&lt;$A30),"",HU3/OFFSET(SSAutCLM!$A$2,MATCH(HU$29,SSAutCLM!$A$2:$A$500)+$A30-1,1)-1)</f>
        <v/>
      </c>
      <c r="HV30" s="9" t="str">
        <f ca="1">IF(OR(HV3="",HV$28&lt;$A30),"",HV3/OFFSET(SSAutCLM!$A$2,MATCH(HV$29,SSAutCLM!$A$2:$A$500)+$A30-1,1)-1)</f>
        <v/>
      </c>
      <c r="HW30" s="9" t="str">
        <f ca="1">IF(OR(HW3="",HW$28&lt;$A30),"",HW3/OFFSET(SSAutCLM!$A$2,MATCH(HW$29,SSAutCLM!$A$2:$A$500)+$A30-1,1)-1)</f>
        <v/>
      </c>
      <c r="HX30" s="9" t="str">
        <f ca="1">IF(OR(HX3="",HX$28&lt;$A30),"",HX3/OFFSET(SSAutCLM!$A$2,MATCH(HX$29,SSAutCLM!$A$2:$A$500)+$A30-1,1)-1)</f>
        <v/>
      </c>
      <c r="HY30" s="9" t="str">
        <f ca="1">IF(OR(HY3="",HY$28&lt;$A30),"",HY3/OFFSET(SSAutCLM!$A$2,MATCH(HY$29,SSAutCLM!$A$2:$A$500)+$A30-1,1)-1)</f>
        <v/>
      </c>
      <c r="HZ30" s="9" t="str">
        <f ca="1">IF(OR(HZ3="",HZ$28&lt;$A30),"",HZ3/OFFSET(SSAutCLM!$A$2,MATCH(HZ$29,SSAutCLM!$A$2:$A$500)+$A30-1,1)-1)</f>
        <v/>
      </c>
      <c r="IA30" s="9" t="str">
        <f ca="1">IF(OR(IA3="",IA$28&lt;$A30),"",IA3/OFFSET(SSAutCLM!$A$2,MATCH(IA$29,SSAutCLM!$A$2:$A$500)+$A30-1,1)-1)</f>
        <v/>
      </c>
      <c r="IB30" s="9" t="str">
        <f ca="1">IF(OR(IB3="",IB$28&lt;$A30),"",IB3/OFFSET(SSAutCLM!$A$2,MATCH(IB$29,SSAutCLM!$A$2:$A$500)+$A30-1,1)-1)</f>
        <v/>
      </c>
      <c r="IC30" s="9" t="str">
        <f ca="1">IF(OR(IC3="",IC$28&lt;$A30),"",IC3/OFFSET(SSAutCLM!$A$2,MATCH(IC$29,SSAutCLM!$A$2:$A$500)+$A30-1,1)-1)</f>
        <v/>
      </c>
      <c r="ID30" s="9" t="str">
        <f ca="1">IF(OR(ID3="",ID$28&lt;$A30),"",ID3/OFFSET(SSAutCLM!$A$2,MATCH(ID$29,SSAutCLM!$A$2:$A$500)+$A30-1,1)-1)</f>
        <v/>
      </c>
      <c r="IE30" s="9" t="str">
        <f ca="1">IF(OR(IE3="",IE$28&lt;$A30),"",IE3/OFFSET(SSAutCLM!$A$2,MATCH(IE$29,SSAutCLM!$A$2:$A$500)+$A30-1,1)-1)</f>
        <v/>
      </c>
      <c r="IF30" s="9" t="str">
        <f ca="1">IF(OR(IF3="",IF$28&lt;$A30),"",IF3/OFFSET(SSAutCLM!$A$2,MATCH(IF$29,SSAutCLM!$A$2:$A$500)+$A30-1,1)-1)</f>
        <v/>
      </c>
      <c r="IG30" s="9" t="str">
        <f ca="1">IF(OR(IG3="",IG$28&lt;$A30),"",IG3/OFFSET(SSAutCLM!$A$2,MATCH(IG$29,SSAutCLM!$A$2:$A$500)+$A30-1,1)-1)</f>
        <v/>
      </c>
      <c r="IH30" s="9" t="str">
        <f ca="1">IF(OR(IH3="",IH$28&lt;$A30),"",IH3/OFFSET(SSAutCLM!$A$2,MATCH(IH$29,SSAutCLM!$A$2:$A$500)+$A30-1,1)-1)</f>
        <v/>
      </c>
      <c r="II30" s="9" t="str">
        <f ca="1">IF(OR(II3="",II$28&lt;$A30),"",II3/OFFSET(SSAutCLM!$A$2,MATCH(II$29,SSAutCLM!$A$2:$A$500)+$A30-1,1)-1)</f>
        <v/>
      </c>
      <c r="IJ30" s="9" t="str">
        <f ca="1">IF(OR(IJ3="",IJ$28&lt;$A30),"",IJ3/OFFSET(SSAutCLM!$A$2,MATCH(IJ$29,SSAutCLM!$A$2:$A$500)+$A30-1,1)-1)</f>
        <v/>
      </c>
      <c r="IK30" s="9" t="str">
        <f ca="1">IF(OR(IK3="",IK$28&lt;$A30),"",IK3/OFFSET(SSAutCLM!$A$2,MATCH(IK$29,SSAutCLM!$A$2:$A$500)+$A30-1,1)-1)</f>
        <v/>
      </c>
      <c r="IL30" s="9" t="str">
        <f ca="1">IF(OR(IL3="",IL$28&lt;$A30),"",IL3/OFFSET(SSAutCLM!$A$2,MATCH(IL$29,SSAutCLM!$A$2:$A$500)+$A30-1,1)-1)</f>
        <v/>
      </c>
      <c r="IM30" s="9" t="str">
        <f ca="1">IF(OR(IM3="",IM$28&lt;$A30),"",IM3/OFFSET(SSAutCLM!$A$2,MATCH(IM$29,SSAutCLM!$A$2:$A$500)+$A30-1,1)-1)</f>
        <v/>
      </c>
      <c r="IN30" s="9" t="str">
        <f ca="1">IF(OR(IN3="",IN$28&lt;$A30),"",IN3/OFFSET(SSAutCLM!$A$2,MATCH(IN$29,SSAutCLM!$A$2:$A$500)+$A30-1,1)-1)</f>
        <v/>
      </c>
      <c r="IO30" s="9" t="str">
        <f ca="1">IF(OR(IO3="",IO$28&lt;$A30),"",IO3/OFFSET(SSAutCLM!$A$2,MATCH(IO$29,SSAutCLM!$A$2:$A$500)+$A30-1,1)-1)</f>
        <v/>
      </c>
      <c r="IP30" s="9" t="str">
        <f ca="1">IF(OR(IP3="",IP$28&lt;$A30),"",IP3/OFFSET(SSAutCLM!$A$2,MATCH(IP$29,SSAutCLM!$A$2:$A$500)+$A30-1,1)-1)</f>
        <v/>
      </c>
      <c r="IQ30" s="9" t="str">
        <f ca="1">IF(OR(IQ3="",IQ$28&lt;$A30),"",IQ3/OFFSET(SSAutCLM!$A$2,MATCH(IQ$29,SSAutCLM!$A$2:$A$500)+$A30-1,1)-1)</f>
        <v/>
      </c>
      <c r="IR30" s="9" t="str">
        <f ca="1">IF(OR(IR3="",IR$28&lt;$A30),"",IR3/OFFSET(SSAutCLM!$A$2,MATCH(IR$29,SSAutCLM!$A$2:$A$500)+$A30-1,1)-1)</f>
        <v/>
      </c>
      <c r="IS30" s="9" t="str">
        <f ca="1">IF(OR(IS3="",IS$28&lt;$A30),"",IS3/OFFSET(SSAutCLM!$A$2,MATCH(IS$29,SSAutCLM!$A$2:$A$500)+$A30-1,1)-1)</f>
        <v/>
      </c>
      <c r="IT30" s="9" t="str">
        <f ca="1">IF(OR(IT3="",IT$28&lt;$A30),"",IT3/OFFSET(SSAutCLM!$A$2,MATCH(IT$29,SSAutCLM!$A$2:$A$500)+$A30-1,1)-1)</f>
        <v/>
      </c>
      <c r="IU30" s="9" t="str">
        <f ca="1">IF(OR(IU3="",IU$28&lt;$A30),"",IU3/OFFSET(SSAutCLM!$A$2,MATCH(IU$29,SSAutCLM!$A$2:$A$500)+$A30-1,1)-1)</f>
        <v/>
      </c>
      <c r="IV30" s="9" t="str">
        <f ca="1">IF(OR(IV3="",IV$28&lt;$A30),"",IV3/OFFSET(SSAutCLM!$A$2,MATCH(IV$29,SSAutCLM!$A$2:$A$500)+$A30-1,1)-1)</f>
        <v/>
      </c>
      <c r="IW30" s="9" t="str">
        <f ca="1">IF(OR(IW3="",IW$28&lt;$A30),"",IW3/OFFSET(SSAutCLM!$A$2,MATCH(IW$29,SSAutCLM!$A$2:$A$500)+$A30-1,1)-1)</f>
        <v/>
      </c>
      <c r="IX30" s="9" t="str">
        <f ca="1">IF(OR(IX3="",IX$28&lt;$A30),"",IX3/OFFSET(SSAutCLM!$A$2,MATCH(IX$29,SSAutCLM!$A$2:$A$500)+$A30-1,1)-1)</f>
        <v/>
      </c>
      <c r="IY30" s="9" t="str">
        <f ca="1">IF(OR(IY3="",IY$28&lt;$A30),"",IY3/OFFSET(SSAutCLM!$A$2,MATCH(IY$29,SSAutCLM!$A$2:$A$500)+$A30-1,1)-1)</f>
        <v/>
      </c>
      <c r="IZ30" s="9" t="str">
        <f ca="1">IF(OR(IZ3="",IZ$28&lt;$A30),"",IZ3/OFFSET(SSAutCLM!$A$2,MATCH(IZ$29,SSAutCLM!$A$2:$A$500)+$A30-1,1)-1)</f>
        <v/>
      </c>
      <c r="JA30" s="9" t="str">
        <f ca="1">IF(OR(JA3="",JA$28&lt;$A30),"",JA3/OFFSET(SSAutCLM!$A$2,MATCH(JA$29,SSAutCLM!$A$2:$A$500)+$A30-1,1)-1)</f>
        <v/>
      </c>
      <c r="JB30" s="9" t="str">
        <f ca="1">IF(OR(JB3="",JB$28&lt;$A30),"",JB3/OFFSET(SSAutCLM!$A$2,MATCH(JB$29,SSAutCLM!$A$2:$A$500)+$A30-1,1)-1)</f>
        <v/>
      </c>
      <c r="JC30" s="9" t="str">
        <f ca="1">IF(OR(JC3="",JC$28&lt;$A30),"",JC3/OFFSET(SSAutCLM!$A$2,MATCH(JC$29,SSAutCLM!$A$2:$A$500)+$A30-1,1)-1)</f>
        <v/>
      </c>
      <c r="JD30" s="9" t="str">
        <f ca="1">IF(OR(JD3="",JD$28&lt;$A30),"",JD3/OFFSET(SSAutCLM!$A$2,MATCH(JD$29,SSAutCLM!$A$2:$A$500)+$A30-1,1)-1)</f>
        <v/>
      </c>
      <c r="JE30" s="9" t="str">
        <f ca="1">IF(OR(JE3="",JE$28&lt;$A30),"",JE3/OFFSET(SSAutCLM!$A$2,MATCH(JE$29,SSAutCLM!$A$2:$A$500)+$A30-1,1)-1)</f>
        <v/>
      </c>
      <c r="JF30" s="9" t="str">
        <f ca="1">IF(OR(JF3="",JF$28&lt;$A30),"",JF3/OFFSET(SSAutCLM!$A$2,MATCH(JF$29,SSAutCLM!$A$2:$A$500)+$A30-1,1)-1)</f>
        <v/>
      </c>
      <c r="JG30" s="9" t="str">
        <f ca="1">IF(OR(JG3="",JG$28&lt;$A30),"",JG3/OFFSET(SSAutCLM!$A$2,MATCH(JG$29,SSAutCLM!$A$2:$A$500)+$A30-1,1)-1)</f>
        <v/>
      </c>
      <c r="JH30" s="9" t="str">
        <f ca="1">IF(OR(JH3="",JH$28&lt;$A30),"",JH3/OFFSET(SSAutCLM!$A$2,MATCH(JH$29,SSAutCLM!$A$2:$A$500)+$A30-1,1)-1)</f>
        <v/>
      </c>
      <c r="JI30" s="13">
        <f t="shared" ref="JI30:JI41" ca="1" si="13">AVERAGE(OFFSET($B30,0,Inicio-1,1,Amplitud))</f>
        <v>4.2466564597270435E-5</v>
      </c>
      <c r="JJ30" s="13">
        <f t="shared" ref="JJ30:JJ41" ca="1" si="14">MEDIAN(OFFSET($B30,0,Inicio-1,1,Amplitud))</f>
        <v>-2.4977403371234663E-4</v>
      </c>
      <c r="JK30" s="14">
        <f t="shared" ref="JK30:JK41" ca="1" si="15">VARP(OFFSET($B30,0,Inicio-1,1,Amplitud))</f>
        <v>1.5213011566334253E-5</v>
      </c>
      <c r="JL30" s="17">
        <f ca="1">SQRT(JK30)</f>
        <v>3.9003860791380963E-3</v>
      </c>
      <c r="JM30" s="15" t="str">
        <f t="shared" ref="JM30:JM41" ca="1" si="16">CONCATENATE("[ ",TEXT(JI30-2*JL30,"0,00%")," ; ",TEXT(JI30+2*JL30,"0,00%")," ]")</f>
        <v>[ -0,78% ; 0,78% ]</v>
      </c>
      <c r="JN30" s="17">
        <f t="shared" ref="JN30:JN41" ca="1" si="17">JL30*JN$29</f>
        <v>4.9924941812967633E-3</v>
      </c>
      <c r="LY30" s="1"/>
    </row>
    <row r="31" spans="1:337" x14ac:dyDescent="0.25">
      <c r="A31" s="4">
        <v>2</v>
      </c>
      <c r="B31" s="9">
        <f ca="1">IF(OR(B4="",B$28&lt;$A31),"",B4/OFFSET(SSAutCLM!$A$2,MATCH(B$29,SSAutCLM!$A$2:$A$500)+$A31-1,1)-1)</f>
        <v>8.4106816850249011E-4</v>
      </c>
      <c r="C31" s="9">
        <f ca="1">IF(OR(C4="",C$28&lt;$A31),"",C4/OFFSET(SSAutCLM!$A$2,MATCH(C$29,SSAutCLM!$A$2:$A$500)+$A31-1,1)-1)</f>
        <v>9.7157610575049347E-5</v>
      </c>
      <c r="D31" s="9">
        <f ca="1">IF(OR(D4="",D$28&lt;$A31),"",D4/OFFSET(SSAutCLM!$A$2,MATCH(D$29,SSAutCLM!$A$2:$A$500)+$A31-1,1)-1)</f>
        <v>-4.6291294423672635E-4</v>
      </c>
      <c r="E31" s="9">
        <f ca="1">IF(OR(E4="",E$28&lt;$A31),"",E4/OFFSET(SSAutCLM!$A$2,MATCH(E$29,SSAutCLM!$A$2:$A$500)+$A31-1,1)-1)</f>
        <v>-7.3812058018840609E-4</v>
      </c>
      <c r="F31" s="9">
        <f ca="1">IF(OR(F4="",F$28&lt;$A31),"",F4/OFFSET(SSAutCLM!$A$2,MATCH(F$29,SSAutCLM!$A$2:$A$500)+$A31-1,1)-1)</f>
        <v>-2.3362712554276799E-3</v>
      </c>
      <c r="G31" s="9">
        <f ca="1">IF(OR(G4="",G$28&lt;$A31),"",G4/OFFSET(SSAutCLM!$A$2,MATCH(G$29,SSAutCLM!$A$2:$A$500)+$A31-1,1)-1)</f>
        <v>-1.7994807784692535E-3</v>
      </c>
      <c r="H31" s="9">
        <f ca="1">IF(OR(H4="",H$28&lt;$A31),"",H4/OFFSET(SSAutCLM!$A$2,MATCH(H$29,SSAutCLM!$A$2:$A$500)+$A31-1,1)-1)</f>
        <v>-3.6271171561874649E-4</v>
      </c>
      <c r="I31" s="9">
        <f ca="1">IF(OR(I4="",I$28&lt;$A31),"",I4/OFFSET(SSAutCLM!$A$2,MATCH(I$29,SSAutCLM!$A$2:$A$500)+$A31-1,1)-1)</f>
        <v>-1.9051757016796955E-4</v>
      </c>
      <c r="J31" s="9">
        <f ca="1">IF(OR(J4="",J$28&lt;$A31),"",J4/OFFSET(SSAutCLM!$A$2,MATCH(J$29,SSAutCLM!$A$2:$A$500)+$A31-1,1)-1)</f>
        <v>6.3898606003687242E-4</v>
      </c>
      <c r="K31" s="9">
        <f ca="1">IF(OR(K4="",K$28&lt;$A31),"",K4/OFFSET(SSAutCLM!$A$2,MATCH(K$29,SSAutCLM!$A$2:$A$500)+$A31-1,1)-1)</f>
        <v>9.777608567138607E-4</v>
      </c>
      <c r="L31" s="9">
        <f ca="1">IF(OR(L4="",L$28&lt;$A31),"",L4/OFFSET(SSAutCLM!$A$2,MATCH(L$29,SSAutCLM!$A$2:$A$500)+$A31-1,1)-1)</f>
        <v>-1.3200207644014084E-3</v>
      </c>
      <c r="M31" s="9">
        <f ca="1">IF(OR(M4="",M$28&lt;$A31),"",M4/OFFSET(SSAutCLM!$A$2,MATCH(M$29,SSAutCLM!$A$2:$A$500)+$A31-1,1)-1)</f>
        <v>-3.2910315256630129E-3</v>
      </c>
      <c r="N31" s="9">
        <f ca="1">IF(OR(N4="",N$28&lt;$A31),"",N4/OFFSET(SSAutCLM!$A$2,MATCH(N$29,SSAutCLM!$A$2:$A$500)+$A31-1,1)-1)</f>
        <v>-1.270793212520438E-3</v>
      </c>
      <c r="O31" s="9">
        <f ca="1">IF(OR(O4="",O$28&lt;$A31),"",O4/OFFSET(SSAutCLM!$A$2,MATCH(O$29,SSAutCLM!$A$2:$A$500)+$A31-1,1)-1)</f>
        <v>1.5578139862284512E-3</v>
      </c>
      <c r="P31" s="9">
        <f ca="1">IF(OR(P4="",P$28&lt;$A31),"",P4/OFFSET(SSAutCLM!$A$2,MATCH(P$29,SSAutCLM!$A$2:$A$500)+$A31-1,1)-1)</f>
        <v>2.9013057386668706E-3</v>
      </c>
      <c r="Q31" s="9">
        <f ca="1">IF(OR(Q4="",Q$28&lt;$A31),"",Q4/OFFSET(SSAutCLM!$A$2,MATCH(Q$29,SSAutCLM!$A$2:$A$500)+$A31-1,1)-1)</f>
        <v>3.1825297089447258E-3</v>
      </c>
      <c r="R31" s="9">
        <f ca="1">IF(OR(R4="",R$28&lt;$A31),"",R4/OFFSET(SSAutCLM!$A$2,MATCH(R$29,SSAutCLM!$A$2:$A$500)+$A31-1,1)-1)</f>
        <v>2.2553120164656715E-3</v>
      </c>
      <c r="S31" s="9">
        <f ca="1">IF(OR(S4="",S$28&lt;$A31),"",S4/OFFSET(SSAutCLM!$A$2,MATCH(S$29,SSAutCLM!$A$2:$A$500)+$A31-1,1)-1)</f>
        <v>9.68310905223424E-4</v>
      </c>
      <c r="T31" s="9">
        <f ca="1">IF(OR(T4="",T$28&lt;$A31),"",T4/OFFSET(SSAutCLM!$A$2,MATCH(T$29,SSAutCLM!$A$2:$A$500)+$A31-1,1)-1)</f>
        <v>9.0949433946363456E-4</v>
      </c>
      <c r="U31" s="9">
        <f ca="1">IF(OR(U4="",U$28&lt;$A31),"",U4/OFFSET(SSAutCLM!$A$2,MATCH(U$29,SSAutCLM!$A$2:$A$500)+$A31-1,1)-1)</f>
        <v>5.5201126042936366E-4</v>
      </c>
      <c r="V31" s="9">
        <f ca="1">IF(OR(V4="",V$28&lt;$A31),"",V4/OFFSET(SSAutCLM!$A$2,MATCH(V$29,SSAutCLM!$A$2:$A$500)+$A31-1,1)-1)</f>
        <v>3.1274542467119026E-4</v>
      </c>
      <c r="W31" s="9">
        <f ca="1">IF(OR(W4="",W$28&lt;$A31),"",W4/OFFSET(SSAutCLM!$A$2,MATCH(W$29,SSAutCLM!$A$2:$A$500)+$A31-1,1)-1)</f>
        <v>7.1556140748363362E-4</v>
      </c>
      <c r="X31" s="9">
        <f ca="1">IF(OR(X4="",X$28&lt;$A31),"",X4/OFFSET(SSAutCLM!$A$2,MATCH(X$29,SSAutCLM!$A$2:$A$500)+$A31-1,1)-1)</f>
        <v>2.229239703905872E-4</v>
      </c>
      <c r="Y31" s="9">
        <f ca="1">IF(OR(Y4="",Y$28&lt;$A31),"",Y4/OFFSET(SSAutCLM!$A$2,MATCH(Y$29,SSAutCLM!$A$2:$A$500)+$A31-1,1)-1)</f>
        <v>-1.3998783732735998E-3</v>
      </c>
      <c r="Z31" s="9">
        <f ca="1">IF(OR(Z4="",Z$28&lt;$A31),"",Z4/OFFSET(SSAutCLM!$A$2,MATCH(Z$29,SSAutCLM!$A$2:$A$500)+$A31-1,1)-1)</f>
        <v>-1.4793551710479136E-3</v>
      </c>
      <c r="AA31" s="9">
        <f ca="1">IF(OR(AA4="",AA$28&lt;$A31),"",AA4/OFFSET(SSAutCLM!$A$2,MATCH(AA$29,SSAutCLM!$A$2:$A$500)+$A31-1,1)-1)</f>
        <v>-2.7991504739233175E-4</v>
      </c>
      <c r="AB31" s="9">
        <f ca="1">IF(OR(AB4="",AB$28&lt;$A31),"",AB4/OFFSET(SSAutCLM!$A$2,MATCH(AB$29,SSAutCLM!$A$2:$A$500)+$A31-1,1)-1)</f>
        <v>7.822996075130817E-4</v>
      </c>
      <c r="AC31" s="9">
        <f ca="1">IF(OR(AC4="",AC$28&lt;$A31),"",AC4/OFFSET(SSAutCLM!$A$2,MATCH(AC$29,SSAutCLM!$A$2:$A$500)+$A31-1,1)-1)</f>
        <v>-3.1096479281744749E-4</v>
      </c>
      <c r="AD31" s="9">
        <f ca="1">IF(OR(AD4="",AD$28&lt;$A31),"",AD4/OFFSET(SSAutCLM!$A$2,MATCH(AD$29,SSAutCLM!$A$2:$A$500)+$A31-1,1)-1)</f>
        <v>-4.55437959647087E-4</v>
      </c>
      <c r="AE31" s="9">
        <f ca="1">IF(OR(AE4="",AE$28&lt;$A31),"",AE4/OFFSET(SSAutCLM!$A$2,MATCH(AE$29,SSAutCLM!$A$2:$A$500)+$A31-1,1)-1)</f>
        <v>-8.1804738095536678E-4</v>
      </c>
      <c r="AF31" s="9">
        <f ca="1">IF(OR(AF4="",AF$28&lt;$A31),"",AF4/OFFSET(SSAutCLM!$A$2,MATCH(AF$29,SSAutCLM!$A$2:$A$500)+$A31-1,1)-1)</f>
        <v>2.055015031396934E-4</v>
      </c>
      <c r="AG31" s="9">
        <f ca="1">IF(OR(AG4="",AG$28&lt;$A31),"",AG4/OFFSET(SSAutCLM!$A$2,MATCH(AG$29,SSAutCLM!$A$2:$A$500)+$A31-1,1)-1)</f>
        <v>3.4221047255811321E-4</v>
      </c>
      <c r="AH31" s="9">
        <f ca="1">IF(OR(AH4="",AH$28&lt;$A31),"",AH4/OFFSET(SSAutCLM!$A$2,MATCH(AH$29,SSAutCLM!$A$2:$A$500)+$A31-1,1)-1)</f>
        <v>-1.4468056575988042E-3</v>
      </c>
      <c r="AI31" s="9">
        <f ca="1">IF(OR(AI4="",AI$28&lt;$A31),"",AI4/OFFSET(SSAutCLM!$A$2,MATCH(AI$29,SSAutCLM!$A$2:$A$500)+$A31-1,1)-1)</f>
        <v>-1.165061569263548E-3</v>
      </c>
      <c r="AJ31" s="9">
        <f ca="1">IF(OR(AJ4="",AJ$28&lt;$A31),"",AJ4/OFFSET(SSAutCLM!$A$2,MATCH(AJ$29,SSAutCLM!$A$2:$A$500)+$A31-1,1)-1)</f>
        <v>-1.3189853739556945E-3</v>
      </c>
      <c r="AK31" s="9">
        <f ca="1">IF(OR(AK4="",AK$28&lt;$A31),"",AK4/OFFSET(SSAutCLM!$A$2,MATCH(AK$29,SSAutCLM!$A$2:$A$500)+$A31-1,1)-1)</f>
        <v>-1.9859734588776323E-3</v>
      </c>
      <c r="AL31" s="9">
        <f ca="1">IF(OR(AL4="",AL$28&lt;$A31),"",AL4/OFFSET(SSAutCLM!$A$2,MATCH(AL$29,SSAutCLM!$A$2:$A$500)+$A31-1,1)-1)</f>
        <v>-2.8048755191465435E-3</v>
      </c>
      <c r="AM31" s="9">
        <f ca="1">IF(OR(AM4="",AM$28&lt;$A31),"",AM4/OFFSET(SSAutCLM!$A$2,MATCH(AM$29,SSAutCLM!$A$2:$A$500)+$A31-1,1)-1)</f>
        <v>-3.9645047853797966E-3</v>
      </c>
      <c r="AN31" s="9">
        <f ca="1">IF(OR(AN4="",AN$28&lt;$A31),"",AN4/OFFSET(SSAutCLM!$A$2,MATCH(AN$29,SSAutCLM!$A$2:$A$500)+$A31-1,1)-1)</f>
        <v>-1.9372588267405622E-3</v>
      </c>
      <c r="AO31" s="9">
        <f ca="1">IF(OR(AO4="",AO$28&lt;$A31),"",AO4/OFFSET(SSAutCLM!$A$2,MATCH(AO$29,SSAutCLM!$A$2:$A$500)+$A31-1,1)-1)</f>
        <v>6.4324404198545793E-4</v>
      </c>
      <c r="AP31" s="9">
        <f ca="1">IF(OR(AP4="",AP$28&lt;$A31),"",AP4/OFFSET(SSAutCLM!$A$2,MATCH(AP$29,SSAutCLM!$A$2:$A$500)+$A31-1,1)-1)</f>
        <v>-1.2706294279505315E-3</v>
      </c>
      <c r="AQ31" s="9">
        <f ca="1">IF(OR(AQ4="",AQ$28&lt;$A31),"",AQ4/OFFSET(SSAutCLM!$A$2,MATCH(AQ$29,SSAutCLM!$A$2:$A$500)+$A31-1,1)-1)</f>
        <v>-2.3920627177684839E-3</v>
      </c>
      <c r="AR31" s="9">
        <f ca="1">IF(OR(AR4="",AR$28&lt;$A31),"",AR4/OFFSET(SSAutCLM!$A$2,MATCH(AR$29,SSAutCLM!$A$2:$A$500)+$A31-1,1)-1)</f>
        <v>-8.4945171727912605E-4</v>
      </c>
      <c r="AS31" s="9">
        <f ca="1">IF(OR(AS4="",AS$28&lt;$A31),"",AS4/OFFSET(SSAutCLM!$A$2,MATCH(AS$29,SSAutCLM!$A$2:$A$500)+$A31-1,1)-1)</f>
        <v>-6.9878755937669013E-4</v>
      </c>
      <c r="AT31" s="9">
        <f ca="1">IF(OR(AT4="",AT$28&lt;$A31),"",AT4/OFFSET(SSAutCLM!$A$2,MATCH(AT$29,SSAutCLM!$A$2:$A$500)+$A31-1,1)-1)</f>
        <v>-1.2828311905471734E-3</v>
      </c>
      <c r="AU31" s="9">
        <f ca="1">IF(OR(AU4="",AU$28&lt;$A31),"",AU4/OFFSET(SSAutCLM!$A$2,MATCH(AU$29,SSAutCLM!$A$2:$A$500)+$A31-1,1)-1)</f>
        <v>-2.8949058032046171E-4</v>
      </c>
      <c r="AV31" s="9">
        <f ca="1">IF(OR(AV4="",AV$28&lt;$A31),"",AV4/OFFSET(SSAutCLM!$A$2,MATCH(AV$29,SSAutCLM!$A$2:$A$500)+$A31-1,1)-1)</f>
        <v>2.8932580172016387E-3</v>
      </c>
      <c r="AW31" s="9">
        <f ca="1">IF(OR(AW4="",AW$28&lt;$A31),"",AW4/OFFSET(SSAutCLM!$A$2,MATCH(AW$29,SSAutCLM!$A$2:$A$500)+$A31-1,1)-1)</f>
        <v>5.5284985110837237E-3</v>
      </c>
      <c r="AX31" s="9">
        <f ca="1">IF(OR(AX4="",AX$28&lt;$A31),"",AX4/OFFSET(SSAutCLM!$A$2,MATCH(AX$29,SSAutCLM!$A$2:$A$500)+$A31-1,1)-1)</f>
        <v>6.3483528608894169E-3</v>
      </c>
      <c r="AY31" s="9">
        <f ca="1">IF(OR(AY4="",AY$28&lt;$A31),"",AY4/OFFSET(SSAutCLM!$A$2,MATCH(AY$29,SSAutCLM!$A$2:$A$500)+$A31-1,1)-1)</f>
        <v>5.4308349505707287E-3</v>
      </c>
      <c r="AZ31" s="9">
        <f ca="1">IF(OR(AZ4="",AZ$28&lt;$A31),"",AZ4/OFFSET(SSAutCLM!$A$2,MATCH(AZ$29,SSAutCLM!$A$2:$A$500)+$A31-1,1)-1)</f>
        <v>4.271505334347836E-3</v>
      </c>
      <c r="BA31" s="9">
        <f ca="1">IF(OR(BA4="",BA$28&lt;$A31),"",BA4/OFFSET(SSAutCLM!$A$2,MATCH(BA$29,SSAutCLM!$A$2:$A$500)+$A31-1,1)-1)</f>
        <v>6.6051663362598489E-3</v>
      </c>
      <c r="BB31" s="9">
        <f ca="1">IF(OR(BB4="",BB$28&lt;$A31),"",BB4/OFFSET(SSAutCLM!$A$2,MATCH(BB$29,SSAutCLM!$A$2:$A$500)+$A31-1,1)-1)</f>
        <v>5.3395609551076806E-3</v>
      </c>
      <c r="BC31" s="9">
        <f ca="1">IF(OR(BC4="",BC$28&lt;$A31),"",BC4/OFFSET(SSAutCLM!$A$2,MATCH(BC$29,SSAutCLM!$A$2:$A$500)+$A31-1,1)-1)</f>
        <v>2.670571228852392E-3</v>
      </c>
      <c r="BD31" s="9">
        <f ca="1">IF(OR(BD4="",BD$28&lt;$A31),"",BD4/OFFSET(SSAutCLM!$A$2,MATCH(BD$29,SSAutCLM!$A$2:$A$500)+$A31-1,1)-1)</f>
        <v>3.7780329489438547E-3</v>
      </c>
      <c r="BE31" s="9">
        <f ca="1">IF(OR(BE4="",BE$28&lt;$A31),"",BE4/OFFSET(SSAutCLM!$A$2,MATCH(BE$29,SSAutCLM!$A$2:$A$500)+$A31-1,1)-1)</f>
        <v>3.7749469256385115E-3</v>
      </c>
      <c r="BF31" s="9">
        <f ca="1">IF(OR(BF4="",BF$28&lt;$A31),"",BF4/OFFSET(SSAutCLM!$A$2,MATCH(BF$29,SSAutCLM!$A$2:$A$500)+$A31-1,1)-1)</f>
        <v>4.1239826723342699E-3</v>
      </c>
      <c r="BG31" s="9">
        <f ca="1">IF(OR(BG4="",BG$28&lt;$A31),"",BG4/OFFSET(SSAutCLM!$A$2,MATCH(BG$29,SSAutCLM!$A$2:$A$500)+$A31-1,1)-1)</f>
        <v>8.2630868214903508E-3</v>
      </c>
      <c r="BH31" s="9">
        <f ca="1">IF(OR(BH4="",BH$28&lt;$A31),"",BH4/OFFSET(SSAutCLM!$A$2,MATCH(BH$29,SSAutCLM!$A$2:$A$500)+$A31-1,1)-1)</f>
        <v>4.9867907458813754E-3</v>
      </c>
      <c r="BI31" s="9">
        <f ca="1">IF(OR(BI4="",BI$28&lt;$A31),"",BI4/OFFSET(SSAutCLM!$A$2,MATCH(BI$29,SSAutCLM!$A$2:$A$500)+$A31-1,1)-1)</f>
        <v>3.389819851680631E-3</v>
      </c>
      <c r="BJ31" s="9">
        <f ca="1">IF(OR(BJ4="",BJ$28&lt;$A31),"",BJ4/OFFSET(SSAutCLM!$A$2,MATCH(BJ$29,SSAutCLM!$A$2:$A$500)+$A31-1,1)-1)</f>
        <v>2.915404133613686E-3</v>
      </c>
      <c r="BK31" s="9">
        <f ca="1">IF(OR(BK4="",BK$28&lt;$A31),"",BK4/OFFSET(SSAutCLM!$A$2,MATCH(BK$29,SSAutCLM!$A$2:$A$500)+$A31-1,1)-1)</f>
        <v>1.5356711634064713E-3</v>
      </c>
      <c r="BL31" s="9">
        <f ca="1">IF(OR(BL4="",BL$28&lt;$A31),"",BL4/OFFSET(SSAutCLM!$A$2,MATCH(BL$29,SSAutCLM!$A$2:$A$500)+$A31-1,1)-1)</f>
        <v>-1.2599756738990164E-3</v>
      </c>
      <c r="BM31" s="9">
        <f ca="1">IF(OR(BM4="",BM$28&lt;$A31),"",BM4/OFFSET(SSAutCLM!$A$2,MATCH(BM$29,SSAutCLM!$A$2:$A$500)+$A31-1,1)-1)</f>
        <v>-3.9742913261824331E-3</v>
      </c>
      <c r="BN31" s="9">
        <f ca="1">IF(OR(BN4="",BN$28&lt;$A31),"",BN4/OFFSET(SSAutCLM!$A$2,MATCH(BN$29,SSAutCLM!$A$2:$A$500)+$A31-1,1)-1)</f>
        <v>-8.6091281331578395E-3</v>
      </c>
      <c r="BO31" s="9">
        <f ca="1">IF(OR(BO4="",BO$28&lt;$A31),"",BO4/OFFSET(SSAutCLM!$A$2,MATCH(BO$29,SSAutCLM!$A$2:$A$500)+$A31-1,1)-1)</f>
        <v>-6.2385844189579709E-3</v>
      </c>
      <c r="BP31" s="9">
        <f ca="1">IF(OR(BP4="",BP$28&lt;$A31),"",BP4/OFFSET(SSAutCLM!$A$2,MATCH(BP$29,SSAutCLM!$A$2:$A$500)+$A31-1,1)-1)</f>
        <v>-8.407904730926008E-4</v>
      </c>
      <c r="BQ31" s="9">
        <f ca="1">IF(OR(BQ4="",BQ$28&lt;$A31),"",BQ4/OFFSET(SSAutCLM!$A$2,MATCH(BQ$29,SSAutCLM!$A$2:$A$500)+$A31-1,1)-1)</f>
        <v>-7.59332353497566E-4</v>
      </c>
      <c r="BR31" s="9">
        <f ca="1">IF(OR(BR4="",BR$28&lt;$A31),"",BR4/OFFSET(SSAutCLM!$A$2,MATCH(BR$29,SSAutCLM!$A$2:$A$500)+$A31-1,1)-1)</f>
        <v>3.6290546371620103E-4</v>
      </c>
      <c r="BS31" s="9">
        <f ca="1">IF(OR(BS4="",BS$28&lt;$A31),"",BS4/OFFSET(SSAutCLM!$A$2,MATCH(BS$29,SSAutCLM!$A$2:$A$500)+$A31-1,1)-1)</f>
        <v>-1.041873716515318E-3</v>
      </c>
      <c r="BT31" s="9">
        <f ca="1">IF(OR(BT4="",BT$28&lt;$A31),"",BT4/OFFSET(SSAutCLM!$A$2,MATCH(BT$29,SSAutCLM!$A$2:$A$500)+$A31-1,1)-1)</f>
        <v>-6.5586916308183474E-3</v>
      </c>
      <c r="BU31" s="9">
        <f ca="1">IF(OR(BU4="",BU$28&lt;$A31),"",BU4/OFFSET(SSAutCLM!$A$2,MATCH(BU$29,SSAutCLM!$A$2:$A$500)+$A31-1,1)-1)</f>
        <v>-2.8929925443064164E-3</v>
      </c>
      <c r="BV31" s="9">
        <f ca="1">IF(OR(BV4="",BV$28&lt;$A31),"",BV4/OFFSET(SSAutCLM!$A$2,MATCH(BV$29,SSAutCLM!$A$2:$A$500)+$A31-1,1)-1)</f>
        <v>1.6312738003072536E-3</v>
      </c>
      <c r="BW31" s="9">
        <f ca="1">IF(OR(BW4="",BW$28&lt;$A31),"",BW4/OFFSET(SSAutCLM!$A$2,MATCH(BW$29,SSAutCLM!$A$2:$A$500)+$A31-1,1)-1)</f>
        <v>9.6418398643915992E-4</v>
      </c>
      <c r="BX31" s="9">
        <f ca="1">IF(OR(BX4="",BX$28&lt;$A31),"",BX4/OFFSET(SSAutCLM!$A$2,MATCH(BX$29,SSAutCLM!$A$2:$A$500)+$A31-1,1)-1)</f>
        <v>-5.3002246173510237E-3</v>
      </c>
      <c r="BY31" s="9">
        <f ca="1">IF(OR(BY4="",BY$28&lt;$A31),"",BY4/OFFSET(SSAutCLM!$A$2,MATCH(BY$29,SSAutCLM!$A$2:$A$500)+$A31-1,1)-1)</f>
        <v>-5.6315923286683889E-3</v>
      </c>
      <c r="BZ31" s="9">
        <f ca="1">IF(OR(BZ4="",BZ$28&lt;$A31),"",BZ4/OFFSET(SSAutCLM!$A$2,MATCH(BZ$29,SSAutCLM!$A$2:$A$500)+$A31-1,1)-1)</f>
        <v>-1.7254458030543374E-3</v>
      </c>
      <c r="CA31" s="9">
        <f ca="1">IF(OR(CA4="",CA$28&lt;$A31),"",CA4/OFFSET(SSAutCLM!$A$2,MATCH(CA$29,SSAutCLM!$A$2:$A$500)+$A31-1,1)-1)</f>
        <v>7.9430536035407506E-4</v>
      </c>
      <c r="CB31" s="9">
        <f ca="1">IF(OR(CB4="",CB$28&lt;$A31),"",CB4/OFFSET(SSAutCLM!$A$2,MATCH(CB$29,SSAutCLM!$A$2:$A$500)+$A31-1,1)-1)</f>
        <v>3.0474065891954449E-3</v>
      </c>
      <c r="CC31" s="9">
        <f ca="1">IF(OR(CC4="",CC$28&lt;$A31),"",CC4/OFFSET(SSAutCLM!$A$2,MATCH(CC$29,SSAutCLM!$A$2:$A$500)+$A31-1,1)-1)</f>
        <v>2.3419890417222256E-3</v>
      </c>
      <c r="CD31" s="9">
        <f ca="1">IF(OR(CD4="",CD$28&lt;$A31),"",CD4/OFFSET(SSAutCLM!$A$2,MATCH(CD$29,SSAutCLM!$A$2:$A$500)+$A31-1,1)-1)</f>
        <v>-5.7468587590203679E-4</v>
      </c>
      <c r="CE31" s="9">
        <f ca="1">IF(OR(CE4="",CE$28&lt;$A31),"",CE4/OFFSET(SSAutCLM!$A$2,MATCH(CE$29,SSAutCLM!$A$2:$A$500)+$A31-1,1)-1)</f>
        <v>-5.1379486574576472E-4</v>
      </c>
      <c r="CF31" s="9">
        <f ca="1">IF(OR(CF4="",CF$28&lt;$A31),"",CF4/OFFSET(SSAutCLM!$A$2,MATCH(CF$29,SSAutCLM!$A$2:$A$500)+$A31-1,1)-1)</f>
        <v>2.0224988765566998E-3</v>
      </c>
      <c r="CG31" s="9">
        <f ca="1">IF(OR(CG4="",CG$28&lt;$A31),"",CG4/OFFSET(SSAutCLM!$A$2,MATCH(CG$29,SSAutCLM!$A$2:$A$500)+$A31-1,1)-1)</f>
        <v>4.167255654987656E-4</v>
      </c>
      <c r="CH31" s="9">
        <f ca="1">IF(OR(CH4="",CH$28&lt;$A31),"",CH4/OFFSET(SSAutCLM!$A$2,MATCH(CH$29,SSAutCLM!$A$2:$A$500)+$A31-1,1)-1)</f>
        <v>-9.258851766236198E-5</v>
      </c>
      <c r="CI31" s="9">
        <f ca="1">IF(OR(CI4="",CI$28&lt;$A31),"",CI4/OFFSET(SSAutCLM!$A$2,MATCH(CI$29,SSAutCLM!$A$2:$A$500)+$A31-1,1)-1)</f>
        <v>-9.4999695680586527E-4</v>
      </c>
      <c r="CJ31" s="9">
        <f ca="1">IF(OR(CJ4="",CJ$28&lt;$A31),"",CJ4/OFFSET(SSAutCLM!$A$2,MATCH(CJ$29,SSAutCLM!$A$2:$A$500)+$A31-1,1)-1)</f>
        <v>-4.8093480973474545E-3</v>
      </c>
      <c r="CK31" s="9">
        <f ca="1">IF(OR(CK4="",CK$28&lt;$A31),"",CK4/OFFSET(SSAutCLM!$A$2,MATCH(CK$29,SSAutCLM!$A$2:$A$500)+$A31-1,1)-1)</f>
        <v>-1.8803271319957071E-3</v>
      </c>
      <c r="CL31" s="9">
        <f ca="1">IF(OR(CL4="",CL$28&lt;$A31),"",CL4/OFFSET(SSAutCLM!$A$2,MATCH(CL$29,SSAutCLM!$A$2:$A$500)+$A31-1,1)-1)</f>
        <v>-1.3379200323386797E-3</v>
      </c>
      <c r="CM31" s="9">
        <f ca="1">IF(OR(CM4="",CM$28&lt;$A31),"",CM4/OFFSET(SSAutCLM!$A$2,MATCH(CM$29,SSAutCLM!$A$2:$A$500)+$A31-1,1)-1)</f>
        <v>3.7196587837839967E-3</v>
      </c>
      <c r="CN31" s="9">
        <f ca="1">IF(OR(CN4="",CN$28&lt;$A31),"",CN4/OFFSET(SSAutCLM!$A$2,MATCH(CN$29,SSAutCLM!$A$2:$A$500)+$A31-1,1)-1)</f>
        <v>4.325967471931591E-3</v>
      </c>
      <c r="CO31" s="9">
        <f ca="1">IF(OR(CO4="",CO$28&lt;$A31),"",CO4/OFFSET(SSAutCLM!$A$2,MATCH(CO$29,SSAutCLM!$A$2:$A$500)+$A31-1,1)-1)</f>
        <v>1.4452304827168305E-3</v>
      </c>
      <c r="CP31" s="9">
        <f ca="1">IF(OR(CP4="",CP$28&lt;$A31),"",CP4/OFFSET(SSAutCLM!$A$2,MATCH(CP$29,SSAutCLM!$A$2:$A$500)+$A31-1,1)-1)</f>
        <v>-8.3533154551374E-4</v>
      </c>
      <c r="CQ31" s="9">
        <f ca="1">IF(OR(CQ4="",CQ$28&lt;$A31),"",CQ4/OFFSET(SSAutCLM!$A$2,MATCH(CQ$29,SSAutCLM!$A$2:$A$500)+$A31-1,1)-1)</f>
        <v>1.5680590231965663E-3</v>
      </c>
      <c r="CR31" s="9">
        <f ca="1">IF(OR(CR4="",CR$28&lt;$A31),"",CR4/OFFSET(SSAutCLM!$A$2,MATCH(CR$29,SSAutCLM!$A$2:$A$500)+$A31-1,1)-1)</f>
        <v>2.0152791719130203E-3</v>
      </c>
      <c r="CS31" s="9">
        <f ca="1">IF(OR(CS4="",CS$28&lt;$A31),"",CS4/OFFSET(SSAutCLM!$A$2,MATCH(CS$29,SSAutCLM!$A$2:$A$500)+$A31-1,1)-1)</f>
        <v>6.1355122495962977E-3</v>
      </c>
      <c r="CT31" s="9">
        <f ca="1">IF(OR(CT4="",CT$28&lt;$A31),"",CT4/OFFSET(SSAutCLM!$A$2,MATCH(CT$29,SSAutCLM!$A$2:$A$500)+$A31-1,1)-1)</f>
        <v>1.8730004630660435E-3</v>
      </c>
      <c r="CU31" s="9">
        <f ca="1">IF(OR(CU4="",CU$28&lt;$A31),"",CU4/OFFSET(SSAutCLM!$A$2,MATCH(CU$29,SSAutCLM!$A$2:$A$500)+$A31-1,1)-1)</f>
        <v>-9.9405094201510114E-3</v>
      </c>
      <c r="CV31" s="9">
        <f ca="1">IF(OR(CV4="",CV$28&lt;$A31),"",CV4/OFFSET(SSAutCLM!$A$2,MATCH(CV$29,SSAutCLM!$A$2:$A$500)+$A31-1,1)-1)</f>
        <v>-3.1779834668765883E-3</v>
      </c>
      <c r="CW31" s="9">
        <f ca="1">IF(OR(CW4="",CW$28&lt;$A31),"",CW4/OFFSET(SSAutCLM!$A$2,MATCH(CW$29,SSAutCLM!$A$2:$A$500)+$A31-1,1)-1)</f>
        <v>-1.8504608937920386E-3</v>
      </c>
      <c r="CX31" s="9">
        <f ca="1">IF(OR(CX4="",CX$28&lt;$A31),"",CX4/OFFSET(SSAutCLM!$A$2,MATCH(CX$29,SSAutCLM!$A$2:$A$500)+$A31-1,1)-1)</f>
        <v>3.7958720788688893E-4</v>
      </c>
      <c r="CY31" s="9">
        <f ca="1">IF(OR(CY4="",CY$28&lt;$A31),"",CY4/OFFSET(SSAutCLM!$A$2,MATCH(CY$29,SSAutCLM!$A$2:$A$500)+$A31-1,1)-1)</f>
        <v>1.2368283286434689E-5</v>
      </c>
      <c r="CZ31" s="9">
        <f ca="1">IF(OR(CZ4="",CZ$28&lt;$A31),"",CZ4/OFFSET(SSAutCLM!$A$2,MATCH(CZ$29,SSAutCLM!$A$2:$A$500)+$A31-1,1)-1)</f>
        <v>7.8859396110830815E-4</v>
      </c>
      <c r="DA31" s="9">
        <f ca="1">IF(OR(DA4="",DA$28&lt;$A31),"",DA4/OFFSET(SSAutCLM!$A$2,MATCH(DA$29,SSAutCLM!$A$2:$A$500)+$A31-1,1)-1)</f>
        <v>2.5013618681180017E-3</v>
      </c>
      <c r="DB31" s="9">
        <f ca="1">IF(OR(DB4="",DB$28&lt;$A31),"",DB4/OFFSET(SSAutCLM!$A$2,MATCH(DB$29,SSAutCLM!$A$2:$A$500)+$A31-1,1)-1)</f>
        <v>-3.260734451940861E-4</v>
      </c>
      <c r="DC31" s="9">
        <f ca="1">IF(OR(DC4="",DC$28&lt;$A31),"",DC4/OFFSET(SSAutCLM!$A$2,MATCH(DC$29,SSAutCLM!$A$2:$A$500)+$A31-1,1)-1)</f>
        <v>-1.8659462263520554E-3</v>
      </c>
      <c r="DD31" s="9">
        <f ca="1">IF(OR(DD4="",DD$28&lt;$A31),"",DD4/OFFSET(SSAutCLM!$A$2,MATCH(DD$29,SSAutCLM!$A$2:$A$500)+$A31-1,1)-1)</f>
        <v>6.3415833683189149E-4</v>
      </c>
      <c r="DE31" s="9">
        <f ca="1">IF(OR(DE4="",DE$28&lt;$A31),"",DE4/OFFSET(SSAutCLM!$A$2,MATCH(DE$29,SSAutCLM!$A$2:$A$500)+$A31-1,1)-1)</f>
        <v>3.5820897151395137E-4</v>
      </c>
      <c r="DF31" s="9">
        <f ca="1">IF(OR(DF4="",DF$28&lt;$A31),"",DF4/OFFSET(SSAutCLM!$A$2,MATCH(DF$29,SSAutCLM!$A$2:$A$500)+$A31-1,1)-1)</f>
        <v>2.326317795465771E-3</v>
      </c>
      <c r="DG31" s="9">
        <f ca="1">IF(OR(DG4="",DG$28&lt;$A31),"",DG4/OFFSET(SSAutCLM!$A$2,MATCH(DG$29,SSAutCLM!$A$2:$A$500)+$A31-1,1)-1)</f>
        <v>-3.1474201533676638E-4</v>
      </c>
      <c r="DH31" s="9">
        <f ca="1">IF(OR(DH4="",DH$28&lt;$A31),"",DH4/OFFSET(SSAutCLM!$A$2,MATCH(DH$29,SSAutCLM!$A$2:$A$500)+$A31-1,1)-1)</f>
        <v>-4.9973267787734033E-3</v>
      </c>
      <c r="DI31" s="9">
        <f ca="1">IF(OR(DI4="",DI$28&lt;$A31),"",DI4/OFFSET(SSAutCLM!$A$2,MATCH(DI$29,SSAutCLM!$A$2:$A$500)+$A31-1,1)-1)</f>
        <v>-6.3717539931877898E-3</v>
      </c>
      <c r="DJ31" s="9">
        <f ca="1">IF(OR(DJ4="",DJ$28&lt;$A31),"",DJ4/OFFSET(SSAutCLM!$A$2,MATCH(DJ$29,SSAutCLM!$A$2:$A$500)+$A31-1,1)-1)</f>
        <v>-4.0975979608945945E-3</v>
      </c>
      <c r="DK31" s="9">
        <f ca="1">IF(OR(DK4="",DK$28&lt;$A31),"",DK4/OFFSET(SSAutCLM!$A$2,MATCH(DK$29,SSAutCLM!$A$2:$A$500)+$A31-1,1)-1)</f>
        <v>-1.6916030672964322E-3</v>
      </c>
      <c r="DL31" s="9">
        <f ca="1">IF(OR(DL4="",DL$28&lt;$A31),"",DL4/OFFSET(SSAutCLM!$A$2,MATCH(DL$29,SSAutCLM!$A$2:$A$500)+$A31-1,1)-1)</f>
        <v>1.1125829730269654E-3</v>
      </c>
      <c r="DM31" s="9">
        <f ca="1">IF(OR(DM4="",DM$28&lt;$A31),"",DM4/OFFSET(SSAutCLM!$A$2,MATCH(DM$29,SSAutCLM!$A$2:$A$500)+$A31-1,1)-1)</f>
        <v>3.9133346043613848E-3</v>
      </c>
      <c r="DN31" s="9">
        <f ca="1">IF(OR(DN4="",DN$28&lt;$A31),"",DN4/OFFSET(SSAutCLM!$A$2,MATCH(DN$29,SSAutCLM!$A$2:$A$500)+$A31-1,1)-1)</f>
        <v>-2.2180901271907638E-3</v>
      </c>
      <c r="DO31" s="9">
        <f ca="1">IF(OR(DO4="",DO$28&lt;$A31),"",DO4/OFFSET(SSAutCLM!$A$2,MATCH(DO$29,SSAutCLM!$A$2:$A$500)+$A31-1,1)-1)</f>
        <v>-3.1888313632205678E-3</v>
      </c>
      <c r="DP31" s="9">
        <f ca="1">IF(OR(DP4="",DP$28&lt;$A31),"",DP4/OFFSET(SSAutCLM!$A$2,MATCH(DP$29,SSAutCLM!$A$2:$A$500)+$A31-1,1)-1)</f>
        <v>-2.1615682503298705E-3</v>
      </c>
      <c r="DQ31" s="9">
        <f ca="1">IF(OR(DQ4="",DQ$28&lt;$A31),"",DQ4/OFFSET(SSAutCLM!$A$2,MATCH(DQ$29,SSAutCLM!$A$2:$A$500)+$A31-1,1)-1)</f>
        <v>1.7656785915798334E-3</v>
      </c>
      <c r="DR31" s="9">
        <f ca="1">IF(OR(DR4="",DR$28&lt;$A31),"",DR4/OFFSET(SSAutCLM!$A$2,MATCH(DR$29,SSAutCLM!$A$2:$A$500)+$A31-1,1)-1)</f>
        <v>1.7648984613733987E-3</v>
      </c>
      <c r="DS31" s="9">
        <f ca="1">IF(OR(DS4="",DS$28&lt;$A31),"",DS4/OFFSET(SSAutCLM!$A$2,MATCH(DS$29,SSAutCLM!$A$2:$A$500)+$A31-1,1)-1)</f>
        <v>2.3945234993938413E-5</v>
      </c>
      <c r="DT31" s="9">
        <f ca="1">IF(OR(DT4="",DT$28&lt;$A31),"",DT4/OFFSET(SSAutCLM!$A$2,MATCH(DT$29,SSAutCLM!$A$2:$A$500)+$A31-1,1)-1)</f>
        <v>-1.0195008429807473E-3</v>
      </c>
      <c r="DU31" s="9">
        <f ca="1">IF(OR(DU4="",DU$28&lt;$A31),"",DU4/OFFSET(SSAutCLM!$A$2,MATCH(DU$29,SSAutCLM!$A$2:$A$500)+$A31-1,1)-1)</f>
        <v>-1.3556871354982736E-3</v>
      </c>
      <c r="DV31" s="9">
        <f ca="1">IF(OR(DV4="",DV$28&lt;$A31),"",DV4/OFFSET(SSAutCLM!$A$2,MATCH(DV$29,SSAutCLM!$A$2:$A$500)+$A31-1,1)-1)</f>
        <v>1.1353557968616368E-3</v>
      </c>
      <c r="DW31" s="9">
        <f ca="1">IF(OR(DW4="",DW$28&lt;$A31),"",DW4/OFFSET(SSAutCLM!$A$2,MATCH(DW$29,SSAutCLM!$A$2:$A$500)+$A31-1,1)-1)</f>
        <v>2.519858700658073E-3</v>
      </c>
      <c r="DX31" s="9">
        <f ca="1">IF(OR(DX4="",DX$28&lt;$A31),"",DX4/OFFSET(SSAutCLM!$A$2,MATCH(DX$29,SSAutCLM!$A$2:$A$500)+$A31-1,1)-1)</f>
        <v>4.2606158744955547E-3</v>
      </c>
      <c r="DY31" s="9">
        <f ca="1">IF(OR(DY4="",DY$28&lt;$A31),"",DY4/OFFSET(SSAutCLM!$A$2,MATCH(DY$29,SSAutCLM!$A$2:$A$500)+$A31-1,1)-1)</f>
        <v>-2.7766795506711794E-4</v>
      </c>
      <c r="DZ31" s="9">
        <f ca="1">IF(OR(DZ4="",DZ$28&lt;$A31),"",DZ4/OFFSET(SSAutCLM!$A$2,MATCH(DZ$29,SSAutCLM!$A$2:$A$500)+$A31-1,1)-1)</f>
        <v>-3.2418731861892924E-3</v>
      </c>
      <c r="EA31" s="9" t="str">
        <f ca="1">IF(OR(EA4="",EA$28&lt;$A31),"",EA4/OFFSET(SSAutCLM!$A$2,MATCH(EA$29,SSAutCLM!$A$2:$A$500)+$A31-1,1)-1)</f>
        <v/>
      </c>
      <c r="EB31" s="9" t="str">
        <f ca="1">IF(OR(EB4="",EB$28&lt;$A31),"",EB4/OFFSET(SSAutCLM!$A$2,MATCH(EB$29,SSAutCLM!$A$2:$A$500)+$A31-1,1)-1)</f>
        <v/>
      </c>
      <c r="EC31" s="9" t="str">
        <f ca="1">IF(OR(EC4="",EC$28&lt;$A31),"",EC4/OFFSET(SSAutCLM!$A$2,MATCH(EC$29,SSAutCLM!$A$2:$A$500)+$A31-1,1)-1)</f>
        <v/>
      </c>
      <c r="ED31" s="9" t="str">
        <f ca="1">IF(OR(ED4="",ED$28&lt;$A31),"",ED4/OFFSET(SSAutCLM!$A$2,MATCH(ED$29,SSAutCLM!$A$2:$A$500)+$A31-1,1)-1)</f>
        <v/>
      </c>
      <c r="EE31" s="9" t="str">
        <f ca="1">IF(OR(EE4="",EE$28&lt;$A31),"",EE4/OFFSET(SSAutCLM!$A$2,MATCH(EE$29,SSAutCLM!$A$2:$A$500)+$A31-1,1)-1)</f>
        <v/>
      </c>
      <c r="EF31" s="9" t="str">
        <f ca="1">IF(OR(EF4="",EF$28&lt;$A31),"",EF4/OFFSET(SSAutCLM!$A$2,MATCH(EF$29,SSAutCLM!$A$2:$A$500)+$A31-1,1)-1)</f>
        <v/>
      </c>
      <c r="EG31" s="9">
        <f ca="1">IF(OR(EG4="",EG$28&lt;$A31),"",EG4/OFFSET(SSAutCLM!$A$2,MATCH(EG$29,SSAutCLM!$A$2:$A$500)+$A31-1,1)-1)</f>
        <v>-2.1380284322590759E-3</v>
      </c>
      <c r="EH31" s="9">
        <f ca="1">IF(OR(EH4="",EH$28&lt;$A31),"",EH4/OFFSET(SSAutCLM!$A$2,MATCH(EH$29,SSAutCLM!$A$2:$A$500)+$A31-1,1)-1)</f>
        <v>-3.1093935130044326E-4</v>
      </c>
      <c r="EI31" s="9">
        <f ca="1">IF(OR(EI4="",EI$28&lt;$A31),"",EI4/OFFSET(SSAutCLM!$A$2,MATCH(EI$29,SSAutCLM!$A$2:$A$500)+$A31-1,1)-1)</f>
        <v>1.6469854845193588E-3</v>
      </c>
      <c r="EJ31" s="9">
        <f ca="1">IF(OR(EJ4="",EJ$28&lt;$A31),"",EJ4/OFFSET(SSAutCLM!$A$2,MATCH(EJ$29,SSAutCLM!$A$2:$A$500)+$A31-1,1)-1)</f>
        <v>3.18315294391458E-3</v>
      </c>
      <c r="EK31" s="9">
        <f ca="1">IF(OR(EK4="",EK$28&lt;$A31),"",EK4/OFFSET(SSAutCLM!$A$2,MATCH(EK$29,SSAutCLM!$A$2:$A$500)+$A31-1,1)-1)</f>
        <v>1.3438631915183574E-3</v>
      </c>
      <c r="EL31" s="9">
        <f ca="1">IF(OR(EL4="",EL$28&lt;$A31),"",EL4/OFFSET(SSAutCLM!$A$2,MATCH(EL$29,SSAutCLM!$A$2:$A$500)+$A31-1,1)-1)</f>
        <v>3.6066496997144704E-4</v>
      </c>
      <c r="EM31" s="9">
        <f ca="1">IF(OR(EM4="",EM$28&lt;$A31),"",EM4/OFFSET(SSAutCLM!$A$2,MATCH(EM$29,SSAutCLM!$A$2:$A$500)+$A31-1,1)-1)</f>
        <v>5.6022528822863293E-4</v>
      </c>
      <c r="EN31" s="9">
        <f ca="1">IF(OR(EN4="",EN$28&lt;$A31),"",EN4/OFFSET(SSAutCLM!$A$2,MATCH(EN$29,SSAutCLM!$A$2:$A$500)+$A31-1,1)-1)</f>
        <v>6.8423134580721801E-3</v>
      </c>
      <c r="EO31" s="9">
        <f ca="1">IF(OR(EO4="",EO$28&lt;$A31),"",EO4/OFFSET(SSAutCLM!$A$2,MATCH(EO$29,SSAutCLM!$A$2:$A$500)+$A31-1,1)-1)</f>
        <v>2.3302484161278336E-3</v>
      </c>
      <c r="EP31" s="9">
        <f ca="1">IF(OR(EP4="",EP$28&lt;$A31),"",EP4/OFFSET(SSAutCLM!$A$2,MATCH(EP$29,SSAutCLM!$A$2:$A$500)+$A31-1,1)-1)</f>
        <v>-8.2419590206348481E-3</v>
      </c>
      <c r="EQ31" s="9">
        <f ca="1">IF(OR(EQ4="",EQ$28&lt;$A31),"",EQ4/OFFSET(SSAutCLM!$A$2,MATCH(EQ$29,SSAutCLM!$A$2:$A$500)+$A31-1,1)-1)</f>
        <v>-1.3015559512365993E-3</v>
      </c>
      <c r="ER31" s="9">
        <f ca="1">IF(OR(ER4="",ER$28&lt;$A31),"",ER4/OFFSET(SSAutCLM!$A$2,MATCH(ER$29,SSAutCLM!$A$2:$A$500)+$A31-1,1)-1)</f>
        <v>2.4671533677997903E-3</v>
      </c>
      <c r="ES31" s="9">
        <f ca="1">IF(OR(ES4="",ES$28&lt;$A31),"",ES4/OFFSET(SSAutCLM!$A$2,MATCH(ES$29,SSAutCLM!$A$2:$A$500)+$A31-1,1)-1)</f>
        <v>1.6695356913736248E-3</v>
      </c>
      <c r="ET31" s="9">
        <f ca="1">IF(OR(ET4="",ET$28&lt;$A31),"",ET4/OFFSET(SSAutCLM!$A$2,MATCH(ET$29,SSAutCLM!$A$2:$A$500)+$A31-1,1)-1)</f>
        <v>1.2375497176064787E-3</v>
      </c>
      <c r="EU31" s="9">
        <f ca="1">IF(OR(EU4="",EU$28&lt;$A31),"",EU4/OFFSET(SSAutCLM!$A$2,MATCH(EU$29,SSAutCLM!$A$2:$A$500)+$A31-1,1)-1)</f>
        <v>1.5275961882281752E-3</v>
      </c>
      <c r="EV31" s="9">
        <f ca="1">IF(OR(EV4="",EV$28&lt;$A31),"",EV4/OFFSET(SSAutCLM!$A$2,MATCH(EV$29,SSAutCLM!$A$2:$A$500)+$A31-1,1)-1)</f>
        <v>8.3127015330330956E-4</v>
      </c>
      <c r="EW31" s="9">
        <f ca="1">IF(OR(EW4="",EW$28&lt;$A31),"",EW4/OFFSET(SSAutCLM!$A$2,MATCH(EW$29,SSAutCLM!$A$2:$A$500)+$A31-1,1)-1)</f>
        <v>9.6236583852049584E-4</v>
      </c>
      <c r="EX31" s="9">
        <f ca="1">IF(OR(EX4="",EX$28&lt;$A31),"",EX4/OFFSET(SSAutCLM!$A$2,MATCH(EX$29,SSAutCLM!$A$2:$A$500)+$A31-1,1)-1)</f>
        <v>3.7073275479815315E-4</v>
      </c>
      <c r="EY31" s="9">
        <f ca="1">IF(OR(EY4="",EY$28&lt;$A31),"",EY4/OFFSET(SSAutCLM!$A$2,MATCH(EY$29,SSAutCLM!$A$2:$A$500)+$A31-1,1)-1)</f>
        <v>-2.7921383642650621E-3</v>
      </c>
      <c r="EZ31" s="9">
        <f ca="1">IF(OR(EZ4="",EZ$28&lt;$A31),"",EZ4/OFFSET(SSAutCLM!$A$2,MATCH(EZ$29,SSAutCLM!$A$2:$A$500)+$A31-1,1)-1)</f>
        <v>-3.4642934378870116E-4</v>
      </c>
      <c r="FA31" s="9">
        <f ca="1">IF(OR(FA4="",FA$28&lt;$A31),"",FA4/OFFSET(SSAutCLM!$A$2,MATCH(FA$29,SSAutCLM!$A$2:$A$500)+$A31-1,1)-1)</f>
        <v>2.5931197463089362E-3</v>
      </c>
      <c r="FB31" s="9">
        <f ca="1">IF(OR(FB4="",FB$28&lt;$A31),"",FB4/OFFSET(SSAutCLM!$A$2,MATCH(FB$29,SSAutCLM!$A$2:$A$500)+$A31-1,1)-1)</f>
        <v>1.4413980188272557E-3</v>
      </c>
      <c r="FC31" s="9">
        <f ca="1">IF(OR(FC4="",FC$28&lt;$A31),"",FC4/OFFSET(SSAutCLM!$A$2,MATCH(FC$29,SSAutCLM!$A$2:$A$500)+$A31-1,1)-1)</f>
        <v>-2.2619516318441724E-3</v>
      </c>
      <c r="FD31" s="9">
        <f ca="1">IF(OR(FD4="",FD$28&lt;$A31),"",FD4/OFFSET(SSAutCLM!$A$2,MATCH(FD$29,SSAutCLM!$A$2:$A$500)+$A31-1,1)-1)</f>
        <v>-4.6895713352745894E-4</v>
      </c>
      <c r="FE31" s="9">
        <f ca="1">IF(OR(FE4="",FE$28&lt;$A31),"",FE4/OFFSET(SSAutCLM!$A$2,MATCH(FE$29,SSAutCLM!$A$2:$A$500)+$A31-1,1)-1)</f>
        <v>-7.2764952353332468E-4</v>
      </c>
      <c r="FF31" s="9">
        <f ca="1">IF(OR(FF4="",FF$28&lt;$A31),"",FF4/OFFSET(SSAutCLM!$A$2,MATCH(FF$29,SSAutCLM!$A$2:$A$500)+$A31-1,1)-1)</f>
        <v>3.0118451806226965E-4</v>
      </c>
      <c r="FG31" s="9">
        <f ca="1">IF(OR(FG4="",FG$28&lt;$A31),"",FG4/OFFSET(SSAutCLM!$A$2,MATCH(FG$29,SSAutCLM!$A$2:$A$500)+$A31-1,1)-1)</f>
        <v>4.8103528133487394E-3</v>
      </c>
      <c r="FH31" s="9">
        <f ca="1">IF(OR(FH4="",FH$28&lt;$A31),"",FH4/OFFSET(SSAutCLM!$A$2,MATCH(FH$29,SSAutCLM!$A$2:$A$500)+$A31-1,1)-1)</f>
        <v>5.2965162236993102E-3</v>
      </c>
      <c r="FI31" s="9">
        <f ca="1">IF(OR(FI4="",FI$28&lt;$A31),"",FI4/OFFSET(SSAutCLM!$A$2,MATCH(FI$29,SSAutCLM!$A$2:$A$500)+$A31-1,1)-1)</f>
        <v>-1.1876384455805633E-3</v>
      </c>
      <c r="FJ31" s="9">
        <f ca="1">IF(OR(FJ4="",FJ$28&lt;$A31),"",FJ4/OFFSET(SSAutCLM!$A$2,MATCH(FJ$29,SSAutCLM!$A$2:$A$500)+$A31-1,1)-1)</f>
        <v>-3.8463254678876568E-3</v>
      </c>
      <c r="FK31" s="9">
        <f ca="1">IF(OR(FK4="",FK$28&lt;$A31),"",FK4/OFFSET(SSAutCLM!$A$2,MATCH(FK$29,SSAutCLM!$A$2:$A$500)+$A31-1,1)-1)</f>
        <v>2.0604164173221307E-4</v>
      </c>
      <c r="FL31" s="9">
        <f ca="1">IF(OR(FL4="",FL$28&lt;$A31),"",FL4/OFFSET(SSAutCLM!$A$2,MATCH(FL$29,SSAutCLM!$A$2:$A$500)+$A31-1,1)-1)</f>
        <v>9.1217388669262434E-4</v>
      </c>
      <c r="FM31" s="9">
        <f ca="1">IF(OR(FM4="",FM$28&lt;$A31),"",FM4/OFFSET(SSAutCLM!$A$2,MATCH(FM$29,SSAutCLM!$A$2:$A$500)+$A31-1,1)-1)</f>
        <v>-2.3924273055885292E-3</v>
      </c>
      <c r="FN31" s="9">
        <f ca="1">IF(OR(FN4="",FN$28&lt;$A31),"",FN4/OFFSET(SSAutCLM!$A$2,MATCH(FN$29,SSAutCLM!$A$2:$A$500)+$A31-1,1)-1)</f>
        <v>-6.2373596874942816E-3</v>
      </c>
      <c r="FO31" s="9">
        <f ca="1">IF(OR(FO4="",FO$28&lt;$A31),"",FO4/OFFSET(SSAutCLM!$A$2,MATCH(FO$29,SSAutCLM!$A$2:$A$500)+$A31-1,1)-1)</f>
        <v>-4.3268897917203564E-3</v>
      </c>
      <c r="FP31" s="9">
        <f ca="1">IF(OR(FP4="",FP$28&lt;$A31),"",FP4/OFFSET(SSAutCLM!$A$2,MATCH(FP$29,SSAutCLM!$A$2:$A$500)+$A31-1,1)-1)</f>
        <v>3.514148138378248E-3</v>
      </c>
      <c r="FQ31" s="9">
        <f ca="1">IF(OR(FQ4="",FQ$28&lt;$A31),"",FQ4/OFFSET(SSAutCLM!$A$2,MATCH(FQ$29,SSAutCLM!$A$2:$A$500)+$A31-1,1)-1)</f>
        <v>2.2756100620284769E-3</v>
      </c>
      <c r="FR31" s="9">
        <f ca="1">IF(OR(FR4="",FR$28&lt;$A31),"",FR4/OFFSET(SSAutCLM!$A$2,MATCH(FR$29,SSAutCLM!$A$2:$A$500)+$A31-1,1)-1)</f>
        <v>1.0779148449495679E-3</v>
      </c>
      <c r="FS31" s="9">
        <f ca="1">IF(OR(FS4="",FS$28&lt;$A31),"",FS4/OFFSET(SSAutCLM!$A$2,MATCH(FS$29,SSAutCLM!$A$2:$A$500)+$A31-1,1)-1)</f>
        <v>3.289022244598705E-3</v>
      </c>
      <c r="FT31" s="9">
        <f ca="1">IF(OR(FT4="",FT$28&lt;$A31),"",FT4/OFFSET(SSAutCLM!$A$2,MATCH(FT$29,SSAutCLM!$A$2:$A$500)+$A31-1,1)-1)</f>
        <v>2.5091548684965659E-3</v>
      </c>
      <c r="FU31" s="9">
        <f ca="1">IF(OR(FU4="",FU$28&lt;$A31),"",FU4/OFFSET(SSAutCLM!$A$2,MATCH(FU$29,SSAutCLM!$A$2:$A$500)+$A31-1,1)-1)</f>
        <v>-1.096470539284744E-3</v>
      </c>
      <c r="FV31" s="9">
        <f ca="1">IF(OR(FV4="",FV$28&lt;$A31),"",FV4/OFFSET(SSAutCLM!$A$2,MATCH(FV$29,SSAutCLM!$A$2:$A$500)+$A31-1,1)-1)</f>
        <v>-2.708764332758129E-3</v>
      </c>
      <c r="FW31" s="9">
        <f ca="1">IF(OR(FW4="",FW$28&lt;$A31),"",FW4/OFFSET(SSAutCLM!$A$2,MATCH(FW$29,SSAutCLM!$A$2:$A$500)+$A31-1,1)-1)</f>
        <v>-1.4010926208176677E-3</v>
      </c>
      <c r="FX31" s="9">
        <f ca="1">IF(OR(FX4="",FX$28&lt;$A31),"",FX4/OFFSET(SSAutCLM!$A$2,MATCH(FX$29,SSAutCLM!$A$2:$A$500)+$A31-1,1)-1)</f>
        <v>8.4440446018518855E-5</v>
      </c>
      <c r="FY31" s="9">
        <f ca="1">IF(OR(FY4="",FY$28&lt;$A31),"",FY4/OFFSET(SSAutCLM!$A$2,MATCH(FY$29,SSAutCLM!$A$2:$A$500)+$A31-1,1)-1)</f>
        <v>1.6547909384492243E-3</v>
      </c>
      <c r="FZ31" s="9">
        <f ca="1">IF(OR(FZ4="",FZ$28&lt;$A31),"",FZ4/OFFSET(SSAutCLM!$A$2,MATCH(FZ$29,SSAutCLM!$A$2:$A$500)+$A31-1,1)-1)</f>
        <v>5.6071999727071997E-3</v>
      </c>
      <c r="GA31" s="9">
        <f ca="1">IF(OR(GA4="",GA$28&lt;$A31),"",GA4/OFFSET(SSAutCLM!$A$2,MATCH(GA$29,SSAutCLM!$A$2:$A$500)+$A31-1,1)-1)</f>
        <v>1.1636241131127711E-3</v>
      </c>
      <c r="GB31" s="9">
        <f ca="1">IF(OR(GB4="",GB$28&lt;$A31),"",GB4/OFFSET(SSAutCLM!$A$2,MATCH(GB$29,SSAutCLM!$A$2:$A$500)+$A31-1,1)-1)</f>
        <v>1.1278667184739799E-3</v>
      </c>
      <c r="GC31" s="9">
        <f ca="1">IF(OR(GC4="",GC$28&lt;$A31),"",GC4/OFFSET(SSAutCLM!$A$2,MATCH(GC$29,SSAutCLM!$A$2:$A$500)+$A31-1,1)-1)</f>
        <v>-1.3195239889278731E-3</v>
      </c>
      <c r="GD31" s="9">
        <f ca="1">IF(OR(GD4="",GD$28&lt;$A31),"",GD4/OFFSET(SSAutCLM!$A$2,MATCH(GD$29,SSAutCLM!$A$2:$A$500)+$A31-1,1)-1)</f>
        <v>-2.9451280323754547E-3</v>
      </c>
      <c r="GE31" s="9">
        <f ca="1">IF(OR(GE4="",GE$28&lt;$A31),"",GE4/OFFSET(SSAutCLM!$A$2,MATCH(GE$29,SSAutCLM!$A$2:$A$500)+$A31-1,1)-1)</f>
        <v>-1.9267491536456571E-3</v>
      </c>
      <c r="GF31" s="9">
        <f ca="1">IF(OR(GF4="",GF$28&lt;$A31),"",GF4/OFFSET(SSAutCLM!$A$2,MATCH(GF$29,SSAutCLM!$A$2:$A$500)+$A31-1,1)-1)</f>
        <v>-5.3332706719655398E-4</v>
      </c>
      <c r="GG31" s="9">
        <f ca="1">IF(OR(GG4="",GG$28&lt;$A31),"",GG4/OFFSET(SSAutCLM!$A$2,MATCH(GG$29,SSAutCLM!$A$2:$A$500)+$A31-1,1)-1)</f>
        <v>2.0030698820949766E-5</v>
      </c>
      <c r="GH31" s="9">
        <f ca="1">IF(OR(GH4="",GH$28&lt;$A31),"",GH4/OFFSET(SSAutCLM!$A$2,MATCH(GH$29,SSAutCLM!$A$2:$A$500)+$A31-1,1)-1)</f>
        <v>-6.2421935866130429E-4</v>
      </c>
      <c r="GI31" s="9">
        <f ca="1">IF(OR(GI4="",GI$28&lt;$A31),"",GI4/OFFSET(SSAutCLM!$A$2,MATCH(GI$29,SSAutCLM!$A$2:$A$500)+$A31-1,1)-1)</f>
        <v>-7.7716096512481236E-4</v>
      </c>
      <c r="GJ31" s="9">
        <f ca="1">IF(OR(GJ4="",GJ$28&lt;$A31),"",GJ4/OFFSET(SSAutCLM!$A$2,MATCH(GJ$29,SSAutCLM!$A$2:$A$500)+$A31-1,1)-1)</f>
        <v>-2.0539981118159467E-3</v>
      </c>
      <c r="GK31" s="9">
        <f ca="1">IF(OR(GK4="",GK$28&lt;$A31),"",GK4/OFFSET(SSAutCLM!$A$2,MATCH(GK$29,SSAutCLM!$A$2:$A$500)+$A31-1,1)-1)</f>
        <v>-8.9630230391812837E-4</v>
      </c>
      <c r="GL31" s="9">
        <f ca="1">IF(OR(GL4="",GL$28&lt;$A31),"",GL4/OFFSET(SSAutCLM!$A$2,MATCH(GL$29,SSAutCLM!$A$2:$A$500)+$A31-1,1)-1)</f>
        <v>1.2721068096945842E-3</v>
      </c>
      <c r="GM31" s="9">
        <f ca="1">IF(OR(GM4="",GM$28&lt;$A31),"",GM4/OFFSET(SSAutCLM!$A$2,MATCH(GM$29,SSAutCLM!$A$2:$A$500)+$A31-1,1)-1)</f>
        <v>4.4242155178928488E-3</v>
      </c>
      <c r="GN31" s="9">
        <f ca="1">IF(OR(GN4="",GN$28&lt;$A31),"",GN4/OFFSET(SSAutCLM!$A$2,MATCH(GN$29,SSAutCLM!$A$2:$A$500)+$A31-1,1)-1)</f>
        <v>2.6646676555684978E-2</v>
      </c>
      <c r="GO31" s="9">
        <f ca="1">IF(OR(GO4="",GO$28&lt;$A31),"",GO4/OFFSET(SSAutCLM!$A$2,MATCH(GO$29,SSAutCLM!$A$2:$A$500)+$A31-1,1)-1)</f>
        <v>1.5519729729382759E-2</v>
      </c>
      <c r="GP31" s="9">
        <f ca="1">IF(OR(GP4="",GP$28&lt;$A31),"",GP4/OFFSET(SSAutCLM!$A$2,MATCH(GP$29,SSAutCLM!$A$2:$A$500)+$A31-1,1)-1)</f>
        <v>-1.9505153386306873E-2</v>
      </c>
      <c r="GQ31" s="9">
        <f ca="1">IF(OR(GQ4="",GQ$28&lt;$A31),"",GQ4/OFFSET(SSAutCLM!$A$2,MATCH(GQ$29,SSAutCLM!$A$2:$A$500)+$A31-1,1)-1)</f>
        <v>-1.4579415061426237E-2</v>
      </c>
      <c r="GR31" s="9">
        <f ca="1">IF(OR(GR4="",GR$28&lt;$A31),"",GR4/OFFSET(SSAutCLM!$A$2,MATCH(GR$29,SSAutCLM!$A$2:$A$500)+$A31-1,1)-1)</f>
        <v>-8.8682241726210087E-3</v>
      </c>
      <c r="GS31" s="9">
        <f ca="1">IF(OR(GS4="",GS$28&lt;$A31),"",GS4/OFFSET(SSAutCLM!$A$2,MATCH(GS$29,SSAutCLM!$A$2:$A$500)+$A31-1,1)-1)</f>
        <v>-2.9549485467417202E-4</v>
      </c>
      <c r="GT31" s="9">
        <f ca="1">IF(OR(GT4="",GT$28&lt;$A31),"",GT4/OFFSET(SSAutCLM!$A$2,MATCH(GT$29,SSAutCLM!$A$2:$A$500)+$A31-1,1)-1)</f>
        <v>6.5077936643320733E-4</v>
      </c>
      <c r="GU31" s="9">
        <f ca="1">IF(OR(GU4="",GU$28&lt;$A31),"",GU4/OFFSET(SSAutCLM!$A$2,MATCH(GU$29,SSAutCLM!$A$2:$A$500)+$A31-1,1)-1)</f>
        <v>1.8217028691824844E-3</v>
      </c>
      <c r="GV31" s="9">
        <f ca="1">IF(OR(GV4="",GV$28&lt;$A31),"",GV4/OFFSET(SSAutCLM!$A$2,MATCH(GV$29,SSAutCLM!$A$2:$A$500)+$A31-1,1)-1)</f>
        <v>-7.7425168501066288E-4</v>
      </c>
      <c r="GW31" s="9">
        <f ca="1">IF(OR(GW4="",GW$28&lt;$A31),"",GW4/OFFSET(SSAutCLM!$A$2,MATCH(GW$29,SSAutCLM!$A$2:$A$500)+$A31-1,1)-1)</f>
        <v>-6.8872362395133724E-4</v>
      </c>
      <c r="GX31" s="9" t="str">
        <f ca="1">IF(OR(GX4="",GX$28&lt;$A31),"",GX4/OFFSET(SSAutCLM!$A$2,MATCH(GX$29,SSAutCLM!$A$2:$A$500)+$A31-1,1)-1)</f>
        <v/>
      </c>
      <c r="GY31" s="9" t="str">
        <f ca="1">IF(OR(GY4="",GY$28&lt;$A31),"",GY4/OFFSET(SSAutCLM!$A$2,MATCH(GY$29,SSAutCLM!$A$2:$A$500)+$A31-1,1)-1)</f>
        <v/>
      </c>
      <c r="GZ31" s="9" t="str">
        <f ca="1">IF(OR(GZ4="",GZ$28&lt;$A31),"",GZ4/OFFSET(SSAutCLM!$A$2,MATCH(GZ$29,SSAutCLM!$A$2:$A$500)+$A31-1,1)-1)</f>
        <v/>
      </c>
      <c r="HA31" s="9" t="str">
        <f ca="1">IF(OR(HA4="",HA$28&lt;$A31),"",HA4/OFFSET(SSAutCLM!$A$2,MATCH(HA$29,SSAutCLM!$A$2:$A$500)+$A31-1,1)-1)</f>
        <v/>
      </c>
      <c r="HB31" s="9" t="str">
        <f ca="1">IF(OR(HB4="",HB$28&lt;$A31),"",HB4/OFFSET(SSAutCLM!$A$2,MATCH(HB$29,SSAutCLM!$A$2:$A$500)+$A31-1,1)-1)</f>
        <v/>
      </c>
      <c r="HC31" s="9" t="str">
        <f ca="1">IF(OR(HC4="",HC$28&lt;$A31),"",HC4/OFFSET(SSAutCLM!$A$2,MATCH(HC$29,SSAutCLM!$A$2:$A$500)+$A31-1,1)-1)</f>
        <v/>
      </c>
      <c r="HD31" s="9" t="str">
        <f ca="1">IF(OR(HD4="",HD$28&lt;$A31),"",HD4/OFFSET(SSAutCLM!$A$2,MATCH(HD$29,SSAutCLM!$A$2:$A$500)+$A31-1,1)-1)</f>
        <v/>
      </c>
      <c r="HE31" s="9" t="str">
        <f ca="1">IF(OR(HE4="",HE$28&lt;$A31),"",HE4/OFFSET(SSAutCLM!$A$2,MATCH(HE$29,SSAutCLM!$A$2:$A$500)+$A31-1,1)-1)</f>
        <v/>
      </c>
      <c r="HF31" s="9" t="str">
        <f ca="1">IF(OR(HF4="",HF$28&lt;$A31),"",HF4/OFFSET(SSAutCLM!$A$2,MATCH(HF$29,SSAutCLM!$A$2:$A$500)+$A31-1,1)-1)</f>
        <v/>
      </c>
      <c r="HG31" s="9" t="str">
        <f ca="1">IF(OR(HG4="",HG$28&lt;$A31),"",HG4/OFFSET(SSAutCLM!$A$2,MATCH(HG$29,SSAutCLM!$A$2:$A$500)+$A31-1,1)-1)</f>
        <v/>
      </c>
      <c r="HH31" s="9" t="str">
        <f ca="1">IF(OR(HH4="",HH$28&lt;$A31),"",HH4/OFFSET(SSAutCLM!$A$2,MATCH(HH$29,SSAutCLM!$A$2:$A$500)+$A31-1,1)-1)</f>
        <v/>
      </c>
      <c r="HI31" s="9" t="str">
        <f ca="1">IF(OR(HI4="",HI$28&lt;$A31),"",HI4/OFFSET(SSAutCLM!$A$2,MATCH(HI$29,SSAutCLM!$A$2:$A$500)+$A31-1,1)-1)</f>
        <v/>
      </c>
      <c r="HJ31" s="9" t="str">
        <f ca="1">IF(OR(HJ4="",HJ$28&lt;$A31),"",HJ4/OFFSET(SSAutCLM!$A$2,MATCH(HJ$29,SSAutCLM!$A$2:$A$500)+$A31-1,1)-1)</f>
        <v/>
      </c>
      <c r="HK31" s="9" t="str">
        <f ca="1">IF(OR(HK4="",HK$28&lt;$A31),"",HK4/OFFSET(SSAutCLM!$A$2,MATCH(HK$29,SSAutCLM!$A$2:$A$500)+$A31-1,1)-1)</f>
        <v/>
      </c>
      <c r="HL31" s="9" t="str">
        <f ca="1">IF(OR(HL4="",HL$28&lt;$A31),"",HL4/OFFSET(SSAutCLM!$A$2,MATCH(HL$29,SSAutCLM!$A$2:$A$500)+$A31-1,1)-1)</f>
        <v/>
      </c>
      <c r="HM31" s="9" t="str">
        <f ca="1">IF(OR(HM4="",HM$28&lt;$A31),"",HM4/OFFSET(SSAutCLM!$A$2,MATCH(HM$29,SSAutCLM!$A$2:$A$500)+$A31-1,1)-1)</f>
        <v/>
      </c>
      <c r="HN31" s="9" t="str">
        <f ca="1">IF(OR(HN4="",HN$28&lt;$A31),"",HN4/OFFSET(SSAutCLM!$A$2,MATCH(HN$29,SSAutCLM!$A$2:$A$500)+$A31-1,1)-1)</f>
        <v/>
      </c>
      <c r="HO31" s="9" t="str">
        <f ca="1">IF(OR(HO4="",HO$28&lt;$A31),"",HO4/OFFSET(SSAutCLM!$A$2,MATCH(HO$29,SSAutCLM!$A$2:$A$500)+$A31-1,1)-1)</f>
        <v/>
      </c>
      <c r="HP31" s="9" t="str">
        <f ca="1">IF(OR(HP4="",HP$28&lt;$A31),"",HP4/OFFSET(SSAutCLM!$A$2,MATCH(HP$29,SSAutCLM!$A$2:$A$500)+$A31-1,1)-1)</f>
        <v/>
      </c>
      <c r="HQ31" s="9" t="str">
        <f ca="1">IF(OR(HQ4="",HQ$28&lt;$A31),"",HQ4/OFFSET(SSAutCLM!$A$2,MATCH(HQ$29,SSAutCLM!$A$2:$A$500)+$A31-1,1)-1)</f>
        <v/>
      </c>
      <c r="HR31" s="9" t="str">
        <f ca="1">IF(OR(HR4="",HR$28&lt;$A31),"",HR4/OFFSET(SSAutCLM!$A$2,MATCH(HR$29,SSAutCLM!$A$2:$A$500)+$A31-1,1)-1)</f>
        <v/>
      </c>
      <c r="HS31" s="9" t="str">
        <f ca="1">IF(OR(HS4="",HS$28&lt;$A31),"",HS4/OFFSET(SSAutCLM!$A$2,MATCH(HS$29,SSAutCLM!$A$2:$A$500)+$A31-1,1)-1)</f>
        <v/>
      </c>
      <c r="HT31" s="9" t="str">
        <f ca="1">IF(OR(HT4="",HT$28&lt;$A31),"",HT4/OFFSET(SSAutCLM!$A$2,MATCH(HT$29,SSAutCLM!$A$2:$A$500)+$A31-1,1)-1)</f>
        <v/>
      </c>
      <c r="HU31" s="9" t="str">
        <f ca="1">IF(OR(HU4="",HU$28&lt;$A31),"",HU4/OFFSET(SSAutCLM!$A$2,MATCH(HU$29,SSAutCLM!$A$2:$A$500)+$A31-1,1)-1)</f>
        <v/>
      </c>
      <c r="HV31" s="9" t="str">
        <f ca="1">IF(OR(HV4="",HV$28&lt;$A31),"",HV4/OFFSET(SSAutCLM!$A$2,MATCH(HV$29,SSAutCLM!$A$2:$A$500)+$A31-1,1)-1)</f>
        <v/>
      </c>
      <c r="HW31" s="9" t="str">
        <f ca="1">IF(OR(HW4="",HW$28&lt;$A31),"",HW4/OFFSET(SSAutCLM!$A$2,MATCH(HW$29,SSAutCLM!$A$2:$A$500)+$A31-1,1)-1)</f>
        <v/>
      </c>
      <c r="HX31" s="9" t="str">
        <f ca="1">IF(OR(HX4="",HX$28&lt;$A31),"",HX4/OFFSET(SSAutCLM!$A$2,MATCH(HX$29,SSAutCLM!$A$2:$A$500)+$A31-1,1)-1)</f>
        <v/>
      </c>
      <c r="HY31" s="9" t="str">
        <f ca="1">IF(OR(HY4="",HY$28&lt;$A31),"",HY4/OFFSET(SSAutCLM!$A$2,MATCH(HY$29,SSAutCLM!$A$2:$A$500)+$A31-1,1)-1)</f>
        <v/>
      </c>
      <c r="HZ31" s="9" t="str">
        <f ca="1">IF(OR(HZ4="",HZ$28&lt;$A31),"",HZ4/OFFSET(SSAutCLM!$A$2,MATCH(HZ$29,SSAutCLM!$A$2:$A$500)+$A31-1,1)-1)</f>
        <v/>
      </c>
      <c r="IA31" s="9" t="str">
        <f ca="1">IF(OR(IA4="",IA$28&lt;$A31),"",IA4/OFFSET(SSAutCLM!$A$2,MATCH(IA$29,SSAutCLM!$A$2:$A$500)+$A31-1,1)-1)</f>
        <v/>
      </c>
      <c r="IB31" s="9" t="str">
        <f ca="1">IF(OR(IB4="",IB$28&lt;$A31),"",IB4/OFFSET(SSAutCLM!$A$2,MATCH(IB$29,SSAutCLM!$A$2:$A$500)+$A31-1,1)-1)</f>
        <v/>
      </c>
      <c r="IC31" s="9" t="str">
        <f ca="1">IF(OR(IC4="",IC$28&lt;$A31),"",IC4/OFFSET(SSAutCLM!$A$2,MATCH(IC$29,SSAutCLM!$A$2:$A$500)+$A31-1,1)-1)</f>
        <v/>
      </c>
      <c r="ID31" s="9" t="str">
        <f ca="1">IF(OR(ID4="",ID$28&lt;$A31),"",ID4/OFFSET(SSAutCLM!$A$2,MATCH(ID$29,SSAutCLM!$A$2:$A$500)+$A31-1,1)-1)</f>
        <v/>
      </c>
      <c r="IE31" s="9" t="str">
        <f ca="1">IF(OR(IE4="",IE$28&lt;$A31),"",IE4/OFFSET(SSAutCLM!$A$2,MATCH(IE$29,SSAutCLM!$A$2:$A$500)+$A31-1,1)-1)</f>
        <v/>
      </c>
      <c r="IF31" s="9" t="str">
        <f ca="1">IF(OR(IF4="",IF$28&lt;$A31),"",IF4/OFFSET(SSAutCLM!$A$2,MATCH(IF$29,SSAutCLM!$A$2:$A$500)+$A31-1,1)-1)</f>
        <v/>
      </c>
      <c r="IG31" s="9" t="str">
        <f ca="1">IF(OR(IG4="",IG$28&lt;$A31),"",IG4/OFFSET(SSAutCLM!$A$2,MATCH(IG$29,SSAutCLM!$A$2:$A$500)+$A31-1,1)-1)</f>
        <v/>
      </c>
      <c r="IH31" s="9" t="str">
        <f ca="1">IF(OR(IH4="",IH$28&lt;$A31),"",IH4/OFFSET(SSAutCLM!$A$2,MATCH(IH$29,SSAutCLM!$A$2:$A$500)+$A31-1,1)-1)</f>
        <v/>
      </c>
      <c r="II31" s="9" t="str">
        <f ca="1">IF(OR(II4="",II$28&lt;$A31),"",II4/OFFSET(SSAutCLM!$A$2,MATCH(II$29,SSAutCLM!$A$2:$A$500)+$A31-1,1)-1)</f>
        <v/>
      </c>
      <c r="IJ31" s="9" t="str">
        <f ca="1">IF(OR(IJ4="",IJ$28&lt;$A31),"",IJ4/OFFSET(SSAutCLM!$A$2,MATCH(IJ$29,SSAutCLM!$A$2:$A$500)+$A31-1,1)-1)</f>
        <v/>
      </c>
      <c r="IK31" s="9" t="str">
        <f ca="1">IF(OR(IK4="",IK$28&lt;$A31),"",IK4/OFFSET(SSAutCLM!$A$2,MATCH(IK$29,SSAutCLM!$A$2:$A$500)+$A31-1,1)-1)</f>
        <v/>
      </c>
      <c r="IL31" s="9" t="str">
        <f ca="1">IF(OR(IL4="",IL$28&lt;$A31),"",IL4/OFFSET(SSAutCLM!$A$2,MATCH(IL$29,SSAutCLM!$A$2:$A$500)+$A31-1,1)-1)</f>
        <v/>
      </c>
      <c r="IM31" s="9" t="str">
        <f ca="1">IF(OR(IM4="",IM$28&lt;$A31),"",IM4/OFFSET(SSAutCLM!$A$2,MATCH(IM$29,SSAutCLM!$A$2:$A$500)+$A31-1,1)-1)</f>
        <v/>
      </c>
      <c r="IN31" s="9" t="str">
        <f ca="1">IF(OR(IN4="",IN$28&lt;$A31),"",IN4/OFFSET(SSAutCLM!$A$2,MATCH(IN$29,SSAutCLM!$A$2:$A$500)+$A31-1,1)-1)</f>
        <v/>
      </c>
      <c r="IO31" s="9" t="str">
        <f ca="1">IF(OR(IO4="",IO$28&lt;$A31),"",IO4/OFFSET(SSAutCLM!$A$2,MATCH(IO$29,SSAutCLM!$A$2:$A$500)+$A31-1,1)-1)</f>
        <v/>
      </c>
      <c r="IP31" s="9" t="str">
        <f ca="1">IF(OR(IP4="",IP$28&lt;$A31),"",IP4/OFFSET(SSAutCLM!$A$2,MATCH(IP$29,SSAutCLM!$A$2:$A$500)+$A31-1,1)-1)</f>
        <v/>
      </c>
      <c r="IQ31" s="9" t="str">
        <f ca="1">IF(OR(IQ4="",IQ$28&lt;$A31),"",IQ4/OFFSET(SSAutCLM!$A$2,MATCH(IQ$29,SSAutCLM!$A$2:$A$500)+$A31-1,1)-1)</f>
        <v/>
      </c>
      <c r="IR31" s="9" t="str">
        <f ca="1">IF(OR(IR4="",IR$28&lt;$A31),"",IR4/OFFSET(SSAutCLM!$A$2,MATCH(IR$29,SSAutCLM!$A$2:$A$500)+$A31-1,1)-1)</f>
        <v/>
      </c>
      <c r="IS31" s="9" t="str">
        <f ca="1">IF(OR(IS4="",IS$28&lt;$A31),"",IS4/OFFSET(SSAutCLM!$A$2,MATCH(IS$29,SSAutCLM!$A$2:$A$500)+$A31-1,1)-1)</f>
        <v/>
      </c>
      <c r="IT31" s="9" t="str">
        <f ca="1">IF(OR(IT4="",IT$28&lt;$A31),"",IT4/OFFSET(SSAutCLM!$A$2,MATCH(IT$29,SSAutCLM!$A$2:$A$500)+$A31-1,1)-1)</f>
        <v/>
      </c>
      <c r="IU31" s="9" t="str">
        <f ca="1">IF(OR(IU4="",IU$28&lt;$A31),"",IU4/OFFSET(SSAutCLM!$A$2,MATCH(IU$29,SSAutCLM!$A$2:$A$500)+$A31-1,1)-1)</f>
        <v/>
      </c>
      <c r="IV31" s="9" t="str">
        <f ca="1">IF(OR(IV4="",IV$28&lt;$A31),"",IV4/OFFSET(SSAutCLM!$A$2,MATCH(IV$29,SSAutCLM!$A$2:$A$500)+$A31-1,1)-1)</f>
        <v/>
      </c>
      <c r="IW31" s="9" t="str">
        <f ca="1">IF(OR(IW4="",IW$28&lt;$A31),"",IW4/OFFSET(SSAutCLM!$A$2,MATCH(IW$29,SSAutCLM!$A$2:$A$500)+$A31-1,1)-1)</f>
        <v/>
      </c>
      <c r="IX31" s="9" t="str">
        <f ca="1">IF(OR(IX4="",IX$28&lt;$A31),"",IX4/OFFSET(SSAutCLM!$A$2,MATCH(IX$29,SSAutCLM!$A$2:$A$500)+$A31-1,1)-1)</f>
        <v/>
      </c>
      <c r="IY31" s="9" t="str">
        <f ca="1">IF(OR(IY4="",IY$28&lt;$A31),"",IY4/OFFSET(SSAutCLM!$A$2,MATCH(IY$29,SSAutCLM!$A$2:$A$500)+$A31-1,1)-1)</f>
        <v/>
      </c>
      <c r="IZ31" s="9" t="str">
        <f ca="1">IF(OR(IZ4="",IZ$28&lt;$A31),"",IZ4/OFFSET(SSAutCLM!$A$2,MATCH(IZ$29,SSAutCLM!$A$2:$A$500)+$A31-1,1)-1)</f>
        <v/>
      </c>
      <c r="JA31" s="9" t="str">
        <f ca="1">IF(OR(JA4="",JA$28&lt;$A31),"",JA4/OFFSET(SSAutCLM!$A$2,MATCH(JA$29,SSAutCLM!$A$2:$A$500)+$A31-1,1)-1)</f>
        <v/>
      </c>
      <c r="JB31" s="9" t="str">
        <f ca="1">IF(OR(JB4="",JB$28&lt;$A31),"",JB4/OFFSET(SSAutCLM!$A$2,MATCH(JB$29,SSAutCLM!$A$2:$A$500)+$A31-1,1)-1)</f>
        <v/>
      </c>
      <c r="JC31" s="9" t="str">
        <f ca="1">IF(OR(JC4="",JC$28&lt;$A31),"",JC4/OFFSET(SSAutCLM!$A$2,MATCH(JC$29,SSAutCLM!$A$2:$A$500)+$A31-1,1)-1)</f>
        <v/>
      </c>
      <c r="JD31" s="9" t="str">
        <f ca="1">IF(OR(JD4="",JD$28&lt;$A31),"",JD4/OFFSET(SSAutCLM!$A$2,MATCH(JD$29,SSAutCLM!$A$2:$A$500)+$A31-1,1)-1)</f>
        <v/>
      </c>
      <c r="JE31" s="9" t="str">
        <f ca="1">IF(OR(JE4="",JE$28&lt;$A31),"",JE4/OFFSET(SSAutCLM!$A$2,MATCH(JE$29,SSAutCLM!$A$2:$A$500)+$A31-1,1)-1)</f>
        <v/>
      </c>
      <c r="JF31" s="9" t="str">
        <f ca="1">IF(OR(JF4="",JF$28&lt;$A31),"",JF4/OFFSET(SSAutCLM!$A$2,MATCH(JF$29,SSAutCLM!$A$2:$A$500)+$A31-1,1)-1)</f>
        <v/>
      </c>
      <c r="JG31" s="9" t="str">
        <f ca="1">IF(OR(JG4="",JG$28&lt;$A31),"",JG4/OFFSET(SSAutCLM!$A$2,MATCH(JG$29,SSAutCLM!$A$2:$A$500)+$A31-1,1)-1)</f>
        <v/>
      </c>
      <c r="JH31" s="9" t="str">
        <f ca="1">IF(OR(JH4="",JH$28&lt;$A31),"",JH4/OFFSET(SSAutCLM!$A$2,MATCH(JH$29,SSAutCLM!$A$2:$A$500)+$A31-1,1)-1)</f>
        <v/>
      </c>
      <c r="JI31" s="13">
        <f t="shared" ca="1" si="13"/>
        <v>2.0966070983051858E-4</v>
      </c>
      <c r="JJ31" s="13">
        <f t="shared" ca="1" si="14"/>
        <v>-2.9549485467417202E-4</v>
      </c>
      <c r="JK31" s="14">
        <f t="shared" ca="1" si="15"/>
        <v>5.0553937856137459E-5</v>
      </c>
      <c r="JL31" s="17">
        <f t="shared" ref="JL31:JL41" ca="1" si="18">SQRT(JK31)</f>
        <v>7.1101292432794398E-3</v>
      </c>
      <c r="JM31" s="15" t="str">
        <f t="shared" ca="1" si="16"/>
        <v>[ -1,40% ; 1,44% ]</v>
      </c>
      <c r="JN31" s="17">
        <f t="shared" ca="1" si="17"/>
        <v>9.1009654313976823E-3</v>
      </c>
      <c r="LY31" s="1"/>
    </row>
    <row r="32" spans="1:337" x14ac:dyDescent="0.25">
      <c r="A32" s="4">
        <v>3</v>
      </c>
      <c r="B32" s="9">
        <f ca="1">IF(OR(B5="",B$28&lt;$A32),"",B5/OFFSET(SSAutCLM!$A$2,MATCH(B$29,SSAutCLM!$A$2:$A$500)+$A32-1,1)-1)</f>
        <v>-1.8682900741257003E-3</v>
      </c>
      <c r="C32" s="9">
        <f ca="1">IF(OR(C5="",C$28&lt;$A32),"",C5/OFFSET(SSAutCLM!$A$2,MATCH(C$29,SSAutCLM!$A$2:$A$500)+$A32-1,1)-1)</f>
        <v>1.1054829764653995E-3</v>
      </c>
      <c r="D32" s="9">
        <f ca="1">IF(OR(D5="",D$28&lt;$A32),"",D5/OFFSET(SSAutCLM!$A$2,MATCH(D$29,SSAutCLM!$A$2:$A$500)+$A32-1,1)-1)</f>
        <v>-1.7550214395027908E-3</v>
      </c>
      <c r="E32" s="9">
        <f ca="1">IF(OR(E5="",E$28&lt;$A32),"",E5/OFFSET(SSAutCLM!$A$2,MATCH(E$29,SSAutCLM!$A$2:$A$500)+$A32-1,1)-1)</f>
        <v>-1.9269981595422259E-3</v>
      </c>
      <c r="F32" s="9">
        <f ca="1">IF(OR(F5="",F$28&lt;$A32),"",F5/OFFSET(SSAutCLM!$A$2,MATCH(F$29,SSAutCLM!$A$2:$A$500)+$A32-1,1)-1)</f>
        <v>-2.5142005005179824E-3</v>
      </c>
      <c r="G32" s="9">
        <f ca="1">IF(OR(G5="",G$28&lt;$A32),"",G5/OFFSET(SSAutCLM!$A$2,MATCH(G$29,SSAutCLM!$A$2:$A$500)+$A32-1,1)-1)</f>
        <v>-1.5320988320364215E-3</v>
      </c>
      <c r="H32" s="9">
        <f ca="1">IF(OR(H5="",H$28&lt;$A32),"",H5/OFFSET(SSAutCLM!$A$2,MATCH(H$29,SSAutCLM!$A$2:$A$500)+$A32-1,1)-1)</f>
        <v>-9.3716818789457701E-4</v>
      </c>
      <c r="I32" s="9">
        <f ca="1">IF(OR(I5="",I$28&lt;$A32),"",I5/OFFSET(SSAutCLM!$A$2,MATCH(I$29,SSAutCLM!$A$2:$A$500)+$A32-1,1)-1)</f>
        <v>1.0811637488101766E-3</v>
      </c>
      <c r="J32" s="9">
        <f ca="1">IF(OR(J5="",J$28&lt;$A32),"",J5/OFFSET(SSAutCLM!$A$2,MATCH(J$29,SSAutCLM!$A$2:$A$500)+$A32-1,1)-1)</f>
        <v>4.5689926200487285E-4</v>
      </c>
      <c r="K32" s="9">
        <f ca="1">IF(OR(K5="",K$28&lt;$A32),"",K5/OFFSET(SSAutCLM!$A$2,MATCH(K$29,SSAutCLM!$A$2:$A$500)+$A32-1,1)-1)</f>
        <v>-1.1560593166926036E-4</v>
      </c>
      <c r="L32" s="9">
        <f ca="1">IF(OR(L5="",L$28&lt;$A32),"",L5/OFFSET(SSAutCLM!$A$2,MATCH(L$29,SSAutCLM!$A$2:$A$500)+$A32-1,1)-1)</f>
        <v>-2.9225409284634463E-3</v>
      </c>
      <c r="M32" s="9">
        <f ca="1">IF(OR(M5="",M$28&lt;$A32),"",M5/OFFSET(SSAutCLM!$A$2,MATCH(M$29,SSAutCLM!$A$2:$A$500)+$A32-1,1)-1)</f>
        <v>-2.9310535007355254E-3</v>
      </c>
      <c r="N32" s="9">
        <f ca="1">IF(OR(N5="",N$28&lt;$A32),"",N5/OFFSET(SSAutCLM!$A$2,MATCH(N$29,SSAutCLM!$A$2:$A$500)+$A32-1,1)-1)</f>
        <v>-1.7437816393095495E-4</v>
      </c>
      <c r="O32" s="9">
        <f ca="1">IF(OR(O5="",O$28&lt;$A32),"",O5/OFFSET(SSAutCLM!$A$2,MATCH(O$29,SSAutCLM!$A$2:$A$500)+$A32-1,1)-1)</f>
        <v>3.3344453646257932E-3</v>
      </c>
      <c r="P32" s="9">
        <f ca="1">IF(OR(P5="",P$28&lt;$A32),"",P5/OFFSET(SSAutCLM!$A$2,MATCH(P$29,SSAutCLM!$A$2:$A$500)+$A32-1,1)-1)</f>
        <v>4.3355178072415068E-3</v>
      </c>
      <c r="Q32" s="9">
        <f ca="1">IF(OR(Q5="",Q$28&lt;$A32),"",Q5/OFFSET(SSAutCLM!$A$2,MATCH(Q$29,SSAutCLM!$A$2:$A$500)+$A32-1,1)-1)</f>
        <v>3.4668646733941877E-3</v>
      </c>
      <c r="R32" s="9">
        <f ca="1">IF(OR(R5="",R$28&lt;$A32),"",R5/OFFSET(SSAutCLM!$A$2,MATCH(R$29,SSAutCLM!$A$2:$A$500)+$A32-1,1)-1)</f>
        <v>3.0400415691127503E-3</v>
      </c>
      <c r="S32" s="9">
        <f ca="1">IF(OR(S5="",S$28&lt;$A32),"",S5/OFFSET(SSAutCLM!$A$2,MATCH(S$29,SSAutCLM!$A$2:$A$500)+$A32-1,1)-1)</f>
        <v>1.6508808651913842E-3</v>
      </c>
      <c r="T32" s="9">
        <f ca="1">IF(OR(T5="",T$28&lt;$A32),"",T5/OFFSET(SSAutCLM!$A$2,MATCH(T$29,SSAutCLM!$A$2:$A$500)+$A32-1,1)-1)</f>
        <v>1.0808246454372394E-3</v>
      </c>
      <c r="U32" s="9">
        <f ca="1">IF(OR(U5="",U$28&lt;$A32),"",U5/OFFSET(SSAutCLM!$A$2,MATCH(U$29,SSAutCLM!$A$2:$A$500)+$A32-1,1)-1)</f>
        <v>6.8893477598042097E-4</v>
      </c>
      <c r="V32" s="9">
        <f ca="1">IF(OR(V5="",V$28&lt;$A32),"",V5/OFFSET(SSAutCLM!$A$2,MATCH(V$29,SSAutCLM!$A$2:$A$500)+$A32-1,1)-1)</f>
        <v>9.67194186648479E-4</v>
      </c>
      <c r="W32" s="9">
        <f ca="1">IF(OR(W5="",W$28&lt;$A32),"",W5/OFFSET(SSAutCLM!$A$2,MATCH(W$29,SSAutCLM!$A$2:$A$500)+$A32-1,1)-1)</f>
        <v>-1.5788736888255883E-4</v>
      </c>
      <c r="X32" s="9">
        <f ca="1">IF(OR(X5="",X$28&lt;$A32),"",X5/OFFSET(SSAutCLM!$A$2,MATCH(X$29,SSAutCLM!$A$2:$A$500)+$A32-1,1)-1)</f>
        <v>-5.9617098632624987E-4</v>
      </c>
      <c r="Y32" s="9">
        <f ca="1">IF(OR(Y5="",Y$28&lt;$A32),"",Y5/OFFSET(SSAutCLM!$A$2,MATCH(Y$29,SSAutCLM!$A$2:$A$500)+$A32-1,1)-1)</f>
        <v>-2.6972805775486997E-3</v>
      </c>
      <c r="Z32" s="9">
        <f ca="1">IF(OR(Z5="",Z$28&lt;$A32),"",Z5/OFFSET(SSAutCLM!$A$2,MATCH(Z$29,SSAutCLM!$A$2:$A$500)+$A32-1,1)-1)</f>
        <v>-7.7904386056482089E-4</v>
      </c>
      <c r="AA32" s="9">
        <f ca="1">IF(OR(AA5="",AA$28&lt;$A32),"",AA5/OFFSET(SSAutCLM!$A$2,MATCH(AA$29,SSAutCLM!$A$2:$A$500)+$A32-1,1)-1)</f>
        <v>-2.4765893434963715E-4</v>
      </c>
      <c r="AB32" s="9">
        <f ca="1">IF(OR(AB5="",AB$28&lt;$A32),"",AB5/OFFSET(SSAutCLM!$A$2,MATCH(AB$29,SSAutCLM!$A$2:$A$500)+$A32-1,1)-1)</f>
        <v>6.5934450370042086E-4</v>
      </c>
      <c r="AC32" s="9">
        <f ca="1">IF(OR(AC5="",AC$28&lt;$A32),"",AC5/OFFSET(SSAutCLM!$A$2,MATCH(AC$29,SSAutCLM!$A$2:$A$500)+$A32-1,1)-1)</f>
        <v>-5.2206957301692558E-4</v>
      </c>
      <c r="AD32" s="9">
        <f ca="1">IF(OR(AD5="",AD$28&lt;$A32),"",AD5/OFFSET(SSAutCLM!$A$2,MATCH(AD$29,SSAutCLM!$A$2:$A$500)+$A32-1,1)-1)</f>
        <v>-1.1612280155970378E-3</v>
      </c>
      <c r="AE32" s="9">
        <f ca="1">IF(OR(AE5="",AE$28&lt;$A32),"",AE5/OFFSET(SSAutCLM!$A$2,MATCH(AE$29,SSAutCLM!$A$2:$A$500)+$A32-1,1)-1)</f>
        <v>2.1570740607046446E-5</v>
      </c>
      <c r="AF32" s="9">
        <f ca="1">IF(OR(AF5="",AF$28&lt;$A32),"",AF5/OFFSET(SSAutCLM!$A$2,MATCH(AF$29,SSAutCLM!$A$2:$A$500)+$A32-1,1)-1)</f>
        <v>-2.1691721500982641E-4</v>
      </c>
      <c r="AG32" s="9">
        <f ca="1">IF(OR(AG5="",AG$28&lt;$A32),"",AG5/OFFSET(SSAutCLM!$A$2,MATCH(AG$29,SSAutCLM!$A$2:$A$500)+$A32-1,1)-1)</f>
        <v>-2.6587864428329055E-4</v>
      </c>
      <c r="AH32" s="9">
        <f ca="1">IF(OR(AH5="",AH$28&lt;$A32),"",AH5/OFFSET(SSAutCLM!$A$2,MATCH(AH$29,SSAutCLM!$A$2:$A$500)+$A32-1,1)-1)</f>
        <v>-1.9214511004472801E-3</v>
      </c>
      <c r="AI32" s="9">
        <f ca="1">IF(OR(AI5="",AI$28&lt;$A32),"",AI5/OFFSET(SSAutCLM!$A$2,MATCH(AI$29,SSAutCLM!$A$2:$A$500)+$A32-1,1)-1)</f>
        <v>-2.5621502737267488E-3</v>
      </c>
      <c r="AJ32" s="9">
        <f ca="1">IF(OR(AJ5="",AJ$28&lt;$A32),"",AJ5/OFFSET(SSAutCLM!$A$2,MATCH(AJ$29,SSAutCLM!$A$2:$A$500)+$A32-1,1)-1)</f>
        <v>-2.353756830197562E-3</v>
      </c>
      <c r="AK32" s="9">
        <f ca="1">IF(OR(AK5="",AK$28&lt;$A32),"",AK5/OFFSET(SSAutCLM!$A$2,MATCH(AK$29,SSAutCLM!$A$2:$A$500)+$A32-1,1)-1)</f>
        <v>-4.5195681499212714E-3</v>
      </c>
      <c r="AL32" s="9">
        <f ca="1">IF(OR(AL5="",AL$28&lt;$A32),"",AL5/OFFSET(SSAutCLM!$A$2,MATCH(AL$29,SSAutCLM!$A$2:$A$500)+$A32-1,1)-1)</f>
        <v>-4.714459271988436E-3</v>
      </c>
      <c r="AM32" s="9">
        <f ca="1">IF(OR(AM5="",AM$28&lt;$A32),"",AM5/OFFSET(SSAutCLM!$A$2,MATCH(AM$29,SSAutCLM!$A$2:$A$500)+$A32-1,1)-1)</f>
        <v>-4.5569164184320332E-3</v>
      </c>
      <c r="AN32" s="9">
        <f ca="1">IF(OR(AN5="",AN$28&lt;$A32),"",AN5/OFFSET(SSAutCLM!$A$2,MATCH(AN$29,SSAutCLM!$A$2:$A$500)+$A32-1,1)-1)</f>
        <v>-2.1231800333086914E-3</v>
      </c>
      <c r="AO32" s="9">
        <f ca="1">IF(OR(AO5="",AO$28&lt;$A32),"",AO5/OFFSET(SSAutCLM!$A$2,MATCH(AO$29,SSAutCLM!$A$2:$A$500)+$A32-1,1)-1)</f>
        <v>-6.8714121937718531E-4</v>
      </c>
      <c r="AP32" s="9">
        <f ca="1">IF(OR(AP5="",AP$28&lt;$A32),"",AP5/OFFSET(SSAutCLM!$A$2,MATCH(AP$29,SSAutCLM!$A$2:$A$500)+$A32-1,1)-1)</f>
        <v>-1.9982133348325215E-3</v>
      </c>
      <c r="AQ32" s="9">
        <f ca="1">IF(OR(AQ5="",AQ$28&lt;$A32),"",AQ5/OFFSET(SSAutCLM!$A$2,MATCH(AQ$29,SSAutCLM!$A$2:$A$500)+$A32-1,1)-1)</f>
        <v>-2.8858733206307274E-3</v>
      </c>
      <c r="AR32" s="9">
        <f ca="1">IF(OR(AR5="",AR$28&lt;$A32),"",AR5/OFFSET(SSAutCLM!$A$2,MATCH(AR$29,SSAutCLM!$A$2:$A$500)+$A32-1,1)-1)</f>
        <v>-1.5504187203390085E-3</v>
      </c>
      <c r="AS32" s="9">
        <f ca="1">IF(OR(AS5="",AS$28&lt;$A32),"",AS5/OFFSET(SSAutCLM!$A$2,MATCH(AS$29,SSAutCLM!$A$2:$A$500)+$A32-1,1)-1)</f>
        <v>-1.3504139594189279E-3</v>
      </c>
      <c r="AT32" s="9">
        <f ca="1">IF(OR(AT5="",AT$28&lt;$A32),"",AT5/OFFSET(SSAutCLM!$A$2,MATCH(AT$29,SSAutCLM!$A$2:$A$500)+$A32-1,1)-1)</f>
        <v>-6.6140579157969448E-4</v>
      </c>
      <c r="AU32" s="9">
        <f ca="1">IF(OR(AU5="",AU$28&lt;$A32),"",AU5/OFFSET(SSAutCLM!$A$2,MATCH(AU$29,SSAutCLM!$A$2:$A$500)+$A32-1,1)-1)</f>
        <v>1.7434694159395026E-3</v>
      </c>
      <c r="AV32" s="9">
        <f ca="1">IF(OR(AV5="",AV$28&lt;$A32),"",AV5/OFFSET(SSAutCLM!$A$2,MATCH(AV$29,SSAutCLM!$A$2:$A$500)+$A32-1,1)-1)</f>
        <v>6.0121605199388028E-3</v>
      </c>
      <c r="AW32" s="9">
        <f ca="1">IF(OR(AW5="",AW$28&lt;$A32),"",AW5/OFFSET(SSAutCLM!$A$2,MATCH(AW$29,SSAutCLM!$A$2:$A$500)+$A32-1,1)-1)</f>
        <v>1.0496386781571054E-2</v>
      </c>
      <c r="AX32" s="9">
        <f ca="1">IF(OR(AX5="",AX$28&lt;$A32),"",AX5/OFFSET(SSAutCLM!$A$2,MATCH(AX$29,SSAutCLM!$A$2:$A$500)+$A32-1,1)-1)</f>
        <v>9.0978372381156358E-3</v>
      </c>
      <c r="AY32" s="9">
        <f ca="1">IF(OR(AY5="",AY$28&lt;$A32),"",AY5/OFFSET(SSAutCLM!$A$2,MATCH(AY$29,SSAutCLM!$A$2:$A$500)+$A32-1,1)-1)</f>
        <v>1.0709695498984262E-2</v>
      </c>
      <c r="AZ32" s="9">
        <f ca="1">IF(OR(AZ5="",AZ$28&lt;$A32),"",AZ5/OFFSET(SSAutCLM!$A$2,MATCH(AZ$29,SSAutCLM!$A$2:$A$500)+$A32-1,1)-1)</f>
        <v>8.6345755624486209E-3</v>
      </c>
      <c r="BA32" s="9">
        <f ca="1">IF(OR(BA5="",BA$28&lt;$A32),"",BA5/OFFSET(SSAutCLM!$A$2,MATCH(BA$29,SSAutCLM!$A$2:$A$500)+$A32-1,1)-1)</f>
        <v>1.0941069089186684E-2</v>
      </c>
      <c r="BB32" s="9">
        <f ca="1">IF(OR(BB5="",BB$28&lt;$A32),"",BB5/OFFSET(SSAutCLM!$A$2,MATCH(BB$29,SSAutCLM!$A$2:$A$500)+$A32-1,1)-1)</f>
        <v>8.4368069915208288E-3</v>
      </c>
      <c r="BC32" s="9">
        <f ca="1">IF(OR(BC5="",BC$28&lt;$A32),"",BC5/OFFSET(SSAutCLM!$A$2,MATCH(BC$29,SSAutCLM!$A$2:$A$500)+$A32-1,1)-1)</f>
        <v>4.2875102101151974E-3</v>
      </c>
      <c r="BD32" s="9">
        <f ca="1">IF(OR(BD5="",BD$28&lt;$A32),"",BD5/OFFSET(SSAutCLM!$A$2,MATCH(BD$29,SSAutCLM!$A$2:$A$500)+$A32-1,1)-1)</f>
        <v>5.7533566296614769E-3</v>
      </c>
      <c r="BE32" s="9">
        <f ca="1">IF(OR(BE5="",BE$28&lt;$A32),"",BE5/OFFSET(SSAutCLM!$A$2,MATCH(BE$29,SSAutCLM!$A$2:$A$500)+$A32-1,1)-1)</f>
        <v>7.4183653887964773E-3</v>
      </c>
      <c r="BF32" s="9">
        <f ca="1">IF(OR(BF5="",BF$28&lt;$A32),"",BF5/OFFSET(SSAutCLM!$A$2,MATCH(BF$29,SSAutCLM!$A$2:$A$500)+$A32-1,1)-1)</f>
        <v>9.3596665618855823E-3</v>
      </c>
      <c r="BG32" s="9">
        <f ca="1">IF(OR(BG5="",BG$28&lt;$A32),"",BG5/OFFSET(SSAutCLM!$A$2,MATCH(BG$29,SSAutCLM!$A$2:$A$500)+$A32-1,1)-1)</f>
        <v>1.1570123061720228E-2</v>
      </c>
      <c r="BH32" s="9">
        <f ca="1">IF(OR(BH5="",BH$28&lt;$A32),"",BH5/OFFSET(SSAutCLM!$A$2,MATCH(BH$29,SSAutCLM!$A$2:$A$500)+$A32-1,1)-1)</f>
        <v>9.5240950584711825E-3</v>
      </c>
      <c r="BI32" s="9">
        <f ca="1">IF(OR(BI5="",BI$28&lt;$A32),"",BI5/OFFSET(SSAutCLM!$A$2,MATCH(BI$29,SSAutCLM!$A$2:$A$500)+$A32-1,1)-1)</f>
        <v>6.599884575961612E-3</v>
      </c>
      <c r="BJ32" s="9">
        <f ca="1">IF(OR(BJ5="",BJ$28&lt;$A32),"",BJ5/OFFSET(SSAutCLM!$A$2,MATCH(BJ$29,SSAutCLM!$A$2:$A$500)+$A32-1,1)-1)</f>
        <v>4.6800203257704176E-3</v>
      </c>
      <c r="BK32" s="9">
        <f ca="1">IF(OR(BK5="",BK$28&lt;$A32),"",BK5/OFFSET(SSAutCLM!$A$2,MATCH(BK$29,SSAutCLM!$A$2:$A$500)+$A32-1,1)-1)</f>
        <v>1.7036582548015655E-3</v>
      </c>
      <c r="BL32" s="9">
        <f ca="1">IF(OR(BL5="",BL$28&lt;$A32),"",BL5/OFFSET(SSAutCLM!$A$2,MATCH(BL$29,SSAutCLM!$A$2:$A$500)+$A32-1,1)-1)</f>
        <v>-4.9862072347975905E-3</v>
      </c>
      <c r="BM32" s="9">
        <f ca="1">IF(OR(BM5="",BM$28&lt;$A32),"",BM5/OFFSET(SSAutCLM!$A$2,MATCH(BM$29,SSAutCLM!$A$2:$A$500)+$A32-1,1)-1)</f>
        <v>-1.0015314853129564E-2</v>
      </c>
      <c r="BN32" s="9">
        <f ca="1">IF(OR(BN5="",BN$28&lt;$A32),"",BN5/OFFSET(SSAutCLM!$A$2,MATCH(BN$29,SSAutCLM!$A$2:$A$500)+$A32-1,1)-1)</f>
        <v>-1.3559871980847849E-2</v>
      </c>
      <c r="BO32" s="9">
        <f ca="1">IF(OR(BO5="",BO$28&lt;$A32),"",BO5/OFFSET(SSAutCLM!$A$2,MATCH(BO$29,SSAutCLM!$A$2:$A$500)+$A32-1,1)-1)</f>
        <v>-9.5867020487585553E-3</v>
      </c>
      <c r="BP32" s="9">
        <f ca="1">IF(OR(BP5="",BP$28&lt;$A32),"",BP5/OFFSET(SSAutCLM!$A$2,MATCH(BP$29,SSAutCLM!$A$2:$A$500)+$A32-1,1)-1)</f>
        <v>-1.7553307501602111E-3</v>
      </c>
      <c r="BQ32" s="9">
        <f ca="1">IF(OR(BQ5="",BQ$28&lt;$A32),"",BQ5/OFFSET(SSAutCLM!$A$2,MATCH(BQ$29,SSAutCLM!$A$2:$A$500)+$A32-1,1)-1)</f>
        <v>-3.5384563589335727E-4</v>
      </c>
      <c r="BR32" s="9">
        <f ca="1">IF(OR(BR5="",BR$28&lt;$A32),"",BR5/OFFSET(SSAutCLM!$A$2,MATCH(BR$29,SSAutCLM!$A$2:$A$500)+$A32-1,1)-1)</f>
        <v>-1.6292557779223893E-3</v>
      </c>
      <c r="BS32" s="9">
        <f ca="1">IF(OR(BS5="",BS$28&lt;$A32),"",BS5/OFFSET(SSAutCLM!$A$2,MATCH(BS$29,SSAutCLM!$A$2:$A$500)+$A32-1,1)-1)</f>
        <v>-3.8667990263506757E-3</v>
      </c>
      <c r="BT32" s="9">
        <f ca="1">IF(OR(BT5="",BT$28&lt;$A32),"",BT5/OFFSET(SSAutCLM!$A$2,MATCH(BT$29,SSAutCLM!$A$2:$A$500)+$A32-1,1)-1)</f>
        <v>-1.0273920559597416E-2</v>
      </c>
      <c r="BU32" s="9">
        <f ca="1">IF(OR(BU5="",BU$28&lt;$A32),"",BU5/OFFSET(SSAutCLM!$A$2,MATCH(BU$29,SSAutCLM!$A$2:$A$500)+$A32-1,1)-1)</f>
        <v>-2.661371623219444E-3</v>
      </c>
      <c r="BV32" s="9">
        <f ca="1">IF(OR(BV5="",BV$28&lt;$A32),"",BV5/OFFSET(SSAutCLM!$A$2,MATCH(BV$29,SSAutCLM!$A$2:$A$500)+$A32-1,1)-1)</f>
        <v>1.7463010267693146E-3</v>
      </c>
      <c r="BW32" s="9">
        <f ca="1">IF(OR(BW5="",BW$28&lt;$A32),"",BW5/OFFSET(SSAutCLM!$A$2,MATCH(BW$29,SSAutCLM!$A$2:$A$500)+$A32-1,1)-1)</f>
        <v>-1.5516256517992266E-3</v>
      </c>
      <c r="BX32" s="9">
        <f ca="1">IF(OR(BX5="",BX$28&lt;$A32),"",BX5/OFFSET(SSAutCLM!$A$2,MATCH(BX$29,SSAutCLM!$A$2:$A$500)+$A32-1,1)-1)</f>
        <v>-9.0709484732488521E-3</v>
      </c>
      <c r="BY32" s="9">
        <f ca="1">IF(OR(BY5="",BY$28&lt;$A32),"",BY5/OFFSET(SSAutCLM!$A$2,MATCH(BY$29,SSAutCLM!$A$2:$A$500)+$A32-1,1)-1)</f>
        <v>-8.1278192897824564E-3</v>
      </c>
      <c r="BZ32" s="9">
        <f ca="1">IF(OR(BZ5="",BZ$28&lt;$A32),"",BZ5/OFFSET(SSAutCLM!$A$2,MATCH(BZ$29,SSAutCLM!$A$2:$A$500)+$A32-1,1)-1)</f>
        <v>-1.5684010526162417E-3</v>
      </c>
      <c r="CA32" s="9">
        <f ca="1">IF(OR(CA5="",CA$28&lt;$A32),"",CA5/OFFSET(SSAutCLM!$A$2,MATCH(CA$29,SSAutCLM!$A$2:$A$500)+$A32-1,1)-1)</f>
        <v>3.265953125470622E-3</v>
      </c>
      <c r="CB32" s="9">
        <f ca="1">IF(OR(CB5="",CB$28&lt;$A32),"",CB5/OFFSET(SSAutCLM!$A$2,MATCH(CB$29,SSAutCLM!$A$2:$A$500)+$A32-1,1)-1)</f>
        <v>5.3571500674149952E-3</v>
      </c>
      <c r="CC32" s="9">
        <f ca="1">IF(OR(CC5="",CC$28&lt;$A32),"",CC5/OFFSET(SSAutCLM!$A$2,MATCH(CC$29,SSAutCLM!$A$2:$A$500)+$A32-1,1)-1)</f>
        <v>2.4304911603532098E-3</v>
      </c>
      <c r="CD32" s="9">
        <f ca="1">IF(OR(CD5="",CD$28&lt;$A32),"",CD5/OFFSET(SSAutCLM!$A$2,MATCH(CD$29,SSAutCLM!$A$2:$A$500)+$A32-1,1)-1)</f>
        <v>-3.8654190511744346E-5</v>
      </c>
      <c r="CE32" s="9">
        <f ca="1">IF(OR(CE5="",CE$28&lt;$A32),"",CE5/OFFSET(SSAutCLM!$A$2,MATCH(CE$29,SSAutCLM!$A$2:$A$500)+$A32-1,1)-1)</f>
        <v>2.3762457259124403E-4</v>
      </c>
      <c r="CF32" s="9">
        <f ca="1">IF(OR(CF5="",CF$28&lt;$A32),"",CF5/OFFSET(SSAutCLM!$A$2,MATCH(CF$29,SSAutCLM!$A$2:$A$500)+$A32-1,1)-1)</f>
        <v>2.433716345272785E-3</v>
      </c>
      <c r="CG32" s="9">
        <f ca="1">IF(OR(CG5="",CG$28&lt;$A32),"",CG5/OFFSET(SSAutCLM!$A$2,MATCH(CG$29,SSAutCLM!$A$2:$A$500)+$A32-1,1)-1)</f>
        <v>1.4450551621616459E-3</v>
      </c>
      <c r="CH32" s="9">
        <f ca="1">IF(OR(CH5="",CH$28&lt;$A32),"",CH5/OFFSET(SSAutCLM!$A$2,MATCH(CH$29,SSAutCLM!$A$2:$A$500)+$A32-1,1)-1)</f>
        <v>-2.6174424834889409E-3</v>
      </c>
      <c r="CI32" s="9">
        <f ca="1">IF(OR(CI5="",CI$28&lt;$A32),"",CI5/OFFSET(SSAutCLM!$A$2,MATCH(CI$29,SSAutCLM!$A$2:$A$500)+$A32-1,1)-1)</f>
        <v>-1.9841172429249099E-3</v>
      </c>
      <c r="CJ32" s="9">
        <f ca="1">IF(OR(CJ5="",CJ$28&lt;$A32),"",CJ5/OFFSET(SSAutCLM!$A$2,MATCH(CJ$29,SSAutCLM!$A$2:$A$500)+$A32-1,1)-1)</f>
        <v>-8.5177013280582914E-3</v>
      </c>
      <c r="CK32" s="9">
        <f ca="1">IF(OR(CK5="",CK$28&lt;$A32),"",CK5/OFFSET(SSAutCLM!$A$2,MATCH(CK$29,SSAutCLM!$A$2:$A$500)+$A32-1,1)-1)</f>
        <v>-2.1639213537345547E-3</v>
      </c>
      <c r="CL32" s="9">
        <f ca="1">IF(OR(CL5="",CL$28&lt;$A32),"",CL5/OFFSET(SSAutCLM!$A$2,MATCH(CL$29,SSAutCLM!$A$2:$A$500)+$A32-1,1)-1)</f>
        <v>1.0757826429674822E-6</v>
      </c>
      <c r="CM32" s="9">
        <f ca="1">IF(OR(CM5="",CM$28&lt;$A32),"",CM5/OFFSET(SSAutCLM!$A$2,MATCH(CM$29,SSAutCLM!$A$2:$A$500)+$A32-1,1)-1)</f>
        <v>7.4468758002799174E-3</v>
      </c>
      <c r="CN32" s="9">
        <f ca="1">IF(OR(CN5="",CN$28&lt;$A32),"",CN5/OFFSET(SSAutCLM!$A$2,MATCH(CN$29,SSAutCLM!$A$2:$A$500)+$A32-1,1)-1)</f>
        <v>5.6373522292931799E-3</v>
      </c>
      <c r="CO32" s="9">
        <f ca="1">IF(OR(CO5="",CO$28&lt;$A32),"",CO5/OFFSET(SSAutCLM!$A$2,MATCH(CO$29,SSAutCLM!$A$2:$A$500)+$A32-1,1)-1)</f>
        <v>2.3024759338050593E-3</v>
      </c>
      <c r="CP32" s="9">
        <f ca="1">IF(OR(CP5="",CP$28&lt;$A32),"",CP5/OFFSET(SSAutCLM!$A$2,MATCH(CP$29,SSAutCLM!$A$2:$A$500)+$A32-1,1)-1)</f>
        <v>-3.1754000468531274E-4</v>
      </c>
      <c r="CQ32" s="9">
        <f ca="1">IF(OR(CQ5="",CQ$28&lt;$A32),"",CQ5/OFFSET(SSAutCLM!$A$2,MATCH(CQ$29,SSAutCLM!$A$2:$A$500)+$A32-1,1)-1)</f>
        <v>3.1977918816987749E-3</v>
      </c>
      <c r="CR32" s="9">
        <f ca="1">IF(OR(CR5="",CR$28&lt;$A32),"",CR5/OFFSET(SSAutCLM!$A$2,MATCH(CR$29,SSAutCLM!$A$2:$A$500)+$A32-1,1)-1)</f>
        <v>8.0393101358176011E-3</v>
      </c>
      <c r="CS32" s="9">
        <f ca="1">IF(OR(CS5="",CS$28&lt;$A32),"",CS5/OFFSET(SSAutCLM!$A$2,MATCH(CS$29,SSAutCLM!$A$2:$A$500)+$A32-1,1)-1)</f>
        <v>3.0454982913425965E-3</v>
      </c>
      <c r="CT32" s="9">
        <f ca="1">IF(OR(CT5="",CT$28&lt;$A32),"",CT5/OFFSET(SSAutCLM!$A$2,MATCH(CT$29,SSAutCLM!$A$2:$A$500)+$A32-1,1)-1)</f>
        <v>6.2562446216030132E-4</v>
      </c>
      <c r="CU32" s="9">
        <f ca="1">IF(OR(CU5="",CU$28&lt;$A32),"",CU5/OFFSET(SSAutCLM!$A$2,MATCH(CU$29,SSAutCLM!$A$2:$A$500)+$A32-1,1)-1)</f>
        <v>-1.5406758731360992E-2</v>
      </c>
      <c r="CV32" s="9">
        <f ca="1">IF(OR(CV5="",CV$28&lt;$A32),"",CV5/OFFSET(SSAutCLM!$A$2,MATCH(CV$29,SSAutCLM!$A$2:$A$500)+$A32-1,1)-1)</f>
        <v>-4.8659572611694513E-3</v>
      </c>
      <c r="CW32" s="9">
        <f ca="1">IF(OR(CW5="",CW$28&lt;$A32),"",CW5/OFFSET(SSAutCLM!$A$2,MATCH(CW$29,SSAutCLM!$A$2:$A$500)+$A32-1,1)-1)</f>
        <v>-2.0937017177110606E-3</v>
      </c>
      <c r="CX32" s="9">
        <f ca="1">IF(OR(CX5="",CX$28&lt;$A32),"",CX5/OFFSET(SSAutCLM!$A$2,MATCH(CX$29,SSAutCLM!$A$2:$A$500)+$A32-1,1)-1)</f>
        <v>3.2244849214113636E-4</v>
      </c>
      <c r="CY32" s="9">
        <f ca="1">IF(OR(CY5="",CY$28&lt;$A32),"",CY5/OFFSET(SSAutCLM!$A$2,MATCH(CY$29,SSAutCLM!$A$2:$A$500)+$A32-1,1)-1)</f>
        <v>1.0793027276811973E-3</v>
      </c>
      <c r="CZ32" s="9">
        <f ca="1">IF(OR(CZ5="",CZ$28&lt;$A32),"",CZ5/OFFSET(SSAutCLM!$A$2,MATCH(CZ$29,SSAutCLM!$A$2:$A$500)+$A32-1,1)-1)</f>
        <v>1.5272957190759495E-3</v>
      </c>
      <c r="DA32" s="9">
        <f ca="1">IF(OR(DA5="",DA$28&lt;$A32),"",DA5/OFFSET(SSAutCLM!$A$2,MATCH(DA$29,SSAutCLM!$A$2:$A$500)+$A32-1,1)-1)</f>
        <v>2.684985456686162E-3</v>
      </c>
      <c r="DB32" s="9">
        <f ca="1">IF(OR(DB5="",DB$28&lt;$A32),"",DB5/OFFSET(SSAutCLM!$A$2,MATCH(DB$29,SSAutCLM!$A$2:$A$500)+$A32-1,1)-1)</f>
        <v>-2.3848298961925973E-4</v>
      </c>
      <c r="DC32" s="9">
        <f ca="1">IF(OR(DC5="",DC$28&lt;$A32),"",DC5/OFFSET(SSAutCLM!$A$2,MATCH(DC$29,SSAutCLM!$A$2:$A$500)+$A32-1,1)-1)</f>
        <v>-2.7075136508484254E-3</v>
      </c>
      <c r="DD32" s="9">
        <f ca="1">IF(OR(DD5="",DD$28&lt;$A32),"",DD5/OFFSET(SSAutCLM!$A$2,MATCH(DD$29,SSAutCLM!$A$2:$A$500)+$A32-1,1)-1)</f>
        <v>1.5953660960748017E-3</v>
      </c>
      <c r="DE32" s="9">
        <f ca="1">IF(OR(DE5="",DE$28&lt;$A32),"",DE5/OFFSET(SSAutCLM!$A$2,MATCH(DE$29,SSAutCLM!$A$2:$A$500)+$A32-1,1)-1)</f>
        <v>1.2633095733942667E-3</v>
      </c>
      <c r="DF32" s="9">
        <f ca="1">IF(OR(DF5="",DF$28&lt;$A32),"",DF5/OFFSET(SSAutCLM!$A$2,MATCH(DF$29,SSAutCLM!$A$2:$A$500)+$A32-1,1)-1)</f>
        <v>1.2903848868475176E-3</v>
      </c>
      <c r="DG32" s="9">
        <f ca="1">IF(OR(DG5="",DG$28&lt;$A32),"",DG5/OFFSET(SSAutCLM!$A$2,MATCH(DG$29,SSAutCLM!$A$2:$A$500)+$A32-1,1)-1)</f>
        <v>-3.3054272814182495E-3</v>
      </c>
      <c r="DH32" s="9">
        <f ca="1">IF(OR(DH5="",DH$28&lt;$A32),"",DH5/OFFSET(SSAutCLM!$A$2,MATCH(DH$29,SSAutCLM!$A$2:$A$500)+$A32-1,1)-1)</f>
        <v>-9.487582694567176E-3</v>
      </c>
      <c r="DI32" s="9">
        <f ca="1">IF(OR(DI5="",DI$28&lt;$A32),"",DI5/OFFSET(SSAutCLM!$A$2,MATCH(DI$29,SSAutCLM!$A$2:$A$500)+$A32-1,1)-1)</f>
        <v>-1.0078636297846999E-2</v>
      </c>
      <c r="DJ32" s="9">
        <f ca="1">IF(OR(DJ5="",DJ$28&lt;$A32),"",DJ5/OFFSET(SSAutCLM!$A$2,MATCH(DJ$29,SSAutCLM!$A$2:$A$500)+$A32-1,1)-1)</f>
        <v>-6.8314406431823071E-3</v>
      </c>
      <c r="DK32" s="9">
        <f ca="1">IF(OR(DK5="",DK$28&lt;$A32),"",DK5/OFFSET(SSAutCLM!$A$2,MATCH(DK$29,SSAutCLM!$A$2:$A$500)+$A32-1,1)-1)</f>
        <v>2.4658391785625788E-4</v>
      </c>
      <c r="DL32" s="9">
        <f ca="1">IF(OR(DL5="",DL$28&lt;$A32),"",DL5/OFFSET(SSAutCLM!$A$2,MATCH(DL$29,SSAutCLM!$A$2:$A$500)+$A32-1,1)-1)</f>
        <v>1.8086973370159409E-3</v>
      </c>
      <c r="DM32" s="9">
        <f ca="1">IF(OR(DM5="",DM$28&lt;$A32),"",DM5/OFFSET(SSAutCLM!$A$2,MATCH(DM$29,SSAutCLM!$A$2:$A$500)+$A32-1,1)-1)</f>
        <v>4.3833812352582768E-3</v>
      </c>
      <c r="DN32" s="9">
        <f ca="1">IF(OR(DN5="",DN$28&lt;$A32),"",DN5/OFFSET(SSAutCLM!$A$2,MATCH(DN$29,SSAutCLM!$A$2:$A$500)+$A32-1,1)-1)</f>
        <v>-4.4237409648473225E-3</v>
      </c>
      <c r="DO32" s="9">
        <f ca="1">IF(OR(DO5="",DO$28&lt;$A32),"",DO5/OFFSET(SSAutCLM!$A$2,MATCH(DO$29,SSAutCLM!$A$2:$A$500)+$A32-1,1)-1)</f>
        <v>-4.8647197808103781E-3</v>
      </c>
      <c r="DP32" s="9">
        <f ca="1">IF(OR(DP5="",DP$28&lt;$A32),"",DP5/OFFSET(SSAutCLM!$A$2,MATCH(DP$29,SSAutCLM!$A$2:$A$500)+$A32-1,1)-1)</f>
        <v>-1.4952074555263373E-3</v>
      </c>
      <c r="DQ32" s="9">
        <f ca="1">IF(OR(DQ5="",DQ$28&lt;$A32),"",DQ5/OFFSET(SSAutCLM!$A$2,MATCH(DQ$29,SSAutCLM!$A$2:$A$500)+$A32-1,1)-1)</f>
        <v>2.0409432974055619E-3</v>
      </c>
      <c r="DR32" s="9">
        <f ca="1">IF(OR(DR5="",DR$28&lt;$A32),"",DR5/OFFSET(SSAutCLM!$A$2,MATCH(DR$29,SSAutCLM!$A$2:$A$500)+$A32-1,1)-1)</f>
        <v>3.899517187089474E-3</v>
      </c>
      <c r="DS32" s="9">
        <f ca="1">IF(OR(DS5="",DS$28&lt;$A32),"",DS5/OFFSET(SSAutCLM!$A$2,MATCH(DS$29,SSAutCLM!$A$2:$A$500)+$A32-1,1)-1)</f>
        <v>-1.2661115109782184E-3</v>
      </c>
      <c r="DT32" s="9">
        <f ca="1">IF(OR(DT5="",DT$28&lt;$A32),"",DT5/OFFSET(SSAutCLM!$A$2,MATCH(DT$29,SSAutCLM!$A$2:$A$500)+$A32-1,1)-1)</f>
        <v>-1.2074780551791786E-3</v>
      </c>
      <c r="DU32" s="9">
        <f ca="1">IF(OR(DU5="",DU$28&lt;$A32),"",DU5/OFFSET(SSAutCLM!$A$2,MATCH(DU$29,SSAutCLM!$A$2:$A$500)+$A32-1,1)-1)</f>
        <v>-1.588756762156196E-3</v>
      </c>
      <c r="DV32" s="9">
        <f ca="1">IF(OR(DV5="",DV$28&lt;$A32),"",DV5/OFFSET(SSAutCLM!$A$2,MATCH(DV$29,SSAutCLM!$A$2:$A$500)+$A32-1,1)-1)</f>
        <v>4.078893890214319E-3</v>
      </c>
      <c r="DW32" s="9">
        <f ca="1">IF(OR(DW5="",DW$28&lt;$A32),"",DW5/OFFSET(SSAutCLM!$A$2,MATCH(DW$29,SSAutCLM!$A$2:$A$500)+$A32-1,1)-1)</f>
        <v>5.239807992236889E-3</v>
      </c>
      <c r="DX32" s="9">
        <f ca="1">IF(OR(DX5="",DX$28&lt;$A32),"",DX5/OFFSET(SSAutCLM!$A$2,MATCH(DX$29,SSAutCLM!$A$2:$A$500)+$A32-1,1)-1)</f>
        <v>4.4657630404247861E-3</v>
      </c>
      <c r="DY32" s="9">
        <f ca="1">IF(OR(DY5="",DY$28&lt;$A32),"",DY5/OFFSET(SSAutCLM!$A$2,MATCH(DY$29,SSAutCLM!$A$2:$A$500)+$A32-1,1)-1)</f>
        <v>-1.6898573002290806E-3</v>
      </c>
      <c r="DZ32" s="9" t="str">
        <f ca="1">IF(OR(DZ5="",DZ$28&lt;$A32),"",DZ5/OFFSET(SSAutCLM!$A$2,MATCH(DZ$29,SSAutCLM!$A$2:$A$500)+$A32-1,1)-1)</f>
        <v/>
      </c>
      <c r="EA32" s="9" t="str">
        <f ca="1">IF(OR(EA5="",EA$28&lt;$A32),"",EA5/OFFSET(SSAutCLM!$A$2,MATCH(EA$29,SSAutCLM!$A$2:$A$500)+$A32-1,1)-1)</f>
        <v/>
      </c>
      <c r="EB32" s="9" t="str">
        <f ca="1">IF(OR(EB5="",EB$28&lt;$A32),"",EB5/OFFSET(SSAutCLM!$A$2,MATCH(EB$29,SSAutCLM!$A$2:$A$500)+$A32-1,1)-1)</f>
        <v/>
      </c>
      <c r="EC32" s="9" t="str">
        <f ca="1">IF(OR(EC5="",EC$28&lt;$A32),"",EC5/OFFSET(SSAutCLM!$A$2,MATCH(EC$29,SSAutCLM!$A$2:$A$500)+$A32-1,1)-1)</f>
        <v/>
      </c>
      <c r="ED32" s="9" t="str">
        <f ca="1">IF(OR(ED5="",ED$28&lt;$A32),"",ED5/OFFSET(SSAutCLM!$A$2,MATCH(ED$29,SSAutCLM!$A$2:$A$500)+$A32-1,1)-1)</f>
        <v/>
      </c>
      <c r="EE32" s="9" t="str">
        <f ca="1">IF(OR(EE5="",EE$28&lt;$A32),"",EE5/OFFSET(SSAutCLM!$A$2,MATCH(EE$29,SSAutCLM!$A$2:$A$500)+$A32-1,1)-1)</f>
        <v/>
      </c>
      <c r="EF32" s="9" t="str">
        <f ca="1">IF(OR(EF5="",EF$28&lt;$A32),"",EF5/OFFSET(SSAutCLM!$A$2,MATCH(EF$29,SSAutCLM!$A$2:$A$500)+$A32-1,1)-1)</f>
        <v/>
      </c>
      <c r="EG32" s="9">
        <f ca="1">IF(OR(EG5="",EG$28&lt;$A32),"",EG5/OFFSET(SSAutCLM!$A$2,MATCH(EG$29,SSAutCLM!$A$2:$A$500)+$A32-1,1)-1)</f>
        <v>-2.8566187190534054E-3</v>
      </c>
      <c r="EH32" s="9">
        <f ca="1">IF(OR(EH5="",EH$28&lt;$A32),"",EH5/OFFSET(SSAutCLM!$A$2,MATCH(EH$29,SSAutCLM!$A$2:$A$500)+$A32-1,1)-1)</f>
        <v>1.3318999479228211E-3</v>
      </c>
      <c r="EI32" s="9">
        <f ca="1">IF(OR(EI5="",EI$28&lt;$A32),"",EI5/OFFSET(SSAutCLM!$A$2,MATCH(EI$29,SSAutCLM!$A$2:$A$500)+$A32-1,1)-1)</f>
        <v>3.2191640088454765E-3</v>
      </c>
      <c r="EJ32" s="9">
        <f ca="1">IF(OR(EJ5="",EJ$28&lt;$A32),"",EJ5/OFFSET(SSAutCLM!$A$2,MATCH(EJ$29,SSAutCLM!$A$2:$A$500)+$A32-1,1)-1)</f>
        <v>4.0830079416014353E-3</v>
      </c>
      <c r="EK32" s="9">
        <f ca="1">IF(OR(EK5="",EK$28&lt;$A32),"",EK5/OFFSET(SSAutCLM!$A$2,MATCH(EK$29,SSAutCLM!$A$2:$A$500)+$A32-1,1)-1)</f>
        <v>1.9556174229609091E-3</v>
      </c>
      <c r="EL32" s="9">
        <f ca="1">IF(OR(EL5="",EL$28&lt;$A32),"",EL5/OFFSET(SSAutCLM!$A$2,MATCH(EL$29,SSAutCLM!$A$2:$A$500)+$A32-1,1)-1)</f>
        <v>4.0401337672779647E-4</v>
      </c>
      <c r="EM32" s="9">
        <f ca="1">IF(OR(EM5="",EM$28&lt;$A32),"",EM5/OFFSET(SSAutCLM!$A$2,MATCH(EM$29,SSAutCLM!$A$2:$A$500)+$A32-1,1)-1)</f>
        <v>7.442853699089369E-3</v>
      </c>
      <c r="EN32" s="9">
        <f ca="1">IF(OR(EN5="",EN$28&lt;$A32),"",EN5/OFFSET(SSAutCLM!$A$2,MATCH(EN$29,SSAutCLM!$A$2:$A$500)+$A32-1,1)-1)</f>
        <v>1.8878164363578254E-3</v>
      </c>
      <c r="EO32" s="9">
        <f ca="1">IF(OR(EO5="",EO$28&lt;$A32),"",EO5/OFFSET(SSAutCLM!$A$2,MATCH(EO$29,SSAutCLM!$A$2:$A$500)+$A32-1,1)-1)</f>
        <v>1.2359562975094995E-3</v>
      </c>
      <c r="EP32" s="9">
        <f ca="1">IF(OR(EP5="",EP$28&lt;$A32),"",EP5/OFFSET(SSAutCLM!$A$2,MATCH(EP$29,SSAutCLM!$A$2:$A$500)+$A32-1,1)-1)</f>
        <v>-1.0731549919099748E-2</v>
      </c>
      <c r="EQ32" s="9">
        <f ca="1">IF(OR(EQ5="",EQ$28&lt;$A32),"",EQ5/OFFSET(SSAutCLM!$A$2,MATCH(EQ$29,SSAutCLM!$A$2:$A$500)+$A32-1,1)-1)</f>
        <v>-2.6671650072370712E-3</v>
      </c>
      <c r="ER32" s="9">
        <f ca="1">IF(OR(ER5="",ER$28&lt;$A32),"",ER5/OFFSET(SSAutCLM!$A$2,MATCH(ER$29,SSAutCLM!$A$2:$A$500)+$A32-1,1)-1)</f>
        <v>3.9341749923758051E-3</v>
      </c>
      <c r="ES32" s="9">
        <f ca="1">IF(OR(ES5="",ES$28&lt;$A32),"",ES5/OFFSET(SSAutCLM!$A$2,MATCH(ES$29,SSAutCLM!$A$2:$A$500)+$A32-1,1)-1)</f>
        <v>3.3872989102501361E-3</v>
      </c>
      <c r="ET32" s="9">
        <f ca="1">IF(OR(ET5="",ET$28&lt;$A32),"",ET5/OFFSET(SSAutCLM!$A$2,MATCH(ET$29,SSAutCLM!$A$2:$A$500)+$A32-1,1)-1)</f>
        <v>1.3611979837677701E-3</v>
      </c>
      <c r="EU32" s="9">
        <f ca="1">IF(OR(EU5="",EU$28&lt;$A32),"",EU5/OFFSET(SSAutCLM!$A$2,MATCH(EU$29,SSAutCLM!$A$2:$A$500)+$A32-1,1)-1)</f>
        <v>2.6027879399190823E-3</v>
      </c>
      <c r="EV32" s="9">
        <f ca="1">IF(OR(EV5="",EV$28&lt;$A32),"",EV5/OFFSET(SSAutCLM!$A$2,MATCH(EV$29,SSAutCLM!$A$2:$A$500)+$A32-1,1)-1)</f>
        <v>1.9352413428985749E-3</v>
      </c>
      <c r="EW32" s="9">
        <f ca="1">IF(OR(EW5="",EW$28&lt;$A32),"",EW5/OFFSET(SSAutCLM!$A$2,MATCH(EW$29,SSAutCLM!$A$2:$A$500)+$A32-1,1)-1)</f>
        <v>-2.8840298942456322E-5</v>
      </c>
      <c r="EX32" s="9">
        <f ca="1">IF(OR(EX5="",EX$28&lt;$A32),"",EX5/OFFSET(SSAutCLM!$A$2,MATCH(EX$29,SSAutCLM!$A$2:$A$500)+$A32-1,1)-1)</f>
        <v>-4.7685608929270984E-4</v>
      </c>
      <c r="EY32" s="9">
        <f ca="1">IF(OR(EY5="",EY$28&lt;$A32),"",EY5/OFFSET(SSAutCLM!$A$2,MATCH(EY$29,SSAutCLM!$A$2:$A$500)+$A32-1,1)-1)</f>
        <v>-3.4418580849250313E-3</v>
      </c>
      <c r="EZ32" s="9">
        <f ca="1">IF(OR(EZ5="",EZ$28&lt;$A32),"",EZ5/OFFSET(SSAutCLM!$A$2,MATCH(EZ$29,SSAutCLM!$A$2:$A$500)+$A32-1,1)-1)</f>
        <v>4.2282157603312776E-4</v>
      </c>
      <c r="FA32" s="9">
        <f ca="1">IF(OR(FA5="",FA$28&lt;$A32),"",FA5/OFFSET(SSAutCLM!$A$2,MATCH(FA$29,SSAutCLM!$A$2:$A$500)+$A32-1,1)-1)</f>
        <v>1.973605202091111E-3</v>
      </c>
      <c r="FB32" s="9">
        <f ca="1">IF(OR(FB5="",FB$28&lt;$A32),"",FB5/OFFSET(SSAutCLM!$A$2,MATCH(FB$29,SSAutCLM!$A$2:$A$500)+$A32-1,1)-1)</f>
        <v>6.1552490651406444E-4</v>
      </c>
      <c r="FC32" s="9">
        <f ca="1">IF(OR(FC5="",FC$28&lt;$A32),"",FC5/OFFSET(SSAutCLM!$A$2,MATCH(FC$29,SSAutCLM!$A$2:$A$500)+$A32-1,1)-1)</f>
        <v>-2.9761493857721755E-3</v>
      </c>
      <c r="FD32" s="9">
        <f ca="1">IF(OR(FD5="",FD$28&lt;$A32),"",FD5/OFFSET(SSAutCLM!$A$2,MATCH(FD$29,SSAutCLM!$A$2:$A$500)+$A32-1,1)-1)</f>
        <v>-1.1616754414953689E-3</v>
      </c>
      <c r="FE32" s="9">
        <f ca="1">IF(OR(FE5="",FE$28&lt;$A32),"",FE5/OFFSET(SSAutCLM!$A$2,MATCH(FE$29,SSAutCLM!$A$2:$A$500)+$A32-1,1)-1)</f>
        <v>4.8288691171261E-4</v>
      </c>
      <c r="FF32" s="9">
        <f ca="1">IF(OR(FF5="",FF$28&lt;$A32),"",FF5/OFFSET(SSAutCLM!$A$2,MATCH(FF$29,SSAutCLM!$A$2:$A$500)+$A32-1,1)-1)</f>
        <v>3.24321518632531E-3</v>
      </c>
      <c r="FG32" s="9">
        <f ca="1">IF(OR(FG5="",FG$28&lt;$A32),"",FG5/OFFSET(SSAutCLM!$A$2,MATCH(FG$29,SSAutCLM!$A$2:$A$500)+$A32-1,1)-1)</f>
        <v>7.2556472468390254E-3</v>
      </c>
      <c r="FH32" s="9">
        <f ca="1">IF(OR(FH5="",FH$28&lt;$A32),"",FH5/OFFSET(SSAutCLM!$A$2,MATCH(FH$29,SSAutCLM!$A$2:$A$500)+$A32-1,1)-1)</f>
        <v>4.6148974234170304E-3</v>
      </c>
      <c r="FI32" s="9">
        <f ca="1">IF(OR(FI5="",FI$28&lt;$A32),"",FI5/OFFSET(SSAutCLM!$A$2,MATCH(FI$29,SSAutCLM!$A$2:$A$500)+$A32-1,1)-1)</f>
        <v>-2.3750993336700832E-3</v>
      </c>
      <c r="FJ32" s="9">
        <f ca="1">IF(OR(FJ5="",FJ$28&lt;$A32),"",FJ5/OFFSET(SSAutCLM!$A$2,MATCH(FJ$29,SSAutCLM!$A$2:$A$500)+$A32-1,1)-1)</f>
        <v>-4.4408021341212356E-3</v>
      </c>
      <c r="FK32" s="9">
        <f ca="1">IF(OR(FK5="",FK$28&lt;$A32),"",FK5/OFFSET(SSAutCLM!$A$2,MATCH(FK$29,SSAutCLM!$A$2:$A$500)+$A32-1,1)-1)</f>
        <v>7.4402154059072245E-4</v>
      </c>
      <c r="FL32" s="9">
        <f ca="1">IF(OR(FL5="",FL$28&lt;$A32),"",FL5/OFFSET(SSAutCLM!$A$2,MATCH(FL$29,SSAutCLM!$A$2:$A$500)+$A32-1,1)-1)</f>
        <v>-1.3493160755408962E-3</v>
      </c>
      <c r="FM32" s="9">
        <f ca="1">IF(OR(FM5="",FM$28&lt;$A32),"",FM5/OFFSET(SSAutCLM!$A$2,MATCH(FM$29,SSAutCLM!$A$2:$A$500)+$A32-1,1)-1)</f>
        <v>-7.4436817853061887E-3</v>
      </c>
      <c r="FN32" s="9">
        <f ca="1">IF(OR(FN5="",FN$28&lt;$A32),"",FN5/OFFSET(SSAutCLM!$A$2,MATCH(FN$29,SSAutCLM!$A$2:$A$500)+$A32-1,1)-1)</f>
        <v>-8.050043481809932E-3</v>
      </c>
      <c r="FO32" s="9">
        <f ca="1">IF(OR(FO5="",FO$28&lt;$A32),"",FO5/OFFSET(SSAutCLM!$A$2,MATCH(FO$29,SSAutCLM!$A$2:$A$500)+$A32-1,1)-1)</f>
        <v>-3.7873697422956543E-3</v>
      </c>
      <c r="FP32" s="9">
        <f ca="1">IF(OR(FP5="",FP$28&lt;$A32),"",FP5/OFFSET(SSAutCLM!$A$2,MATCH(FP$29,SSAutCLM!$A$2:$A$500)+$A32-1,1)-1)</f>
        <v>5.7503461969066194E-3</v>
      </c>
      <c r="FQ32" s="9">
        <f ca="1">IF(OR(FQ5="",FQ$28&lt;$A32),"",FQ5/OFFSET(SSAutCLM!$A$2,MATCH(FQ$29,SSAutCLM!$A$2:$A$500)+$A32-1,1)-1)</f>
        <v>4.3319771741086033E-3</v>
      </c>
      <c r="FR32" s="9">
        <f ca="1">IF(OR(FR5="",FR$28&lt;$A32),"",FR5/OFFSET(SSAutCLM!$A$2,MATCH(FR$29,SSAutCLM!$A$2:$A$500)+$A32-1,1)-1)</f>
        <v>2.2125261928460649E-3</v>
      </c>
      <c r="FS32" s="9">
        <f ca="1">IF(OR(FS5="",FS$28&lt;$A32),"",FS5/OFFSET(SSAutCLM!$A$2,MATCH(FS$29,SSAutCLM!$A$2:$A$500)+$A32-1,1)-1)</f>
        <v>4.7529335818892182E-3</v>
      </c>
      <c r="FT32" s="9">
        <f ca="1">IF(OR(FT5="",FT$28&lt;$A32),"",FT5/OFFSET(SSAutCLM!$A$2,MATCH(FT$29,SSAutCLM!$A$2:$A$500)+$A32-1,1)-1)</f>
        <v>1.9434145270627035E-3</v>
      </c>
      <c r="FU32" s="9">
        <f ca="1">IF(OR(FU5="",FU$28&lt;$A32),"",FU5/OFFSET(SSAutCLM!$A$2,MATCH(FU$29,SSAutCLM!$A$2:$A$500)+$A32-1,1)-1)</f>
        <v>-2.9824459631515587E-3</v>
      </c>
      <c r="FV32" s="9">
        <f ca="1">IF(OR(FV5="",FV$28&lt;$A32),"",FV5/OFFSET(SSAutCLM!$A$2,MATCH(FV$29,SSAutCLM!$A$2:$A$500)+$A32-1,1)-1)</f>
        <v>-2.9384169749021583E-3</v>
      </c>
      <c r="FW32" s="9">
        <f ca="1">IF(OR(FW5="",FW$28&lt;$A32),"",FW5/OFFSET(SSAutCLM!$A$2,MATCH(FW$29,SSAutCLM!$A$2:$A$500)+$A32-1,1)-1)</f>
        <v>-2.0412897439591182E-3</v>
      </c>
      <c r="FX32" s="9">
        <f ca="1">IF(OR(FX5="",FX$28&lt;$A32),"",FX5/OFFSET(SSAutCLM!$A$2,MATCH(FX$29,SSAutCLM!$A$2:$A$500)+$A32-1,1)-1)</f>
        <v>2.9480227715734664E-3</v>
      </c>
      <c r="FY32" s="9">
        <f ca="1">IF(OR(FY5="",FY$28&lt;$A32),"",FY5/OFFSET(SSAutCLM!$A$2,MATCH(FY$29,SSAutCLM!$A$2:$A$500)+$A32-1,1)-1)</f>
        <v>3.1484717176089028E-3</v>
      </c>
      <c r="FZ32" s="9">
        <f ca="1">IF(OR(FZ5="",FZ$28&lt;$A32),"",FZ5/OFFSET(SSAutCLM!$A$2,MATCH(FZ$29,SSAutCLM!$A$2:$A$500)+$A32-1,1)-1)</f>
        <v>7.1860739661608886E-3</v>
      </c>
      <c r="GA32" s="9">
        <f ca="1">IF(OR(GA5="",GA$28&lt;$A32),"",GA5/OFFSET(SSAutCLM!$A$2,MATCH(GA$29,SSAutCLM!$A$2:$A$500)+$A32-1,1)-1)</f>
        <v>1.58482637734636E-3</v>
      </c>
      <c r="GB32" s="9">
        <f ca="1">IF(OR(GB5="",GB$28&lt;$A32),"",GB5/OFFSET(SSAutCLM!$A$2,MATCH(GB$29,SSAutCLM!$A$2:$A$500)+$A32-1,1)-1)</f>
        <v>3.3602459263670781E-4</v>
      </c>
      <c r="GC32" s="9">
        <f ca="1">IF(OR(GC5="",GC$28&lt;$A32),"",GC5/OFFSET(SSAutCLM!$A$2,MATCH(GC$29,SSAutCLM!$A$2:$A$500)+$A32-1,1)-1)</f>
        <v>-3.5835528686135598E-3</v>
      </c>
      <c r="GD32" s="9">
        <f ca="1">IF(OR(GD5="",GD$28&lt;$A32),"",GD5/OFFSET(SSAutCLM!$A$2,MATCH(GD$29,SSAutCLM!$A$2:$A$500)+$A32-1,1)-1)</f>
        <v>-4.7028652546633465E-3</v>
      </c>
      <c r="GE32" s="9">
        <f ca="1">IF(OR(GE5="",GE$28&lt;$A32),"",GE5/OFFSET(SSAutCLM!$A$2,MATCH(GE$29,SSAutCLM!$A$2:$A$500)+$A32-1,1)-1)</f>
        <v>-3.2795295497071164E-3</v>
      </c>
      <c r="GF32" s="9">
        <f ca="1">IF(OR(GF5="",GF$28&lt;$A32),"",GF5/OFFSET(SSAutCLM!$A$2,MATCH(GF$29,SSAutCLM!$A$2:$A$500)+$A32-1,1)-1)</f>
        <v>-6.4555883968642203E-4</v>
      </c>
      <c r="GG32" s="9">
        <f ca="1">IF(OR(GG5="",GG$28&lt;$A32),"",GG5/OFFSET(SSAutCLM!$A$2,MATCH(GG$29,SSAutCLM!$A$2:$A$500)+$A32-1,1)-1)</f>
        <v>-3.9234068524574006E-4</v>
      </c>
      <c r="GH32" s="9">
        <f ca="1">IF(OR(GH5="",GH$28&lt;$A32),"",GH5/OFFSET(SSAutCLM!$A$2,MATCH(GH$29,SSAutCLM!$A$2:$A$500)+$A32-1,1)-1)</f>
        <v>-1.1033574341884345E-3</v>
      </c>
      <c r="GI32" s="9">
        <f ca="1">IF(OR(GI5="",GI$28&lt;$A32),"",GI5/OFFSET(SSAutCLM!$A$2,MATCH(GI$29,SSAutCLM!$A$2:$A$500)+$A32-1,1)-1)</f>
        <v>-2.4214076486213099E-3</v>
      </c>
      <c r="GJ32" s="9">
        <f ca="1">IF(OR(GJ5="",GJ$28&lt;$A32),"",GJ5/OFFSET(SSAutCLM!$A$2,MATCH(GJ$29,SSAutCLM!$A$2:$A$500)+$A32-1,1)-1)</f>
        <v>-1.4575635366324002E-3</v>
      </c>
      <c r="GK32" s="9">
        <f ca="1">IF(OR(GK5="",GK$28&lt;$A32),"",GK5/OFFSET(SSAutCLM!$A$2,MATCH(GK$29,SSAutCLM!$A$2:$A$500)+$A32-1,1)-1)</f>
        <v>-2.2203699774653307E-3</v>
      </c>
      <c r="GL32" s="9">
        <f ca="1">IF(OR(GL5="",GL$28&lt;$A32),"",GL5/OFFSET(SSAutCLM!$A$2,MATCH(GL$29,SSAutCLM!$A$2:$A$500)+$A32-1,1)-1)</f>
        <v>7.8991435571758029E-3</v>
      </c>
      <c r="GM32" s="9">
        <f ca="1">IF(OR(GM5="",GM$28&lt;$A32),"",GM5/OFFSET(SSAutCLM!$A$2,MATCH(GM$29,SSAutCLM!$A$2:$A$500)+$A32-1,1)-1)</f>
        <v>2.3699243985043861E-2</v>
      </c>
      <c r="GN32" s="9">
        <f ca="1">IF(OR(GN5="",GN$28&lt;$A32),"",GN5/OFFSET(SSAutCLM!$A$2,MATCH(GN$29,SSAutCLM!$A$2:$A$500)+$A32-1,1)-1)</f>
        <v>2.7028041883863319E-2</v>
      </c>
      <c r="GO32" s="9">
        <f ca="1">IF(OR(GO5="",GO$28&lt;$A32),"",GO5/OFFSET(SSAutCLM!$A$2,MATCH(GO$29,SSAutCLM!$A$2:$A$500)+$A32-1,1)-1)</f>
        <v>8.3654362403458027E-3</v>
      </c>
      <c r="GP32" s="9">
        <f ca="1">IF(OR(GP5="",GP$28&lt;$A32),"",GP5/OFFSET(SSAutCLM!$A$2,MATCH(GP$29,SSAutCLM!$A$2:$A$500)+$A32-1,1)-1)</f>
        <v>-2.9207654708675923E-2</v>
      </c>
      <c r="GQ32" s="9">
        <f ca="1">IF(OR(GQ5="",GQ$28&lt;$A32),"",GQ5/OFFSET(SSAutCLM!$A$2,MATCH(GQ$29,SSAutCLM!$A$2:$A$500)+$A32-1,1)-1)</f>
        <v>-1.9493588090798819E-2</v>
      </c>
      <c r="GR32" s="9">
        <f ca="1">IF(OR(GR5="",GR$28&lt;$A32),"",GR5/OFFSET(SSAutCLM!$A$2,MATCH(GR$29,SSAutCLM!$A$2:$A$500)+$A32-1,1)-1)</f>
        <v>-1.0961728315726393E-2</v>
      </c>
      <c r="GS32" s="9">
        <f ca="1">IF(OR(GS5="",GS$28&lt;$A32),"",GS5/OFFSET(SSAutCLM!$A$2,MATCH(GS$29,SSAutCLM!$A$2:$A$500)+$A32-1,1)-1)</f>
        <v>-3.8055689126292869E-5</v>
      </c>
      <c r="GT32" s="9">
        <f ca="1">IF(OR(GT5="",GT$28&lt;$A32),"",GT5/OFFSET(SSAutCLM!$A$2,MATCH(GT$29,SSAutCLM!$A$2:$A$500)+$A32-1,1)-1)</f>
        <v>2.6370708426810552E-3</v>
      </c>
      <c r="GU32" s="9">
        <f ca="1">IF(OR(GU5="",GU$28&lt;$A32),"",GU5/OFFSET(SSAutCLM!$A$2,MATCH(GU$29,SSAutCLM!$A$2:$A$500)+$A32-1,1)-1)</f>
        <v>1.8047054777605709E-3</v>
      </c>
      <c r="GV32" s="9">
        <f ca="1">IF(OR(GV5="",GV$28&lt;$A32),"",GV5/OFFSET(SSAutCLM!$A$2,MATCH(GV$29,SSAutCLM!$A$2:$A$500)+$A32-1,1)-1)</f>
        <v>-1.06192866433652E-5</v>
      </c>
      <c r="GW32" s="9" t="str">
        <f ca="1">IF(OR(GW5="",GW$28&lt;$A32),"",GW5/OFFSET(SSAutCLM!$A$2,MATCH(GW$29,SSAutCLM!$A$2:$A$500)+$A32-1,1)-1)</f>
        <v/>
      </c>
      <c r="GX32" s="9" t="str">
        <f ca="1">IF(OR(GX5="",GX$28&lt;$A32),"",GX5/OFFSET(SSAutCLM!$A$2,MATCH(GX$29,SSAutCLM!$A$2:$A$500)+$A32-1,1)-1)</f>
        <v/>
      </c>
      <c r="GY32" s="9" t="str">
        <f ca="1">IF(OR(GY5="",GY$28&lt;$A32),"",GY5/OFFSET(SSAutCLM!$A$2,MATCH(GY$29,SSAutCLM!$A$2:$A$500)+$A32-1,1)-1)</f>
        <v/>
      </c>
      <c r="GZ32" s="9" t="str">
        <f ca="1">IF(OR(GZ5="",GZ$28&lt;$A32),"",GZ5/OFFSET(SSAutCLM!$A$2,MATCH(GZ$29,SSAutCLM!$A$2:$A$500)+$A32-1,1)-1)</f>
        <v/>
      </c>
      <c r="HA32" s="9" t="str">
        <f ca="1">IF(OR(HA5="",HA$28&lt;$A32),"",HA5/OFFSET(SSAutCLM!$A$2,MATCH(HA$29,SSAutCLM!$A$2:$A$500)+$A32-1,1)-1)</f>
        <v/>
      </c>
      <c r="HB32" s="9" t="str">
        <f ca="1">IF(OR(HB5="",HB$28&lt;$A32),"",HB5/OFFSET(SSAutCLM!$A$2,MATCH(HB$29,SSAutCLM!$A$2:$A$500)+$A32-1,1)-1)</f>
        <v/>
      </c>
      <c r="HC32" s="9" t="str">
        <f ca="1">IF(OR(HC5="",HC$28&lt;$A32),"",HC5/OFFSET(SSAutCLM!$A$2,MATCH(HC$29,SSAutCLM!$A$2:$A$500)+$A32-1,1)-1)</f>
        <v/>
      </c>
      <c r="HD32" s="9" t="str">
        <f ca="1">IF(OR(HD5="",HD$28&lt;$A32),"",HD5/OFFSET(SSAutCLM!$A$2,MATCH(HD$29,SSAutCLM!$A$2:$A$500)+$A32-1,1)-1)</f>
        <v/>
      </c>
      <c r="HE32" s="9" t="str">
        <f ca="1">IF(OR(HE5="",HE$28&lt;$A32),"",HE5/OFFSET(SSAutCLM!$A$2,MATCH(HE$29,SSAutCLM!$A$2:$A$500)+$A32-1,1)-1)</f>
        <v/>
      </c>
      <c r="HF32" s="9" t="str">
        <f ca="1">IF(OR(HF5="",HF$28&lt;$A32),"",HF5/OFFSET(SSAutCLM!$A$2,MATCH(HF$29,SSAutCLM!$A$2:$A$500)+$A32-1,1)-1)</f>
        <v/>
      </c>
      <c r="HG32" s="9" t="str">
        <f ca="1">IF(OR(HG5="",HG$28&lt;$A32),"",HG5/OFFSET(SSAutCLM!$A$2,MATCH(HG$29,SSAutCLM!$A$2:$A$500)+$A32-1,1)-1)</f>
        <v/>
      </c>
      <c r="HH32" s="9" t="str">
        <f ca="1">IF(OR(HH5="",HH$28&lt;$A32),"",HH5/OFFSET(SSAutCLM!$A$2,MATCH(HH$29,SSAutCLM!$A$2:$A$500)+$A32-1,1)-1)</f>
        <v/>
      </c>
      <c r="HI32" s="9" t="str">
        <f ca="1">IF(OR(HI5="",HI$28&lt;$A32),"",HI5/OFFSET(SSAutCLM!$A$2,MATCH(HI$29,SSAutCLM!$A$2:$A$500)+$A32-1,1)-1)</f>
        <v/>
      </c>
      <c r="HJ32" s="9" t="str">
        <f ca="1">IF(OR(HJ5="",HJ$28&lt;$A32),"",HJ5/OFFSET(SSAutCLM!$A$2,MATCH(HJ$29,SSAutCLM!$A$2:$A$500)+$A32-1,1)-1)</f>
        <v/>
      </c>
      <c r="HK32" s="9" t="str">
        <f ca="1">IF(OR(HK5="",HK$28&lt;$A32),"",HK5/OFFSET(SSAutCLM!$A$2,MATCH(HK$29,SSAutCLM!$A$2:$A$500)+$A32-1,1)-1)</f>
        <v/>
      </c>
      <c r="HL32" s="9" t="str">
        <f ca="1">IF(OR(HL5="",HL$28&lt;$A32),"",HL5/OFFSET(SSAutCLM!$A$2,MATCH(HL$29,SSAutCLM!$A$2:$A$500)+$A32-1,1)-1)</f>
        <v/>
      </c>
      <c r="HM32" s="9" t="str">
        <f ca="1">IF(OR(HM5="",HM$28&lt;$A32),"",HM5/OFFSET(SSAutCLM!$A$2,MATCH(HM$29,SSAutCLM!$A$2:$A$500)+$A32-1,1)-1)</f>
        <v/>
      </c>
      <c r="HN32" s="9" t="str">
        <f ca="1">IF(OR(HN5="",HN$28&lt;$A32),"",HN5/OFFSET(SSAutCLM!$A$2,MATCH(HN$29,SSAutCLM!$A$2:$A$500)+$A32-1,1)-1)</f>
        <v/>
      </c>
      <c r="HO32" s="9" t="str">
        <f ca="1">IF(OR(HO5="",HO$28&lt;$A32),"",HO5/OFFSET(SSAutCLM!$A$2,MATCH(HO$29,SSAutCLM!$A$2:$A$500)+$A32-1,1)-1)</f>
        <v/>
      </c>
      <c r="HP32" s="9" t="str">
        <f ca="1">IF(OR(HP5="",HP$28&lt;$A32),"",HP5/OFFSET(SSAutCLM!$A$2,MATCH(HP$29,SSAutCLM!$A$2:$A$500)+$A32-1,1)-1)</f>
        <v/>
      </c>
      <c r="HQ32" s="9" t="str">
        <f ca="1">IF(OR(HQ5="",HQ$28&lt;$A32),"",HQ5/OFFSET(SSAutCLM!$A$2,MATCH(HQ$29,SSAutCLM!$A$2:$A$500)+$A32-1,1)-1)</f>
        <v/>
      </c>
      <c r="HR32" s="9" t="str">
        <f ca="1">IF(OR(HR5="",HR$28&lt;$A32),"",HR5/OFFSET(SSAutCLM!$A$2,MATCH(HR$29,SSAutCLM!$A$2:$A$500)+$A32-1,1)-1)</f>
        <v/>
      </c>
      <c r="HS32" s="9" t="str">
        <f ca="1">IF(OR(HS5="",HS$28&lt;$A32),"",HS5/OFFSET(SSAutCLM!$A$2,MATCH(HS$29,SSAutCLM!$A$2:$A$500)+$A32-1,1)-1)</f>
        <v/>
      </c>
      <c r="HT32" s="9" t="str">
        <f ca="1">IF(OR(HT5="",HT$28&lt;$A32),"",HT5/OFFSET(SSAutCLM!$A$2,MATCH(HT$29,SSAutCLM!$A$2:$A$500)+$A32-1,1)-1)</f>
        <v/>
      </c>
      <c r="HU32" s="9" t="str">
        <f ca="1">IF(OR(HU5="",HU$28&lt;$A32),"",HU5/OFFSET(SSAutCLM!$A$2,MATCH(HU$29,SSAutCLM!$A$2:$A$500)+$A32-1,1)-1)</f>
        <v/>
      </c>
      <c r="HV32" s="9" t="str">
        <f ca="1">IF(OR(HV5="",HV$28&lt;$A32),"",HV5/OFFSET(SSAutCLM!$A$2,MATCH(HV$29,SSAutCLM!$A$2:$A$500)+$A32-1,1)-1)</f>
        <v/>
      </c>
      <c r="HW32" s="9" t="str">
        <f ca="1">IF(OR(HW5="",HW$28&lt;$A32),"",HW5/OFFSET(SSAutCLM!$A$2,MATCH(HW$29,SSAutCLM!$A$2:$A$500)+$A32-1,1)-1)</f>
        <v/>
      </c>
      <c r="HX32" s="9" t="str">
        <f ca="1">IF(OR(HX5="",HX$28&lt;$A32),"",HX5/OFFSET(SSAutCLM!$A$2,MATCH(HX$29,SSAutCLM!$A$2:$A$500)+$A32-1,1)-1)</f>
        <v/>
      </c>
      <c r="HY32" s="9" t="str">
        <f ca="1">IF(OR(HY5="",HY$28&lt;$A32),"",HY5/OFFSET(SSAutCLM!$A$2,MATCH(HY$29,SSAutCLM!$A$2:$A$500)+$A32-1,1)-1)</f>
        <v/>
      </c>
      <c r="HZ32" s="9" t="str">
        <f ca="1">IF(OR(HZ5="",HZ$28&lt;$A32),"",HZ5/OFFSET(SSAutCLM!$A$2,MATCH(HZ$29,SSAutCLM!$A$2:$A$500)+$A32-1,1)-1)</f>
        <v/>
      </c>
      <c r="IA32" s="9" t="str">
        <f ca="1">IF(OR(IA5="",IA$28&lt;$A32),"",IA5/OFFSET(SSAutCLM!$A$2,MATCH(IA$29,SSAutCLM!$A$2:$A$500)+$A32-1,1)-1)</f>
        <v/>
      </c>
      <c r="IB32" s="9" t="str">
        <f ca="1">IF(OR(IB5="",IB$28&lt;$A32),"",IB5/OFFSET(SSAutCLM!$A$2,MATCH(IB$29,SSAutCLM!$A$2:$A$500)+$A32-1,1)-1)</f>
        <v/>
      </c>
      <c r="IC32" s="9" t="str">
        <f ca="1">IF(OR(IC5="",IC$28&lt;$A32),"",IC5/OFFSET(SSAutCLM!$A$2,MATCH(IC$29,SSAutCLM!$A$2:$A$500)+$A32-1,1)-1)</f>
        <v/>
      </c>
      <c r="ID32" s="9" t="str">
        <f ca="1">IF(OR(ID5="",ID$28&lt;$A32),"",ID5/OFFSET(SSAutCLM!$A$2,MATCH(ID$29,SSAutCLM!$A$2:$A$500)+$A32-1,1)-1)</f>
        <v/>
      </c>
      <c r="IE32" s="9" t="str">
        <f ca="1">IF(OR(IE5="",IE$28&lt;$A32),"",IE5/OFFSET(SSAutCLM!$A$2,MATCH(IE$29,SSAutCLM!$A$2:$A$500)+$A32-1,1)-1)</f>
        <v/>
      </c>
      <c r="IF32" s="9" t="str">
        <f ca="1">IF(OR(IF5="",IF$28&lt;$A32),"",IF5/OFFSET(SSAutCLM!$A$2,MATCH(IF$29,SSAutCLM!$A$2:$A$500)+$A32-1,1)-1)</f>
        <v/>
      </c>
      <c r="IG32" s="9" t="str">
        <f ca="1">IF(OR(IG5="",IG$28&lt;$A32),"",IG5/OFFSET(SSAutCLM!$A$2,MATCH(IG$29,SSAutCLM!$A$2:$A$500)+$A32-1,1)-1)</f>
        <v/>
      </c>
      <c r="IH32" s="9" t="str">
        <f ca="1">IF(OR(IH5="",IH$28&lt;$A32),"",IH5/OFFSET(SSAutCLM!$A$2,MATCH(IH$29,SSAutCLM!$A$2:$A$500)+$A32-1,1)-1)</f>
        <v/>
      </c>
      <c r="II32" s="9" t="str">
        <f ca="1">IF(OR(II5="",II$28&lt;$A32),"",II5/OFFSET(SSAutCLM!$A$2,MATCH(II$29,SSAutCLM!$A$2:$A$500)+$A32-1,1)-1)</f>
        <v/>
      </c>
      <c r="IJ32" s="9" t="str">
        <f ca="1">IF(OR(IJ5="",IJ$28&lt;$A32),"",IJ5/OFFSET(SSAutCLM!$A$2,MATCH(IJ$29,SSAutCLM!$A$2:$A$500)+$A32-1,1)-1)</f>
        <v/>
      </c>
      <c r="IK32" s="9" t="str">
        <f ca="1">IF(OR(IK5="",IK$28&lt;$A32),"",IK5/OFFSET(SSAutCLM!$A$2,MATCH(IK$29,SSAutCLM!$A$2:$A$500)+$A32-1,1)-1)</f>
        <v/>
      </c>
      <c r="IL32" s="9" t="str">
        <f ca="1">IF(OR(IL5="",IL$28&lt;$A32),"",IL5/OFFSET(SSAutCLM!$A$2,MATCH(IL$29,SSAutCLM!$A$2:$A$500)+$A32-1,1)-1)</f>
        <v/>
      </c>
      <c r="IM32" s="9" t="str">
        <f ca="1">IF(OR(IM5="",IM$28&lt;$A32),"",IM5/OFFSET(SSAutCLM!$A$2,MATCH(IM$29,SSAutCLM!$A$2:$A$500)+$A32-1,1)-1)</f>
        <v/>
      </c>
      <c r="IN32" s="9" t="str">
        <f ca="1">IF(OR(IN5="",IN$28&lt;$A32),"",IN5/OFFSET(SSAutCLM!$A$2,MATCH(IN$29,SSAutCLM!$A$2:$A$500)+$A32-1,1)-1)</f>
        <v/>
      </c>
      <c r="IO32" s="9" t="str">
        <f ca="1">IF(OR(IO5="",IO$28&lt;$A32),"",IO5/OFFSET(SSAutCLM!$A$2,MATCH(IO$29,SSAutCLM!$A$2:$A$500)+$A32-1,1)-1)</f>
        <v/>
      </c>
      <c r="IP32" s="9" t="str">
        <f ca="1">IF(OR(IP5="",IP$28&lt;$A32),"",IP5/OFFSET(SSAutCLM!$A$2,MATCH(IP$29,SSAutCLM!$A$2:$A$500)+$A32-1,1)-1)</f>
        <v/>
      </c>
      <c r="IQ32" s="9" t="str">
        <f ca="1">IF(OR(IQ5="",IQ$28&lt;$A32),"",IQ5/OFFSET(SSAutCLM!$A$2,MATCH(IQ$29,SSAutCLM!$A$2:$A$500)+$A32-1,1)-1)</f>
        <v/>
      </c>
      <c r="IR32" s="9" t="str">
        <f ca="1">IF(OR(IR5="",IR$28&lt;$A32),"",IR5/OFFSET(SSAutCLM!$A$2,MATCH(IR$29,SSAutCLM!$A$2:$A$500)+$A32-1,1)-1)</f>
        <v/>
      </c>
      <c r="IS32" s="9" t="str">
        <f ca="1">IF(OR(IS5="",IS$28&lt;$A32),"",IS5/OFFSET(SSAutCLM!$A$2,MATCH(IS$29,SSAutCLM!$A$2:$A$500)+$A32-1,1)-1)</f>
        <v/>
      </c>
      <c r="IT32" s="9" t="str">
        <f ca="1">IF(OR(IT5="",IT$28&lt;$A32),"",IT5/OFFSET(SSAutCLM!$A$2,MATCH(IT$29,SSAutCLM!$A$2:$A$500)+$A32-1,1)-1)</f>
        <v/>
      </c>
      <c r="IU32" s="9" t="str">
        <f ca="1">IF(OR(IU5="",IU$28&lt;$A32),"",IU5/OFFSET(SSAutCLM!$A$2,MATCH(IU$29,SSAutCLM!$A$2:$A$500)+$A32-1,1)-1)</f>
        <v/>
      </c>
      <c r="IV32" s="9" t="str">
        <f ca="1">IF(OR(IV5="",IV$28&lt;$A32),"",IV5/OFFSET(SSAutCLM!$A$2,MATCH(IV$29,SSAutCLM!$A$2:$A$500)+$A32-1,1)-1)</f>
        <v/>
      </c>
      <c r="IW32" s="9" t="str">
        <f ca="1">IF(OR(IW5="",IW$28&lt;$A32),"",IW5/OFFSET(SSAutCLM!$A$2,MATCH(IW$29,SSAutCLM!$A$2:$A$500)+$A32-1,1)-1)</f>
        <v/>
      </c>
      <c r="IX32" s="9" t="str">
        <f ca="1">IF(OR(IX5="",IX$28&lt;$A32),"",IX5/OFFSET(SSAutCLM!$A$2,MATCH(IX$29,SSAutCLM!$A$2:$A$500)+$A32-1,1)-1)</f>
        <v/>
      </c>
      <c r="IY32" s="9" t="str">
        <f ca="1">IF(OR(IY5="",IY$28&lt;$A32),"",IY5/OFFSET(SSAutCLM!$A$2,MATCH(IY$29,SSAutCLM!$A$2:$A$500)+$A32-1,1)-1)</f>
        <v/>
      </c>
      <c r="IZ32" s="9" t="str">
        <f ca="1">IF(OR(IZ5="",IZ$28&lt;$A32),"",IZ5/OFFSET(SSAutCLM!$A$2,MATCH(IZ$29,SSAutCLM!$A$2:$A$500)+$A32-1,1)-1)</f>
        <v/>
      </c>
      <c r="JA32" s="9" t="str">
        <f ca="1">IF(OR(JA5="",JA$28&lt;$A32),"",JA5/OFFSET(SSAutCLM!$A$2,MATCH(JA$29,SSAutCLM!$A$2:$A$500)+$A32-1,1)-1)</f>
        <v/>
      </c>
      <c r="JB32" s="9" t="str">
        <f ca="1">IF(OR(JB5="",JB$28&lt;$A32),"",JB5/OFFSET(SSAutCLM!$A$2,MATCH(JB$29,SSAutCLM!$A$2:$A$500)+$A32-1,1)-1)</f>
        <v/>
      </c>
      <c r="JC32" s="9" t="str">
        <f ca="1">IF(OR(JC5="",JC$28&lt;$A32),"",JC5/OFFSET(SSAutCLM!$A$2,MATCH(JC$29,SSAutCLM!$A$2:$A$500)+$A32-1,1)-1)</f>
        <v/>
      </c>
      <c r="JD32" s="9" t="str">
        <f ca="1">IF(OR(JD5="",JD$28&lt;$A32),"",JD5/OFFSET(SSAutCLM!$A$2,MATCH(JD$29,SSAutCLM!$A$2:$A$500)+$A32-1,1)-1)</f>
        <v/>
      </c>
      <c r="JE32" s="9" t="str">
        <f ca="1">IF(OR(JE5="",JE$28&lt;$A32),"",JE5/OFFSET(SSAutCLM!$A$2,MATCH(JE$29,SSAutCLM!$A$2:$A$500)+$A32-1,1)-1)</f>
        <v/>
      </c>
      <c r="JF32" s="9" t="str">
        <f ca="1">IF(OR(JF5="",JF$28&lt;$A32),"",JF5/OFFSET(SSAutCLM!$A$2,MATCH(JF$29,SSAutCLM!$A$2:$A$500)+$A32-1,1)-1)</f>
        <v/>
      </c>
      <c r="JG32" s="9" t="str">
        <f ca="1">IF(OR(JG5="",JG$28&lt;$A32),"",JG5/OFFSET(SSAutCLM!$A$2,MATCH(JG$29,SSAutCLM!$A$2:$A$500)+$A32-1,1)-1)</f>
        <v/>
      </c>
      <c r="JH32" s="9" t="str">
        <f ca="1">IF(OR(JH5="",JH$28&lt;$A32),"",JH5/OFFSET(SSAutCLM!$A$2,MATCH(JH$29,SSAutCLM!$A$2:$A$500)+$A32-1,1)-1)</f>
        <v/>
      </c>
      <c r="JI32" s="13">
        <f t="shared" ca="1" si="13"/>
        <v>4.2236896396785303E-4</v>
      </c>
      <c r="JJ32" s="13">
        <f t="shared" ca="1" si="14"/>
        <v>-2.4337487884829034E-5</v>
      </c>
      <c r="JK32" s="14">
        <f t="shared" ca="1" si="15"/>
        <v>8.9245976465696675E-5</v>
      </c>
      <c r="JL32" s="17">
        <f t="shared" ca="1" si="18"/>
        <v>9.4470088634285021E-3</v>
      </c>
      <c r="JM32" s="15" t="str">
        <f t="shared" ca="1" si="16"/>
        <v>[ -1,85% ; 1,93% ]</v>
      </c>
      <c r="JN32" s="17">
        <f t="shared" ca="1" si="17"/>
        <v>1.2092171345188482E-2</v>
      </c>
      <c r="LY32" s="1"/>
    </row>
    <row r="33" spans="1:337" x14ac:dyDescent="0.25">
      <c r="A33" s="4">
        <v>4</v>
      </c>
      <c r="B33" s="9">
        <f ca="1">IF(OR(B6="",B$28&lt;$A33),"",B6/OFFSET(SSAutCLM!$A$2,MATCH(B$29,SSAutCLM!$A$2:$A$500)+$A33-1,1)-1)</f>
        <v>-1.2338340394972835E-3</v>
      </c>
      <c r="C33" s="9">
        <f ca="1">IF(OR(C6="",C$28&lt;$A33),"",C6/OFFSET(SSAutCLM!$A$2,MATCH(C$29,SSAutCLM!$A$2:$A$500)+$A33-1,1)-1)</f>
        <v>5.5913772710969312E-5</v>
      </c>
      <c r="D33" s="9">
        <f ca="1">IF(OR(D6="",D$28&lt;$A33),"",D6/OFFSET(SSAutCLM!$A$2,MATCH(D$29,SSAutCLM!$A$2:$A$500)+$A33-1,1)-1)</f>
        <v>-3.0961122209741676E-3</v>
      </c>
      <c r="E33" s="9">
        <f ca="1">IF(OR(E6="",E$28&lt;$A33),"",E6/OFFSET(SSAutCLM!$A$2,MATCH(E$29,SSAutCLM!$A$2:$A$500)+$A33-1,1)-1)</f>
        <v>-2.0089035112823561E-3</v>
      </c>
      <c r="F33" s="9">
        <f ca="1">IF(OR(F6="",F$28&lt;$A33),"",F6/OFFSET(SSAutCLM!$A$2,MATCH(F$29,SSAutCLM!$A$2:$A$500)+$A33-1,1)-1)</f>
        <v>-2.7158053866329634E-3</v>
      </c>
      <c r="G33" s="9">
        <f ca="1">IF(OR(G6="",G$28&lt;$A33),"",G6/OFFSET(SSAutCLM!$A$2,MATCH(G$29,SSAutCLM!$A$2:$A$500)+$A33-1,1)-1)</f>
        <v>-2.243419615372666E-3</v>
      </c>
      <c r="H33" s="9">
        <f ca="1">IF(OR(H6="",H$28&lt;$A33),"",H6/OFFSET(SSAutCLM!$A$2,MATCH(H$29,SSAutCLM!$A$2:$A$500)+$A33-1,1)-1)</f>
        <v>1.9946290742312023E-4</v>
      </c>
      <c r="I33" s="9">
        <f ca="1">IF(OR(I6="",I$28&lt;$A33),"",I6/OFFSET(SSAutCLM!$A$2,MATCH(I$29,SSAutCLM!$A$2:$A$500)+$A33-1,1)-1)</f>
        <v>7.9473531170126677E-4</v>
      </c>
      <c r="J33" s="9">
        <f ca="1">IF(OR(J6="",J$28&lt;$A33),"",J6/OFFSET(SSAutCLM!$A$2,MATCH(J$29,SSAutCLM!$A$2:$A$500)+$A33-1,1)-1)</f>
        <v>-8.1388989142650026E-4</v>
      </c>
      <c r="K33" s="9">
        <f ca="1">IF(OR(K6="",K$28&lt;$A33),"",K6/OFFSET(SSAutCLM!$A$2,MATCH(K$29,SSAutCLM!$A$2:$A$500)+$A33-1,1)-1)</f>
        <v>-2.0678723563453127E-3</v>
      </c>
      <c r="L33" s="9">
        <f ca="1">IF(OR(L6="",L$28&lt;$A33),"",L6/OFFSET(SSAutCLM!$A$2,MATCH(L$29,SSAutCLM!$A$2:$A$500)+$A33-1,1)-1)</f>
        <v>-2.4605264538801741E-3</v>
      </c>
      <c r="M33" s="9">
        <f ca="1">IF(OR(M6="",M$28&lt;$A33),"",M6/OFFSET(SSAutCLM!$A$2,MATCH(M$29,SSAutCLM!$A$2:$A$500)+$A33-1,1)-1)</f>
        <v>-2.029889760867265E-3</v>
      </c>
      <c r="N33" s="9">
        <f ca="1">IF(OR(N6="",N$28&lt;$A33),"",N6/OFFSET(SSAutCLM!$A$2,MATCH(N$29,SSAutCLM!$A$2:$A$500)+$A33-1,1)-1)</f>
        <v>8.0407367541868169E-4</v>
      </c>
      <c r="O33" s="9">
        <f ca="1">IF(OR(O6="",O$28&lt;$A33),"",O6/OFFSET(SSAutCLM!$A$2,MATCH(O$29,SSAutCLM!$A$2:$A$500)+$A33-1,1)-1)</f>
        <v>4.8004851731058285E-3</v>
      </c>
      <c r="P33" s="9">
        <f ca="1">IF(OR(P6="",P$28&lt;$A33),"",P6/OFFSET(SSAutCLM!$A$2,MATCH(P$29,SSAutCLM!$A$2:$A$500)+$A33-1,1)-1)</f>
        <v>4.8817169777013447E-3</v>
      </c>
      <c r="Q33" s="9">
        <f ca="1">IF(OR(Q6="",Q$28&lt;$A33),"",Q6/OFFSET(SSAutCLM!$A$2,MATCH(Q$29,SSAutCLM!$A$2:$A$500)+$A33-1,1)-1)</f>
        <v>4.50880145278032E-3</v>
      </c>
      <c r="R33" s="9">
        <f ca="1">IF(OR(R6="",R$28&lt;$A33),"",R6/OFFSET(SSAutCLM!$A$2,MATCH(R$29,SSAutCLM!$A$2:$A$500)+$A33-1,1)-1)</f>
        <v>3.8022215819708549E-3</v>
      </c>
      <c r="S33" s="9">
        <f ca="1">IF(OR(S6="",S$28&lt;$A33),"",S6/OFFSET(SSAutCLM!$A$2,MATCH(S$29,SSAutCLM!$A$2:$A$500)+$A33-1,1)-1)</f>
        <v>1.8634079083095223E-3</v>
      </c>
      <c r="T33" s="9">
        <f ca="1">IF(OR(T6="",T$28&lt;$A33),"",T6/OFFSET(SSAutCLM!$A$2,MATCH(T$29,SSAutCLM!$A$2:$A$500)+$A33-1,1)-1)</f>
        <v>1.4523799866115183E-3</v>
      </c>
      <c r="U33" s="9">
        <f ca="1">IF(OR(U6="",U$28&lt;$A33),"",U6/OFFSET(SSAutCLM!$A$2,MATCH(U$29,SSAutCLM!$A$2:$A$500)+$A33-1,1)-1)</f>
        <v>1.6939841049674609E-3</v>
      </c>
      <c r="V33" s="9">
        <f ca="1">IF(OR(V6="",V$28&lt;$A33),"",V6/OFFSET(SSAutCLM!$A$2,MATCH(V$29,SSAutCLM!$A$2:$A$500)+$A33-1,1)-1)</f>
        <v>3.3025510707518357E-4</v>
      </c>
      <c r="W33" s="9">
        <f ca="1">IF(OR(W6="",W$28&lt;$A33),"",W6/OFFSET(SSAutCLM!$A$2,MATCH(W$29,SSAutCLM!$A$2:$A$500)+$A33-1,1)-1)</f>
        <v>-4.0872486733756208E-4</v>
      </c>
      <c r="X33" s="9">
        <f ca="1">IF(OR(X6="",X$28&lt;$A33),"",X6/OFFSET(SSAutCLM!$A$2,MATCH(X$29,SSAutCLM!$A$2:$A$500)+$A33-1,1)-1)</f>
        <v>-1.3783186264182401E-3</v>
      </c>
      <c r="Y33" s="9">
        <f ca="1">IF(OR(Y6="",Y$28&lt;$A33),"",Y6/OFFSET(SSAutCLM!$A$2,MATCH(Y$29,SSAutCLM!$A$2:$A$500)+$A33-1,1)-1)</f>
        <v>-2.1330276535420634E-3</v>
      </c>
      <c r="Z33" s="9">
        <f ca="1">IF(OR(Z6="",Z$28&lt;$A33),"",Z6/OFFSET(SSAutCLM!$A$2,MATCH(Z$29,SSAutCLM!$A$2:$A$500)+$A33-1,1)-1)</f>
        <v>-6.2534209605291657E-4</v>
      </c>
      <c r="AA33" s="9">
        <f ca="1">IF(OR(AA6="",AA$28&lt;$A33),"",AA6/OFFSET(SSAutCLM!$A$2,MATCH(AA$29,SSAutCLM!$A$2:$A$500)+$A33-1,1)-1)</f>
        <v>-4.1616891527773703E-4</v>
      </c>
      <c r="AB33" s="9">
        <f ca="1">IF(OR(AB6="",AB$28&lt;$A33),"",AB6/OFFSET(SSAutCLM!$A$2,MATCH(AB$29,SSAutCLM!$A$2:$A$500)+$A33-1,1)-1)</f>
        <v>5.7836224864749042E-4</v>
      </c>
      <c r="AC33" s="9">
        <f ca="1">IF(OR(AC6="",AC$28&lt;$A33),"",AC6/OFFSET(SSAutCLM!$A$2,MATCH(AC$29,SSAutCLM!$A$2:$A$500)+$A33-1,1)-1)</f>
        <v>-1.2449698916524587E-3</v>
      </c>
      <c r="AD33" s="9">
        <f ca="1">IF(OR(AD6="",AD$28&lt;$A33),"",AD6/OFFSET(SSAutCLM!$A$2,MATCH(AD$29,SSAutCLM!$A$2:$A$500)+$A33-1,1)-1)</f>
        <v>-3.3036938706176855E-4</v>
      </c>
      <c r="AE33" s="9">
        <f ca="1">IF(OR(AE6="",AE$28&lt;$A33),"",AE6/OFFSET(SSAutCLM!$A$2,MATCH(AE$29,SSAutCLM!$A$2:$A$500)+$A33-1,1)-1)</f>
        <v>-4.6549235151349677E-4</v>
      </c>
      <c r="AF33" s="9">
        <f ca="1">IF(OR(AF6="",AF$28&lt;$A33),"",AF6/OFFSET(SSAutCLM!$A$2,MATCH(AF$29,SSAutCLM!$A$2:$A$500)+$A33-1,1)-1)</f>
        <v>-1.029656310397753E-3</v>
      </c>
      <c r="AG33" s="9">
        <f ca="1">IF(OR(AG6="",AG$28&lt;$A33),"",AG6/OFFSET(SSAutCLM!$A$2,MATCH(AG$29,SSAutCLM!$A$2:$A$500)+$A33-1,1)-1)</f>
        <v>-6.2181173493169872E-4</v>
      </c>
      <c r="AH33" s="9">
        <f ca="1">IF(OR(AH6="",AH$28&lt;$A33),"",AH6/OFFSET(SSAutCLM!$A$2,MATCH(AH$29,SSAutCLM!$A$2:$A$500)+$A33-1,1)-1)</f>
        <v>-3.1177876436853103E-3</v>
      </c>
      <c r="AI33" s="9">
        <f ca="1">IF(OR(AI6="",AI$28&lt;$A33),"",AI6/OFFSET(SSAutCLM!$A$2,MATCH(AI$29,SSAutCLM!$A$2:$A$500)+$A33-1,1)-1)</f>
        <v>-3.223876062823372E-3</v>
      </c>
      <c r="AJ33" s="9">
        <f ca="1">IF(OR(AJ6="",AJ$28&lt;$A33),"",AJ6/OFFSET(SSAutCLM!$A$2,MATCH(AJ$29,SSAutCLM!$A$2:$A$500)+$A33-1,1)-1)</f>
        <v>-4.9486447852501447E-3</v>
      </c>
      <c r="AK33" s="9">
        <f ca="1">IF(OR(AK6="",AK$28&lt;$A33),"",AK6/OFFSET(SSAutCLM!$A$2,MATCH(AK$29,SSAutCLM!$A$2:$A$500)+$A33-1,1)-1)</f>
        <v>-6.5792675481647356E-3</v>
      </c>
      <c r="AL33" s="9">
        <f ca="1">IF(OR(AL6="",AL$28&lt;$A33),"",AL6/OFFSET(SSAutCLM!$A$2,MATCH(AL$29,SSAutCLM!$A$2:$A$500)+$A33-1,1)-1)</f>
        <v>-5.1554821496762049E-3</v>
      </c>
      <c r="AM33" s="9">
        <f ca="1">IF(OR(AM6="",AM$28&lt;$A33),"",AM6/OFFSET(SSAutCLM!$A$2,MATCH(AM$29,SSAutCLM!$A$2:$A$500)+$A33-1,1)-1)</f>
        <v>-5.0813977887848027E-3</v>
      </c>
      <c r="AN33" s="9">
        <f ca="1">IF(OR(AN6="",AN$28&lt;$A33),"",AN6/OFFSET(SSAutCLM!$A$2,MATCH(AN$29,SSAutCLM!$A$2:$A$500)+$A33-1,1)-1)</f>
        <v>-3.8676943546102072E-3</v>
      </c>
      <c r="AO33" s="9">
        <f ca="1">IF(OR(AO6="",AO$28&lt;$A33),"",AO6/OFFSET(SSAutCLM!$A$2,MATCH(AO$29,SSAutCLM!$A$2:$A$500)+$A33-1,1)-1)</f>
        <v>-1.3401745106297325E-3</v>
      </c>
      <c r="AP33" s="9">
        <f ca="1">IF(OR(AP6="",AP$28&lt;$A33),"",AP6/OFFSET(SSAutCLM!$A$2,MATCH(AP$29,SSAutCLM!$A$2:$A$500)+$A33-1,1)-1)</f>
        <v>-2.4592742871972773E-3</v>
      </c>
      <c r="AQ33" s="9">
        <f ca="1">IF(OR(AQ6="",AQ$28&lt;$A33),"",AQ6/OFFSET(SSAutCLM!$A$2,MATCH(AQ$29,SSAutCLM!$A$2:$A$500)+$A33-1,1)-1)</f>
        <v>-4.204528646568173E-3</v>
      </c>
      <c r="AR33" s="9">
        <f ca="1">IF(OR(AR6="",AR$28&lt;$A33),"",AR6/OFFSET(SSAutCLM!$A$2,MATCH(AR$29,SSAutCLM!$A$2:$A$500)+$A33-1,1)-1)</f>
        <v>-2.5614456797791174E-3</v>
      </c>
      <c r="AS33" s="9">
        <f ca="1">IF(OR(AS6="",AS$28&lt;$A33),"",AS6/OFFSET(SSAutCLM!$A$2,MATCH(AS$29,SSAutCLM!$A$2:$A$500)+$A33-1,1)-1)</f>
        <v>-7.5002096075704738E-4</v>
      </c>
      <c r="AT33" s="9">
        <f ca="1">IF(OR(AT6="",AT$28&lt;$A33),"",AT6/OFFSET(SSAutCLM!$A$2,MATCH(AT$29,SSAutCLM!$A$2:$A$500)+$A33-1,1)-1)</f>
        <v>1.0897583542994749E-3</v>
      </c>
      <c r="AU33" s="9">
        <f ca="1">IF(OR(AU6="",AU$28&lt;$A33),"",AU6/OFFSET(SSAutCLM!$A$2,MATCH(AU$29,SSAutCLM!$A$2:$A$500)+$A33-1,1)-1)</f>
        <v>4.8783611105183144E-3</v>
      </c>
      <c r="AV33" s="9">
        <f ca="1">IF(OR(AV6="",AV$28&lt;$A33),"",AV6/OFFSET(SSAutCLM!$A$2,MATCH(AV$29,SSAutCLM!$A$2:$A$500)+$A33-1,1)-1)</f>
        <v>1.0975713801962605E-2</v>
      </c>
      <c r="AW33" s="9">
        <f ca="1">IF(OR(AW6="",AW$28&lt;$A33),"",AW6/OFFSET(SSAutCLM!$A$2,MATCH(AW$29,SSAutCLM!$A$2:$A$500)+$A33-1,1)-1)</f>
        <v>1.3633189914542543E-2</v>
      </c>
      <c r="AX33" s="9">
        <f ca="1">IF(OR(AX6="",AX$28&lt;$A33),"",AX6/OFFSET(SSAutCLM!$A$2,MATCH(AX$29,SSAutCLM!$A$2:$A$500)+$A33-1,1)-1)</f>
        <v>1.4760665930505734E-2</v>
      </c>
      <c r="AY33" s="9">
        <f ca="1">IF(OR(AY6="",AY$28&lt;$A33),"",AY6/OFFSET(SSAutCLM!$A$2,MATCH(AY$29,SSAutCLM!$A$2:$A$500)+$A33-1,1)-1)</f>
        <v>1.6259244095892189E-2</v>
      </c>
      <c r="AZ33" s="9">
        <f ca="1">IF(OR(AZ6="",AZ$28&lt;$A33),"",AZ6/OFFSET(SSAutCLM!$A$2,MATCH(AZ$29,SSAutCLM!$A$2:$A$500)+$A33-1,1)-1)</f>
        <v>1.4027980974773202E-2</v>
      </c>
      <c r="BA33" s="9">
        <f ca="1">IF(OR(BA6="",BA$28&lt;$A33),"",BA6/OFFSET(SSAutCLM!$A$2,MATCH(BA$29,SSAutCLM!$A$2:$A$500)+$A33-1,1)-1)</f>
        <v>1.5523727237421792E-2</v>
      </c>
      <c r="BB33" s="9">
        <f ca="1">IF(OR(BB6="",BB$28&lt;$A33),"",BB6/OFFSET(SSAutCLM!$A$2,MATCH(BB$29,SSAutCLM!$A$2:$A$500)+$A33-1,1)-1)</f>
        <v>1.2172579501052105E-2</v>
      </c>
      <c r="BC33" s="9">
        <f ca="1">IF(OR(BC6="",BC$28&lt;$A33),"",BC6/OFFSET(SSAutCLM!$A$2,MATCH(BC$29,SSAutCLM!$A$2:$A$500)+$A33-1,1)-1)</f>
        <v>5.5558958997912189E-3</v>
      </c>
      <c r="BD33" s="9">
        <f ca="1">IF(OR(BD6="",BD$28&lt;$A33),"",BD6/OFFSET(SSAutCLM!$A$2,MATCH(BD$29,SSAutCLM!$A$2:$A$500)+$A33-1,1)-1)</f>
        <v>8.8445100402751997E-3</v>
      </c>
      <c r="BE33" s="9">
        <f ca="1">IF(OR(BE6="",BE$28&lt;$A33),"",BE6/OFFSET(SSAutCLM!$A$2,MATCH(BE$29,SSAutCLM!$A$2:$A$500)+$A33-1,1)-1)</f>
        <v>1.340215522964483E-2</v>
      </c>
      <c r="BF33" s="9">
        <f ca="1">IF(OR(BF6="",BF$28&lt;$A33),"",BF6/OFFSET(SSAutCLM!$A$2,MATCH(BF$29,SSAutCLM!$A$2:$A$500)+$A33-1,1)-1)</f>
        <v>1.3351176684186505E-2</v>
      </c>
      <c r="BG33" s="9">
        <f ca="1">IF(OR(BG6="",BG$28&lt;$A33),"",BG6/OFFSET(SSAutCLM!$A$2,MATCH(BG$29,SSAutCLM!$A$2:$A$500)+$A33-1,1)-1)</f>
        <v>1.7391679452679831E-2</v>
      </c>
      <c r="BH33" s="9">
        <f ca="1">IF(OR(BH6="",BH$28&lt;$A33),"",BH6/OFFSET(SSAutCLM!$A$2,MATCH(BH$29,SSAutCLM!$A$2:$A$500)+$A33-1,1)-1)</f>
        <v>1.380200112153962E-2</v>
      </c>
      <c r="BI33" s="9">
        <f ca="1">IF(OR(BI6="",BI$28&lt;$A33),"",BI6/OFFSET(SSAutCLM!$A$2,MATCH(BI$29,SSAutCLM!$A$2:$A$500)+$A33-1,1)-1)</f>
        <v>1.0181057305666208E-2</v>
      </c>
      <c r="BJ33" s="9">
        <f ca="1">IF(OR(BJ6="",BJ$28&lt;$A33),"",BJ6/OFFSET(SSAutCLM!$A$2,MATCH(BJ$29,SSAutCLM!$A$2:$A$500)+$A33-1,1)-1)</f>
        <v>5.5289662113093829E-3</v>
      </c>
      <c r="BK33" s="9">
        <f ca="1">IF(OR(BK6="",BK$28&lt;$A33),"",BK6/OFFSET(SSAutCLM!$A$2,MATCH(BK$29,SSAutCLM!$A$2:$A$500)+$A33-1,1)-1)</f>
        <v>-5.6289454381219794E-4</v>
      </c>
      <c r="BL33" s="9">
        <f ca="1">IF(OR(BL6="",BL$28&lt;$A33),"",BL6/OFFSET(SSAutCLM!$A$2,MATCH(BL$29,SSAutCLM!$A$2:$A$500)+$A33-1,1)-1)</f>
        <v>-1.0408733805975845E-2</v>
      </c>
      <c r="BM33" s="9">
        <f ca="1">IF(OR(BM6="",BM$28&lt;$A33),"",BM6/OFFSET(SSAutCLM!$A$2,MATCH(BM$29,SSAutCLM!$A$2:$A$500)+$A33-1,1)-1)</f>
        <v>-1.5399662890297372E-2</v>
      </c>
      <c r="BN33" s="9">
        <f ca="1">IF(OR(BN6="",BN$28&lt;$A33),"",BN6/OFFSET(SSAutCLM!$A$2,MATCH(BN$29,SSAutCLM!$A$2:$A$500)+$A33-1,1)-1)</f>
        <v>-1.8529522532745313E-2</v>
      </c>
      <c r="BO33" s="9">
        <f ca="1">IF(OR(BO6="",BO$28&lt;$A33),"",BO6/OFFSET(SSAutCLM!$A$2,MATCH(BO$29,SSAutCLM!$A$2:$A$500)+$A33-1,1)-1)</f>
        <v>-1.254125904067982E-2</v>
      </c>
      <c r="BP33" s="9">
        <f ca="1">IF(OR(BP6="",BP$28&lt;$A33),"",BP6/OFFSET(SSAutCLM!$A$2,MATCH(BP$29,SSAutCLM!$A$2:$A$500)+$A33-1,1)-1)</f>
        <v>-1.1254660465659372E-3</v>
      </c>
      <c r="BQ33" s="9">
        <f ca="1">IF(OR(BQ6="",BQ$28&lt;$A33),"",BQ6/OFFSET(SSAutCLM!$A$2,MATCH(BQ$29,SSAutCLM!$A$2:$A$500)+$A33-1,1)-1)</f>
        <v>-3.3243042270442169E-3</v>
      </c>
      <c r="BR33" s="9">
        <f ca="1">IF(OR(BR6="",BR$28&lt;$A33),"",BR6/OFFSET(SSAutCLM!$A$2,MATCH(BR$29,SSAutCLM!$A$2:$A$500)+$A33-1,1)-1)</f>
        <v>-4.7027026800897653E-3</v>
      </c>
      <c r="BS33" s="9">
        <f ca="1">IF(OR(BS6="",BS$28&lt;$A33),"",BS6/OFFSET(SSAutCLM!$A$2,MATCH(BS$29,SSAutCLM!$A$2:$A$500)+$A33-1,1)-1)</f>
        <v>-5.8466888397430417E-3</v>
      </c>
      <c r="BT33" s="9">
        <f ca="1">IF(OR(BT6="",BT$28&lt;$A33),"",BT6/OFFSET(SSAutCLM!$A$2,MATCH(BT$29,SSAutCLM!$A$2:$A$500)+$A33-1,1)-1)</f>
        <v>-1.16188493197521E-2</v>
      </c>
      <c r="BU33" s="9">
        <f ca="1">IF(OR(BU6="",BU$28&lt;$A33),"",BU6/OFFSET(SSAutCLM!$A$2,MATCH(BU$29,SSAutCLM!$A$2:$A$500)+$A33-1,1)-1)</f>
        <v>-4.2450584571614991E-3</v>
      </c>
      <c r="BV33" s="9">
        <f ca="1">IF(OR(BV6="",BV$28&lt;$A33),"",BV6/OFFSET(SSAutCLM!$A$2,MATCH(BV$29,SSAutCLM!$A$2:$A$500)+$A33-1,1)-1)</f>
        <v>-8.0123862509762223E-4</v>
      </c>
      <c r="BW33" s="9">
        <f ca="1">IF(OR(BW6="",BW$28&lt;$A33),"",BW6/OFFSET(SSAutCLM!$A$2,MATCH(BW$29,SSAutCLM!$A$2:$A$500)+$A33-1,1)-1)</f>
        <v>-4.0975890215313449E-3</v>
      </c>
      <c r="BX33" s="9">
        <f ca="1">IF(OR(BX6="",BX$28&lt;$A33),"",BX6/OFFSET(SSAutCLM!$A$2,MATCH(BX$29,SSAutCLM!$A$2:$A$500)+$A33-1,1)-1)</f>
        <v>-1.2713417360888823E-2</v>
      </c>
      <c r="BY33" s="9">
        <f ca="1">IF(OR(BY6="",BY$28&lt;$A33),"",BY6/OFFSET(SSAutCLM!$A$2,MATCH(BY$29,SSAutCLM!$A$2:$A$500)+$A33-1,1)-1)</f>
        <v>-9.8646595982531116E-3</v>
      </c>
      <c r="BZ33" s="9">
        <f ca="1">IF(OR(BZ6="",BZ$28&lt;$A33),"",BZ6/OFFSET(SSAutCLM!$A$2,MATCH(BZ$29,SSAutCLM!$A$2:$A$500)+$A33-1,1)-1)</f>
        <v>3.4386071766934201E-4</v>
      </c>
      <c r="CA33" s="9">
        <f ca="1">IF(OR(CA6="",CA$28&lt;$A33),"",CA6/OFFSET(SSAutCLM!$A$2,MATCH(CA$29,SSAutCLM!$A$2:$A$500)+$A33-1,1)-1)</f>
        <v>5.7212547551697135E-3</v>
      </c>
      <c r="CB33" s="9">
        <f ca="1">IF(OR(CB6="",CB$28&lt;$A33),"",CB6/OFFSET(SSAutCLM!$A$2,MATCH(CB$29,SSAutCLM!$A$2:$A$500)+$A33-1,1)-1)</f>
        <v>6.4888318280162949E-3</v>
      </c>
      <c r="CC33" s="9">
        <f ca="1">IF(OR(CC6="",CC$28&lt;$A33),"",CC6/OFFSET(SSAutCLM!$A$2,MATCH(CC$29,SSAutCLM!$A$2:$A$500)+$A33-1,1)-1)</f>
        <v>3.8560530832358886E-3</v>
      </c>
      <c r="CD33" s="9">
        <f ca="1">IF(OR(CD6="",CD$28&lt;$A33),"",CD6/OFFSET(SSAutCLM!$A$2,MATCH(CD$29,SSAutCLM!$A$2:$A$500)+$A33-1,1)-1)</f>
        <v>7.4539591578970388E-4</v>
      </c>
      <c r="CE33" s="9">
        <f ca="1">IF(OR(CE6="",CE$28&lt;$A33),"",CE6/OFFSET(SSAutCLM!$A$2,MATCH(CE$29,SSAutCLM!$A$2:$A$500)+$A33-1,1)-1)</f>
        <v>-5.6137353836138715E-5</v>
      </c>
      <c r="CF33" s="9">
        <f ca="1">IF(OR(CF6="",CF$28&lt;$A33),"",CF6/OFFSET(SSAutCLM!$A$2,MATCH(CF$29,SSAutCLM!$A$2:$A$500)+$A33-1,1)-1)</f>
        <v>4.1344237904170633E-3</v>
      </c>
      <c r="CG33" s="9">
        <f ca="1">IF(OR(CG6="",CG$28&lt;$A33),"",CG6/OFFSET(SSAutCLM!$A$2,MATCH(CG$29,SSAutCLM!$A$2:$A$500)+$A33-1,1)-1)</f>
        <v>-8.452074884532923E-4</v>
      </c>
      <c r="CH33" s="9">
        <f ca="1">IF(OR(CH6="",CH$28&lt;$A33),"",CH6/OFFSET(SSAutCLM!$A$2,MATCH(CH$29,SSAutCLM!$A$2:$A$500)+$A33-1,1)-1)</f>
        <v>-4.4932363083181048E-3</v>
      </c>
      <c r="CI33" s="9">
        <f ca="1">IF(OR(CI6="",CI$28&lt;$A33),"",CI6/OFFSET(SSAutCLM!$A$2,MATCH(CI$29,SSAutCLM!$A$2:$A$500)+$A33-1,1)-1)</f>
        <v>-4.3243315276714211E-3</v>
      </c>
      <c r="CJ33" s="9">
        <f ca="1">IF(OR(CJ6="",CJ$28&lt;$A33),"",CJ6/OFFSET(SSAutCLM!$A$2,MATCH(CJ$29,SSAutCLM!$A$2:$A$500)+$A33-1,1)-1)</f>
        <v>-1.0559022506136939E-2</v>
      </c>
      <c r="CK33" s="9">
        <f ca="1">IF(OR(CK6="",CK$28&lt;$A33),"",CK6/OFFSET(SSAutCLM!$A$2,MATCH(CK$29,SSAutCLM!$A$2:$A$500)+$A33-1,1)-1)</f>
        <v>-7.1897437861412339E-4</v>
      </c>
      <c r="CL33" s="9">
        <f ca="1">IF(OR(CL6="",CL$28&lt;$A33),"",CL6/OFFSET(SSAutCLM!$A$2,MATCH(CL$29,SSAutCLM!$A$2:$A$500)+$A33-1,1)-1)</f>
        <v>2.6918947587868391E-3</v>
      </c>
      <c r="CM33" s="9">
        <f ca="1">IF(OR(CM6="",CM$28&lt;$A33),"",CM6/OFFSET(SSAutCLM!$A$2,MATCH(CM$29,SSAutCLM!$A$2:$A$500)+$A33-1,1)-1)</f>
        <v>1.0066994885422398E-2</v>
      </c>
      <c r="CN33" s="9">
        <f ca="1">IF(OR(CN6="",CN$28&lt;$A33),"",CN6/OFFSET(SSAutCLM!$A$2,MATCH(CN$29,SSAutCLM!$A$2:$A$500)+$A33-1,1)-1)</f>
        <v>7.7832895242664346E-3</v>
      </c>
      <c r="CO33" s="9">
        <f ca="1">IF(OR(CO6="",CO$28&lt;$A33),"",CO6/OFFSET(SSAutCLM!$A$2,MATCH(CO$29,SSAutCLM!$A$2:$A$500)+$A33-1,1)-1)</f>
        <v>3.795894413032519E-3</v>
      </c>
      <c r="CP33" s="9">
        <f ca="1">IF(OR(CP6="",CP$28&lt;$A33),"",CP6/OFFSET(SSAutCLM!$A$2,MATCH(CP$29,SSAutCLM!$A$2:$A$500)+$A33-1,1)-1)</f>
        <v>1.4540261981266234E-4</v>
      </c>
      <c r="CQ33" s="9">
        <f ca="1">IF(OR(CQ6="",CQ$28&lt;$A33),"",CQ6/OFFSET(SSAutCLM!$A$2,MATCH(CQ$29,SSAutCLM!$A$2:$A$500)+$A33-1,1)-1)</f>
        <v>9.3393980425058309E-3</v>
      </c>
      <c r="CR33" s="9">
        <f ca="1">IF(OR(CR6="",CR$28&lt;$A33),"",CR6/OFFSET(SSAutCLM!$A$2,MATCH(CR$29,SSAutCLM!$A$2:$A$500)+$A33-1,1)-1)</f>
        <v>5.6810440990937572E-3</v>
      </c>
      <c r="CS33" s="9">
        <f ca="1">IF(OR(CS6="",CS$28&lt;$A33),"",CS6/OFFSET(SSAutCLM!$A$2,MATCH(CS$29,SSAutCLM!$A$2:$A$500)+$A33-1,1)-1)</f>
        <v>2.116537212166536E-3</v>
      </c>
      <c r="CT33" s="9">
        <f ca="1">IF(OR(CT6="",CT$28&lt;$A33),"",CT6/OFFSET(SSAutCLM!$A$2,MATCH(CT$29,SSAutCLM!$A$2:$A$500)+$A33-1,1)-1)</f>
        <v>-1.6442889280413597E-3</v>
      </c>
      <c r="CU33" s="9">
        <f ca="1">IF(OR(CU6="",CU$28&lt;$A33),"",CU6/OFFSET(SSAutCLM!$A$2,MATCH(CU$29,SSAutCLM!$A$2:$A$500)+$A33-1,1)-1)</f>
        <v>-2.0397705150224543E-2</v>
      </c>
      <c r="CV33" s="9">
        <f ca="1">IF(OR(CV6="",CV$28&lt;$A33),"",CV6/OFFSET(SSAutCLM!$A$2,MATCH(CV$29,SSAutCLM!$A$2:$A$500)+$A33-1,1)-1)</f>
        <v>-6.1540532225323741E-3</v>
      </c>
      <c r="CW33" s="9">
        <f ca="1">IF(OR(CW6="",CW$28&lt;$A33),"",CW6/OFFSET(SSAutCLM!$A$2,MATCH(CW$29,SSAutCLM!$A$2:$A$500)+$A33-1,1)-1)</f>
        <v>-2.6402872828277246E-3</v>
      </c>
      <c r="CX33" s="9">
        <f ca="1">IF(OR(CX6="",CX$28&lt;$A33),"",CX6/OFFSET(SSAutCLM!$A$2,MATCH(CX$29,SSAutCLM!$A$2:$A$500)+$A33-1,1)-1)</f>
        <v>2.1901758990960918E-3</v>
      </c>
      <c r="CY33" s="9">
        <f ca="1">IF(OR(CY6="",CY$28&lt;$A33),"",CY6/OFFSET(SSAutCLM!$A$2,MATCH(CY$29,SSAutCLM!$A$2:$A$500)+$A33-1,1)-1)</f>
        <v>2.2047552972002116E-3</v>
      </c>
      <c r="CZ33" s="9">
        <f ca="1">IF(OR(CZ6="",CZ$28&lt;$A33),"",CZ6/OFFSET(SSAutCLM!$A$2,MATCH(CZ$29,SSAutCLM!$A$2:$A$500)+$A33-1,1)-1)</f>
        <v>1.4831325033100029E-3</v>
      </c>
      <c r="DA33" s="9">
        <f ca="1">IF(OR(DA6="",DA$28&lt;$A33),"",DA6/OFFSET(SSAutCLM!$A$2,MATCH(DA$29,SSAutCLM!$A$2:$A$500)+$A33-1,1)-1)</f>
        <v>3.908071801020041E-3</v>
      </c>
      <c r="DB33" s="9">
        <f ca="1">IF(OR(DB6="",DB$28&lt;$A33),"",DB6/OFFSET(SSAutCLM!$A$2,MATCH(DB$29,SSAutCLM!$A$2:$A$500)+$A33-1,1)-1)</f>
        <v>-7.2404464565978266E-4</v>
      </c>
      <c r="DC33" s="9">
        <f ca="1">IF(OR(DC6="",DC$28&lt;$A33),"",DC6/OFFSET(SSAutCLM!$A$2,MATCH(DC$29,SSAutCLM!$A$2:$A$500)+$A33-1,1)-1)</f>
        <v>-2.1317412576900008E-3</v>
      </c>
      <c r="DD33" s="9">
        <f ca="1">IF(OR(DD6="",DD$28&lt;$A33),"",DD6/OFFSET(SSAutCLM!$A$2,MATCH(DD$29,SSAutCLM!$A$2:$A$500)+$A33-1,1)-1)</f>
        <v>2.8314128278834616E-3</v>
      </c>
      <c r="DE33" s="9">
        <f ca="1">IF(OR(DE6="",DE$28&lt;$A33),"",DE6/OFFSET(SSAutCLM!$A$2,MATCH(DE$29,SSAutCLM!$A$2:$A$500)+$A33-1,1)-1)</f>
        <v>-2.0047284541502286E-4</v>
      </c>
      <c r="DF33" s="9">
        <f ca="1">IF(OR(DF6="",DF$28&lt;$A33),"",DF6/OFFSET(SSAutCLM!$A$2,MATCH(DF$29,SSAutCLM!$A$2:$A$500)+$A33-1,1)-1)</f>
        <v>-1.3763562915197758E-3</v>
      </c>
      <c r="DG33" s="9">
        <f ca="1">IF(OR(DG6="",DG$28&lt;$A33),"",DG6/OFFSET(SSAutCLM!$A$2,MATCH(DG$29,SSAutCLM!$A$2:$A$500)+$A33-1,1)-1)</f>
        <v>-7.4959407345440709E-3</v>
      </c>
      <c r="DH33" s="9">
        <f ca="1">IF(OR(DH6="",DH$28&lt;$A33),"",DH6/OFFSET(SSAutCLM!$A$2,MATCH(DH$29,SSAutCLM!$A$2:$A$500)+$A33-1,1)-1)</f>
        <v>-1.3623237386904075E-2</v>
      </c>
      <c r="DI33" s="9">
        <f ca="1">IF(OR(DI6="",DI$28&lt;$A33),"",DI6/OFFSET(SSAutCLM!$A$2,MATCH(DI$29,SSAutCLM!$A$2:$A$500)+$A33-1,1)-1)</f>
        <v>-1.4181739341880717E-2</v>
      </c>
      <c r="DJ33" s="9">
        <f ca="1">IF(OR(DJ6="",DJ$28&lt;$A33),"",DJ6/OFFSET(SSAutCLM!$A$2,MATCH(DJ$29,SSAutCLM!$A$2:$A$500)+$A33-1,1)-1)</f>
        <v>-6.0310453398868535E-3</v>
      </c>
      <c r="DK33" s="9">
        <f ca="1">IF(OR(DK6="",DK$28&lt;$A33),"",DK6/OFFSET(SSAutCLM!$A$2,MATCH(DK$29,SSAutCLM!$A$2:$A$500)+$A33-1,1)-1)</f>
        <v>7.1031070164995214E-4</v>
      </c>
      <c r="DL33" s="9">
        <f ca="1">IF(OR(DL6="",DL$28&lt;$A33),"",DL6/OFFSET(SSAutCLM!$A$2,MATCH(DL$29,SSAutCLM!$A$2:$A$500)+$A33-1,1)-1)</f>
        <v>1.6247449633053357E-3</v>
      </c>
      <c r="DM33" s="9">
        <f ca="1">IF(OR(DM6="",DM$28&lt;$A33),"",DM6/OFFSET(SSAutCLM!$A$2,MATCH(DM$29,SSAutCLM!$A$2:$A$500)+$A33-1,1)-1)</f>
        <v>4.1323796780636801E-3</v>
      </c>
      <c r="DN33" s="9">
        <f ca="1">IF(OR(DN6="",DN$28&lt;$A33),"",DN6/OFFSET(SSAutCLM!$A$2,MATCH(DN$29,SSAutCLM!$A$2:$A$500)+$A33-1,1)-1)</f>
        <v>-6.5011878175086357E-3</v>
      </c>
      <c r="DO33" s="9">
        <f ca="1">IF(OR(DO6="",DO$28&lt;$A33),"",DO6/OFFSET(SSAutCLM!$A$2,MATCH(DO$29,SSAutCLM!$A$2:$A$500)+$A33-1,1)-1)</f>
        <v>-5.1004219210614155E-3</v>
      </c>
      <c r="DP33" s="9">
        <f ca="1">IF(OR(DP6="",DP$28&lt;$A33),"",DP6/OFFSET(SSAutCLM!$A$2,MATCH(DP$29,SSAutCLM!$A$2:$A$500)+$A33-1,1)-1)</f>
        <v>-2.0370534250170325E-3</v>
      </c>
      <c r="DQ33" s="9">
        <f ca="1">IF(OR(DQ6="",DQ$28&lt;$A33),"",DQ6/OFFSET(SSAutCLM!$A$2,MATCH(DQ$29,SSAutCLM!$A$2:$A$500)+$A33-1,1)-1)</f>
        <v>4.0431457485032851E-3</v>
      </c>
      <c r="DR33" s="9">
        <f ca="1">IF(OR(DR6="",DR$28&lt;$A33),"",DR6/OFFSET(SSAutCLM!$A$2,MATCH(DR$29,SSAutCLM!$A$2:$A$500)+$A33-1,1)-1)</f>
        <v>3.0426430240024782E-3</v>
      </c>
      <c r="DS33" s="9">
        <f ca="1">IF(OR(DS6="",DS$28&lt;$A33),"",DS6/OFFSET(SSAutCLM!$A$2,MATCH(DS$29,SSAutCLM!$A$2:$A$500)+$A33-1,1)-1)</f>
        <v>-1.554618687228948E-3</v>
      </c>
      <c r="DT33" s="9">
        <f ca="1">IF(OR(DT6="",DT$28&lt;$A33),"",DT6/OFFSET(SSAutCLM!$A$2,MATCH(DT$29,SSAutCLM!$A$2:$A$500)+$A33-1,1)-1)</f>
        <v>-1.2479597309890123E-3</v>
      </c>
      <c r="DU33" s="9">
        <f ca="1">IF(OR(DU6="",DU$28&lt;$A33),"",DU6/OFFSET(SSAutCLM!$A$2,MATCH(DU$29,SSAutCLM!$A$2:$A$500)+$A33-1,1)-1)</f>
        <v>3.4566220494647304E-4</v>
      </c>
      <c r="DV33" s="9">
        <f ca="1">IF(OR(DV6="",DV$28&lt;$A33),"",DV6/OFFSET(SSAutCLM!$A$2,MATCH(DV$29,SSAutCLM!$A$2:$A$500)+$A33-1,1)-1)</f>
        <v>6.7870049331506532E-3</v>
      </c>
      <c r="DW33" s="9">
        <f ca="1">IF(OR(DW6="",DW$28&lt;$A33),"",DW6/OFFSET(SSAutCLM!$A$2,MATCH(DW$29,SSAutCLM!$A$2:$A$500)+$A33-1,1)-1)</f>
        <v>5.6870069768670817E-3</v>
      </c>
      <c r="DX33" s="9">
        <f ca="1">IF(OR(DX6="",DX$28&lt;$A33),"",DX6/OFFSET(SSAutCLM!$A$2,MATCH(DX$29,SSAutCLM!$A$2:$A$500)+$A33-1,1)-1)</f>
        <v>4.3255175761425235E-3</v>
      </c>
      <c r="DY33" s="9" t="str">
        <f ca="1">IF(OR(DY6="",DY$28&lt;$A33),"",DY6/OFFSET(SSAutCLM!$A$2,MATCH(DY$29,SSAutCLM!$A$2:$A$500)+$A33-1,1)-1)</f>
        <v/>
      </c>
      <c r="DZ33" s="9" t="str">
        <f ca="1">IF(OR(DZ6="",DZ$28&lt;$A33),"",DZ6/OFFSET(SSAutCLM!$A$2,MATCH(DZ$29,SSAutCLM!$A$2:$A$500)+$A33-1,1)-1)</f>
        <v/>
      </c>
      <c r="EA33" s="9" t="str">
        <f ca="1">IF(OR(EA6="",EA$28&lt;$A33),"",EA6/OFFSET(SSAutCLM!$A$2,MATCH(EA$29,SSAutCLM!$A$2:$A$500)+$A33-1,1)-1)</f>
        <v/>
      </c>
      <c r="EB33" s="9" t="str">
        <f ca="1">IF(OR(EB6="",EB$28&lt;$A33),"",EB6/OFFSET(SSAutCLM!$A$2,MATCH(EB$29,SSAutCLM!$A$2:$A$500)+$A33-1,1)-1)</f>
        <v/>
      </c>
      <c r="EC33" s="9" t="str">
        <f ca="1">IF(OR(EC6="",EC$28&lt;$A33),"",EC6/OFFSET(SSAutCLM!$A$2,MATCH(EC$29,SSAutCLM!$A$2:$A$500)+$A33-1,1)-1)</f>
        <v/>
      </c>
      <c r="ED33" s="9" t="str">
        <f ca="1">IF(OR(ED6="",ED$28&lt;$A33),"",ED6/OFFSET(SSAutCLM!$A$2,MATCH(ED$29,SSAutCLM!$A$2:$A$500)+$A33-1,1)-1)</f>
        <v/>
      </c>
      <c r="EE33" s="9" t="str">
        <f ca="1">IF(OR(EE6="",EE$28&lt;$A33),"",EE6/OFFSET(SSAutCLM!$A$2,MATCH(EE$29,SSAutCLM!$A$2:$A$500)+$A33-1,1)-1)</f>
        <v/>
      </c>
      <c r="EF33" s="9" t="str">
        <f ca="1">IF(OR(EF6="",EF$28&lt;$A33),"",EF6/OFFSET(SSAutCLM!$A$2,MATCH(EF$29,SSAutCLM!$A$2:$A$500)+$A33-1,1)-1)</f>
        <v/>
      </c>
      <c r="EG33" s="9">
        <f ca="1">IF(OR(EG6="",EG$28&lt;$A33),"",EG6/OFFSET(SSAutCLM!$A$2,MATCH(EG$29,SSAutCLM!$A$2:$A$500)+$A33-1,1)-1)</f>
        <v>-1.883353796003906E-3</v>
      </c>
      <c r="EH33" s="9">
        <f ca="1">IF(OR(EH6="",EH$28&lt;$A33),"",EH6/OFFSET(SSAutCLM!$A$2,MATCH(EH$29,SSAutCLM!$A$2:$A$500)+$A33-1,1)-1)</f>
        <v>3.1305945803663526E-3</v>
      </c>
      <c r="EI33" s="9">
        <f ca="1">IF(OR(EI6="",EI$28&lt;$A33),"",EI6/OFFSET(SSAutCLM!$A$2,MATCH(EI$29,SSAutCLM!$A$2:$A$500)+$A33-1,1)-1)</f>
        <v>4.6782258343969207E-3</v>
      </c>
      <c r="EJ33" s="9">
        <f ca="1">IF(OR(EJ6="",EJ$28&lt;$A33),"",EJ6/OFFSET(SSAutCLM!$A$2,MATCH(EJ$29,SSAutCLM!$A$2:$A$500)+$A33-1,1)-1)</f>
        <v>5.5164691187681303E-3</v>
      </c>
      <c r="EK33" s="9">
        <f ca="1">IF(OR(EK6="",EK$28&lt;$A33),"",EK6/OFFSET(SSAutCLM!$A$2,MATCH(EK$29,SSAutCLM!$A$2:$A$500)+$A33-1,1)-1)</f>
        <v>2.1824609164446951E-3</v>
      </c>
      <c r="EL33" s="9">
        <f ca="1">IF(OR(EL6="",EL$28&lt;$A33),"",EL6/OFFSET(SSAutCLM!$A$2,MATCH(EL$29,SSAutCLM!$A$2:$A$500)+$A33-1,1)-1)</f>
        <v>7.2872803895565053E-3</v>
      </c>
      <c r="EM33" s="9">
        <f ca="1">IF(OR(EM6="",EM$28&lt;$A33),"",EM6/OFFSET(SSAutCLM!$A$2,MATCH(EM$29,SSAutCLM!$A$2:$A$500)+$A33-1,1)-1)</f>
        <v>2.4849775963764476E-3</v>
      </c>
      <c r="EN33" s="9">
        <f ca="1">IF(OR(EN6="",EN$28&lt;$A33),"",EN6/OFFSET(SSAutCLM!$A$2,MATCH(EN$29,SSAutCLM!$A$2:$A$500)+$A33-1,1)-1)</f>
        <v>4.0611487315667105E-4</v>
      </c>
      <c r="EO33" s="9">
        <f ca="1">IF(OR(EO6="",EO$28&lt;$A33),"",EO6/OFFSET(SSAutCLM!$A$2,MATCH(EO$29,SSAutCLM!$A$2:$A$500)+$A33-1,1)-1)</f>
        <v>1.233415441780128E-3</v>
      </c>
      <c r="EP33" s="9">
        <f ca="1">IF(OR(EP6="",EP$28&lt;$A33),"",EP6/OFFSET(SSAutCLM!$A$2,MATCH(EP$29,SSAutCLM!$A$2:$A$500)+$A33-1,1)-1)</f>
        <v>-1.3267523235226286E-2</v>
      </c>
      <c r="EQ33" s="9">
        <f ca="1">IF(OR(EQ6="",EQ$28&lt;$A33),"",EQ6/OFFSET(SSAutCLM!$A$2,MATCH(EQ$29,SSAutCLM!$A$2:$A$500)+$A33-1,1)-1)</f>
        <v>-3.1331313208473599E-3</v>
      </c>
      <c r="ER33" s="9">
        <f ca="1">IF(OR(ER6="",ER$28&lt;$A33),"",ER6/OFFSET(SSAutCLM!$A$2,MATCH(ER$29,SSAutCLM!$A$2:$A$500)+$A33-1,1)-1)</f>
        <v>6.1601865010454393E-3</v>
      </c>
      <c r="ES33" s="9">
        <f ca="1">IF(OR(ES6="",ES$28&lt;$A33),"",ES6/OFFSET(SSAutCLM!$A$2,MATCH(ES$29,SSAutCLM!$A$2:$A$500)+$A33-1,1)-1)</f>
        <v>4.821207152292839E-3</v>
      </c>
      <c r="ET33" s="9">
        <f ca="1">IF(OR(ET6="",ET$28&lt;$A33),"",ET6/OFFSET(SSAutCLM!$A$2,MATCH(ET$29,SSAutCLM!$A$2:$A$500)+$A33-1,1)-1)</f>
        <v>1.6145233011199966E-3</v>
      </c>
      <c r="EU33" s="9">
        <f ca="1">IF(OR(EU6="",EU$28&lt;$A33),"",EU6/OFFSET(SSAutCLM!$A$2,MATCH(EU$29,SSAutCLM!$A$2:$A$500)+$A33-1,1)-1)</f>
        <v>3.9923470253582227E-3</v>
      </c>
      <c r="EV33" s="9">
        <f ca="1">IF(OR(EV6="",EV$28&lt;$A33),"",EV6/OFFSET(SSAutCLM!$A$2,MATCH(EV$29,SSAutCLM!$A$2:$A$500)+$A33-1,1)-1)</f>
        <v>1.1921742014422421E-3</v>
      </c>
      <c r="EW33" s="9">
        <f ca="1">IF(OR(EW6="",EW$28&lt;$A33),"",EW6/OFFSET(SSAutCLM!$A$2,MATCH(EW$29,SSAutCLM!$A$2:$A$500)+$A33-1,1)-1)</f>
        <v>-1.3848605427639882E-3</v>
      </c>
      <c r="EX33" s="9">
        <f ca="1">IF(OR(EX6="",EX$28&lt;$A33),"",EX6/OFFSET(SSAutCLM!$A$2,MATCH(EX$29,SSAutCLM!$A$2:$A$500)+$A33-1,1)-1)</f>
        <v>9.374595732825064E-5</v>
      </c>
      <c r="EY33" s="9">
        <f ca="1">IF(OR(EY6="",EY$28&lt;$A33),"",EY6/OFFSET(SSAutCLM!$A$2,MATCH(EY$29,SSAutCLM!$A$2:$A$500)+$A33-1,1)-1)</f>
        <v>-2.7129321952547025E-3</v>
      </c>
      <c r="EZ33" s="9">
        <f ca="1">IF(OR(EZ6="",EZ$28&lt;$A33),"",EZ6/OFFSET(SSAutCLM!$A$2,MATCH(EZ$29,SSAutCLM!$A$2:$A$500)+$A33-1,1)-1)</f>
        <v>-8.5182303164899054E-4</v>
      </c>
      <c r="FA33" s="9">
        <f ca="1">IF(OR(FA6="",FA$28&lt;$A33),"",FA6/OFFSET(SSAutCLM!$A$2,MATCH(FA$29,SSAutCLM!$A$2:$A$500)+$A33-1,1)-1)</f>
        <v>2.2846947925783123E-3</v>
      </c>
      <c r="FB33" s="9">
        <f ca="1">IF(OR(FB6="",FB$28&lt;$A33),"",FB6/OFFSET(SSAutCLM!$A$2,MATCH(FB$29,SSAutCLM!$A$2:$A$500)+$A33-1,1)-1)</f>
        <v>-5.7443108448296254E-4</v>
      </c>
      <c r="FC33" s="9">
        <f ca="1">IF(OR(FC6="",FC$28&lt;$A33),"",FC6/OFFSET(SSAutCLM!$A$2,MATCH(FC$29,SSAutCLM!$A$2:$A$500)+$A33-1,1)-1)</f>
        <v>-4.6644338272641139E-3</v>
      </c>
      <c r="FD33" s="9">
        <f ca="1">IF(OR(FD6="",FD$28&lt;$A33),"",FD6/OFFSET(SSAutCLM!$A$2,MATCH(FD$29,SSAutCLM!$A$2:$A$500)+$A33-1,1)-1)</f>
        <v>-7.7157148587470026E-5</v>
      </c>
      <c r="FE33" s="9">
        <f ca="1">IF(OR(FE6="",FE$28&lt;$A33),"",FE6/OFFSET(SSAutCLM!$A$2,MATCH(FE$29,SSAutCLM!$A$2:$A$500)+$A33-1,1)-1)</f>
        <v>3.7799780171252628E-3</v>
      </c>
      <c r="FF33" s="9">
        <f ca="1">IF(OR(FF6="",FF$28&lt;$A33),"",FF6/OFFSET(SSAutCLM!$A$2,MATCH(FF$29,SSAutCLM!$A$2:$A$500)+$A33-1,1)-1)</f>
        <v>4.8098452824101301E-3</v>
      </c>
      <c r="FG33" s="9">
        <f ca="1">IF(OR(FG6="",FG$28&lt;$A33),"",FG6/OFFSET(SSAutCLM!$A$2,MATCH(FG$29,SSAutCLM!$A$2:$A$500)+$A33-1,1)-1)</f>
        <v>6.8853582234256194E-3</v>
      </c>
      <c r="FH33" s="9">
        <f ca="1">IF(OR(FH6="",FH$28&lt;$A33),"",FH6/OFFSET(SSAutCLM!$A$2,MATCH(FH$29,SSAutCLM!$A$2:$A$500)+$A33-1,1)-1)</f>
        <v>4.8432351236824545E-3</v>
      </c>
      <c r="FI33" s="9">
        <f ca="1">IF(OR(FI6="",FI$28&lt;$A33),"",FI6/OFFSET(SSAutCLM!$A$2,MATCH(FI$29,SSAutCLM!$A$2:$A$500)+$A33-1,1)-1)</f>
        <v>-3.0758610457387592E-3</v>
      </c>
      <c r="FJ33" s="9">
        <f ca="1">IF(OR(FJ6="",FJ$28&lt;$A33),"",FJ6/OFFSET(SSAutCLM!$A$2,MATCH(FJ$29,SSAutCLM!$A$2:$A$500)+$A33-1,1)-1)</f>
        <v>-5.97934208003148E-3</v>
      </c>
      <c r="FK33" s="9">
        <f ca="1">IF(OR(FK6="",FK$28&lt;$A33),"",FK6/OFFSET(SSAutCLM!$A$2,MATCH(FK$29,SSAutCLM!$A$2:$A$500)+$A33-1,1)-1)</f>
        <v>-5.517370469687588E-5</v>
      </c>
      <c r="FL33" s="9">
        <f ca="1">IF(OR(FL6="",FL$28&lt;$A33),"",FL6/OFFSET(SSAutCLM!$A$2,MATCH(FL$29,SSAutCLM!$A$2:$A$500)+$A33-1,1)-1)</f>
        <v>-6.0062458628248327E-3</v>
      </c>
      <c r="FM33" s="9">
        <f ca="1">IF(OR(FM6="",FM$28&lt;$A33),"",FM6/OFFSET(SSAutCLM!$A$2,MATCH(FM$29,SSAutCLM!$A$2:$A$500)+$A33-1,1)-1)</f>
        <v>-8.5578918446098662E-3</v>
      </c>
      <c r="FN33" s="9">
        <f ca="1">IF(OR(FN6="",FN$28&lt;$A33),"",FN6/OFFSET(SSAutCLM!$A$2,MATCH(FN$29,SSAutCLM!$A$2:$A$500)+$A33-1,1)-1)</f>
        <v>-8.7137735842519604E-3</v>
      </c>
      <c r="FO33" s="9">
        <f ca="1">IF(OR(FO6="",FO$28&lt;$A33),"",FO6/OFFSET(SSAutCLM!$A$2,MATCH(FO$29,SSAutCLM!$A$2:$A$500)+$A33-1,1)-1)</f>
        <v>-3.3808541344065857E-3</v>
      </c>
      <c r="FP33" s="9">
        <f ca="1">IF(OR(FP6="",FP$28&lt;$A33),"",FP6/OFFSET(SSAutCLM!$A$2,MATCH(FP$29,SSAutCLM!$A$2:$A$500)+$A33-1,1)-1)</f>
        <v>8.9265569860264016E-3</v>
      </c>
      <c r="FQ33" s="9">
        <f ca="1">IF(OR(FQ6="",FQ$28&lt;$A33),"",FQ6/OFFSET(SSAutCLM!$A$2,MATCH(FQ$29,SSAutCLM!$A$2:$A$500)+$A33-1,1)-1)</f>
        <v>6.311946873892138E-3</v>
      </c>
      <c r="FR33" s="9">
        <f ca="1">IF(OR(FR6="",FR$28&lt;$A33),"",FR6/OFFSET(SSAutCLM!$A$2,MATCH(FR$29,SSAutCLM!$A$2:$A$500)+$A33-1,1)-1)</f>
        <v>5.2464940268006632E-3</v>
      </c>
      <c r="FS33" s="9">
        <f ca="1">IF(OR(FS6="",FS$28&lt;$A33),"",FS6/OFFSET(SSAutCLM!$A$2,MATCH(FS$29,SSAutCLM!$A$2:$A$500)+$A33-1,1)-1)</f>
        <v>4.7368649507977256E-3</v>
      </c>
      <c r="FT33" s="9">
        <f ca="1">IF(OR(FT6="",FT$28&lt;$A33),"",FT6/OFFSET(SSAutCLM!$A$2,MATCH(FT$29,SSAutCLM!$A$2:$A$500)+$A33-1,1)-1)</f>
        <v>5.2872382124702355E-4</v>
      </c>
      <c r="FU33" s="9">
        <f ca="1">IF(OR(FU6="",FU$28&lt;$A33),"",FU6/OFFSET(SSAutCLM!$A$2,MATCH(FU$29,SSAutCLM!$A$2:$A$500)+$A33-1,1)-1)</f>
        <v>-3.5367117738970277E-3</v>
      </c>
      <c r="FV33" s="9">
        <f ca="1">IF(OR(FV6="",FV$28&lt;$A33),"",FV6/OFFSET(SSAutCLM!$A$2,MATCH(FV$29,SSAutCLM!$A$2:$A$500)+$A33-1,1)-1)</f>
        <v>-4.9845657407411315E-3</v>
      </c>
      <c r="FW33" s="9">
        <f ca="1">IF(OR(FW6="",FW$28&lt;$A33),"",FW6/OFFSET(SSAutCLM!$A$2,MATCH(FW$29,SSAutCLM!$A$2:$A$500)+$A33-1,1)-1)</f>
        <v>4.1472815041010413E-4</v>
      </c>
      <c r="FX33" s="9">
        <f ca="1">IF(OR(FX6="",FX$28&lt;$A33),"",FX6/OFFSET(SSAutCLM!$A$2,MATCH(FX$29,SSAutCLM!$A$2:$A$500)+$A33-1,1)-1)</f>
        <v>4.9344116994085585E-3</v>
      </c>
      <c r="FY33" s="9">
        <f ca="1">IF(OR(FY6="",FY$28&lt;$A33),"",FY6/OFFSET(SSAutCLM!$A$2,MATCH(FY$29,SSAutCLM!$A$2:$A$500)+$A33-1,1)-1)</f>
        <v>5.5621505406617811E-3</v>
      </c>
      <c r="FZ33" s="9">
        <f ca="1">IF(OR(FZ6="",FZ$28&lt;$A33),"",FZ6/OFFSET(SSAutCLM!$A$2,MATCH(FZ$29,SSAutCLM!$A$2:$A$500)+$A33-1,1)-1)</f>
        <v>9.3304836153644821E-3</v>
      </c>
      <c r="GA33" s="9">
        <f ca="1">IF(OR(GA6="",GA$28&lt;$A33),"",GA6/OFFSET(SSAutCLM!$A$2,MATCH(GA$29,SSAutCLM!$A$2:$A$500)+$A33-1,1)-1)</f>
        <v>1.4274058872814077E-3</v>
      </c>
      <c r="GB33" s="9">
        <f ca="1">IF(OR(GB6="",GB$28&lt;$A33),"",GB6/OFFSET(SSAutCLM!$A$2,MATCH(GB$29,SSAutCLM!$A$2:$A$500)+$A33-1,1)-1)</f>
        <v>-1.63507519537609E-3</v>
      </c>
      <c r="GC33" s="9">
        <f ca="1">IF(OR(GC6="",GC$28&lt;$A33),"",GC6/OFFSET(SSAutCLM!$A$2,MATCH(GC$29,SSAutCLM!$A$2:$A$500)+$A33-1,1)-1)</f>
        <v>-5.5584342906508377E-3</v>
      </c>
      <c r="GD33" s="9">
        <f ca="1">IF(OR(GD6="",GD$28&lt;$A33),"",GD6/OFFSET(SSAutCLM!$A$2,MATCH(GD$29,SSAutCLM!$A$2:$A$500)+$A33-1,1)-1)</f>
        <v>-4.3263118619782936E-3</v>
      </c>
      <c r="GE33" s="9">
        <f ca="1">IF(OR(GE6="",GE$28&lt;$A33),"",GE6/OFFSET(SSAutCLM!$A$2,MATCH(GE$29,SSAutCLM!$A$2:$A$500)+$A33-1,1)-1)</f>
        <v>-4.2882260306077447E-3</v>
      </c>
      <c r="GF33" s="9">
        <f ca="1">IF(OR(GF6="",GF$28&lt;$A33),"",GF6/OFFSET(SSAutCLM!$A$2,MATCH(GF$29,SSAutCLM!$A$2:$A$500)+$A33-1,1)-1)</f>
        <v>-8.5885087940595906E-4</v>
      </c>
      <c r="GG33" s="9">
        <f ca="1">IF(OR(GG6="",GG$28&lt;$A33),"",GG6/OFFSET(SSAutCLM!$A$2,MATCH(GG$29,SSAutCLM!$A$2:$A$500)+$A33-1,1)-1)</f>
        <v>-6.7037143049619718E-4</v>
      </c>
      <c r="GH33" s="9">
        <f ca="1">IF(OR(GH6="",GH$28&lt;$A33),"",GH6/OFFSET(SSAutCLM!$A$2,MATCH(GH$29,SSAutCLM!$A$2:$A$500)+$A33-1,1)-1)</f>
        <v>-3.0715740885651766E-3</v>
      </c>
      <c r="GI33" s="9">
        <f ca="1">IF(OR(GI6="",GI$28&lt;$A33),"",GI6/OFFSET(SSAutCLM!$A$2,MATCH(GI$29,SSAutCLM!$A$2:$A$500)+$A33-1,1)-1)</f>
        <v>-1.8913691423687595E-3</v>
      </c>
      <c r="GJ33" s="9">
        <f ca="1">IF(OR(GJ6="",GJ$28&lt;$A33),"",GJ6/OFFSET(SSAutCLM!$A$2,MATCH(GJ$29,SSAutCLM!$A$2:$A$500)+$A33-1,1)-1)</f>
        <v>-3.0788481649319799E-3</v>
      </c>
      <c r="GK33" s="9">
        <f ca="1">IF(OR(GK6="",GK$28&lt;$A33),"",GK6/OFFSET(SSAutCLM!$A$2,MATCH(GK$29,SSAutCLM!$A$2:$A$500)+$A33-1,1)-1)</f>
        <v>3.9665717000250122E-3</v>
      </c>
      <c r="GL33" s="9">
        <f ca="1">IF(OR(GL6="",GL$28&lt;$A33),"",GL6/OFFSET(SSAutCLM!$A$2,MATCH(GL$29,SSAutCLM!$A$2:$A$500)+$A33-1,1)-1)</f>
        <v>2.8106957535819044E-2</v>
      </c>
      <c r="GM33" s="9">
        <f ca="1">IF(OR(GM6="",GM$28&lt;$A33),"",GM6/OFFSET(SSAutCLM!$A$2,MATCH(GM$29,SSAutCLM!$A$2:$A$500)+$A33-1,1)-1)</f>
        <v>2.3348415580680015E-2</v>
      </c>
      <c r="GN33" s="9">
        <f ca="1">IF(OR(GN6="",GN$28&lt;$A33),"",GN6/OFFSET(SSAutCLM!$A$2,MATCH(GN$29,SSAutCLM!$A$2:$A$500)+$A33-1,1)-1)</f>
        <v>2.2292482214063547E-2</v>
      </c>
      <c r="GO33" s="9">
        <f ca="1">IF(OR(GO6="",GO$28&lt;$A33),"",GO6/OFFSET(SSAutCLM!$A$2,MATCH(GO$29,SSAutCLM!$A$2:$A$500)+$A33-1,1)-1)</f>
        <v>1.9036570767887451E-3</v>
      </c>
      <c r="GP33" s="9">
        <f ca="1">IF(OR(GP6="",GP$28&lt;$A33),"",GP6/OFFSET(SSAutCLM!$A$2,MATCH(GP$29,SSAutCLM!$A$2:$A$500)+$A33-1,1)-1)</f>
        <v>-3.3364118892063144E-2</v>
      </c>
      <c r="GQ33" s="9">
        <f ca="1">IF(OR(GQ6="",GQ$28&lt;$A33),"",GQ6/OFFSET(SSAutCLM!$A$2,MATCH(GQ$29,SSAutCLM!$A$2:$A$500)+$A33-1,1)-1)</f>
        <v>-2.3304632048754881E-2</v>
      </c>
      <c r="GR33" s="9">
        <f ca="1">IF(OR(GR6="",GR$28&lt;$A33),"",GR6/OFFSET(SSAutCLM!$A$2,MATCH(GR$29,SSAutCLM!$A$2:$A$500)+$A33-1,1)-1)</f>
        <v>-1.1543474740730919E-2</v>
      </c>
      <c r="GS33" s="9">
        <f ca="1">IF(OR(GS6="",GS$28&lt;$A33),"",GS6/OFFSET(SSAutCLM!$A$2,MATCH(GS$29,SSAutCLM!$A$2:$A$500)+$A33-1,1)-1)</f>
        <v>2.0439142509176556E-4</v>
      </c>
      <c r="GT33" s="9">
        <f ca="1">IF(OR(GT6="",GT$28&lt;$A33),"",GT6/OFFSET(SSAutCLM!$A$2,MATCH(GT$29,SSAutCLM!$A$2:$A$500)+$A33-1,1)-1)</f>
        <v>4.1987187947498672E-3</v>
      </c>
      <c r="GU33" s="9">
        <f ca="1">IF(OR(GU6="",GU$28&lt;$A33),"",GU6/OFFSET(SSAutCLM!$A$2,MATCH(GU$29,SSAutCLM!$A$2:$A$500)+$A33-1,1)-1)</f>
        <v>2.6714644459144843E-3</v>
      </c>
      <c r="GV33" s="9" t="str">
        <f ca="1">IF(OR(GV6="",GV$28&lt;$A33),"",GV6/OFFSET(SSAutCLM!$A$2,MATCH(GV$29,SSAutCLM!$A$2:$A$500)+$A33-1,1)-1)</f>
        <v/>
      </c>
      <c r="GW33" s="9" t="str">
        <f ca="1">IF(OR(GW6="",GW$28&lt;$A33),"",GW6/OFFSET(SSAutCLM!$A$2,MATCH(GW$29,SSAutCLM!$A$2:$A$500)+$A33-1,1)-1)</f>
        <v/>
      </c>
      <c r="GX33" s="9" t="str">
        <f ca="1">IF(OR(GX6="",GX$28&lt;$A33),"",GX6/OFFSET(SSAutCLM!$A$2,MATCH(GX$29,SSAutCLM!$A$2:$A$500)+$A33-1,1)-1)</f>
        <v/>
      </c>
      <c r="GY33" s="9" t="str">
        <f ca="1">IF(OR(GY6="",GY$28&lt;$A33),"",GY6/OFFSET(SSAutCLM!$A$2,MATCH(GY$29,SSAutCLM!$A$2:$A$500)+$A33-1,1)-1)</f>
        <v/>
      </c>
      <c r="GZ33" s="9" t="str">
        <f ca="1">IF(OR(GZ6="",GZ$28&lt;$A33),"",GZ6/OFFSET(SSAutCLM!$A$2,MATCH(GZ$29,SSAutCLM!$A$2:$A$500)+$A33-1,1)-1)</f>
        <v/>
      </c>
      <c r="HA33" s="9" t="str">
        <f ca="1">IF(OR(HA6="",HA$28&lt;$A33),"",HA6/OFFSET(SSAutCLM!$A$2,MATCH(HA$29,SSAutCLM!$A$2:$A$500)+$A33-1,1)-1)</f>
        <v/>
      </c>
      <c r="HB33" s="9" t="str">
        <f ca="1">IF(OR(HB6="",HB$28&lt;$A33),"",HB6/OFFSET(SSAutCLM!$A$2,MATCH(HB$29,SSAutCLM!$A$2:$A$500)+$A33-1,1)-1)</f>
        <v/>
      </c>
      <c r="HC33" s="9" t="str">
        <f ca="1">IF(OR(HC6="",HC$28&lt;$A33),"",HC6/OFFSET(SSAutCLM!$A$2,MATCH(HC$29,SSAutCLM!$A$2:$A$500)+$A33-1,1)-1)</f>
        <v/>
      </c>
      <c r="HD33" s="9" t="str">
        <f ca="1">IF(OR(HD6="",HD$28&lt;$A33),"",HD6/OFFSET(SSAutCLM!$A$2,MATCH(HD$29,SSAutCLM!$A$2:$A$500)+$A33-1,1)-1)</f>
        <v/>
      </c>
      <c r="HE33" s="9" t="str">
        <f ca="1">IF(OR(HE6="",HE$28&lt;$A33),"",HE6/OFFSET(SSAutCLM!$A$2,MATCH(HE$29,SSAutCLM!$A$2:$A$500)+$A33-1,1)-1)</f>
        <v/>
      </c>
      <c r="HF33" s="9" t="str">
        <f ca="1">IF(OR(HF6="",HF$28&lt;$A33),"",HF6/OFFSET(SSAutCLM!$A$2,MATCH(HF$29,SSAutCLM!$A$2:$A$500)+$A33-1,1)-1)</f>
        <v/>
      </c>
      <c r="HG33" s="9" t="str">
        <f ca="1">IF(OR(HG6="",HG$28&lt;$A33),"",HG6/OFFSET(SSAutCLM!$A$2,MATCH(HG$29,SSAutCLM!$A$2:$A$500)+$A33-1,1)-1)</f>
        <v/>
      </c>
      <c r="HH33" s="9" t="str">
        <f ca="1">IF(OR(HH6="",HH$28&lt;$A33),"",HH6/OFFSET(SSAutCLM!$A$2,MATCH(HH$29,SSAutCLM!$A$2:$A$500)+$A33-1,1)-1)</f>
        <v/>
      </c>
      <c r="HI33" s="9" t="str">
        <f ca="1">IF(OR(HI6="",HI$28&lt;$A33),"",HI6/OFFSET(SSAutCLM!$A$2,MATCH(HI$29,SSAutCLM!$A$2:$A$500)+$A33-1,1)-1)</f>
        <v/>
      </c>
      <c r="HJ33" s="9" t="str">
        <f ca="1">IF(OR(HJ6="",HJ$28&lt;$A33),"",HJ6/OFFSET(SSAutCLM!$A$2,MATCH(HJ$29,SSAutCLM!$A$2:$A$500)+$A33-1,1)-1)</f>
        <v/>
      </c>
      <c r="HK33" s="9" t="str">
        <f ca="1">IF(OR(HK6="",HK$28&lt;$A33),"",HK6/OFFSET(SSAutCLM!$A$2,MATCH(HK$29,SSAutCLM!$A$2:$A$500)+$A33-1,1)-1)</f>
        <v/>
      </c>
      <c r="HL33" s="9" t="str">
        <f ca="1">IF(OR(HL6="",HL$28&lt;$A33),"",HL6/OFFSET(SSAutCLM!$A$2,MATCH(HL$29,SSAutCLM!$A$2:$A$500)+$A33-1,1)-1)</f>
        <v/>
      </c>
      <c r="HM33" s="9" t="str">
        <f ca="1">IF(OR(HM6="",HM$28&lt;$A33),"",HM6/OFFSET(SSAutCLM!$A$2,MATCH(HM$29,SSAutCLM!$A$2:$A$500)+$A33-1,1)-1)</f>
        <v/>
      </c>
      <c r="HN33" s="9" t="str">
        <f ca="1">IF(OR(HN6="",HN$28&lt;$A33),"",HN6/OFFSET(SSAutCLM!$A$2,MATCH(HN$29,SSAutCLM!$A$2:$A$500)+$A33-1,1)-1)</f>
        <v/>
      </c>
      <c r="HO33" s="9" t="str">
        <f ca="1">IF(OR(HO6="",HO$28&lt;$A33),"",HO6/OFFSET(SSAutCLM!$A$2,MATCH(HO$29,SSAutCLM!$A$2:$A$500)+$A33-1,1)-1)</f>
        <v/>
      </c>
      <c r="HP33" s="9" t="str">
        <f ca="1">IF(OR(HP6="",HP$28&lt;$A33),"",HP6/OFFSET(SSAutCLM!$A$2,MATCH(HP$29,SSAutCLM!$A$2:$A$500)+$A33-1,1)-1)</f>
        <v/>
      </c>
      <c r="HQ33" s="9" t="str">
        <f ca="1">IF(OR(HQ6="",HQ$28&lt;$A33),"",HQ6/OFFSET(SSAutCLM!$A$2,MATCH(HQ$29,SSAutCLM!$A$2:$A$500)+$A33-1,1)-1)</f>
        <v/>
      </c>
      <c r="HR33" s="9" t="str">
        <f ca="1">IF(OR(HR6="",HR$28&lt;$A33),"",HR6/OFFSET(SSAutCLM!$A$2,MATCH(HR$29,SSAutCLM!$A$2:$A$500)+$A33-1,1)-1)</f>
        <v/>
      </c>
      <c r="HS33" s="9" t="str">
        <f ca="1">IF(OR(HS6="",HS$28&lt;$A33),"",HS6/OFFSET(SSAutCLM!$A$2,MATCH(HS$29,SSAutCLM!$A$2:$A$500)+$A33-1,1)-1)</f>
        <v/>
      </c>
      <c r="HT33" s="9" t="str">
        <f ca="1">IF(OR(HT6="",HT$28&lt;$A33),"",HT6/OFFSET(SSAutCLM!$A$2,MATCH(HT$29,SSAutCLM!$A$2:$A$500)+$A33-1,1)-1)</f>
        <v/>
      </c>
      <c r="HU33" s="9" t="str">
        <f ca="1">IF(OR(HU6="",HU$28&lt;$A33),"",HU6/OFFSET(SSAutCLM!$A$2,MATCH(HU$29,SSAutCLM!$A$2:$A$500)+$A33-1,1)-1)</f>
        <v/>
      </c>
      <c r="HV33" s="9" t="str">
        <f ca="1">IF(OR(HV6="",HV$28&lt;$A33),"",HV6/OFFSET(SSAutCLM!$A$2,MATCH(HV$29,SSAutCLM!$A$2:$A$500)+$A33-1,1)-1)</f>
        <v/>
      </c>
      <c r="HW33" s="9" t="str">
        <f ca="1">IF(OR(HW6="",HW$28&lt;$A33),"",HW6/OFFSET(SSAutCLM!$A$2,MATCH(HW$29,SSAutCLM!$A$2:$A$500)+$A33-1,1)-1)</f>
        <v/>
      </c>
      <c r="HX33" s="9" t="str">
        <f ca="1">IF(OR(HX6="",HX$28&lt;$A33),"",HX6/OFFSET(SSAutCLM!$A$2,MATCH(HX$29,SSAutCLM!$A$2:$A$500)+$A33-1,1)-1)</f>
        <v/>
      </c>
      <c r="HY33" s="9" t="str">
        <f ca="1">IF(OR(HY6="",HY$28&lt;$A33),"",HY6/OFFSET(SSAutCLM!$A$2,MATCH(HY$29,SSAutCLM!$A$2:$A$500)+$A33-1,1)-1)</f>
        <v/>
      </c>
      <c r="HZ33" s="9" t="str">
        <f ca="1">IF(OR(HZ6="",HZ$28&lt;$A33),"",HZ6/OFFSET(SSAutCLM!$A$2,MATCH(HZ$29,SSAutCLM!$A$2:$A$500)+$A33-1,1)-1)</f>
        <v/>
      </c>
      <c r="IA33" s="9" t="str">
        <f ca="1">IF(OR(IA6="",IA$28&lt;$A33),"",IA6/OFFSET(SSAutCLM!$A$2,MATCH(IA$29,SSAutCLM!$A$2:$A$500)+$A33-1,1)-1)</f>
        <v/>
      </c>
      <c r="IB33" s="9" t="str">
        <f ca="1">IF(OR(IB6="",IB$28&lt;$A33),"",IB6/OFFSET(SSAutCLM!$A$2,MATCH(IB$29,SSAutCLM!$A$2:$A$500)+$A33-1,1)-1)</f>
        <v/>
      </c>
      <c r="IC33" s="9" t="str">
        <f ca="1">IF(OR(IC6="",IC$28&lt;$A33),"",IC6/OFFSET(SSAutCLM!$A$2,MATCH(IC$29,SSAutCLM!$A$2:$A$500)+$A33-1,1)-1)</f>
        <v/>
      </c>
      <c r="ID33" s="9" t="str">
        <f ca="1">IF(OR(ID6="",ID$28&lt;$A33),"",ID6/OFFSET(SSAutCLM!$A$2,MATCH(ID$29,SSAutCLM!$A$2:$A$500)+$A33-1,1)-1)</f>
        <v/>
      </c>
      <c r="IE33" s="9" t="str">
        <f ca="1">IF(OR(IE6="",IE$28&lt;$A33),"",IE6/OFFSET(SSAutCLM!$A$2,MATCH(IE$29,SSAutCLM!$A$2:$A$500)+$A33-1,1)-1)</f>
        <v/>
      </c>
      <c r="IF33" s="9" t="str">
        <f ca="1">IF(OR(IF6="",IF$28&lt;$A33),"",IF6/OFFSET(SSAutCLM!$A$2,MATCH(IF$29,SSAutCLM!$A$2:$A$500)+$A33-1,1)-1)</f>
        <v/>
      </c>
      <c r="IG33" s="9" t="str">
        <f ca="1">IF(OR(IG6="",IG$28&lt;$A33),"",IG6/OFFSET(SSAutCLM!$A$2,MATCH(IG$29,SSAutCLM!$A$2:$A$500)+$A33-1,1)-1)</f>
        <v/>
      </c>
      <c r="IH33" s="9" t="str">
        <f ca="1">IF(OR(IH6="",IH$28&lt;$A33),"",IH6/OFFSET(SSAutCLM!$A$2,MATCH(IH$29,SSAutCLM!$A$2:$A$500)+$A33-1,1)-1)</f>
        <v/>
      </c>
      <c r="II33" s="9" t="str">
        <f ca="1">IF(OR(II6="",II$28&lt;$A33),"",II6/OFFSET(SSAutCLM!$A$2,MATCH(II$29,SSAutCLM!$A$2:$A$500)+$A33-1,1)-1)</f>
        <v/>
      </c>
      <c r="IJ33" s="9" t="str">
        <f ca="1">IF(OR(IJ6="",IJ$28&lt;$A33),"",IJ6/OFFSET(SSAutCLM!$A$2,MATCH(IJ$29,SSAutCLM!$A$2:$A$500)+$A33-1,1)-1)</f>
        <v/>
      </c>
      <c r="IK33" s="9" t="str">
        <f ca="1">IF(OR(IK6="",IK$28&lt;$A33),"",IK6/OFFSET(SSAutCLM!$A$2,MATCH(IK$29,SSAutCLM!$A$2:$A$500)+$A33-1,1)-1)</f>
        <v/>
      </c>
      <c r="IL33" s="9" t="str">
        <f ca="1">IF(OR(IL6="",IL$28&lt;$A33),"",IL6/OFFSET(SSAutCLM!$A$2,MATCH(IL$29,SSAutCLM!$A$2:$A$500)+$A33-1,1)-1)</f>
        <v/>
      </c>
      <c r="IM33" s="9" t="str">
        <f ca="1">IF(OR(IM6="",IM$28&lt;$A33),"",IM6/OFFSET(SSAutCLM!$A$2,MATCH(IM$29,SSAutCLM!$A$2:$A$500)+$A33-1,1)-1)</f>
        <v/>
      </c>
      <c r="IN33" s="9" t="str">
        <f ca="1">IF(OR(IN6="",IN$28&lt;$A33),"",IN6/OFFSET(SSAutCLM!$A$2,MATCH(IN$29,SSAutCLM!$A$2:$A$500)+$A33-1,1)-1)</f>
        <v/>
      </c>
      <c r="IO33" s="9" t="str">
        <f ca="1">IF(OR(IO6="",IO$28&lt;$A33),"",IO6/OFFSET(SSAutCLM!$A$2,MATCH(IO$29,SSAutCLM!$A$2:$A$500)+$A33-1,1)-1)</f>
        <v/>
      </c>
      <c r="IP33" s="9" t="str">
        <f ca="1">IF(OR(IP6="",IP$28&lt;$A33),"",IP6/OFFSET(SSAutCLM!$A$2,MATCH(IP$29,SSAutCLM!$A$2:$A$500)+$A33-1,1)-1)</f>
        <v/>
      </c>
      <c r="IQ33" s="9" t="str">
        <f ca="1">IF(OR(IQ6="",IQ$28&lt;$A33),"",IQ6/OFFSET(SSAutCLM!$A$2,MATCH(IQ$29,SSAutCLM!$A$2:$A$500)+$A33-1,1)-1)</f>
        <v/>
      </c>
      <c r="IR33" s="9" t="str">
        <f ca="1">IF(OR(IR6="",IR$28&lt;$A33),"",IR6/OFFSET(SSAutCLM!$A$2,MATCH(IR$29,SSAutCLM!$A$2:$A$500)+$A33-1,1)-1)</f>
        <v/>
      </c>
      <c r="IS33" s="9" t="str">
        <f ca="1">IF(OR(IS6="",IS$28&lt;$A33),"",IS6/OFFSET(SSAutCLM!$A$2,MATCH(IS$29,SSAutCLM!$A$2:$A$500)+$A33-1,1)-1)</f>
        <v/>
      </c>
      <c r="IT33" s="9" t="str">
        <f ca="1">IF(OR(IT6="",IT$28&lt;$A33),"",IT6/OFFSET(SSAutCLM!$A$2,MATCH(IT$29,SSAutCLM!$A$2:$A$500)+$A33-1,1)-1)</f>
        <v/>
      </c>
      <c r="IU33" s="9" t="str">
        <f ca="1">IF(OR(IU6="",IU$28&lt;$A33),"",IU6/OFFSET(SSAutCLM!$A$2,MATCH(IU$29,SSAutCLM!$A$2:$A$500)+$A33-1,1)-1)</f>
        <v/>
      </c>
      <c r="IV33" s="9" t="str">
        <f ca="1">IF(OR(IV6="",IV$28&lt;$A33),"",IV6/OFFSET(SSAutCLM!$A$2,MATCH(IV$29,SSAutCLM!$A$2:$A$500)+$A33-1,1)-1)</f>
        <v/>
      </c>
      <c r="IW33" s="9" t="str">
        <f ca="1">IF(OR(IW6="",IW$28&lt;$A33),"",IW6/OFFSET(SSAutCLM!$A$2,MATCH(IW$29,SSAutCLM!$A$2:$A$500)+$A33-1,1)-1)</f>
        <v/>
      </c>
      <c r="IX33" s="9" t="str">
        <f ca="1">IF(OR(IX6="",IX$28&lt;$A33),"",IX6/OFFSET(SSAutCLM!$A$2,MATCH(IX$29,SSAutCLM!$A$2:$A$500)+$A33-1,1)-1)</f>
        <v/>
      </c>
      <c r="IY33" s="9" t="str">
        <f ca="1">IF(OR(IY6="",IY$28&lt;$A33),"",IY6/OFFSET(SSAutCLM!$A$2,MATCH(IY$29,SSAutCLM!$A$2:$A$500)+$A33-1,1)-1)</f>
        <v/>
      </c>
      <c r="IZ33" s="9" t="str">
        <f ca="1">IF(OR(IZ6="",IZ$28&lt;$A33),"",IZ6/OFFSET(SSAutCLM!$A$2,MATCH(IZ$29,SSAutCLM!$A$2:$A$500)+$A33-1,1)-1)</f>
        <v/>
      </c>
      <c r="JA33" s="9" t="str">
        <f ca="1">IF(OR(JA6="",JA$28&lt;$A33),"",JA6/OFFSET(SSAutCLM!$A$2,MATCH(JA$29,SSAutCLM!$A$2:$A$500)+$A33-1,1)-1)</f>
        <v/>
      </c>
      <c r="JB33" s="9" t="str">
        <f ca="1">IF(OR(JB6="",JB$28&lt;$A33),"",JB6/OFFSET(SSAutCLM!$A$2,MATCH(JB$29,SSAutCLM!$A$2:$A$500)+$A33-1,1)-1)</f>
        <v/>
      </c>
      <c r="JC33" s="9" t="str">
        <f ca="1">IF(OR(JC6="",JC$28&lt;$A33),"",JC6/OFFSET(SSAutCLM!$A$2,MATCH(JC$29,SSAutCLM!$A$2:$A$500)+$A33-1,1)-1)</f>
        <v/>
      </c>
      <c r="JD33" s="9" t="str">
        <f ca="1">IF(OR(JD6="",JD$28&lt;$A33),"",JD6/OFFSET(SSAutCLM!$A$2,MATCH(JD$29,SSAutCLM!$A$2:$A$500)+$A33-1,1)-1)</f>
        <v/>
      </c>
      <c r="JE33" s="9" t="str">
        <f ca="1">IF(OR(JE6="",JE$28&lt;$A33),"",JE6/OFFSET(SSAutCLM!$A$2,MATCH(JE$29,SSAutCLM!$A$2:$A$500)+$A33-1,1)-1)</f>
        <v/>
      </c>
      <c r="JF33" s="9" t="str">
        <f ca="1">IF(OR(JF6="",JF$28&lt;$A33),"",JF6/OFFSET(SSAutCLM!$A$2,MATCH(JF$29,SSAutCLM!$A$2:$A$500)+$A33-1,1)-1)</f>
        <v/>
      </c>
      <c r="JG33" s="9" t="str">
        <f ca="1">IF(OR(JG6="",JG$28&lt;$A33),"",JG6/OFFSET(SSAutCLM!$A$2,MATCH(JG$29,SSAutCLM!$A$2:$A$500)+$A33-1,1)-1)</f>
        <v/>
      </c>
      <c r="JH33" s="9" t="str">
        <f ca="1">IF(OR(JH6="",JH$28&lt;$A33),"",JH6/OFFSET(SSAutCLM!$A$2,MATCH(JH$29,SSAutCLM!$A$2:$A$500)+$A33-1,1)-1)</f>
        <v/>
      </c>
      <c r="JI33" s="13">
        <f t="shared" ca="1" si="13"/>
        <v>8.6724263363781935E-4</v>
      </c>
      <c r="JJ33" s="13">
        <f t="shared" ca="1" si="14"/>
        <v>4.1472815041010413E-4</v>
      </c>
      <c r="JK33" s="14">
        <f t="shared" ca="1" si="15"/>
        <v>1.2419487387983573E-4</v>
      </c>
      <c r="JL33" s="17">
        <f t="shared" ca="1" si="18"/>
        <v>1.1144275386037251E-2</v>
      </c>
      <c r="JM33" s="15" t="str">
        <f t="shared" ca="1" si="16"/>
        <v>[ -2,14% ; 2,32% ]</v>
      </c>
      <c r="JN33" s="17">
        <f t="shared" ca="1" si="17"/>
        <v>1.4264672494127682E-2</v>
      </c>
      <c r="LY33" s="1"/>
    </row>
    <row r="34" spans="1:337" x14ac:dyDescent="0.25">
      <c r="A34" s="4">
        <v>5</v>
      </c>
      <c r="B34" s="9">
        <f ca="1">IF(OR(B7="",B$28&lt;$A34),"",B7/OFFSET(SSAutCLM!$A$2,MATCH(B$29,SSAutCLM!$A$2:$A$500)+$A34-1,1)-1)</f>
        <v>-3.0936793951477082E-3</v>
      </c>
      <c r="C34" s="9">
        <f ca="1">IF(OR(C7="",C$28&lt;$A34),"",C7/OFFSET(SSAutCLM!$A$2,MATCH(C$29,SSAutCLM!$A$2:$A$500)+$A34-1,1)-1)</f>
        <v>-8.6740296003995354E-4</v>
      </c>
      <c r="D34" s="9">
        <f ca="1">IF(OR(D7="",D$28&lt;$A34),"",D7/OFFSET(SSAutCLM!$A$2,MATCH(D$29,SSAutCLM!$A$2:$A$500)+$A34-1,1)-1)</f>
        <v>-3.4728176940058697E-3</v>
      </c>
      <c r="E34" s="9">
        <f ca="1">IF(OR(E7="",E$28&lt;$A34),"",E7/OFFSET(SSAutCLM!$A$2,MATCH(E$29,SSAutCLM!$A$2:$A$500)+$A34-1,1)-1)</f>
        <v>-2.1287374146943261E-3</v>
      </c>
      <c r="F34" s="9">
        <f ca="1">IF(OR(F7="",F$28&lt;$A34),"",F7/OFFSET(SSAutCLM!$A$2,MATCH(F$29,SSAutCLM!$A$2:$A$500)+$A34-1,1)-1)</f>
        <v>-3.5266549858967711E-3</v>
      </c>
      <c r="G34" s="9">
        <f ca="1">IF(OR(G7="",G$28&lt;$A34),"",G7/OFFSET(SSAutCLM!$A$2,MATCH(G$29,SSAutCLM!$A$2:$A$500)+$A34-1,1)-1)</f>
        <v>-1.2380299600001088E-3</v>
      </c>
      <c r="H34" s="9">
        <f ca="1">IF(OR(H7="",H$28&lt;$A34),"",H7/OFFSET(SSAutCLM!$A$2,MATCH(H$29,SSAutCLM!$A$2:$A$500)+$A34-1,1)-1)</f>
        <v>-4.5502006641440218E-6</v>
      </c>
      <c r="I34" s="9">
        <f ca="1">IF(OR(I7="",I$28&lt;$A34),"",I7/OFFSET(SSAutCLM!$A$2,MATCH(I$29,SSAutCLM!$A$2:$A$500)+$A34-1,1)-1)</f>
        <v>-5.9451376125729816E-5</v>
      </c>
      <c r="J34" s="9">
        <f ca="1">IF(OR(J7="",J$28&lt;$A34),"",J7/OFFSET(SSAutCLM!$A$2,MATCH(J$29,SSAutCLM!$A$2:$A$500)+$A34-1,1)-1)</f>
        <v>-2.6605405712639696E-3</v>
      </c>
      <c r="K34" s="9">
        <f ca="1">IF(OR(K7="",K$28&lt;$A34),"",K7/OFFSET(SSAutCLM!$A$2,MATCH(K$29,SSAutCLM!$A$2:$A$500)+$A34-1,1)-1)</f>
        <v>-1.1021050977580993E-3</v>
      </c>
      <c r="L34" s="9">
        <f ca="1">IF(OR(L7="",L$28&lt;$A34),"",L7/OFFSET(SSAutCLM!$A$2,MATCH(L$29,SSAutCLM!$A$2:$A$500)+$A34-1,1)-1)</f>
        <v>-1.519893567667352E-3</v>
      </c>
      <c r="M34" s="9">
        <f ca="1">IF(OR(M7="",M$28&lt;$A34),"",M7/OFFSET(SSAutCLM!$A$2,MATCH(M$29,SSAutCLM!$A$2:$A$500)+$A34-1,1)-1)</f>
        <v>-1.1574786306555174E-3</v>
      </c>
      <c r="N34" s="9">
        <f ca="1">IF(OR(N7="",N$28&lt;$A34),"",N7/OFFSET(SSAutCLM!$A$2,MATCH(N$29,SSAutCLM!$A$2:$A$500)+$A34-1,1)-1)</f>
        <v>2.142638598498614E-3</v>
      </c>
      <c r="O34" s="9">
        <f ca="1">IF(OR(O7="",O$28&lt;$A34),"",O7/OFFSET(SSAutCLM!$A$2,MATCH(O$29,SSAutCLM!$A$2:$A$500)+$A34-1,1)-1)</f>
        <v>5.3965832979447903E-3</v>
      </c>
      <c r="P34" s="9">
        <f ca="1">IF(OR(P7="",P$28&lt;$A34),"",P7/OFFSET(SSAutCLM!$A$2,MATCH(P$29,SSAutCLM!$A$2:$A$500)+$A34-1,1)-1)</f>
        <v>6.1611631413565071E-3</v>
      </c>
      <c r="Q34" s="9">
        <f ca="1">IF(OR(Q7="",Q$28&lt;$A34),"",Q7/OFFSET(SSAutCLM!$A$2,MATCH(Q$29,SSAutCLM!$A$2:$A$500)+$A34-1,1)-1)</f>
        <v>5.374448067043458E-3</v>
      </c>
      <c r="R34" s="9">
        <f ca="1">IF(OR(R7="",R$28&lt;$A34),"",R7/OFFSET(SSAutCLM!$A$2,MATCH(R$29,SSAutCLM!$A$2:$A$500)+$A34-1,1)-1)</f>
        <v>4.3979448832112134E-3</v>
      </c>
      <c r="S34" s="9">
        <f ca="1">IF(OR(S7="",S$28&lt;$A34),"",S7/OFFSET(SSAutCLM!$A$2,MATCH(S$29,SSAutCLM!$A$2:$A$500)+$A34-1,1)-1)</f>
        <v>2.4518999312204137E-3</v>
      </c>
      <c r="T34" s="9">
        <f ca="1">IF(OR(T7="",T$28&lt;$A34),"",T7/OFFSET(SSAutCLM!$A$2,MATCH(T$29,SSAutCLM!$A$2:$A$500)+$A34-1,1)-1)</f>
        <v>2.3549338148274312E-3</v>
      </c>
      <c r="U34" s="9">
        <f ca="1">IF(OR(U7="",U$28&lt;$A34),"",U7/OFFSET(SSAutCLM!$A$2,MATCH(U$29,SSAutCLM!$A$2:$A$500)+$A34-1,1)-1)</f>
        <v>8.4394989920411057E-4</v>
      </c>
      <c r="V34" s="9">
        <f ca="1">IF(OR(V7="",V$28&lt;$A34),"",V7/OFFSET(SSAutCLM!$A$2,MATCH(V$29,SSAutCLM!$A$2:$A$500)+$A34-1,1)-1)</f>
        <v>-2.528303839972601E-4</v>
      </c>
      <c r="W34" s="9">
        <f ca="1">IF(OR(W7="",W$28&lt;$A34),"",W7/OFFSET(SSAutCLM!$A$2,MATCH(W$29,SSAutCLM!$A$2:$A$500)+$A34-1,1)-1)</f>
        <v>-1.5452594998796032E-3</v>
      </c>
      <c r="X34" s="9">
        <f ca="1">IF(OR(X7="",X$28&lt;$A34),"",X7/OFFSET(SSAutCLM!$A$2,MATCH(X$29,SSAutCLM!$A$2:$A$500)+$A34-1,1)-1)</f>
        <v>-7.7582469534676068E-4</v>
      </c>
      <c r="Y34" s="9">
        <f ca="1">IF(OR(Y7="",Y$28&lt;$A34),"",Y7/OFFSET(SSAutCLM!$A$2,MATCH(Y$29,SSAutCLM!$A$2:$A$500)+$A34-1,1)-1)</f>
        <v>-2.2668750696435147E-3</v>
      </c>
      <c r="Z34" s="9">
        <f ca="1">IF(OR(Z7="",Z$28&lt;$A34),"",Z7/OFFSET(SSAutCLM!$A$2,MATCH(Z$29,SSAutCLM!$A$2:$A$500)+$A34-1,1)-1)</f>
        <v>-1.2075945577640912E-3</v>
      </c>
      <c r="AA34" s="9">
        <f ca="1">IF(OR(AA7="",AA$28&lt;$A34),"",AA7/OFFSET(SSAutCLM!$A$2,MATCH(AA$29,SSAutCLM!$A$2:$A$500)+$A34-1,1)-1)</f>
        <v>-6.3825805945949554E-4</v>
      </c>
      <c r="AB34" s="9">
        <f ca="1">IF(OR(AB7="",AB$28&lt;$A34),"",AB7/OFFSET(SSAutCLM!$A$2,MATCH(AB$29,SSAutCLM!$A$2:$A$500)+$A34-1,1)-1)</f>
        <v>-4.0598391101154263E-6</v>
      </c>
      <c r="AC34" s="9">
        <f ca="1">IF(OR(AC7="",AC$28&lt;$A34),"",AC7/OFFSET(SSAutCLM!$A$2,MATCH(AC$29,SSAutCLM!$A$2:$A$500)+$A34-1,1)-1)</f>
        <v>-2.9546466734187149E-4</v>
      </c>
      <c r="AD34" s="9">
        <f ca="1">IF(OR(AD7="",AD$28&lt;$A34),"",AD7/OFFSET(SSAutCLM!$A$2,MATCH(AD$29,SSAutCLM!$A$2:$A$500)+$A34-1,1)-1)</f>
        <v>-9.0217130258651856E-4</v>
      </c>
      <c r="AE34" s="9">
        <f ca="1">IF(OR(AE7="",AE$28&lt;$A34),"",AE7/OFFSET(SSAutCLM!$A$2,MATCH(AE$29,SSAutCLM!$A$2:$A$500)+$A34-1,1)-1)</f>
        <v>-1.3100707547185619E-3</v>
      </c>
      <c r="AF34" s="9">
        <f ca="1">IF(OR(AF7="",AF$28&lt;$A34),"",AF7/OFFSET(SSAutCLM!$A$2,MATCH(AF$29,SSAutCLM!$A$2:$A$500)+$A34-1,1)-1)</f>
        <v>-1.4372211859294826E-3</v>
      </c>
      <c r="AG34" s="9">
        <f ca="1">IF(OR(AG7="",AG$28&lt;$A34),"",AG7/OFFSET(SSAutCLM!$A$2,MATCH(AG$29,SSAutCLM!$A$2:$A$500)+$A34-1,1)-1)</f>
        <v>-1.868802235006406E-3</v>
      </c>
      <c r="AH34" s="9">
        <f ca="1">IF(OR(AH7="",AH$28&lt;$A34),"",AH7/OFFSET(SSAutCLM!$A$2,MATCH(AH$29,SSAutCLM!$A$2:$A$500)+$A34-1,1)-1)</f>
        <v>-4.0728004971808396E-3</v>
      </c>
      <c r="AI34" s="9">
        <f ca="1">IF(OR(AI7="",AI$28&lt;$A34),"",AI7/OFFSET(SSAutCLM!$A$2,MATCH(AI$29,SSAutCLM!$A$2:$A$500)+$A34-1,1)-1)</f>
        <v>-5.9474513007859997E-3</v>
      </c>
      <c r="AJ34" s="9">
        <f ca="1">IF(OR(AJ7="",AJ$28&lt;$A34),"",AJ7/OFFSET(SSAutCLM!$A$2,MATCH(AJ$29,SSAutCLM!$A$2:$A$500)+$A34-1,1)-1)</f>
        <v>-7.1093775150188332E-3</v>
      </c>
      <c r="AK34" s="9">
        <f ca="1">IF(OR(AK7="",AK$28&lt;$A34),"",AK7/OFFSET(SSAutCLM!$A$2,MATCH(AK$29,SSAutCLM!$A$2:$A$500)+$A34-1,1)-1)</f>
        <v>-7.2506670159889763E-3</v>
      </c>
      <c r="AL34" s="9">
        <f ca="1">IF(OR(AL7="",AL$28&lt;$A34),"",AL7/OFFSET(SSAutCLM!$A$2,MATCH(AL$29,SSAutCLM!$A$2:$A$500)+$A34-1,1)-1)</f>
        <v>-5.8359407009336284E-3</v>
      </c>
      <c r="AM34" s="9">
        <f ca="1">IF(OR(AM7="",AM$28&lt;$A34),"",AM7/OFFSET(SSAutCLM!$A$2,MATCH(AM$29,SSAutCLM!$A$2:$A$500)+$A34-1,1)-1)</f>
        <v>-7.0946075937573516E-3</v>
      </c>
      <c r="AN34" s="9">
        <f ca="1">IF(OR(AN7="",AN$28&lt;$A34),"",AN7/OFFSET(SSAutCLM!$A$2,MATCH(AN$29,SSAutCLM!$A$2:$A$500)+$A34-1,1)-1)</f>
        <v>-4.7399651707726864E-3</v>
      </c>
      <c r="AO34" s="9">
        <f ca="1">IF(OR(AO7="",AO$28&lt;$A34),"",AO7/OFFSET(SSAutCLM!$A$2,MATCH(AO$29,SSAutCLM!$A$2:$A$500)+$A34-1,1)-1)</f>
        <v>-1.7455788040701137E-3</v>
      </c>
      <c r="AP34" s="9">
        <f ca="1">IF(OR(AP7="",AP$28&lt;$A34),"",AP7/OFFSET(SSAutCLM!$A$2,MATCH(AP$29,SSAutCLM!$A$2:$A$500)+$A34-1,1)-1)</f>
        <v>-3.7188287157549071E-3</v>
      </c>
      <c r="AQ34" s="9">
        <f ca="1">IF(OR(AQ7="",AQ$28&lt;$A34),"",AQ7/OFFSET(SSAutCLM!$A$2,MATCH(AQ$29,SSAutCLM!$A$2:$A$500)+$A34-1,1)-1)</f>
        <v>-5.506189726335986E-3</v>
      </c>
      <c r="AR34" s="9">
        <f ca="1">IF(OR(AR7="",AR$28&lt;$A34),"",AR7/OFFSET(SSAutCLM!$A$2,MATCH(AR$29,SSAutCLM!$A$2:$A$500)+$A34-1,1)-1)</f>
        <v>-2.7750788197263843E-3</v>
      </c>
      <c r="AS34" s="9">
        <f ca="1">IF(OR(AS7="",AS$28&lt;$A34),"",AS7/OFFSET(SSAutCLM!$A$2,MATCH(AS$29,SSAutCLM!$A$2:$A$500)+$A34-1,1)-1)</f>
        <v>9.8440631226592856E-4</v>
      </c>
      <c r="AT34" s="9">
        <f ca="1">IF(OR(AT7="",AT$28&lt;$A34),"",AT7/OFFSET(SSAutCLM!$A$2,MATCH(AT$29,SSAutCLM!$A$2:$A$500)+$A34-1,1)-1)</f>
        <v>4.2670678342502377E-3</v>
      </c>
      <c r="AU34" s="9">
        <f ca="1">IF(OR(AU7="",AU$28&lt;$A34),"",AU7/OFFSET(SSAutCLM!$A$2,MATCH(AU$29,SSAutCLM!$A$2:$A$500)+$A34-1,1)-1)</f>
        <v>9.548017781534579E-3</v>
      </c>
      <c r="AV34" s="9">
        <f ca="1">IF(OR(AV7="",AV$28&lt;$A34),"",AV7/OFFSET(SSAutCLM!$A$2,MATCH(AV$29,SSAutCLM!$A$2:$A$500)+$A34-1,1)-1)</f>
        <v>1.4109422817344175E-2</v>
      </c>
      <c r="AW34" s="9">
        <f ca="1">IF(OR(AW7="",AW$28&lt;$A34),"",AW7/OFFSET(SSAutCLM!$A$2,MATCH(AW$29,SSAutCLM!$A$2:$A$500)+$A34-1,1)-1)</f>
        <v>1.9922120732105419E-2</v>
      </c>
      <c r="AX34" s="9">
        <f ca="1">IF(OR(AX7="",AX$28&lt;$A34),"",AX7/OFFSET(SSAutCLM!$A$2,MATCH(AX$29,SSAutCLM!$A$2:$A$500)+$A34-1,1)-1)</f>
        <v>2.0712364034888076E-2</v>
      </c>
      <c r="AY34" s="9">
        <f ca="1">IF(OR(AY7="",AY$28&lt;$A34),"",AY7/OFFSET(SSAutCLM!$A$2,MATCH(AY$29,SSAutCLM!$A$2:$A$500)+$A34-1,1)-1)</f>
        <v>2.2104373215675155E-2</v>
      </c>
      <c r="AZ34" s="9">
        <f ca="1">IF(OR(AZ7="",AZ$28&lt;$A34),"",AZ7/OFFSET(SSAutCLM!$A$2,MATCH(AZ$29,SSAutCLM!$A$2:$A$500)+$A34-1,1)-1)</f>
        <v>1.9396020227930189E-2</v>
      </c>
      <c r="BA34" s="9">
        <f ca="1">IF(OR(BA7="",BA$28&lt;$A34),"",BA7/OFFSET(SSAutCLM!$A$2,MATCH(BA$29,SSAutCLM!$A$2:$A$500)+$A34-1,1)-1)</f>
        <v>2.0935719737275482E-2</v>
      </c>
      <c r="BB34" s="9">
        <f ca="1">IF(OR(BB7="",BB$28&lt;$A34),"",BB7/OFFSET(SSAutCLM!$A$2,MATCH(BB$29,SSAutCLM!$A$2:$A$500)+$A34-1,1)-1)</f>
        <v>1.6029800876098399E-2</v>
      </c>
      <c r="BC34" s="9">
        <f ca="1">IF(OR(BC7="",BC$28&lt;$A34),"",BC7/OFFSET(SSAutCLM!$A$2,MATCH(BC$29,SSAutCLM!$A$2:$A$500)+$A34-1,1)-1)</f>
        <v>9.690192232113759E-3</v>
      </c>
      <c r="BD34" s="9">
        <f ca="1">IF(OR(BD7="",BD$28&lt;$A34),"",BD7/OFFSET(SSAutCLM!$A$2,MATCH(BD$29,SSAutCLM!$A$2:$A$500)+$A34-1,1)-1)</f>
        <v>1.4231057620030851E-2</v>
      </c>
      <c r="BE34" s="9">
        <f ca="1">IF(OR(BE7="",BE$28&lt;$A34),"",BE7/OFFSET(SSAutCLM!$A$2,MATCH(BE$29,SSAutCLM!$A$2:$A$500)+$A34-1,1)-1)</f>
        <v>1.7864765779384451E-2</v>
      </c>
      <c r="BF34" s="9">
        <f ca="1">IF(OR(BF7="",BF$28&lt;$A34),"",BF7/OFFSET(SSAutCLM!$A$2,MATCH(BF$29,SSAutCLM!$A$2:$A$500)+$A34-1,1)-1)</f>
        <v>1.9244348628312036E-2</v>
      </c>
      <c r="BG34" s="9">
        <f ca="1">IF(OR(BG7="",BG$28&lt;$A34),"",BG7/OFFSET(SSAutCLM!$A$2,MATCH(BG$29,SSAutCLM!$A$2:$A$500)+$A34-1,1)-1)</f>
        <v>2.3711793852682961E-2</v>
      </c>
      <c r="BH34" s="9">
        <f ca="1">IF(OR(BH7="",BH$28&lt;$A34),"",BH7/OFFSET(SSAutCLM!$A$2,MATCH(BH$29,SSAutCLM!$A$2:$A$500)+$A34-1,1)-1)</f>
        <v>1.8252570712852023E-2</v>
      </c>
      <c r="BI34" s="9">
        <f ca="1">IF(OR(BI7="",BI$28&lt;$A34),"",BI7/OFFSET(SSAutCLM!$A$2,MATCH(BI$29,SSAutCLM!$A$2:$A$500)+$A34-1,1)-1)</f>
        <v>1.3696426801522721E-2</v>
      </c>
      <c r="BJ34" s="9">
        <f ca="1">IF(OR(BJ7="",BJ$28&lt;$A34),"",BJ7/OFFSET(SSAutCLM!$A$2,MATCH(BJ$29,SSAutCLM!$A$2:$A$500)+$A34-1,1)-1)</f>
        <v>3.7720724432430686E-3</v>
      </c>
      <c r="BK34" s="9">
        <f ca="1">IF(OR(BK7="",BK$28&lt;$A34),"",BK7/OFFSET(SSAutCLM!$A$2,MATCH(BK$29,SSAutCLM!$A$2:$A$500)+$A34-1,1)-1)</f>
        <v>-5.0148083182421921E-3</v>
      </c>
      <c r="BL34" s="9">
        <f ca="1">IF(OR(BL7="",BL$28&lt;$A34),"",BL7/OFFSET(SSAutCLM!$A$2,MATCH(BL$29,SSAutCLM!$A$2:$A$500)+$A34-1,1)-1)</f>
        <v>-1.4838167461027174E-2</v>
      </c>
      <c r="BM34" s="9">
        <f ca="1">IF(OR(BM7="",BM$28&lt;$A34),"",BM7/OFFSET(SSAutCLM!$A$2,MATCH(BM$29,SSAutCLM!$A$2:$A$500)+$A34-1,1)-1)</f>
        <v>-2.0772340511720166E-2</v>
      </c>
      <c r="BN34" s="9">
        <f ca="1">IF(OR(BN7="",BN$28&lt;$A34),"",BN7/OFFSET(SSAutCLM!$A$2,MATCH(BN$29,SSAutCLM!$A$2:$A$500)+$A34-1,1)-1)</f>
        <v>-2.3933373322266527E-2</v>
      </c>
      <c r="BO34" s="9">
        <f ca="1">IF(OR(BO7="",BO$28&lt;$A34),"",BO7/OFFSET(SSAutCLM!$A$2,MATCH(BO$29,SSAutCLM!$A$2:$A$500)+$A34-1,1)-1)</f>
        <v>-1.508254089890837E-2</v>
      </c>
      <c r="BP34" s="9">
        <f ca="1">IF(OR(BP7="",BP$28&lt;$A34),"",BP7/OFFSET(SSAutCLM!$A$2,MATCH(BP$29,SSAutCLM!$A$2:$A$500)+$A34-1,1)-1)</f>
        <v>-4.5258800790992648E-3</v>
      </c>
      <c r="BQ34" s="9">
        <f ca="1">IF(OR(BQ7="",BQ$28&lt;$A34),"",BQ7/OFFSET(SSAutCLM!$A$2,MATCH(BQ$29,SSAutCLM!$A$2:$A$500)+$A34-1,1)-1)</f>
        <v>-7.0345711079099482E-3</v>
      </c>
      <c r="BR34" s="9">
        <f ca="1">IF(OR(BR7="",BR$28&lt;$A34),"",BR7/OFFSET(SSAutCLM!$A$2,MATCH(BR$29,SSAutCLM!$A$2:$A$500)+$A34-1,1)-1)</f>
        <v>-7.8613221050733983E-3</v>
      </c>
      <c r="BS34" s="9">
        <f ca="1">IF(OR(BS7="",BS$28&lt;$A34),"",BS7/OFFSET(SSAutCLM!$A$2,MATCH(BS$29,SSAutCLM!$A$2:$A$500)+$A34-1,1)-1)</f>
        <v>-6.0890451449413519E-3</v>
      </c>
      <c r="BT34" s="9">
        <f ca="1">IF(OR(BT7="",BT$28&lt;$A34),"",BT7/OFFSET(SSAutCLM!$A$2,MATCH(BT$29,SSAutCLM!$A$2:$A$500)+$A34-1,1)-1)</f>
        <v>-1.4952491978689086E-2</v>
      </c>
      <c r="BU34" s="9">
        <f ca="1">IF(OR(BU7="",BU$28&lt;$A34),"",BU7/OFFSET(SSAutCLM!$A$2,MATCH(BU$29,SSAutCLM!$A$2:$A$500)+$A34-1,1)-1)</f>
        <v>-7.8905050814728206E-3</v>
      </c>
      <c r="BV34" s="9">
        <f ca="1">IF(OR(BV7="",BV$28&lt;$A34),"",BV7/OFFSET(SSAutCLM!$A$2,MATCH(BV$29,SSAutCLM!$A$2:$A$500)+$A34-1,1)-1)</f>
        <v>-3.1312927005525681E-3</v>
      </c>
      <c r="BW34" s="9">
        <f ca="1">IF(OR(BW7="",BW$28&lt;$A34),"",BW7/OFFSET(SSAutCLM!$A$2,MATCH(BW$29,SSAutCLM!$A$2:$A$500)+$A34-1,1)-1)</f>
        <v>-6.5110016185155883E-3</v>
      </c>
      <c r="BX34" s="9">
        <f ca="1">IF(OR(BX7="",BX$28&lt;$A34),"",BX7/OFFSET(SSAutCLM!$A$2,MATCH(BX$29,SSAutCLM!$A$2:$A$500)+$A34-1,1)-1)</f>
        <v>-1.5803159489785612E-2</v>
      </c>
      <c r="BY34" s="9">
        <f ca="1">IF(OR(BY7="",BY$28&lt;$A34),"",BY7/OFFSET(SSAutCLM!$A$2,MATCH(BY$29,SSAutCLM!$A$2:$A$500)+$A34-1,1)-1)</f>
        <v>-9.6172449718299191E-3</v>
      </c>
      <c r="BZ34" s="9">
        <f ca="1">IF(OR(BZ7="",BZ$28&lt;$A34),"",BZ7/OFFSET(SSAutCLM!$A$2,MATCH(BZ$29,SSAutCLM!$A$2:$A$500)+$A34-1,1)-1)</f>
        <v>2.3030845639688824E-3</v>
      </c>
      <c r="CA34" s="9">
        <f ca="1">IF(OR(CA7="",CA$28&lt;$A34),"",CA7/OFFSET(SSAutCLM!$A$2,MATCH(CA$29,SSAutCLM!$A$2:$A$500)+$A34-1,1)-1)</f>
        <v>7.5134299583075048E-3</v>
      </c>
      <c r="CB34" s="9">
        <f ca="1">IF(OR(CB7="",CB$28&lt;$A34),"",CB7/OFFSET(SSAutCLM!$A$2,MATCH(CB$29,SSAutCLM!$A$2:$A$500)+$A34-1,1)-1)</f>
        <v>9.172469722454224E-3</v>
      </c>
      <c r="CC34" s="9">
        <f ca="1">IF(OR(CC7="",CC$28&lt;$A34),"",CC7/OFFSET(SSAutCLM!$A$2,MATCH(CC$29,SSAutCLM!$A$2:$A$500)+$A34-1,1)-1)</f>
        <v>5.0798957741848838E-3</v>
      </c>
      <c r="CD34" s="9">
        <f ca="1">IF(OR(CD7="",CD$28&lt;$A34),"",CD7/OFFSET(SSAutCLM!$A$2,MATCH(CD$29,SSAutCLM!$A$2:$A$500)+$A34-1,1)-1)</f>
        <v>4.769544712057705E-4</v>
      </c>
      <c r="CE34" s="9">
        <f ca="1">IF(OR(CE7="",CE$28&lt;$A34),"",CE7/OFFSET(SSAutCLM!$A$2,MATCH(CE$29,SSAutCLM!$A$2:$A$500)+$A34-1,1)-1)</f>
        <v>2.0177324877090896E-3</v>
      </c>
      <c r="CF34" s="9">
        <f ca="1">IF(OR(CF7="",CF$28&lt;$A34),"",CF7/OFFSET(SSAutCLM!$A$2,MATCH(CF$29,SSAutCLM!$A$2:$A$500)+$A34-1,1)-1)</f>
        <v>2.6020940106452617E-3</v>
      </c>
      <c r="CG34" s="9">
        <f ca="1">IF(OR(CG7="",CG$28&lt;$A34),"",CG7/OFFSET(SSAutCLM!$A$2,MATCH(CG$29,SSAutCLM!$A$2:$A$500)+$A34-1,1)-1)</f>
        <v>-2.0477388501445315E-3</v>
      </c>
      <c r="CH34" s="9">
        <f ca="1">IF(OR(CH7="",CH$28&lt;$A34),"",CH7/OFFSET(SSAutCLM!$A$2,MATCH(CH$29,SSAutCLM!$A$2:$A$500)+$A34-1,1)-1)</f>
        <v>-7.8032456190468835E-3</v>
      </c>
      <c r="CI34" s="9">
        <f ca="1">IF(OR(CI7="",CI$28&lt;$A34),"",CI7/OFFSET(SSAutCLM!$A$2,MATCH(CI$29,SSAutCLM!$A$2:$A$500)+$A34-1,1)-1)</f>
        <v>-4.4909678669653452E-3</v>
      </c>
      <c r="CJ34" s="9">
        <f ca="1">IF(OR(CJ7="",CJ$28&lt;$A34),"",CJ7/OFFSET(SSAutCLM!$A$2,MATCH(CJ$29,SSAutCLM!$A$2:$A$500)+$A34-1,1)-1)</f>
        <v>-1.1397004470933614E-2</v>
      </c>
      <c r="CK34" s="9">
        <f ca="1">IF(OR(CK7="",CK$28&lt;$A34),"",CK7/OFFSET(SSAutCLM!$A$2,MATCH(CK$29,SSAutCLM!$A$2:$A$500)+$A34-1,1)-1)</f>
        <v>2.2555161874742158E-3</v>
      </c>
      <c r="CL34" s="9">
        <f ca="1">IF(OR(CL7="",CL$28&lt;$A34),"",CL7/OFFSET(SSAutCLM!$A$2,MATCH(CL$29,SSAutCLM!$A$2:$A$500)+$A34-1,1)-1)</f>
        <v>4.6141800039238845E-3</v>
      </c>
      <c r="CM34" s="9">
        <f ca="1">IF(OR(CM7="",CM$28&lt;$A34),"",CM7/OFFSET(SSAutCLM!$A$2,MATCH(CM$29,SSAutCLM!$A$2:$A$500)+$A34-1,1)-1)</f>
        <v>1.3320205434119936E-2</v>
      </c>
      <c r="CN34" s="9">
        <f ca="1">IF(OR(CN7="",CN$28&lt;$A34),"",CN7/OFFSET(SSAutCLM!$A$2,MATCH(CN$29,SSAutCLM!$A$2:$A$500)+$A34-1,1)-1)</f>
        <v>1.060534883910047E-2</v>
      </c>
      <c r="CO34" s="9">
        <f ca="1">IF(OR(CO7="",CO$28&lt;$A34),"",CO7/OFFSET(SSAutCLM!$A$2,MATCH(CO$29,SSAutCLM!$A$2:$A$500)+$A34-1,1)-1)</f>
        <v>5.5058208844345202E-3</v>
      </c>
      <c r="CP34" s="9">
        <f ca="1">IF(OR(CP7="",CP$28&lt;$A34),"",CP7/OFFSET(SSAutCLM!$A$2,MATCH(CP$29,SSAutCLM!$A$2:$A$500)+$A34-1,1)-1)</f>
        <v>5.8460996495639517E-3</v>
      </c>
      <c r="CQ34" s="9">
        <f ca="1">IF(OR(CQ7="",CQ$28&lt;$A34),"",CQ7/OFFSET(SSAutCLM!$A$2,MATCH(CQ$29,SSAutCLM!$A$2:$A$500)+$A34-1,1)-1)</f>
        <v>7.2813744221014165E-3</v>
      </c>
      <c r="CR34" s="9">
        <f ca="1">IF(OR(CR7="",CR$28&lt;$A34),"",CR7/OFFSET(SSAutCLM!$A$2,MATCH(CR$29,SSAutCLM!$A$2:$A$500)+$A34-1,1)-1)</f>
        <v>5.3522082953607608E-3</v>
      </c>
      <c r="CS34" s="9">
        <f ca="1">IF(OR(CS7="",CS$28&lt;$A34),"",CS7/OFFSET(SSAutCLM!$A$2,MATCH(CS$29,SSAutCLM!$A$2:$A$500)+$A34-1,1)-1)</f>
        <v>4.0304570554305919E-4</v>
      </c>
      <c r="CT34" s="9">
        <f ca="1">IF(OR(CT7="",CT$28&lt;$A34),"",CT7/OFFSET(SSAutCLM!$A$2,MATCH(CT$29,SSAutCLM!$A$2:$A$500)+$A34-1,1)-1)</f>
        <v>-3.576488145822676E-3</v>
      </c>
      <c r="CU34" s="9">
        <f ca="1">IF(OR(CU7="",CU$28&lt;$A34),"",CU7/OFFSET(SSAutCLM!$A$2,MATCH(CU$29,SSAutCLM!$A$2:$A$500)+$A34-1,1)-1)</f>
        <v>-2.4834548455070382E-2</v>
      </c>
      <c r="CV34" s="9">
        <f ca="1">IF(OR(CV7="",CV$28&lt;$A34),"",CV7/OFFSET(SSAutCLM!$A$2,MATCH(CV$29,SSAutCLM!$A$2:$A$500)+$A34-1,1)-1)</f>
        <v>-7.7928025231607245E-3</v>
      </c>
      <c r="CW34" s="9">
        <f ca="1">IF(OR(CW7="",CW$28&lt;$A34),"",CW7/OFFSET(SSAutCLM!$A$2,MATCH(CW$29,SSAutCLM!$A$2:$A$500)+$A34-1,1)-1)</f>
        <v>-1.376071275248858E-3</v>
      </c>
      <c r="CX34" s="9">
        <f ca="1">IF(OR(CX7="",CX$28&lt;$A34),"",CX7/OFFSET(SSAutCLM!$A$2,MATCH(CX$29,SSAutCLM!$A$2:$A$500)+$A34-1,1)-1)</f>
        <v>3.5473999903077313E-3</v>
      </c>
      <c r="CY34" s="9">
        <f ca="1">IF(OR(CY7="",CY$28&lt;$A34),"",CY7/OFFSET(SSAutCLM!$A$2,MATCH(CY$29,SSAutCLM!$A$2:$A$500)+$A34-1,1)-1)</f>
        <v>1.8115639411182549E-3</v>
      </c>
      <c r="CZ34" s="9">
        <f ca="1">IF(OR(CZ7="",CZ$28&lt;$A34),"",CZ7/OFFSET(SSAutCLM!$A$2,MATCH(CZ$29,SSAutCLM!$A$2:$A$500)+$A34-1,1)-1)</f>
        <v>2.4782702402683654E-3</v>
      </c>
      <c r="DA34" s="9">
        <f ca="1">IF(OR(DA7="",DA$28&lt;$A34),"",DA7/OFFSET(SSAutCLM!$A$2,MATCH(DA$29,SSAutCLM!$A$2:$A$500)+$A34-1,1)-1)</f>
        <v>4.1749072533103782E-3</v>
      </c>
      <c r="DB34" s="9">
        <f ca="1">IF(OR(DB7="",DB$28&lt;$A34),"",DB7/OFFSET(SSAutCLM!$A$2,MATCH(DB$29,SSAutCLM!$A$2:$A$500)+$A34-1,1)-1)</f>
        <v>-8.7058989899102546E-4</v>
      </c>
      <c r="DC34" s="9">
        <f ca="1">IF(OR(DC7="",DC$28&lt;$A34),"",DC7/OFFSET(SSAutCLM!$A$2,MATCH(DC$29,SSAutCLM!$A$2:$A$500)+$A34-1,1)-1)</f>
        <v>-1.482702059360852E-3</v>
      </c>
      <c r="DD34" s="9">
        <f ca="1">IF(OR(DD7="",DD$28&lt;$A34),"",DD7/OFFSET(SSAutCLM!$A$2,MATCH(DD$29,SSAutCLM!$A$2:$A$500)+$A34-1,1)-1)</f>
        <v>1.8605273167389136E-3</v>
      </c>
      <c r="DE34" s="9">
        <f ca="1">IF(OR(DE7="",DE$28&lt;$A34),"",DE7/OFFSET(SSAutCLM!$A$2,MATCH(DE$29,SSAutCLM!$A$2:$A$500)+$A34-1,1)-1)</f>
        <v>-3.0995961992987819E-3</v>
      </c>
      <c r="DF34" s="9">
        <f ca="1">IF(OR(DF7="",DF$28&lt;$A34),"",DF7/OFFSET(SSAutCLM!$A$2,MATCH(DF$29,SSAutCLM!$A$2:$A$500)+$A34-1,1)-1)</f>
        <v>-4.9142950250609108E-3</v>
      </c>
      <c r="DG34" s="9">
        <f ca="1">IF(OR(DG7="",DG$28&lt;$A34),"",DG7/OFFSET(SSAutCLM!$A$2,MATCH(DG$29,SSAutCLM!$A$2:$A$500)+$A34-1,1)-1)</f>
        <v>-1.1289849717958433E-2</v>
      </c>
      <c r="DH34" s="9">
        <f ca="1">IF(OR(DH7="",DH$28&lt;$A34),"",DH7/OFFSET(SSAutCLM!$A$2,MATCH(DH$29,SSAutCLM!$A$2:$A$500)+$A34-1,1)-1)</f>
        <v>-1.8472907335884803E-2</v>
      </c>
      <c r="DI34" s="9">
        <f ca="1">IF(OR(DI7="",DI$28&lt;$A34),"",DI7/OFFSET(SSAutCLM!$A$2,MATCH(DI$29,SSAutCLM!$A$2:$A$500)+$A34-1,1)-1)</f>
        <v>-1.480684980544289E-2</v>
      </c>
      <c r="DJ34" s="9">
        <f ca="1">IF(OR(DJ7="",DJ$28&lt;$A34),"",DJ7/OFFSET(SSAutCLM!$A$2,MATCH(DJ$29,SSAutCLM!$A$2:$A$500)+$A34-1,1)-1)</f>
        <v>-7.0355914170211475E-3</v>
      </c>
      <c r="DK34" s="9">
        <f ca="1">IF(OR(DK7="",DK$28&lt;$A34),"",DK7/OFFSET(SSAutCLM!$A$2,MATCH(DK$29,SSAutCLM!$A$2:$A$500)+$A34-1,1)-1)</f>
        <v>2.7053520331898895E-4</v>
      </c>
      <c r="DL34" s="9">
        <f ca="1">IF(OR(DL7="",DL$28&lt;$A34),"",DL7/OFFSET(SSAutCLM!$A$2,MATCH(DL$29,SSAutCLM!$A$2:$A$500)+$A34-1,1)-1)</f>
        <v>6.8278524332288093E-4</v>
      </c>
      <c r="DM34" s="9">
        <f ca="1">IF(OR(DM7="",DM$28&lt;$A34),"",DM7/OFFSET(SSAutCLM!$A$2,MATCH(DM$29,SSAutCLM!$A$2:$A$500)+$A34-1,1)-1)</f>
        <v>4.0933239240803498E-3</v>
      </c>
      <c r="DN34" s="9">
        <f ca="1">IF(OR(DN7="",DN$28&lt;$A34),"",DN7/OFFSET(SSAutCLM!$A$2,MATCH(DN$29,SSAutCLM!$A$2:$A$500)+$A34-1,1)-1)</f>
        <v>-7.0448561252903774E-3</v>
      </c>
      <c r="DO34" s="9">
        <f ca="1">IF(OR(DO7="",DO$28&lt;$A34),"",DO7/OFFSET(SSAutCLM!$A$2,MATCH(DO$29,SSAutCLM!$A$2:$A$500)+$A34-1,1)-1)</f>
        <v>-5.8690846159079602E-3</v>
      </c>
      <c r="DP34" s="9">
        <f ca="1">IF(OR(DP7="",DP$28&lt;$A34),"",DP7/OFFSET(SSAutCLM!$A$2,MATCH(DP$29,SSAutCLM!$A$2:$A$500)+$A34-1,1)-1)</f>
        <v>-9.7497453817763091E-4</v>
      </c>
      <c r="DQ34" s="9">
        <f ca="1">IF(OR(DQ7="",DQ$28&lt;$A34),"",DQ7/OFFSET(SSAutCLM!$A$2,MATCH(DQ$29,SSAutCLM!$A$2:$A$500)+$A34-1,1)-1)</f>
        <v>2.6859735601776347E-3</v>
      </c>
      <c r="DR34" s="9">
        <f ca="1">IF(OR(DR7="",DR$28&lt;$A34),"",DR7/OFFSET(SSAutCLM!$A$2,MATCH(DR$29,SSAutCLM!$A$2:$A$500)+$A34-1,1)-1)</f>
        <v>3.8146641760803401E-3</v>
      </c>
      <c r="DS34" s="9">
        <f ca="1">IF(OR(DS7="",DS$28&lt;$A34),"",DS7/OFFSET(SSAutCLM!$A$2,MATCH(DS$29,SSAutCLM!$A$2:$A$500)+$A34-1,1)-1)</f>
        <v>-1.6513372020412476E-3</v>
      </c>
      <c r="DT34" s="9">
        <f ca="1">IF(OR(DT7="",DT$28&lt;$A34),"",DT7/OFFSET(SSAutCLM!$A$2,MATCH(DT$29,SSAutCLM!$A$2:$A$500)+$A34-1,1)-1)</f>
        <v>1.3466105732091727E-3</v>
      </c>
      <c r="DU34" s="9">
        <f ca="1">IF(OR(DU7="",DU$28&lt;$A34),"",DU7/OFFSET(SSAutCLM!$A$2,MATCH(DU$29,SSAutCLM!$A$2:$A$500)+$A34-1,1)-1)</f>
        <v>1.5599372175272297E-3</v>
      </c>
      <c r="DV34" s="9">
        <f ca="1">IF(OR(DV7="",DV$28&lt;$A34),"",DV7/OFFSET(SSAutCLM!$A$2,MATCH(DV$29,SSAutCLM!$A$2:$A$500)+$A34-1,1)-1)</f>
        <v>7.6273836097067171E-3</v>
      </c>
      <c r="DW34" s="9">
        <f ca="1">IF(OR(DW7="",DW$28&lt;$A34),"",DW7/OFFSET(SSAutCLM!$A$2,MATCH(DW$29,SSAutCLM!$A$2:$A$500)+$A34-1,1)-1)</f>
        <v>5.8296896687080046E-3</v>
      </c>
      <c r="DX34" s="9" t="str">
        <f ca="1">IF(OR(DX7="",DX$28&lt;$A34),"",DX7/OFFSET(SSAutCLM!$A$2,MATCH(DX$29,SSAutCLM!$A$2:$A$500)+$A34-1,1)-1)</f>
        <v/>
      </c>
      <c r="DY34" s="9" t="str">
        <f ca="1">IF(OR(DY7="",DY$28&lt;$A34),"",DY7/OFFSET(SSAutCLM!$A$2,MATCH(DY$29,SSAutCLM!$A$2:$A$500)+$A34-1,1)-1)</f>
        <v/>
      </c>
      <c r="DZ34" s="9" t="str">
        <f ca="1">IF(OR(DZ7="",DZ$28&lt;$A34),"",DZ7/OFFSET(SSAutCLM!$A$2,MATCH(DZ$29,SSAutCLM!$A$2:$A$500)+$A34-1,1)-1)</f>
        <v/>
      </c>
      <c r="EA34" s="9" t="str">
        <f ca="1">IF(OR(EA7="",EA$28&lt;$A34),"",EA7/OFFSET(SSAutCLM!$A$2,MATCH(EA$29,SSAutCLM!$A$2:$A$500)+$A34-1,1)-1)</f>
        <v/>
      </c>
      <c r="EB34" s="9" t="str">
        <f ca="1">IF(OR(EB7="",EB$28&lt;$A34),"",EB7/OFFSET(SSAutCLM!$A$2,MATCH(EB$29,SSAutCLM!$A$2:$A$500)+$A34-1,1)-1)</f>
        <v/>
      </c>
      <c r="EC34" s="9" t="str">
        <f ca="1">IF(OR(EC7="",EC$28&lt;$A34),"",EC7/OFFSET(SSAutCLM!$A$2,MATCH(EC$29,SSAutCLM!$A$2:$A$500)+$A34-1,1)-1)</f>
        <v/>
      </c>
      <c r="ED34" s="9" t="str">
        <f ca="1">IF(OR(ED7="",ED$28&lt;$A34),"",ED7/OFFSET(SSAutCLM!$A$2,MATCH(ED$29,SSAutCLM!$A$2:$A$500)+$A34-1,1)-1)</f>
        <v/>
      </c>
      <c r="EE34" s="9" t="str">
        <f ca="1">IF(OR(EE7="",EE$28&lt;$A34),"",EE7/OFFSET(SSAutCLM!$A$2,MATCH(EE$29,SSAutCLM!$A$2:$A$500)+$A34-1,1)-1)</f>
        <v/>
      </c>
      <c r="EF34" s="9" t="str">
        <f ca="1">IF(OR(EF7="",EF$28&lt;$A34),"",EF7/OFFSET(SSAutCLM!$A$2,MATCH(EF$29,SSAutCLM!$A$2:$A$500)+$A34-1,1)-1)</f>
        <v/>
      </c>
      <c r="EG34" s="9">
        <f ca="1">IF(OR(EG7="",EG$28&lt;$A34),"",EG7/OFFSET(SSAutCLM!$A$2,MATCH(EG$29,SSAutCLM!$A$2:$A$500)+$A34-1,1)-1)</f>
        <v>-5.3822983443418959E-4</v>
      </c>
      <c r="EH34" s="9">
        <f ca="1">IF(OR(EH7="",EH$28&lt;$A34),"",EH7/OFFSET(SSAutCLM!$A$2,MATCH(EH$29,SSAutCLM!$A$2:$A$500)+$A34-1,1)-1)</f>
        <v>4.6251954408140783E-3</v>
      </c>
      <c r="EI34" s="9">
        <f ca="1">IF(OR(EI7="",EI$28&lt;$A34),"",EI7/OFFSET(SSAutCLM!$A$2,MATCH(EI$29,SSAutCLM!$A$2:$A$500)+$A34-1,1)-1)</f>
        <v>6.3997251879608363E-3</v>
      </c>
      <c r="EJ34" s="9">
        <f ca="1">IF(OR(EJ7="",EJ$28&lt;$A34),"",EJ7/OFFSET(SSAutCLM!$A$2,MATCH(EJ$29,SSAutCLM!$A$2:$A$500)+$A34-1,1)-1)</f>
        <v>6.658673962950834E-3</v>
      </c>
      <c r="EK34" s="9">
        <f ca="1">IF(OR(EK7="",EK$28&lt;$A34),"",EK7/OFFSET(SSAutCLM!$A$2,MATCH(EK$29,SSAutCLM!$A$2:$A$500)+$A34-1,1)-1)</f>
        <v>9.6014709475296112E-3</v>
      </c>
      <c r="EL34" s="9">
        <f ca="1">IF(OR(EL7="",EL$28&lt;$A34),"",EL7/OFFSET(SSAutCLM!$A$2,MATCH(EL$29,SSAutCLM!$A$2:$A$500)+$A34-1,1)-1)</f>
        <v>2.1357098697323273E-3</v>
      </c>
      <c r="EM34" s="9">
        <f ca="1">IF(OR(EM7="",EM$28&lt;$A34),"",EM7/OFFSET(SSAutCLM!$A$2,MATCH(EM$29,SSAutCLM!$A$2:$A$500)+$A34-1,1)-1)</f>
        <v>8.9331278083903953E-4</v>
      </c>
      <c r="EN34" s="9">
        <f ca="1">IF(OR(EN7="",EN$28&lt;$A34),"",EN7/OFFSET(SSAutCLM!$A$2,MATCH(EN$29,SSAutCLM!$A$2:$A$500)+$A34-1,1)-1)</f>
        <v>2.6011502000056197E-4</v>
      </c>
      <c r="EO34" s="9">
        <f ca="1">IF(OR(EO7="",EO$28&lt;$A34),"",EO7/OFFSET(SSAutCLM!$A$2,MATCH(EO$29,SSAutCLM!$A$2:$A$500)+$A34-1,1)-1)</f>
        <v>1.2142519188211853E-3</v>
      </c>
      <c r="EP34" s="9">
        <f ca="1">IF(OR(EP7="",EP$28&lt;$A34),"",EP7/OFFSET(SSAutCLM!$A$2,MATCH(EP$29,SSAutCLM!$A$2:$A$500)+$A34-1,1)-1)</f>
        <v>-1.5605778048568664E-2</v>
      </c>
      <c r="EQ34" s="9">
        <f ca="1">IF(OR(EQ7="",EQ$28&lt;$A34),"",EQ7/OFFSET(SSAutCLM!$A$2,MATCH(EQ$29,SSAutCLM!$A$2:$A$500)+$A34-1,1)-1)</f>
        <v>-2.8808725225550891E-3</v>
      </c>
      <c r="ER34" s="9">
        <f ca="1">IF(OR(ER7="",ER$28&lt;$A34),"",ER7/OFFSET(SSAutCLM!$A$2,MATCH(ER$29,SSAutCLM!$A$2:$A$500)+$A34-1,1)-1)</f>
        <v>8.1293318081534505E-3</v>
      </c>
      <c r="ES34" s="9">
        <f ca="1">IF(OR(ES7="",ES$28&lt;$A34),"",ES7/OFFSET(SSAutCLM!$A$2,MATCH(ES$29,SSAutCLM!$A$2:$A$500)+$A34-1,1)-1)</f>
        <v>5.632936838644742E-3</v>
      </c>
      <c r="ET34" s="9">
        <f ca="1">IF(OR(ET7="",ET$28&lt;$A34),"",ET7/OFFSET(SSAutCLM!$A$2,MATCH(ET$29,SSAutCLM!$A$2:$A$500)+$A34-1,1)-1)</f>
        <v>3.9359203726034853E-3</v>
      </c>
      <c r="EU34" s="9">
        <f ca="1">IF(OR(EU7="",EU$28&lt;$A34),"",EU7/OFFSET(SSAutCLM!$A$2,MATCH(EU$29,SSAutCLM!$A$2:$A$500)+$A34-1,1)-1)</f>
        <v>3.8263710457568934E-3</v>
      </c>
      <c r="EV34" s="9">
        <f ca="1">IF(OR(EV7="",EV$28&lt;$A34),"",EV7/OFFSET(SSAutCLM!$A$2,MATCH(EV$29,SSAutCLM!$A$2:$A$500)+$A34-1,1)-1)</f>
        <v>8.3470982113365011E-5</v>
      </c>
      <c r="EW34" s="9">
        <f ca="1">IF(OR(EW7="",EW$28&lt;$A34),"",EW7/OFFSET(SSAutCLM!$A$2,MATCH(EW$29,SSAutCLM!$A$2:$A$500)+$A34-1,1)-1)</f>
        <v>-1.8401691354021921E-3</v>
      </c>
      <c r="EX34" s="9">
        <f ca="1">IF(OR(EX7="",EX$28&lt;$A34),"",EX7/OFFSET(SSAutCLM!$A$2,MATCH(EX$29,SSAutCLM!$A$2:$A$500)+$A34-1,1)-1)</f>
        <v>4.6788122431817847E-4</v>
      </c>
      <c r="EY34" s="9">
        <f ca="1">IF(OR(EY7="",EY$28&lt;$A34),"",EY7/OFFSET(SSAutCLM!$A$2,MATCH(EY$29,SSAutCLM!$A$2:$A$500)+$A34-1,1)-1)</f>
        <v>-4.6078598600631793E-3</v>
      </c>
      <c r="EZ34" s="9">
        <f ca="1">IF(OR(EZ7="",EZ$28&lt;$A34),"",EZ7/OFFSET(SSAutCLM!$A$2,MATCH(EZ$29,SSAutCLM!$A$2:$A$500)+$A34-1,1)-1)</f>
        <v>-1.0772410706317848E-3</v>
      </c>
      <c r="FA34" s="9">
        <f ca="1">IF(OR(FA7="",FA$28&lt;$A34),"",FA7/OFFSET(SSAutCLM!$A$2,MATCH(FA$29,SSAutCLM!$A$2:$A$500)+$A34-1,1)-1)</f>
        <v>2.1502358520493203E-3</v>
      </c>
      <c r="FB34" s="9">
        <f ca="1">IF(OR(FB7="",FB$28&lt;$A34),"",FB7/OFFSET(SSAutCLM!$A$2,MATCH(FB$29,SSAutCLM!$A$2:$A$500)+$A34-1,1)-1)</f>
        <v>-1.9826927358261859E-3</v>
      </c>
      <c r="FC34" s="9">
        <f ca="1">IF(OR(FC7="",FC$28&lt;$A34),"",FC7/OFFSET(SSAutCLM!$A$2,MATCH(FC$29,SSAutCLM!$A$2:$A$500)+$A34-1,1)-1)</f>
        <v>-4.5525556193168892E-3</v>
      </c>
      <c r="FD34" s="9">
        <f ca="1">IF(OR(FD7="",FD$28&lt;$A34),"",FD7/OFFSET(SSAutCLM!$A$2,MATCH(FD$29,SSAutCLM!$A$2:$A$500)+$A34-1,1)-1)</f>
        <v>3.4567846598578811E-3</v>
      </c>
      <c r="FE34" s="9">
        <f ca="1">IF(OR(FE7="",FE$28&lt;$A34),"",FE7/OFFSET(SSAutCLM!$A$2,MATCH(FE$29,SSAutCLM!$A$2:$A$500)+$A34-1,1)-1)</f>
        <v>5.4674916369021886E-3</v>
      </c>
      <c r="FF34" s="9">
        <f ca="1">IF(OR(FF7="",FF$28&lt;$A34),"",FF7/OFFSET(SSAutCLM!$A$2,MATCH(FF$29,SSAutCLM!$A$2:$A$500)+$A34-1,1)-1)</f>
        <v>3.9094172393112636E-3</v>
      </c>
      <c r="FG34" s="9">
        <f ca="1">IF(OR(FG7="",FG$28&lt;$A34),"",FG7/OFFSET(SSAutCLM!$A$2,MATCH(FG$29,SSAutCLM!$A$2:$A$500)+$A34-1,1)-1)</f>
        <v>7.6363683684068651E-3</v>
      </c>
      <c r="FH34" s="9">
        <f ca="1">IF(OR(FH7="",FH$28&lt;$A34),"",FH7/OFFSET(SSAutCLM!$A$2,MATCH(FH$29,SSAutCLM!$A$2:$A$500)+$A34-1,1)-1)</f>
        <v>5.5574498846644449E-3</v>
      </c>
      <c r="FI34" s="9">
        <f ca="1">IF(OR(FI7="",FI$28&lt;$A34),"",FI7/OFFSET(SSAutCLM!$A$2,MATCH(FI$29,SSAutCLM!$A$2:$A$500)+$A34-1,1)-1)</f>
        <v>-4.7740716592251653E-3</v>
      </c>
      <c r="FJ34" s="9">
        <f ca="1">IF(OR(FJ7="",FJ$28&lt;$A34),"",FJ7/OFFSET(SSAutCLM!$A$2,MATCH(FJ$29,SSAutCLM!$A$2:$A$500)+$A34-1,1)-1)</f>
        <v>-9.380193147017879E-3</v>
      </c>
      <c r="FK34" s="9">
        <f ca="1">IF(OR(FK7="",FK$28&lt;$A34),"",FK7/OFFSET(SSAutCLM!$A$2,MATCH(FK$29,SSAutCLM!$A$2:$A$500)+$A34-1,1)-1)</f>
        <v>-4.1292734660914876E-3</v>
      </c>
      <c r="FL34" s="9">
        <f ca="1">IF(OR(FL7="",FL$28&lt;$A34),"",FL7/OFFSET(SSAutCLM!$A$2,MATCH(FL$29,SSAutCLM!$A$2:$A$500)+$A34-1,1)-1)</f>
        <v>-6.900155069063385E-3</v>
      </c>
      <c r="FM34" s="9">
        <f ca="1">IF(OR(FM7="",FM$28&lt;$A34),"",FM7/OFFSET(SSAutCLM!$A$2,MATCH(FM$29,SSAutCLM!$A$2:$A$500)+$A34-1,1)-1)</f>
        <v>-8.9561879782629195E-3</v>
      </c>
      <c r="FN34" s="9">
        <f ca="1">IF(OR(FN7="",FN$28&lt;$A34),"",FN7/OFFSET(SSAutCLM!$A$2,MATCH(FN$29,SSAutCLM!$A$2:$A$500)+$A34-1,1)-1)</f>
        <v>-9.6122794478594731E-3</v>
      </c>
      <c r="FO34" s="9">
        <f ca="1">IF(OR(FO7="",FO$28&lt;$A34),"",FO7/OFFSET(SSAutCLM!$A$2,MATCH(FO$29,SSAutCLM!$A$2:$A$500)+$A34-1,1)-1)</f>
        <v>-2.0540160089895787E-3</v>
      </c>
      <c r="FP34" s="9">
        <f ca="1">IF(OR(FP7="",FP$28&lt;$A34),"",FP7/OFFSET(SSAutCLM!$A$2,MATCH(FP$29,SSAutCLM!$A$2:$A$500)+$A34-1,1)-1)</f>
        <v>1.3274668996933636E-2</v>
      </c>
      <c r="FQ34" s="9">
        <f ca="1">IF(OR(FQ7="",FQ$28&lt;$A34),"",FQ7/OFFSET(SSAutCLM!$A$2,MATCH(FQ$29,SSAutCLM!$A$2:$A$500)+$A34-1,1)-1)</f>
        <v>7.6456871663177495E-3</v>
      </c>
      <c r="FR34" s="9">
        <f ca="1">IF(OR(FR7="",FR$28&lt;$A34),"",FR7/OFFSET(SSAutCLM!$A$2,MATCH(FR$29,SSAutCLM!$A$2:$A$500)+$A34-1,1)-1)</f>
        <v>5.5548633144073545E-3</v>
      </c>
      <c r="FS34" s="9">
        <f ca="1">IF(OR(FS7="",FS$28&lt;$A34),"",FS7/OFFSET(SSAutCLM!$A$2,MATCH(FS$29,SSAutCLM!$A$2:$A$500)+$A34-1,1)-1)</f>
        <v>3.8622792997140554E-3</v>
      </c>
      <c r="FT34" s="9">
        <f ca="1">IF(OR(FT7="",FT$28&lt;$A34),"",FT7/OFFSET(SSAutCLM!$A$2,MATCH(FT$29,SSAutCLM!$A$2:$A$500)+$A34-1,1)-1)</f>
        <v>4.14104042697927E-4</v>
      </c>
      <c r="FU34" s="9">
        <f ca="1">IF(OR(FU7="",FU$28&lt;$A34),"",FU7/OFFSET(SSAutCLM!$A$2,MATCH(FU$29,SSAutCLM!$A$2:$A$500)+$A34-1,1)-1)</f>
        <v>-5.5142575942100924E-3</v>
      </c>
      <c r="FV34" s="9">
        <f ca="1">IF(OR(FV7="",FV$28&lt;$A34),"",FV7/OFFSET(SSAutCLM!$A$2,MATCH(FV$29,SSAutCLM!$A$2:$A$500)+$A34-1,1)-1)</f>
        <v>-3.0060393656793361E-3</v>
      </c>
      <c r="FW34" s="9">
        <f ca="1">IF(OR(FW7="",FW$28&lt;$A34),"",FW7/OFFSET(SSAutCLM!$A$2,MATCH(FW$29,SSAutCLM!$A$2:$A$500)+$A34-1,1)-1)</f>
        <v>1.3438476595031279E-3</v>
      </c>
      <c r="FX34" s="9">
        <f ca="1">IF(OR(FX7="",FX$28&lt;$A34),"",FX7/OFFSET(SSAutCLM!$A$2,MATCH(FX$29,SSAutCLM!$A$2:$A$500)+$A34-1,1)-1)</f>
        <v>7.7364546646505605E-3</v>
      </c>
      <c r="FY34" s="9">
        <f ca="1">IF(OR(FY7="",FY$28&lt;$A34),"",FY7/OFFSET(SSAutCLM!$A$2,MATCH(FY$29,SSAutCLM!$A$2:$A$500)+$A34-1,1)-1)</f>
        <v>5.910531432395727E-3</v>
      </c>
      <c r="FZ34" s="9">
        <f ca="1">IF(OR(FZ7="",FZ$28&lt;$A34),"",FZ7/OFFSET(SSAutCLM!$A$2,MATCH(FZ$29,SSAutCLM!$A$2:$A$500)+$A34-1,1)-1)</f>
        <v>1.0792980972465394E-2</v>
      </c>
      <c r="GA34" s="9">
        <f ca="1">IF(OR(GA7="",GA$28&lt;$A34),"",GA7/OFFSET(SSAutCLM!$A$2,MATCH(GA$29,SSAutCLM!$A$2:$A$500)+$A34-1,1)-1)</f>
        <v>-7.2435557907390979E-4</v>
      </c>
      <c r="GB34" s="9">
        <f ca="1">IF(OR(GB7="",GB$28&lt;$A34),"",GB7/OFFSET(SSAutCLM!$A$2,MATCH(GB$29,SSAutCLM!$A$2:$A$500)+$A34-1,1)-1)</f>
        <v>-2.5673816519711234E-3</v>
      </c>
      <c r="GC34" s="9">
        <f ca="1">IF(OR(GC7="",GC$28&lt;$A34),"",GC7/OFFSET(SSAutCLM!$A$2,MATCH(GC$29,SSAutCLM!$A$2:$A$500)+$A34-1,1)-1)</f>
        <v>-6.1571836484125564E-3</v>
      </c>
      <c r="GD34" s="9">
        <f ca="1">IF(OR(GD7="",GD$28&lt;$A34),"",GD7/OFFSET(SSAutCLM!$A$2,MATCH(GD$29,SSAutCLM!$A$2:$A$500)+$A34-1,1)-1)</f>
        <v>-5.4829780003320394E-3</v>
      </c>
      <c r="GE34" s="9">
        <f ca="1">IF(OR(GE7="",GE$28&lt;$A34),"",GE7/OFFSET(SSAutCLM!$A$2,MATCH(GE$29,SSAutCLM!$A$2:$A$500)+$A34-1,1)-1)</f>
        <v>-5.7197578112029301E-3</v>
      </c>
      <c r="GF34" s="9">
        <f ca="1">IF(OR(GF7="",GF$28&lt;$A34),"",GF7/OFFSET(SSAutCLM!$A$2,MATCH(GF$29,SSAutCLM!$A$2:$A$500)+$A34-1,1)-1)</f>
        <v>-1.1975278569383851E-3</v>
      </c>
      <c r="GG34" s="9">
        <f ca="1">IF(OR(GG7="",GG$28&lt;$A34),"",GG7/OFFSET(SSAutCLM!$A$2,MATCH(GG$29,SSAutCLM!$A$2:$A$500)+$A34-1,1)-1)</f>
        <v>-2.3031304445770839E-3</v>
      </c>
      <c r="GH34" s="9">
        <f ca="1">IF(OR(GH7="",GH$28&lt;$A34),"",GH7/OFFSET(SSAutCLM!$A$2,MATCH(GH$29,SSAutCLM!$A$2:$A$500)+$A34-1,1)-1)</f>
        <v>-1.2432121433847421E-4</v>
      </c>
      <c r="GI34" s="9">
        <f ca="1">IF(OR(GI7="",GI$28&lt;$A34),"",GI7/OFFSET(SSAutCLM!$A$2,MATCH(GI$29,SSAutCLM!$A$2:$A$500)+$A34-1,1)-1)</f>
        <v>-3.3884760510581868E-3</v>
      </c>
      <c r="GJ34" s="9">
        <f ca="1">IF(OR(GJ7="",GJ$28&lt;$A34),"",GJ7/OFFSET(SSAutCLM!$A$2,MATCH(GJ$29,SSAutCLM!$A$2:$A$500)+$A34-1,1)-1)</f>
        <v>2.7549425957480445E-3</v>
      </c>
      <c r="GK34" s="9">
        <f ca="1">IF(OR(GK7="",GK$28&lt;$A34),"",GK7/OFFSET(SSAutCLM!$A$2,MATCH(GK$29,SSAutCLM!$A$2:$A$500)+$A34-1,1)-1)</f>
        <v>2.2755108616075326E-2</v>
      </c>
      <c r="GL34" s="9">
        <f ca="1">IF(OR(GL7="",GL$28&lt;$A34),"",GL7/OFFSET(SSAutCLM!$A$2,MATCH(GL$29,SSAutCLM!$A$2:$A$500)+$A34-1,1)-1)</f>
        <v>2.8701570591665559E-2</v>
      </c>
      <c r="GM34" s="9">
        <f ca="1">IF(OR(GM7="",GM$28&lt;$A34),"",GM7/OFFSET(SSAutCLM!$A$2,MATCH(GM$29,SSAutCLM!$A$2:$A$500)+$A34-1,1)-1)</f>
        <v>1.7894397621359914E-2</v>
      </c>
      <c r="GN34" s="9">
        <f ca="1">IF(OR(GN7="",GN$28&lt;$A34),"",GN7/OFFSET(SSAutCLM!$A$2,MATCH(GN$29,SSAutCLM!$A$2:$A$500)+$A34-1,1)-1)</f>
        <v>1.6812481068808838E-2</v>
      </c>
      <c r="GO34" s="9">
        <f ca="1">IF(OR(GO7="",GO$28&lt;$A34),"",GO7/OFFSET(SSAutCLM!$A$2,MATCH(GO$29,SSAutCLM!$A$2:$A$500)+$A34-1,1)-1)</f>
        <v>-2.045383109358978E-3</v>
      </c>
      <c r="GP34" s="9">
        <f ca="1">IF(OR(GP7="",GP$28&lt;$A34),"",GP7/OFFSET(SSAutCLM!$A$2,MATCH(GP$29,SSAutCLM!$A$2:$A$500)+$A34-1,1)-1)</f>
        <v>-3.7186654938670349E-2</v>
      </c>
      <c r="GQ34" s="9">
        <f ca="1">IF(OR(GQ7="",GQ$28&lt;$A34),"",GQ7/OFFSET(SSAutCLM!$A$2,MATCH(GQ$29,SSAutCLM!$A$2:$A$500)+$A34-1,1)-1)</f>
        <v>-2.5772666286207113E-2</v>
      </c>
      <c r="GR34" s="9">
        <f ca="1">IF(OR(GR7="",GR$28&lt;$A34),"",GR7/OFFSET(SSAutCLM!$A$2,MATCH(GR$29,SSAutCLM!$A$2:$A$500)+$A34-1,1)-1)</f>
        <v>-1.2398718070846249E-2</v>
      </c>
      <c r="GS34" s="9">
        <f ca="1">IF(OR(GS7="",GS$28&lt;$A34),"",GS7/OFFSET(SSAutCLM!$A$2,MATCH(GS$29,SSAutCLM!$A$2:$A$500)+$A34-1,1)-1)</f>
        <v>3.429377963137803E-5</v>
      </c>
      <c r="GT34" s="9">
        <f ca="1">IF(OR(GT7="",GT$28&lt;$A34),"",GT7/OFFSET(SSAutCLM!$A$2,MATCH(GT$29,SSAutCLM!$A$2:$A$500)+$A34-1,1)-1)</f>
        <v>6.4477887842986359E-3</v>
      </c>
      <c r="GU34" s="9" t="str">
        <f ca="1">IF(OR(GU7="",GU$28&lt;$A34),"",GU7/OFFSET(SSAutCLM!$A$2,MATCH(GU$29,SSAutCLM!$A$2:$A$500)+$A34-1,1)-1)</f>
        <v/>
      </c>
      <c r="GV34" s="9" t="str">
        <f ca="1">IF(OR(GV7="",GV$28&lt;$A34),"",GV7/OFFSET(SSAutCLM!$A$2,MATCH(GV$29,SSAutCLM!$A$2:$A$500)+$A34-1,1)-1)</f>
        <v/>
      </c>
      <c r="GW34" s="9" t="str">
        <f ca="1">IF(OR(GW7="",GW$28&lt;$A34),"",GW7/OFFSET(SSAutCLM!$A$2,MATCH(GW$29,SSAutCLM!$A$2:$A$500)+$A34-1,1)-1)</f>
        <v/>
      </c>
      <c r="GX34" s="9" t="str">
        <f ca="1">IF(OR(GX7="",GX$28&lt;$A34),"",GX7/OFFSET(SSAutCLM!$A$2,MATCH(GX$29,SSAutCLM!$A$2:$A$500)+$A34-1,1)-1)</f>
        <v/>
      </c>
      <c r="GY34" s="9" t="str">
        <f ca="1">IF(OR(GY7="",GY$28&lt;$A34),"",GY7/OFFSET(SSAutCLM!$A$2,MATCH(GY$29,SSAutCLM!$A$2:$A$500)+$A34-1,1)-1)</f>
        <v/>
      </c>
      <c r="GZ34" s="9" t="str">
        <f ca="1">IF(OR(GZ7="",GZ$28&lt;$A34),"",GZ7/OFFSET(SSAutCLM!$A$2,MATCH(GZ$29,SSAutCLM!$A$2:$A$500)+$A34-1,1)-1)</f>
        <v/>
      </c>
      <c r="HA34" s="9" t="str">
        <f ca="1">IF(OR(HA7="",HA$28&lt;$A34),"",HA7/OFFSET(SSAutCLM!$A$2,MATCH(HA$29,SSAutCLM!$A$2:$A$500)+$A34-1,1)-1)</f>
        <v/>
      </c>
      <c r="HB34" s="9" t="str">
        <f ca="1">IF(OR(HB7="",HB$28&lt;$A34),"",HB7/OFFSET(SSAutCLM!$A$2,MATCH(HB$29,SSAutCLM!$A$2:$A$500)+$A34-1,1)-1)</f>
        <v/>
      </c>
      <c r="HC34" s="9" t="str">
        <f ca="1">IF(OR(HC7="",HC$28&lt;$A34),"",HC7/OFFSET(SSAutCLM!$A$2,MATCH(HC$29,SSAutCLM!$A$2:$A$500)+$A34-1,1)-1)</f>
        <v/>
      </c>
      <c r="HD34" s="9" t="str">
        <f ca="1">IF(OR(HD7="",HD$28&lt;$A34),"",HD7/OFFSET(SSAutCLM!$A$2,MATCH(HD$29,SSAutCLM!$A$2:$A$500)+$A34-1,1)-1)</f>
        <v/>
      </c>
      <c r="HE34" s="9" t="str">
        <f ca="1">IF(OR(HE7="",HE$28&lt;$A34),"",HE7/OFFSET(SSAutCLM!$A$2,MATCH(HE$29,SSAutCLM!$A$2:$A$500)+$A34-1,1)-1)</f>
        <v/>
      </c>
      <c r="HF34" s="9" t="str">
        <f ca="1">IF(OR(HF7="",HF$28&lt;$A34),"",HF7/OFFSET(SSAutCLM!$A$2,MATCH(HF$29,SSAutCLM!$A$2:$A$500)+$A34-1,1)-1)</f>
        <v/>
      </c>
      <c r="HG34" s="9" t="str">
        <f ca="1">IF(OR(HG7="",HG$28&lt;$A34),"",HG7/OFFSET(SSAutCLM!$A$2,MATCH(HG$29,SSAutCLM!$A$2:$A$500)+$A34-1,1)-1)</f>
        <v/>
      </c>
      <c r="HH34" s="9" t="str">
        <f ca="1">IF(OR(HH7="",HH$28&lt;$A34),"",HH7/OFFSET(SSAutCLM!$A$2,MATCH(HH$29,SSAutCLM!$A$2:$A$500)+$A34-1,1)-1)</f>
        <v/>
      </c>
      <c r="HI34" s="9" t="str">
        <f ca="1">IF(OR(HI7="",HI$28&lt;$A34),"",HI7/OFFSET(SSAutCLM!$A$2,MATCH(HI$29,SSAutCLM!$A$2:$A$500)+$A34-1,1)-1)</f>
        <v/>
      </c>
      <c r="HJ34" s="9" t="str">
        <f ca="1">IF(OR(HJ7="",HJ$28&lt;$A34),"",HJ7/OFFSET(SSAutCLM!$A$2,MATCH(HJ$29,SSAutCLM!$A$2:$A$500)+$A34-1,1)-1)</f>
        <v/>
      </c>
      <c r="HK34" s="9" t="str">
        <f ca="1">IF(OR(HK7="",HK$28&lt;$A34),"",HK7/OFFSET(SSAutCLM!$A$2,MATCH(HK$29,SSAutCLM!$A$2:$A$500)+$A34-1,1)-1)</f>
        <v/>
      </c>
      <c r="HL34" s="9" t="str">
        <f ca="1">IF(OR(HL7="",HL$28&lt;$A34),"",HL7/OFFSET(SSAutCLM!$A$2,MATCH(HL$29,SSAutCLM!$A$2:$A$500)+$A34-1,1)-1)</f>
        <v/>
      </c>
      <c r="HM34" s="9" t="str">
        <f ca="1">IF(OR(HM7="",HM$28&lt;$A34),"",HM7/OFFSET(SSAutCLM!$A$2,MATCH(HM$29,SSAutCLM!$A$2:$A$500)+$A34-1,1)-1)</f>
        <v/>
      </c>
      <c r="HN34" s="9" t="str">
        <f ca="1">IF(OR(HN7="",HN$28&lt;$A34),"",HN7/OFFSET(SSAutCLM!$A$2,MATCH(HN$29,SSAutCLM!$A$2:$A$500)+$A34-1,1)-1)</f>
        <v/>
      </c>
      <c r="HO34" s="9" t="str">
        <f ca="1">IF(OR(HO7="",HO$28&lt;$A34),"",HO7/OFFSET(SSAutCLM!$A$2,MATCH(HO$29,SSAutCLM!$A$2:$A$500)+$A34-1,1)-1)</f>
        <v/>
      </c>
      <c r="HP34" s="9" t="str">
        <f ca="1">IF(OR(HP7="",HP$28&lt;$A34),"",HP7/OFFSET(SSAutCLM!$A$2,MATCH(HP$29,SSAutCLM!$A$2:$A$500)+$A34-1,1)-1)</f>
        <v/>
      </c>
      <c r="HQ34" s="9" t="str">
        <f ca="1">IF(OR(HQ7="",HQ$28&lt;$A34),"",HQ7/OFFSET(SSAutCLM!$A$2,MATCH(HQ$29,SSAutCLM!$A$2:$A$500)+$A34-1,1)-1)</f>
        <v/>
      </c>
      <c r="HR34" s="9" t="str">
        <f ca="1">IF(OR(HR7="",HR$28&lt;$A34),"",HR7/OFFSET(SSAutCLM!$A$2,MATCH(HR$29,SSAutCLM!$A$2:$A$500)+$A34-1,1)-1)</f>
        <v/>
      </c>
      <c r="HS34" s="9" t="str">
        <f ca="1">IF(OR(HS7="",HS$28&lt;$A34),"",HS7/OFFSET(SSAutCLM!$A$2,MATCH(HS$29,SSAutCLM!$A$2:$A$500)+$A34-1,1)-1)</f>
        <v/>
      </c>
      <c r="HT34" s="9" t="str">
        <f ca="1">IF(OR(HT7="",HT$28&lt;$A34),"",HT7/OFFSET(SSAutCLM!$A$2,MATCH(HT$29,SSAutCLM!$A$2:$A$500)+$A34-1,1)-1)</f>
        <v/>
      </c>
      <c r="HU34" s="9" t="str">
        <f ca="1">IF(OR(HU7="",HU$28&lt;$A34),"",HU7/OFFSET(SSAutCLM!$A$2,MATCH(HU$29,SSAutCLM!$A$2:$A$500)+$A34-1,1)-1)</f>
        <v/>
      </c>
      <c r="HV34" s="9" t="str">
        <f ca="1">IF(OR(HV7="",HV$28&lt;$A34),"",HV7/OFFSET(SSAutCLM!$A$2,MATCH(HV$29,SSAutCLM!$A$2:$A$500)+$A34-1,1)-1)</f>
        <v/>
      </c>
      <c r="HW34" s="9" t="str">
        <f ca="1">IF(OR(HW7="",HW$28&lt;$A34),"",HW7/OFFSET(SSAutCLM!$A$2,MATCH(HW$29,SSAutCLM!$A$2:$A$500)+$A34-1,1)-1)</f>
        <v/>
      </c>
      <c r="HX34" s="9" t="str">
        <f ca="1">IF(OR(HX7="",HX$28&lt;$A34),"",HX7/OFFSET(SSAutCLM!$A$2,MATCH(HX$29,SSAutCLM!$A$2:$A$500)+$A34-1,1)-1)</f>
        <v/>
      </c>
      <c r="HY34" s="9" t="str">
        <f ca="1">IF(OR(HY7="",HY$28&lt;$A34),"",HY7/OFFSET(SSAutCLM!$A$2,MATCH(HY$29,SSAutCLM!$A$2:$A$500)+$A34-1,1)-1)</f>
        <v/>
      </c>
      <c r="HZ34" s="9" t="str">
        <f ca="1">IF(OR(HZ7="",HZ$28&lt;$A34),"",HZ7/OFFSET(SSAutCLM!$A$2,MATCH(HZ$29,SSAutCLM!$A$2:$A$500)+$A34-1,1)-1)</f>
        <v/>
      </c>
      <c r="IA34" s="9" t="str">
        <f ca="1">IF(OR(IA7="",IA$28&lt;$A34),"",IA7/OFFSET(SSAutCLM!$A$2,MATCH(IA$29,SSAutCLM!$A$2:$A$500)+$A34-1,1)-1)</f>
        <v/>
      </c>
      <c r="IB34" s="9" t="str">
        <f ca="1">IF(OR(IB7="",IB$28&lt;$A34),"",IB7/OFFSET(SSAutCLM!$A$2,MATCH(IB$29,SSAutCLM!$A$2:$A$500)+$A34-1,1)-1)</f>
        <v/>
      </c>
      <c r="IC34" s="9" t="str">
        <f ca="1">IF(OR(IC7="",IC$28&lt;$A34),"",IC7/OFFSET(SSAutCLM!$A$2,MATCH(IC$29,SSAutCLM!$A$2:$A$500)+$A34-1,1)-1)</f>
        <v/>
      </c>
      <c r="ID34" s="9" t="str">
        <f ca="1">IF(OR(ID7="",ID$28&lt;$A34),"",ID7/OFFSET(SSAutCLM!$A$2,MATCH(ID$29,SSAutCLM!$A$2:$A$500)+$A34-1,1)-1)</f>
        <v/>
      </c>
      <c r="IE34" s="9" t="str">
        <f ca="1">IF(OR(IE7="",IE$28&lt;$A34),"",IE7/OFFSET(SSAutCLM!$A$2,MATCH(IE$29,SSAutCLM!$A$2:$A$500)+$A34-1,1)-1)</f>
        <v/>
      </c>
      <c r="IF34" s="9" t="str">
        <f ca="1">IF(OR(IF7="",IF$28&lt;$A34),"",IF7/OFFSET(SSAutCLM!$A$2,MATCH(IF$29,SSAutCLM!$A$2:$A$500)+$A34-1,1)-1)</f>
        <v/>
      </c>
      <c r="IG34" s="9" t="str">
        <f ca="1">IF(OR(IG7="",IG$28&lt;$A34),"",IG7/OFFSET(SSAutCLM!$A$2,MATCH(IG$29,SSAutCLM!$A$2:$A$500)+$A34-1,1)-1)</f>
        <v/>
      </c>
      <c r="IH34" s="9" t="str">
        <f ca="1">IF(OR(IH7="",IH$28&lt;$A34),"",IH7/OFFSET(SSAutCLM!$A$2,MATCH(IH$29,SSAutCLM!$A$2:$A$500)+$A34-1,1)-1)</f>
        <v/>
      </c>
      <c r="II34" s="9" t="str">
        <f ca="1">IF(OR(II7="",II$28&lt;$A34),"",II7/OFFSET(SSAutCLM!$A$2,MATCH(II$29,SSAutCLM!$A$2:$A$500)+$A34-1,1)-1)</f>
        <v/>
      </c>
      <c r="IJ34" s="9" t="str">
        <f ca="1">IF(OR(IJ7="",IJ$28&lt;$A34),"",IJ7/OFFSET(SSAutCLM!$A$2,MATCH(IJ$29,SSAutCLM!$A$2:$A$500)+$A34-1,1)-1)</f>
        <v/>
      </c>
      <c r="IK34" s="9" t="str">
        <f ca="1">IF(OR(IK7="",IK$28&lt;$A34),"",IK7/OFFSET(SSAutCLM!$A$2,MATCH(IK$29,SSAutCLM!$A$2:$A$500)+$A34-1,1)-1)</f>
        <v/>
      </c>
      <c r="IL34" s="9" t="str">
        <f ca="1">IF(OR(IL7="",IL$28&lt;$A34),"",IL7/OFFSET(SSAutCLM!$A$2,MATCH(IL$29,SSAutCLM!$A$2:$A$500)+$A34-1,1)-1)</f>
        <v/>
      </c>
      <c r="IM34" s="9" t="str">
        <f ca="1">IF(OR(IM7="",IM$28&lt;$A34),"",IM7/OFFSET(SSAutCLM!$A$2,MATCH(IM$29,SSAutCLM!$A$2:$A$500)+$A34-1,1)-1)</f>
        <v/>
      </c>
      <c r="IN34" s="9" t="str">
        <f ca="1">IF(OR(IN7="",IN$28&lt;$A34),"",IN7/OFFSET(SSAutCLM!$A$2,MATCH(IN$29,SSAutCLM!$A$2:$A$500)+$A34-1,1)-1)</f>
        <v/>
      </c>
      <c r="IO34" s="9" t="str">
        <f ca="1">IF(OR(IO7="",IO$28&lt;$A34),"",IO7/OFFSET(SSAutCLM!$A$2,MATCH(IO$29,SSAutCLM!$A$2:$A$500)+$A34-1,1)-1)</f>
        <v/>
      </c>
      <c r="IP34" s="9" t="str">
        <f ca="1">IF(OR(IP7="",IP$28&lt;$A34),"",IP7/OFFSET(SSAutCLM!$A$2,MATCH(IP$29,SSAutCLM!$A$2:$A$500)+$A34-1,1)-1)</f>
        <v/>
      </c>
      <c r="IQ34" s="9" t="str">
        <f ca="1">IF(OR(IQ7="",IQ$28&lt;$A34),"",IQ7/OFFSET(SSAutCLM!$A$2,MATCH(IQ$29,SSAutCLM!$A$2:$A$500)+$A34-1,1)-1)</f>
        <v/>
      </c>
      <c r="IR34" s="9" t="str">
        <f ca="1">IF(OR(IR7="",IR$28&lt;$A34),"",IR7/OFFSET(SSAutCLM!$A$2,MATCH(IR$29,SSAutCLM!$A$2:$A$500)+$A34-1,1)-1)</f>
        <v/>
      </c>
      <c r="IS34" s="9" t="str">
        <f ca="1">IF(OR(IS7="",IS$28&lt;$A34),"",IS7/OFFSET(SSAutCLM!$A$2,MATCH(IS$29,SSAutCLM!$A$2:$A$500)+$A34-1,1)-1)</f>
        <v/>
      </c>
      <c r="IT34" s="9" t="str">
        <f ca="1">IF(OR(IT7="",IT$28&lt;$A34),"",IT7/OFFSET(SSAutCLM!$A$2,MATCH(IT$29,SSAutCLM!$A$2:$A$500)+$A34-1,1)-1)</f>
        <v/>
      </c>
      <c r="IU34" s="9" t="str">
        <f ca="1">IF(OR(IU7="",IU$28&lt;$A34),"",IU7/OFFSET(SSAutCLM!$A$2,MATCH(IU$29,SSAutCLM!$A$2:$A$500)+$A34-1,1)-1)</f>
        <v/>
      </c>
      <c r="IV34" s="9" t="str">
        <f ca="1">IF(OR(IV7="",IV$28&lt;$A34),"",IV7/OFFSET(SSAutCLM!$A$2,MATCH(IV$29,SSAutCLM!$A$2:$A$500)+$A34-1,1)-1)</f>
        <v/>
      </c>
      <c r="IW34" s="9" t="str">
        <f ca="1">IF(OR(IW7="",IW$28&lt;$A34),"",IW7/OFFSET(SSAutCLM!$A$2,MATCH(IW$29,SSAutCLM!$A$2:$A$500)+$A34-1,1)-1)</f>
        <v/>
      </c>
      <c r="IX34" s="9" t="str">
        <f ca="1">IF(OR(IX7="",IX$28&lt;$A34),"",IX7/OFFSET(SSAutCLM!$A$2,MATCH(IX$29,SSAutCLM!$A$2:$A$500)+$A34-1,1)-1)</f>
        <v/>
      </c>
      <c r="IY34" s="9" t="str">
        <f ca="1">IF(OR(IY7="",IY$28&lt;$A34),"",IY7/OFFSET(SSAutCLM!$A$2,MATCH(IY$29,SSAutCLM!$A$2:$A$500)+$A34-1,1)-1)</f>
        <v/>
      </c>
      <c r="IZ34" s="9" t="str">
        <f ca="1">IF(OR(IZ7="",IZ$28&lt;$A34),"",IZ7/OFFSET(SSAutCLM!$A$2,MATCH(IZ$29,SSAutCLM!$A$2:$A$500)+$A34-1,1)-1)</f>
        <v/>
      </c>
      <c r="JA34" s="9" t="str">
        <f ca="1">IF(OR(JA7="",JA$28&lt;$A34),"",JA7/OFFSET(SSAutCLM!$A$2,MATCH(JA$29,SSAutCLM!$A$2:$A$500)+$A34-1,1)-1)</f>
        <v/>
      </c>
      <c r="JB34" s="9" t="str">
        <f ca="1">IF(OR(JB7="",JB$28&lt;$A34),"",JB7/OFFSET(SSAutCLM!$A$2,MATCH(JB$29,SSAutCLM!$A$2:$A$500)+$A34-1,1)-1)</f>
        <v/>
      </c>
      <c r="JC34" s="9" t="str">
        <f ca="1">IF(OR(JC7="",JC$28&lt;$A34),"",JC7/OFFSET(SSAutCLM!$A$2,MATCH(JC$29,SSAutCLM!$A$2:$A$500)+$A34-1,1)-1)</f>
        <v/>
      </c>
      <c r="JD34" s="9" t="str">
        <f ca="1">IF(OR(JD7="",JD$28&lt;$A34),"",JD7/OFFSET(SSAutCLM!$A$2,MATCH(JD$29,SSAutCLM!$A$2:$A$500)+$A34-1,1)-1)</f>
        <v/>
      </c>
      <c r="JE34" s="9" t="str">
        <f ca="1">IF(OR(JE7="",JE$28&lt;$A34),"",JE7/OFFSET(SSAutCLM!$A$2,MATCH(JE$29,SSAutCLM!$A$2:$A$500)+$A34-1,1)-1)</f>
        <v/>
      </c>
      <c r="JF34" s="9" t="str">
        <f ca="1">IF(OR(JF7="",JF$28&lt;$A34),"",JF7/OFFSET(SSAutCLM!$A$2,MATCH(JF$29,SSAutCLM!$A$2:$A$500)+$A34-1,1)-1)</f>
        <v/>
      </c>
      <c r="JG34" s="9" t="str">
        <f ca="1">IF(OR(JG7="",JG$28&lt;$A34),"",JG7/OFFSET(SSAutCLM!$A$2,MATCH(JG$29,SSAutCLM!$A$2:$A$500)+$A34-1,1)-1)</f>
        <v/>
      </c>
      <c r="JH34" s="9" t="str">
        <f ca="1">IF(OR(JH7="",JH$28&lt;$A34),"",JH7/OFFSET(SSAutCLM!$A$2,MATCH(JH$29,SSAutCLM!$A$2:$A$500)+$A34-1,1)-1)</f>
        <v/>
      </c>
      <c r="JI34" s="13">
        <f t="shared" ca="1" si="13"/>
        <v>1.1341610304627138E-3</v>
      </c>
      <c r="JJ34" s="13">
        <f t="shared" ca="1" si="14"/>
        <v>-4.5013717353548088E-5</v>
      </c>
      <c r="JK34" s="14">
        <f t="shared" ca="1" si="15"/>
        <v>1.5065124662984439E-4</v>
      </c>
      <c r="JL34" s="17">
        <f t="shared" ca="1" si="18"/>
        <v>1.2274006950863454E-2</v>
      </c>
      <c r="JM34" s="15" t="str">
        <f t="shared" ca="1" si="16"/>
        <v>[ -2,34% ; 2,57% ]</v>
      </c>
      <c r="JN34" s="17">
        <f t="shared" ca="1" si="17"/>
        <v>1.5710728897105224E-2</v>
      </c>
      <c r="LY34" s="1"/>
    </row>
    <row r="35" spans="1:337" x14ac:dyDescent="0.25">
      <c r="A35" s="4">
        <v>6</v>
      </c>
      <c r="B35" s="9">
        <f ca="1">IF(OR(B8="",B$28&lt;$A35),"",B8/OFFSET(SSAutCLM!$A$2,MATCH(B$29,SSAutCLM!$A$2:$A$500)+$A35-1,1)-1)</f>
        <v>-4.0940220328912202E-3</v>
      </c>
      <c r="C35" s="9">
        <f ca="1">IF(OR(C8="",C$28&lt;$A35),"",C8/OFFSET(SSAutCLM!$A$2,MATCH(C$29,SSAutCLM!$A$2:$A$500)+$A35-1,1)-1)</f>
        <v>-8.4429046619260983E-4</v>
      </c>
      <c r="D35" s="9">
        <f ca="1">IF(OR(D8="",D$28&lt;$A35),"",D8/OFFSET(SSAutCLM!$A$2,MATCH(D$29,SSAutCLM!$A$2:$A$500)+$A35-1,1)-1)</f>
        <v>-3.6302492508094586E-3</v>
      </c>
      <c r="E35" s="9">
        <f ca="1">IF(OR(E8="",E$28&lt;$A35),"",E8/OFFSET(SSAutCLM!$A$2,MATCH(E$29,SSAutCLM!$A$2:$A$500)+$A35-1,1)-1)</f>
        <v>-2.7913367955088031E-3</v>
      </c>
      <c r="F35" s="9">
        <f ca="1">IF(OR(F8="",F$28&lt;$A35),"",F8/OFFSET(SSAutCLM!$A$2,MATCH(F$29,SSAutCLM!$A$2:$A$500)+$A35-1,1)-1)</f>
        <v>-2.8727795344232199E-3</v>
      </c>
      <c r="G35" s="9">
        <f ca="1">IF(OR(G8="",G$28&lt;$A35),"",G8/OFFSET(SSAutCLM!$A$2,MATCH(G$29,SSAutCLM!$A$2:$A$500)+$A35-1,1)-1)</f>
        <v>-1.5654521872530136E-3</v>
      </c>
      <c r="H35" s="9">
        <f ca="1">IF(OR(H8="",H$28&lt;$A35),"",H8/OFFSET(SSAutCLM!$A$2,MATCH(H$29,SSAutCLM!$A$2:$A$500)+$A35-1,1)-1)</f>
        <v>-1.1115582711379579E-3</v>
      </c>
      <c r="I35" s="9">
        <f ca="1">IF(OR(I8="",I$28&lt;$A35),"",I8/OFFSET(SSAutCLM!$A$2,MATCH(I$29,SSAutCLM!$A$2:$A$500)+$A35-1,1)-1)</f>
        <v>-2.1179264625033056E-3</v>
      </c>
      <c r="J35" s="9">
        <f ca="1">IF(OR(J8="",J$28&lt;$A35),"",J8/OFFSET(SSAutCLM!$A$2,MATCH(J$29,SSAutCLM!$A$2:$A$500)+$A35-1,1)-1)</f>
        <v>-1.4962115082275407E-3</v>
      </c>
      <c r="K35" s="9">
        <f ca="1">IF(OR(K8="",K$28&lt;$A35),"",K8/OFFSET(SSAutCLM!$A$2,MATCH(K$29,SSAutCLM!$A$2:$A$500)+$A35-1,1)-1)</f>
        <v>-3.8827326455093125E-4</v>
      </c>
      <c r="L35" s="9">
        <f ca="1">IF(OR(L8="",L$28&lt;$A35),"",L8/OFFSET(SSAutCLM!$A$2,MATCH(L$29,SSAutCLM!$A$2:$A$500)+$A35-1,1)-1)</f>
        <v>-6.0589105803199317E-4</v>
      </c>
      <c r="M35" s="9">
        <f ca="1">IF(OR(M8="",M$28&lt;$A35),"",M8/OFFSET(SSAutCLM!$A$2,MATCH(M$29,SSAutCLM!$A$2:$A$500)+$A35-1,1)-1)</f>
        <v>-4.0303952003384325E-5</v>
      </c>
      <c r="N35" s="9">
        <f ca="1">IF(OR(N8="",N$28&lt;$A35),"",N8/OFFSET(SSAutCLM!$A$2,MATCH(N$29,SSAutCLM!$A$2:$A$500)+$A35-1,1)-1)</f>
        <v>2.6995677822396758E-3</v>
      </c>
      <c r="O35" s="9">
        <f ca="1">IF(OR(O8="",O$28&lt;$A35),"",O8/OFFSET(SSAutCLM!$A$2,MATCH(O$29,SSAutCLM!$A$2:$A$500)+$A35-1,1)-1)</f>
        <v>6.7613970547439894E-3</v>
      </c>
      <c r="P35" s="9">
        <f ca="1">IF(OR(P8="",P$28&lt;$A35),"",P8/OFFSET(SSAutCLM!$A$2,MATCH(P$29,SSAutCLM!$A$2:$A$500)+$A35-1,1)-1)</f>
        <v>7.2607648439826367E-3</v>
      </c>
      <c r="Q35" s="9">
        <f ca="1">IF(OR(Q8="",Q$28&lt;$A35),"",Q8/OFFSET(SSAutCLM!$A$2,MATCH(Q$29,SSAutCLM!$A$2:$A$500)+$A35-1,1)-1)</f>
        <v>5.8209892274960762E-3</v>
      </c>
      <c r="R35" s="9">
        <f ca="1">IF(OR(R8="",R$28&lt;$A35),"",R8/OFFSET(SSAutCLM!$A$2,MATCH(R$29,SSAutCLM!$A$2:$A$500)+$A35-1,1)-1)</f>
        <v>4.6860278624540896E-3</v>
      </c>
      <c r="S35" s="9">
        <f ca="1">IF(OR(S8="",S$28&lt;$A35),"",S8/OFFSET(SSAutCLM!$A$2,MATCH(S$29,SSAutCLM!$A$2:$A$500)+$A35-1,1)-1)</f>
        <v>3.3629928908021078E-3</v>
      </c>
      <c r="T35" s="9">
        <f ca="1">IF(OR(T8="",T$28&lt;$A35),"",T8/OFFSET(SSAutCLM!$A$2,MATCH(T$29,SSAutCLM!$A$2:$A$500)+$A35-1,1)-1)</f>
        <v>1.8223906927530287E-3</v>
      </c>
      <c r="U35" s="9">
        <f ca="1">IF(OR(U8="",U$28&lt;$A35),"",U8/OFFSET(SSAutCLM!$A$2,MATCH(U$29,SSAutCLM!$A$2:$A$500)+$A35-1,1)-1)</f>
        <v>4.1301914509550564E-4</v>
      </c>
      <c r="V35" s="9">
        <f ca="1">IF(OR(V8="",V$28&lt;$A35),"",V8/OFFSET(SSAutCLM!$A$2,MATCH(V$29,SSAutCLM!$A$2:$A$500)+$A35-1,1)-1)</f>
        <v>-1.371845959830198E-3</v>
      </c>
      <c r="W35" s="9">
        <f ca="1">IF(OR(W8="",W$28&lt;$A35),"",W8/OFFSET(SSAutCLM!$A$2,MATCH(W$29,SSAutCLM!$A$2:$A$500)+$A35-1,1)-1)</f>
        <v>-8.2450619633078759E-4</v>
      </c>
      <c r="X35" s="9">
        <f ca="1">IF(OR(X8="",X$28&lt;$A35),"",X8/OFFSET(SSAutCLM!$A$2,MATCH(X$29,SSAutCLM!$A$2:$A$500)+$A35-1,1)-1)</f>
        <v>-9.5634654174214795E-4</v>
      </c>
      <c r="Y35" s="9">
        <f ca="1">IF(OR(Y8="",Y$28&lt;$A35),"",Y8/OFFSET(SSAutCLM!$A$2,MATCH(Y$29,SSAutCLM!$A$2:$A$500)+$A35-1,1)-1)</f>
        <v>-3.0437815954879044E-3</v>
      </c>
      <c r="Z35" s="9">
        <f ca="1">IF(OR(Z8="",Z$28&lt;$A35),"",Z8/OFFSET(SSAutCLM!$A$2,MATCH(Z$29,SSAutCLM!$A$2:$A$500)+$A35-1,1)-1)</f>
        <v>-2.6074305103425122E-3</v>
      </c>
      <c r="AA35" s="9">
        <f ca="1">IF(OR(AA8="",AA$28&lt;$A35),"",AA8/OFFSET(SSAutCLM!$A$2,MATCH(AA$29,SSAutCLM!$A$2:$A$500)+$A35-1,1)-1)</f>
        <v>-1.0654467864511519E-3</v>
      </c>
      <c r="AB35" s="9">
        <f ca="1">IF(OR(AB8="",AB$28&lt;$A35),"",AB8/OFFSET(SSAutCLM!$A$2,MATCH(AB$29,SSAutCLM!$A$2:$A$500)+$A35-1,1)-1)</f>
        <v>9.9639595919032153E-4</v>
      </c>
      <c r="AC35" s="9">
        <f ca="1">IF(OR(AC8="",AC$28&lt;$A35),"",AC8/OFFSET(SSAutCLM!$A$2,MATCH(AC$29,SSAutCLM!$A$2:$A$500)+$A35-1,1)-1)</f>
        <v>-8.4885089630848398E-4</v>
      </c>
      <c r="AD35" s="9">
        <f ca="1">IF(OR(AD8="",AD$28&lt;$A35),"",AD8/OFFSET(SSAutCLM!$A$2,MATCH(AD$29,SSAutCLM!$A$2:$A$500)+$A35-1,1)-1)</f>
        <v>-1.7930441875601E-3</v>
      </c>
      <c r="AE35" s="9">
        <f ca="1">IF(OR(AE8="",AE$28&lt;$A35),"",AE8/OFFSET(SSAutCLM!$A$2,MATCH(AE$29,SSAutCLM!$A$2:$A$500)+$A35-1,1)-1)</f>
        <v>-1.7488297549731469E-3</v>
      </c>
      <c r="AF35" s="9">
        <f ca="1">IF(OR(AF8="",AF$28&lt;$A35),"",AF8/OFFSET(SSAutCLM!$A$2,MATCH(AF$29,SSAutCLM!$A$2:$A$500)+$A35-1,1)-1)</f>
        <v>-2.7615039868293945E-3</v>
      </c>
      <c r="AG35" s="9">
        <f ca="1">IF(OR(AG8="",AG$28&lt;$A35),"",AG8/OFFSET(SSAutCLM!$A$2,MATCH(AG$29,SSAutCLM!$A$2:$A$500)+$A35-1,1)-1)</f>
        <v>-2.6422228801465941E-3</v>
      </c>
      <c r="AH35" s="9">
        <f ca="1">IF(OR(AH8="",AH$28&lt;$A35),"",AH8/OFFSET(SSAutCLM!$A$2,MATCH(AH$29,SSAutCLM!$A$2:$A$500)+$A35-1,1)-1)</f>
        <v>-6.6259160658772576E-3</v>
      </c>
      <c r="AI35" s="9">
        <f ca="1">IF(OR(AI8="",AI$28&lt;$A35),"",AI8/OFFSET(SSAutCLM!$A$2,MATCH(AI$29,SSAutCLM!$A$2:$A$500)+$A35-1,1)-1)</f>
        <v>-8.2672007910298273E-3</v>
      </c>
      <c r="AJ35" s="9">
        <f ca="1">IF(OR(AJ8="",AJ$28&lt;$A35),"",AJ8/OFFSET(SSAutCLM!$A$2,MATCH(AJ$29,SSAutCLM!$A$2:$A$500)+$A35-1,1)-1)</f>
        <v>-7.8686775899986516E-3</v>
      </c>
      <c r="AK35" s="9">
        <f ca="1">IF(OR(AK8="",AK$28&lt;$A35),"",AK8/OFFSET(SSAutCLM!$A$2,MATCH(AK$29,SSAutCLM!$A$2:$A$500)+$A35-1,1)-1)</f>
        <v>-8.1988290394816588E-3</v>
      </c>
      <c r="AL35" s="9">
        <f ca="1">IF(OR(AL8="",AL$28&lt;$A35),"",AL8/OFFSET(SSAutCLM!$A$2,MATCH(AL$29,SSAutCLM!$A$2:$A$500)+$A35-1,1)-1)</f>
        <v>-7.9025933779355295E-3</v>
      </c>
      <c r="AM35" s="9">
        <f ca="1">IF(OR(AM8="",AM$28&lt;$A35),"",AM8/OFFSET(SSAutCLM!$A$2,MATCH(AM$29,SSAutCLM!$A$2:$A$500)+$A35-1,1)-1)</f>
        <v>-8.3138859014632027E-3</v>
      </c>
      <c r="AN35" s="9">
        <f ca="1">IF(OR(AN8="",AN$28&lt;$A35),"",AN8/OFFSET(SSAutCLM!$A$2,MATCH(AN$29,SSAutCLM!$A$2:$A$500)+$A35-1,1)-1)</f>
        <v>-5.0730677646837474E-3</v>
      </c>
      <c r="AO35" s="9">
        <f ca="1">IF(OR(AO8="",AO$28&lt;$A35),"",AO8/OFFSET(SSAutCLM!$A$2,MATCH(AO$29,SSAutCLM!$A$2:$A$500)+$A35-1,1)-1)</f>
        <v>-2.8490654757573619E-3</v>
      </c>
      <c r="AP35" s="9">
        <f ca="1">IF(OR(AP8="",AP$28&lt;$A35),"",AP8/OFFSET(SSAutCLM!$A$2,MATCH(AP$29,SSAutCLM!$A$2:$A$500)+$A35-1,1)-1)</f>
        <v>-4.9833516296338143E-3</v>
      </c>
      <c r="AQ35" s="9">
        <f ca="1">IF(OR(AQ8="",AQ$28&lt;$A35),"",AQ8/OFFSET(SSAutCLM!$A$2,MATCH(AQ$29,SSAutCLM!$A$2:$A$500)+$A35-1,1)-1)</f>
        <v>-5.3800244411468245E-3</v>
      </c>
      <c r="AR35" s="9">
        <f ca="1">IF(OR(AR8="",AR$28&lt;$A35),"",AR8/OFFSET(SSAutCLM!$A$2,MATCH(AR$29,SSAutCLM!$A$2:$A$500)+$A35-1,1)-1)</f>
        <v>-1.3363623289561755E-3</v>
      </c>
      <c r="AS35" s="9">
        <f ca="1">IF(OR(AS8="",AS$28&lt;$A35),"",AS8/OFFSET(SSAutCLM!$A$2,MATCH(AS$29,SSAutCLM!$A$2:$A$500)+$A35-1,1)-1)</f>
        <v>4.1500062274320015E-3</v>
      </c>
      <c r="AT35" s="9">
        <f ca="1">IF(OR(AT8="",AT$28&lt;$A35),"",AT8/OFFSET(SSAutCLM!$A$2,MATCH(AT$29,SSAutCLM!$A$2:$A$500)+$A35-1,1)-1)</f>
        <v>8.6759156741427201E-3</v>
      </c>
      <c r="AU35" s="9">
        <f ca="1">IF(OR(AU8="",AU$28&lt;$A35),"",AU8/OFFSET(SSAutCLM!$A$2,MATCH(AU$29,SSAutCLM!$A$2:$A$500)+$A35-1,1)-1)</f>
        <v>1.2377982114176067E-2</v>
      </c>
      <c r="AV35" s="9">
        <f ca="1">IF(OR(AV8="",AV$28&lt;$A35),"",AV8/OFFSET(SSAutCLM!$A$2,MATCH(AV$29,SSAutCLM!$A$2:$A$500)+$A35-1,1)-1)</f>
        <v>2.039195990819187E-2</v>
      </c>
      <c r="AW35" s="9">
        <f ca="1">IF(OR(AW8="",AW$28&lt;$A35),"",AW8/OFFSET(SSAutCLM!$A$2,MATCH(AW$29,SSAutCLM!$A$2:$A$500)+$A35-1,1)-1)</f>
        <v>2.6474081744892963E-2</v>
      </c>
      <c r="AX35" s="9">
        <f ca="1">IF(OR(AX8="",AX$28&lt;$A35),"",AX8/OFFSET(SSAutCLM!$A$2,MATCH(AX$29,SSAutCLM!$A$2:$A$500)+$A35-1,1)-1)</f>
        <v>2.7486927069067635E-2</v>
      </c>
      <c r="AY35" s="9">
        <f ca="1">IF(OR(AY8="",AY$28&lt;$A35),"",AY8/OFFSET(SSAutCLM!$A$2,MATCH(AY$29,SSAutCLM!$A$2:$A$500)+$A35-1,1)-1)</f>
        <v>2.7335461823032814E-2</v>
      </c>
      <c r="AZ35" s="9">
        <f ca="1">IF(OR(AZ8="",AZ$28&lt;$A35),"",AZ8/OFFSET(SSAutCLM!$A$2,MATCH(AZ$29,SSAutCLM!$A$2:$A$500)+$A35-1,1)-1)</f>
        <v>2.555441177554596E-2</v>
      </c>
      <c r="BA35" s="9">
        <f ca="1">IF(OR(BA8="",BA$28&lt;$A35),"",BA8/OFFSET(SSAutCLM!$A$2,MATCH(BA$29,SSAutCLM!$A$2:$A$500)+$A35-1,1)-1)</f>
        <v>2.5983796374748902E-2</v>
      </c>
      <c r="BB35" s="9">
        <f ca="1">IF(OR(BB8="",BB$28&lt;$A35),"",BB8/OFFSET(SSAutCLM!$A$2,MATCH(BB$29,SSAutCLM!$A$2:$A$500)+$A35-1,1)-1)</f>
        <v>2.2588594711000942E-2</v>
      </c>
      <c r="BC35" s="9">
        <f ca="1">IF(OR(BC8="",BC$28&lt;$A35),"",BC8/OFFSET(SSAutCLM!$A$2,MATCH(BC$29,SSAutCLM!$A$2:$A$500)+$A35-1,1)-1)</f>
        <v>1.5889638076179713E-2</v>
      </c>
      <c r="BD35" s="9">
        <f ca="1">IF(OR(BD8="",BD$28&lt;$A35),"",BD8/OFFSET(SSAutCLM!$A$2,MATCH(BD$29,SSAutCLM!$A$2:$A$500)+$A35-1,1)-1)</f>
        <v>1.8972050834137111E-2</v>
      </c>
      <c r="BE35" s="9">
        <f ca="1">IF(OR(BE8="",BE$28&lt;$A35),"",BE8/OFFSET(SSAutCLM!$A$2,MATCH(BE$29,SSAutCLM!$A$2:$A$500)+$A35-1,1)-1)</f>
        <v>2.4393257897160847E-2</v>
      </c>
      <c r="BF35" s="9">
        <f ca="1">IF(OR(BF8="",BF$28&lt;$A35),"",BF8/OFFSET(SSAutCLM!$A$2,MATCH(BF$29,SSAutCLM!$A$2:$A$500)+$A35-1,1)-1)</f>
        <v>2.5233718288735663E-2</v>
      </c>
      <c r="BG35" s="9">
        <f ca="1">IF(OR(BG8="",BG$28&lt;$A35),"",BG8/OFFSET(SSAutCLM!$A$2,MATCH(BG$29,SSAutCLM!$A$2:$A$500)+$A35-1,1)-1)</f>
        <v>2.9125647442550973E-2</v>
      </c>
      <c r="BH35" s="9">
        <f ca="1">IF(OR(BH8="",BH$28&lt;$A35),"",BH8/OFFSET(SSAutCLM!$A$2,MATCH(BH$29,SSAutCLM!$A$2:$A$500)+$A35-1,1)-1)</f>
        <v>2.2762163304115957E-2</v>
      </c>
      <c r="BI35" s="9">
        <f ca="1">IF(OR(BI8="",BI$28&lt;$A35),"",BI8/OFFSET(SSAutCLM!$A$2,MATCH(BI$29,SSAutCLM!$A$2:$A$500)+$A35-1,1)-1)</f>
        <v>1.5020027146467108E-2</v>
      </c>
      <c r="BJ35" s="9">
        <f ca="1">IF(OR(BJ8="",BJ$28&lt;$A35),"",BJ8/OFFSET(SSAutCLM!$A$2,MATCH(BJ$29,SSAutCLM!$A$2:$A$500)+$A35-1,1)-1)</f>
        <v>-3.6356850446805922E-4</v>
      </c>
      <c r="BK35" s="9">
        <f ca="1">IF(OR(BK8="",BK$28&lt;$A35),"",BK8/OFFSET(SSAutCLM!$A$2,MATCH(BK$29,SSAutCLM!$A$2:$A$500)+$A35-1,1)-1)</f>
        <v>-8.1153189920318836E-3</v>
      </c>
      <c r="BL35" s="9">
        <f ca="1">IF(OR(BL8="",BL$28&lt;$A35),"",BL8/OFFSET(SSAutCLM!$A$2,MATCH(BL$29,SSAutCLM!$A$2:$A$500)+$A35-1,1)-1)</f>
        <v>-1.946471909696057E-2</v>
      </c>
      <c r="BM35" s="9">
        <f ca="1">IF(OR(BM8="",BM$28&lt;$A35),"",BM8/OFFSET(SSAutCLM!$A$2,MATCH(BM$29,SSAutCLM!$A$2:$A$500)+$A35-1,1)-1)</f>
        <v>-2.7270453794478122E-2</v>
      </c>
      <c r="BN35" s="9">
        <f ca="1">IF(OR(BN8="",BN$28&lt;$A35),"",BN8/OFFSET(SSAutCLM!$A$2,MATCH(BN$29,SSAutCLM!$A$2:$A$500)+$A35-1,1)-1)</f>
        <v>-2.8659985947502631E-2</v>
      </c>
      <c r="BO35" s="9">
        <f ca="1">IF(OR(BO8="",BO$28&lt;$A35),"",BO8/OFFSET(SSAutCLM!$A$2,MATCH(BO$29,SSAutCLM!$A$2:$A$500)+$A35-1,1)-1)</f>
        <v>-2.0614035049319024E-2</v>
      </c>
      <c r="BP35" s="9">
        <f ca="1">IF(OR(BP8="",BP$28&lt;$A35),"",BP8/OFFSET(SSAutCLM!$A$2,MATCH(BP$29,SSAutCLM!$A$2:$A$500)+$A35-1,1)-1)</f>
        <v>-8.5390294900152819E-3</v>
      </c>
      <c r="BQ35" s="9">
        <f ca="1">IF(OR(BQ8="",BQ$28&lt;$A35),"",BQ8/OFFSET(SSAutCLM!$A$2,MATCH(BQ$29,SSAutCLM!$A$2:$A$500)+$A35-1,1)-1)</f>
        <v>-8.9921348772743492E-3</v>
      </c>
      <c r="BR35" s="9">
        <f ca="1">IF(OR(BR8="",BR$28&lt;$A35),"",BR8/OFFSET(SSAutCLM!$A$2,MATCH(BR$29,SSAutCLM!$A$2:$A$500)+$A35-1,1)-1)</f>
        <v>-8.4852637748615845E-3</v>
      </c>
      <c r="BS35" s="9">
        <f ca="1">IF(OR(BS8="",BS$28&lt;$A35),"",BS8/OFFSET(SSAutCLM!$A$2,MATCH(BS$29,SSAutCLM!$A$2:$A$500)+$A35-1,1)-1)</f>
        <v>-9.423916950479061E-3</v>
      </c>
      <c r="BT35" s="9">
        <f ca="1">IF(OR(BT8="",BT$28&lt;$A35),"",BT8/OFFSET(SSAutCLM!$A$2,MATCH(BT$29,SSAutCLM!$A$2:$A$500)+$A35-1,1)-1)</f>
        <v>-2.0180827727004469E-2</v>
      </c>
      <c r="BU35" s="9">
        <f ca="1">IF(OR(BU8="",BU$28&lt;$A35),"",BU8/OFFSET(SSAutCLM!$A$2,MATCH(BU$29,SSAutCLM!$A$2:$A$500)+$A35-1,1)-1)</f>
        <v>-1.1477178119124742E-2</v>
      </c>
      <c r="BV35" s="9">
        <f ca="1">IF(OR(BV8="",BV$28&lt;$A35),"",BV8/OFFSET(SSAutCLM!$A$2,MATCH(BV$29,SSAutCLM!$A$2:$A$500)+$A35-1,1)-1)</f>
        <v>-5.1400227564589729E-3</v>
      </c>
      <c r="BW35" s="9">
        <f ca="1">IF(OR(BW8="",BW$28&lt;$A35),"",BW8/OFFSET(SSAutCLM!$A$2,MATCH(BW$29,SSAutCLM!$A$2:$A$500)+$A35-1,1)-1)</f>
        <v>-8.3664782318775277E-3</v>
      </c>
      <c r="BX35" s="9">
        <f ca="1">IF(OR(BX8="",BX$28&lt;$A35),"",BX8/OFFSET(SSAutCLM!$A$2,MATCH(BX$29,SSAutCLM!$A$2:$A$500)+$A35-1,1)-1)</f>
        <v>-1.7632838519303751E-2</v>
      </c>
      <c r="BY35" s="9">
        <f ca="1">IF(OR(BY8="",BY$28&lt;$A35),"",BY8/OFFSET(SSAutCLM!$A$2,MATCH(BY$29,SSAutCLM!$A$2:$A$500)+$A35-1,1)-1)</f>
        <v>-9.2547583997855121E-3</v>
      </c>
      <c r="BZ35" s="9">
        <f ca="1">IF(OR(BZ8="",BZ$28&lt;$A35),"",BZ8/OFFSET(SSAutCLM!$A$2,MATCH(BZ$29,SSAutCLM!$A$2:$A$500)+$A35-1,1)-1)</f>
        <v>3.4824015361871741E-3</v>
      </c>
      <c r="CA35" s="9">
        <f ca="1">IF(OR(CA8="",CA$28&lt;$A35),"",CA8/OFFSET(SSAutCLM!$A$2,MATCH(CA$29,SSAutCLM!$A$2:$A$500)+$A35-1,1)-1)</f>
        <v>1.0044153012526147E-2</v>
      </c>
      <c r="CB35" s="9">
        <f ca="1">IF(OR(CB8="",CB$28&lt;$A35),"",CB8/OFFSET(SSAutCLM!$A$2,MATCH(CB$29,SSAutCLM!$A$2:$A$500)+$A35-1,1)-1)</f>
        <v>1.2534680326077519E-2</v>
      </c>
      <c r="CC35" s="9">
        <f ca="1">IF(OR(CC8="",CC$28&lt;$A35),"",CC8/OFFSET(SSAutCLM!$A$2,MATCH(CC$29,SSAutCLM!$A$2:$A$500)+$A35-1,1)-1)</f>
        <v>6.484125467004942E-3</v>
      </c>
      <c r="CD35" s="9">
        <f ca="1">IF(OR(CD8="",CD$28&lt;$A35),"",CD8/OFFSET(SSAutCLM!$A$2,MATCH(CD$29,SSAutCLM!$A$2:$A$500)+$A35-1,1)-1)</f>
        <v>2.2715456896476027E-3</v>
      </c>
      <c r="CE35" s="9">
        <f ca="1">IF(OR(CE8="",CE$28&lt;$A35),"",CE8/OFFSET(SSAutCLM!$A$2,MATCH(CE$29,SSAutCLM!$A$2:$A$500)+$A35-1,1)-1)</f>
        <v>-8.9153713197953621E-5</v>
      </c>
      <c r="CF35" s="9">
        <f ca="1">IF(OR(CF8="",CF$28&lt;$A35),"",CF8/OFFSET(SSAutCLM!$A$2,MATCH(CF$29,SSAutCLM!$A$2:$A$500)+$A35-1,1)-1)</f>
        <v>1.8851520808367273E-3</v>
      </c>
      <c r="CG35" s="9">
        <f ca="1">IF(OR(CG8="",CG$28&lt;$A35),"",CG8/OFFSET(SSAutCLM!$A$2,MATCH(CG$29,SSAutCLM!$A$2:$A$500)+$A35-1,1)-1)</f>
        <v>-4.5254989349934327E-3</v>
      </c>
      <c r="CH35" s="9">
        <f ca="1">IF(OR(CH8="",CH$28&lt;$A35),"",CH8/OFFSET(SSAutCLM!$A$2,MATCH(CH$29,SSAutCLM!$A$2:$A$500)+$A35-1,1)-1)</f>
        <v>-9.1137888076837648E-3</v>
      </c>
      <c r="CI35" s="9">
        <f ca="1">IF(OR(CI8="",CI$28&lt;$A35),"",CI8/OFFSET(SSAutCLM!$A$2,MATCH(CI$29,SSAutCLM!$A$2:$A$500)+$A35-1,1)-1)</f>
        <v>-3.4832388442063156E-3</v>
      </c>
      <c r="CJ35" s="9">
        <f ca="1">IF(OR(CJ8="",CJ$28&lt;$A35),"",CJ8/OFFSET(SSAutCLM!$A$2,MATCH(CJ$29,SSAutCLM!$A$2:$A$500)+$A35-1,1)-1)</f>
        <v>-1.1446664296160147E-2</v>
      </c>
      <c r="CK35" s="9">
        <f ca="1">IF(OR(CK8="",CK$28&lt;$A35),"",CK8/OFFSET(SSAutCLM!$A$2,MATCH(CK$29,SSAutCLM!$A$2:$A$500)+$A35-1,1)-1)</f>
        <v>3.950746525097415E-3</v>
      </c>
      <c r="CL35" s="9">
        <f ca="1">IF(OR(CL8="",CL$28&lt;$A35),"",CL8/OFFSET(SSAutCLM!$A$2,MATCH(CL$29,SSAutCLM!$A$2:$A$500)+$A35-1,1)-1)</f>
        <v>6.7192919884300206E-3</v>
      </c>
      <c r="CM35" s="9">
        <f ca="1">IF(OR(CM8="",CM$28&lt;$A35),"",CM8/OFFSET(SSAutCLM!$A$2,MATCH(CM$29,SSAutCLM!$A$2:$A$500)+$A35-1,1)-1)</f>
        <v>1.672614821613605E-2</v>
      </c>
      <c r="CN35" s="9">
        <f ca="1">IF(OR(CN8="",CN$28&lt;$A35),"",CN8/OFFSET(SSAutCLM!$A$2,MATCH(CN$29,SSAutCLM!$A$2:$A$500)+$A35-1,1)-1)</f>
        <v>1.3657829050326642E-2</v>
      </c>
      <c r="CO35" s="9">
        <f ca="1">IF(OR(CO8="",CO$28&lt;$A35),"",CO8/OFFSET(SSAutCLM!$A$2,MATCH(CO$29,SSAutCLM!$A$2:$A$500)+$A35-1,1)-1)</f>
        <v>1.1988308852705076E-2</v>
      </c>
      <c r="CP35" s="9">
        <f ca="1">IF(OR(CP8="",CP$28&lt;$A35),"",CP8/OFFSET(SSAutCLM!$A$2,MATCH(CP$29,SSAutCLM!$A$2:$A$500)+$A35-1,1)-1)</f>
        <v>3.1275514452946407E-3</v>
      </c>
      <c r="CQ35" s="9">
        <f ca="1">IF(OR(CQ8="",CQ$28&lt;$A35),"",CQ8/OFFSET(SSAutCLM!$A$2,MATCH(CQ$29,SSAutCLM!$A$2:$A$500)+$A35-1,1)-1)</f>
        <v>7.2493121279977313E-3</v>
      </c>
      <c r="CR35" s="9">
        <f ca="1">IF(OR(CR8="",CR$28&lt;$A35),"",CR8/OFFSET(SSAutCLM!$A$2,MATCH(CR$29,SSAutCLM!$A$2:$A$500)+$A35-1,1)-1)</f>
        <v>4.0105668426397845E-3</v>
      </c>
      <c r="CS35" s="9">
        <f ca="1">IF(OR(CS8="",CS$28&lt;$A35),"",CS8/OFFSET(SSAutCLM!$A$2,MATCH(CS$29,SSAutCLM!$A$2:$A$500)+$A35-1,1)-1)</f>
        <v>-5.7777315205209678E-4</v>
      </c>
      <c r="CT35" s="9">
        <f ca="1">IF(OR(CT8="",CT$28&lt;$A35),"",CT8/OFFSET(SSAutCLM!$A$2,MATCH(CT$29,SSAutCLM!$A$2:$A$500)+$A35-1,1)-1)</f>
        <v>-5.3568553483354098E-3</v>
      </c>
      <c r="CU35" s="9">
        <f ca="1">IF(OR(CU8="",CU$28&lt;$A35),"",CU8/OFFSET(SSAutCLM!$A$2,MATCH(CU$29,SSAutCLM!$A$2:$A$500)+$A35-1,1)-1)</f>
        <v>-2.9593936768308349E-2</v>
      </c>
      <c r="CV35" s="9">
        <f ca="1">IF(OR(CV8="",CV$28&lt;$A35),"",CV8/OFFSET(SSAutCLM!$A$2,MATCH(CV$29,SSAutCLM!$A$2:$A$500)+$A35-1,1)-1)</f>
        <v>-7.8124829292905984E-3</v>
      </c>
      <c r="CW35" s="9">
        <f ca="1">IF(OR(CW8="",CW$28&lt;$A35),"",CW8/OFFSET(SSAutCLM!$A$2,MATCH(CW$29,SSAutCLM!$A$2:$A$500)+$A35-1,1)-1)</f>
        <v>-4.9044806213438541E-4</v>
      </c>
      <c r="CX35" s="9">
        <f ca="1">IF(OR(CX8="",CX$28&lt;$A35),"",CX8/OFFSET(SSAutCLM!$A$2,MATCH(CX$29,SSAutCLM!$A$2:$A$500)+$A35-1,1)-1)</f>
        <v>3.6374992239336379E-3</v>
      </c>
      <c r="CY35" s="9">
        <f ca="1">IF(OR(CY8="",CY$28&lt;$A35),"",CY8/OFFSET(SSAutCLM!$A$2,MATCH(CY$29,SSAutCLM!$A$2:$A$500)+$A35-1,1)-1)</f>
        <v>2.6011937305014943E-3</v>
      </c>
      <c r="CZ35" s="9">
        <f ca="1">IF(OR(CZ8="",CZ$28&lt;$A35),"",CZ8/OFFSET(SSAutCLM!$A$2,MATCH(CZ$29,SSAutCLM!$A$2:$A$500)+$A35-1,1)-1)</f>
        <v>2.5169200652228607E-3</v>
      </c>
      <c r="DA35" s="9">
        <f ca="1">IF(OR(DA8="",DA$28&lt;$A35),"",DA8/OFFSET(SSAutCLM!$A$2,MATCH(DA$29,SSAutCLM!$A$2:$A$500)+$A35-1,1)-1)</f>
        <v>4.2163797624761301E-3</v>
      </c>
      <c r="DB35" s="9">
        <f ca="1">IF(OR(DB8="",DB$28&lt;$A35),"",DB8/OFFSET(SSAutCLM!$A$2,MATCH(DB$29,SSAutCLM!$A$2:$A$500)+$A35-1,1)-1)</f>
        <v>-6.3265854006844258E-5</v>
      </c>
      <c r="DC35" s="9">
        <f ca="1">IF(OR(DC8="",DC$28&lt;$A35),"",DC8/OFFSET(SSAutCLM!$A$2,MATCH(DC$29,SSAutCLM!$A$2:$A$500)+$A35-1,1)-1)</f>
        <v>-3.2078638772173873E-3</v>
      </c>
      <c r="DD35" s="9">
        <f ca="1">IF(OR(DD8="",DD$28&lt;$A35),"",DD8/OFFSET(SSAutCLM!$A$2,MATCH(DD$29,SSAutCLM!$A$2:$A$500)+$A35-1,1)-1)</f>
        <v>-7.8088880654492154E-4</v>
      </c>
      <c r="DE35" s="9">
        <f ca="1">IF(OR(DE8="",DE$28&lt;$A35),"",DE8/OFFSET(SSAutCLM!$A$2,MATCH(DE$29,SSAutCLM!$A$2:$A$500)+$A35-1,1)-1)</f>
        <v>-6.7107461638404864E-3</v>
      </c>
      <c r="DF35" s="9">
        <f ca="1">IF(OR(DF8="",DF$28&lt;$A35),"",DF8/OFFSET(SSAutCLM!$A$2,MATCH(DF$29,SSAutCLM!$A$2:$A$500)+$A35-1,1)-1)</f>
        <v>-8.571751217953949E-3</v>
      </c>
      <c r="DG35" s="9">
        <f ca="1">IF(OR(DG8="",DG$28&lt;$A35),"",DG8/OFFSET(SSAutCLM!$A$2,MATCH(DG$29,SSAutCLM!$A$2:$A$500)+$A35-1,1)-1)</f>
        <v>-1.583483496283733E-2</v>
      </c>
      <c r="DH35" s="9">
        <f ca="1">IF(OR(DH8="",DH$28&lt;$A35),"",DH8/OFFSET(SSAutCLM!$A$2,MATCH(DH$29,SSAutCLM!$A$2:$A$500)+$A35-1,1)-1)</f>
        <v>-2.0057892186062243E-2</v>
      </c>
      <c r="DI35" s="9">
        <f ca="1">IF(OR(DI8="",DI$28&lt;$A35),"",DI8/OFFSET(SSAutCLM!$A$2,MATCH(DI$29,SSAutCLM!$A$2:$A$500)+$A35-1,1)-1)</f>
        <v>-1.7072069539964874E-2</v>
      </c>
      <c r="DJ35" s="9">
        <f ca="1">IF(OR(DJ8="",DJ$28&lt;$A35),"",DJ8/OFFSET(SSAutCLM!$A$2,MATCH(DJ$29,SSAutCLM!$A$2:$A$500)+$A35-1,1)-1)</f>
        <v>-8.757344599490291E-3</v>
      </c>
      <c r="DK35" s="9">
        <f ca="1">IF(OR(DK8="",DK$28&lt;$A35),"",DK8/OFFSET(SSAutCLM!$A$2,MATCH(DK$29,SSAutCLM!$A$2:$A$500)+$A35-1,1)-1)</f>
        <v>-8.6303078237104369E-4</v>
      </c>
      <c r="DL35" s="9">
        <f ca="1">IF(OR(DL8="",DL$28&lt;$A35),"",DL8/OFFSET(SSAutCLM!$A$2,MATCH(DL$29,SSAutCLM!$A$2:$A$500)+$A35-1,1)-1)</f>
        <v>-6.3972229180420115E-5</v>
      </c>
      <c r="DM35" s="9">
        <f ca="1">IF(OR(DM8="",DM$28&lt;$A35),"",DM8/OFFSET(SSAutCLM!$A$2,MATCH(DM$29,SSAutCLM!$A$2:$A$500)+$A35-1,1)-1)</f>
        <v>5.2862253867265174E-3</v>
      </c>
      <c r="DN35" s="9">
        <f ca="1">IF(OR(DN8="",DN$28&lt;$A35),"",DN8/OFFSET(SSAutCLM!$A$2,MATCH(DN$29,SSAutCLM!$A$2:$A$500)+$A35-1,1)-1)</f>
        <v>-7.7763362851818174E-3</v>
      </c>
      <c r="DO35" s="9">
        <f ca="1">IF(OR(DO8="",DO$28&lt;$A35),"",DO8/OFFSET(SSAutCLM!$A$2,MATCH(DO$29,SSAutCLM!$A$2:$A$500)+$A35-1,1)-1)</f>
        <v>-6.283173268088027E-3</v>
      </c>
      <c r="DP35" s="9">
        <f ca="1">IF(OR(DP8="",DP$28&lt;$A35),"",DP8/OFFSET(SSAutCLM!$A$2,MATCH(DP$29,SSAutCLM!$A$2:$A$500)+$A35-1,1)-1)</f>
        <v>-2.5092609070546112E-3</v>
      </c>
      <c r="DQ35" s="9">
        <f ca="1">IF(OR(DQ8="",DQ$28&lt;$A35),"",DQ8/OFFSET(SSAutCLM!$A$2,MATCH(DQ$29,SSAutCLM!$A$2:$A$500)+$A35-1,1)-1)</f>
        <v>3.504325827618171E-3</v>
      </c>
      <c r="DR35" s="9">
        <f ca="1">IF(OR(DR8="",DR$28&lt;$A35),"",DR8/OFFSET(SSAutCLM!$A$2,MATCH(DR$29,SSAutCLM!$A$2:$A$500)+$A35-1,1)-1)</f>
        <v>4.7119193657081393E-3</v>
      </c>
      <c r="DS35" s="9">
        <f ca="1">IF(OR(DS8="",DS$28&lt;$A35),"",DS8/OFFSET(SSAutCLM!$A$2,MATCH(DS$29,SSAutCLM!$A$2:$A$500)+$A35-1,1)-1)</f>
        <v>8.8912302831500867E-4</v>
      </c>
      <c r="DT35" s="9">
        <f ca="1">IF(OR(DT8="",DT$28&lt;$A35),"",DT8/OFFSET(SSAutCLM!$A$2,MATCH(DT$29,SSAutCLM!$A$2:$A$500)+$A35-1,1)-1)</f>
        <v>3.7692891727596489E-3</v>
      </c>
      <c r="DU35" s="9">
        <f ca="1">IF(OR(DU8="",DU$28&lt;$A35),"",DU8/OFFSET(SSAutCLM!$A$2,MATCH(DU$29,SSAutCLM!$A$2:$A$500)+$A35-1,1)-1)</f>
        <v>9.1259600936166585E-4</v>
      </c>
      <c r="DV35" s="9">
        <f ca="1">IF(OR(DV8="",DV$28&lt;$A35),"",DV8/OFFSET(SSAutCLM!$A$2,MATCH(DV$29,SSAutCLM!$A$2:$A$500)+$A35-1,1)-1)</f>
        <v>8.1203532254674471E-3</v>
      </c>
      <c r="DW35" s="9" t="str">
        <f ca="1">IF(OR(DW8="",DW$28&lt;$A35),"",DW8/OFFSET(SSAutCLM!$A$2,MATCH(DW$29,SSAutCLM!$A$2:$A$500)+$A35-1,1)-1)</f>
        <v/>
      </c>
      <c r="DX35" s="9" t="str">
        <f ca="1">IF(OR(DX8="",DX$28&lt;$A35),"",DX8/OFFSET(SSAutCLM!$A$2,MATCH(DX$29,SSAutCLM!$A$2:$A$500)+$A35-1,1)-1)</f>
        <v/>
      </c>
      <c r="DY35" s="9" t="str">
        <f ca="1">IF(OR(DY8="",DY$28&lt;$A35),"",DY8/OFFSET(SSAutCLM!$A$2,MATCH(DY$29,SSAutCLM!$A$2:$A$500)+$A35-1,1)-1)</f>
        <v/>
      </c>
      <c r="DZ35" s="9" t="str">
        <f ca="1">IF(OR(DZ8="",DZ$28&lt;$A35),"",DZ8/OFFSET(SSAutCLM!$A$2,MATCH(DZ$29,SSAutCLM!$A$2:$A$500)+$A35-1,1)-1)</f>
        <v/>
      </c>
      <c r="EA35" s="9" t="str">
        <f ca="1">IF(OR(EA8="",EA$28&lt;$A35),"",EA8/OFFSET(SSAutCLM!$A$2,MATCH(EA$29,SSAutCLM!$A$2:$A$500)+$A35-1,1)-1)</f>
        <v/>
      </c>
      <c r="EB35" s="9" t="str">
        <f ca="1">IF(OR(EB8="",EB$28&lt;$A35),"",EB8/OFFSET(SSAutCLM!$A$2,MATCH(EB$29,SSAutCLM!$A$2:$A$500)+$A35-1,1)-1)</f>
        <v/>
      </c>
      <c r="EC35" s="9" t="str">
        <f ca="1">IF(OR(EC8="",EC$28&lt;$A35),"",EC8/OFFSET(SSAutCLM!$A$2,MATCH(EC$29,SSAutCLM!$A$2:$A$500)+$A35-1,1)-1)</f>
        <v/>
      </c>
      <c r="ED35" s="9" t="str">
        <f ca="1">IF(OR(ED8="",ED$28&lt;$A35),"",ED8/OFFSET(SSAutCLM!$A$2,MATCH(ED$29,SSAutCLM!$A$2:$A$500)+$A35-1,1)-1)</f>
        <v/>
      </c>
      <c r="EE35" s="9" t="str">
        <f ca="1">IF(OR(EE8="",EE$28&lt;$A35),"",EE8/OFFSET(SSAutCLM!$A$2,MATCH(EE$29,SSAutCLM!$A$2:$A$500)+$A35-1,1)-1)</f>
        <v/>
      </c>
      <c r="EF35" s="9" t="str">
        <f ca="1">IF(OR(EF8="",EF$28&lt;$A35),"",EF8/OFFSET(SSAutCLM!$A$2,MATCH(EF$29,SSAutCLM!$A$2:$A$500)+$A35-1,1)-1)</f>
        <v/>
      </c>
      <c r="EG35" s="9">
        <f ca="1">IF(OR(EG8="",EG$28&lt;$A35),"",EG8/OFFSET(SSAutCLM!$A$2,MATCH(EG$29,SSAutCLM!$A$2:$A$500)+$A35-1,1)-1)</f>
        <v>2.0319088582998468E-4</v>
      </c>
      <c r="EH35" s="9">
        <f ca="1">IF(OR(EH8="",EH$28&lt;$A35),"",EH8/OFFSET(SSAutCLM!$A$2,MATCH(EH$29,SSAutCLM!$A$2:$A$500)+$A35-1,1)-1)</f>
        <v>6.029545474642628E-3</v>
      </c>
      <c r="EI35" s="9">
        <f ca="1">IF(OR(EI8="",EI$28&lt;$A35),"",EI8/OFFSET(SSAutCLM!$A$2,MATCH(EI$29,SSAutCLM!$A$2:$A$500)+$A35-1,1)-1)</f>
        <v>7.8978366248123599E-3</v>
      </c>
      <c r="EJ35" s="9">
        <f ca="1">IF(OR(EJ8="",EJ$28&lt;$A35),"",EJ8/OFFSET(SSAutCLM!$A$2,MATCH(EJ$29,SSAutCLM!$A$2:$A$500)+$A35-1,1)-1)</f>
        <v>1.4914655360880769E-2</v>
      </c>
      <c r="EK35" s="9">
        <f ca="1">IF(OR(EK8="",EK$28&lt;$A35),"",EK8/OFFSET(SSAutCLM!$A$2,MATCH(EK$29,SSAutCLM!$A$2:$A$500)+$A35-1,1)-1)</f>
        <v>5.1446320105257293E-3</v>
      </c>
      <c r="EL35" s="9">
        <f ca="1">IF(OR(EL8="",EL$28&lt;$A35),"",EL8/OFFSET(SSAutCLM!$A$2,MATCH(EL$29,SSAutCLM!$A$2:$A$500)+$A35-1,1)-1)</f>
        <v>5.2603799870531986E-4</v>
      </c>
      <c r="EM35" s="9">
        <f ca="1">IF(OR(EM8="",EM$28&lt;$A35),"",EM8/OFFSET(SSAutCLM!$A$2,MATCH(EM$29,SSAutCLM!$A$2:$A$500)+$A35-1,1)-1)</f>
        <v>9.7691178617731467E-4</v>
      </c>
      <c r="EN35" s="9">
        <f ca="1">IF(OR(EN8="",EN$28&lt;$A35),"",EN8/OFFSET(SSAutCLM!$A$2,MATCH(EN$29,SSAutCLM!$A$2:$A$500)+$A35-1,1)-1)</f>
        <v>1.1711410573167491E-4</v>
      </c>
      <c r="EO35" s="9">
        <f ca="1">IF(OR(EO8="",EO$28&lt;$A35),"",EO8/OFFSET(SSAutCLM!$A$2,MATCH(EO$29,SSAutCLM!$A$2:$A$500)+$A35-1,1)-1)</f>
        <v>1.5087922611509708E-3</v>
      </c>
      <c r="EP35" s="9">
        <f ca="1">IF(OR(EP8="",EP$28&lt;$A35),"",EP8/OFFSET(SSAutCLM!$A$2,MATCH(EP$29,SSAutCLM!$A$2:$A$500)+$A35-1,1)-1)</f>
        <v>-1.6946572079349242E-2</v>
      </c>
      <c r="EQ35" s="9">
        <f ca="1">IF(OR(EQ8="",EQ$28&lt;$A35),"",EQ8/OFFSET(SSAutCLM!$A$2,MATCH(EQ$29,SSAutCLM!$A$2:$A$500)+$A35-1,1)-1)</f>
        <v>-2.6805661036435335E-3</v>
      </c>
      <c r="ER35" s="9">
        <f ca="1">IF(OR(ER8="",ER$28&lt;$A35),"",ER8/OFFSET(SSAutCLM!$A$2,MATCH(ER$29,SSAutCLM!$A$2:$A$500)+$A35-1,1)-1)</f>
        <v>9.9170158773271844E-3</v>
      </c>
      <c r="ES35" s="9">
        <f ca="1">IF(OR(ES8="",ES$28&lt;$A35),"",ES8/OFFSET(SSAutCLM!$A$2,MATCH(ES$29,SSAutCLM!$A$2:$A$500)+$A35-1,1)-1)</f>
        <v>7.3889703315808131E-3</v>
      </c>
      <c r="ET35" s="9">
        <f ca="1">IF(OR(ET8="",ET$28&lt;$A35),"",ET8/OFFSET(SSAutCLM!$A$2,MATCH(ET$29,SSAutCLM!$A$2:$A$500)+$A35-1,1)-1)</f>
        <v>4.1947620062243729E-3</v>
      </c>
      <c r="EU35" s="9">
        <f ca="1">IF(OR(EU8="",EU$28&lt;$A35),"",EU8/OFFSET(SSAutCLM!$A$2,MATCH(EU$29,SSAutCLM!$A$2:$A$500)+$A35-1,1)-1)</f>
        <v>3.495880304850596E-3</v>
      </c>
      <c r="EV35" s="9">
        <f ca="1">IF(OR(EV8="",EV$28&lt;$A35),"",EV8/OFFSET(SSAutCLM!$A$2,MATCH(EV$29,SSAutCLM!$A$2:$A$500)+$A35-1,1)-1)</f>
        <v>-1.1830103046008844E-3</v>
      </c>
      <c r="EW35" s="9">
        <f ca="1">IF(OR(EW8="",EW$28&lt;$A35),"",EW8/OFFSET(SSAutCLM!$A$2,MATCH(EW$29,SSAutCLM!$A$2:$A$500)+$A35-1,1)-1)</f>
        <v>-7.8120978074081027E-4</v>
      </c>
      <c r="EX35" s="9">
        <f ca="1">IF(OR(EX8="",EX$28&lt;$A35),"",EX8/OFFSET(SSAutCLM!$A$2,MATCH(EX$29,SSAutCLM!$A$2:$A$500)+$A35-1,1)-1)</f>
        <v>-5.8412065901758403E-4</v>
      </c>
      <c r="EY35" s="9">
        <f ca="1">IF(OR(EY8="",EY$28&lt;$A35),"",EY8/OFFSET(SSAutCLM!$A$2,MATCH(EY$29,SSAutCLM!$A$2:$A$500)+$A35-1,1)-1)</f>
        <v>-5.5388159113354263E-3</v>
      </c>
      <c r="EZ35" s="9">
        <f ca="1">IF(OR(EZ8="",EZ$28&lt;$A35),"",EZ8/OFFSET(SSAutCLM!$A$2,MATCH(EZ$29,SSAutCLM!$A$2:$A$500)+$A35-1,1)-1)</f>
        <v>-1.2755806224877819E-3</v>
      </c>
      <c r="FA35" s="9">
        <f ca="1">IF(OR(FA8="",FA$28&lt;$A35),"",FA8/OFFSET(SSAutCLM!$A$2,MATCH(FA$29,SSAutCLM!$A$2:$A$500)+$A35-1,1)-1)</f>
        <v>1.0733819004000722E-3</v>
      </c>
      <c r="FB35" s="9">
        <f ca="1">IF(OR(FB8="",FB$28&lt;$A35),"",FB8/OFFSET(SSAutCLM!$A$2,MATCH(FB$29,SSAutCLM!$A$2:$A$500)+$A35-1,1)-1)</f>
        <v>-1.529946694961537E-3</v>
      </c>
      <c r="FC35" s="9">
        <f ca="1">IF(OR(FC8="",FC$28&lt;$A35),"",FC8/OFFSET(SSAutCLM!$A$2,MATCH(FC$29,SSAutCLM!$A$2:$A$500)+$A35-1,1)-1)</f>
        <v>-1.8153334494326323E-3</v>
      </c>
      <c r="FD35" s="9">
        <f ca="1">IF(OR(FD8="",FD$28&lt;$A35),"",FD8/OFFSET(SSAutCLM!$A$2,MATCH(FD$29,SSAutCLM!$A$2:$A$500)+$A35-1,1)-1)</f>
        <v>5.6679792313496513E-3</v>
      </c>
      <c r="FE35" s="9">
        <f ca="1">IF(OR(FE8="",FE$28&lt;$A35),"",FE8/OFFSET(SSAutCLM!$A$2,MATCH(FE$29,SSAutCLM!$A$2:$A$500)+$A35-1,1)-1)</f>
        <v>4.4345581093117037E-3</v>
      </c>
      <c r="FF35" s="9">
        <f ca="1">IF(OR(FF8="",FF$28&lt;$A35),"",FF8/OFFSET(SSAutCLM!$A$2,MATCH(FF$29,SSAutCLM!$A$2:$A$500)+$A35-1,1)-1)</f>
        <v>4.3059023494842474E-3</v>
      </c>
      <c r="FG35" s="9">
        <f ca="1">IF(OR(FG8="",FG$28&lt;$A35),"",FG8/OFFSET(SSAutCLM!$A$2,MATCH(FG$29,SSAutCLM!$A$2:$A$500)+$A35-1,1)-1)</f>
        <v>9.0441891534167596E-3</v>
      </c>
      <c r="FH35" s="9">
        <f ca="1">IF(OR(FH8="",FH$28&lt;$A35),"",FH8/OFFSET(SSAutCLM!$A$2,MATCH(FH$29,SSAutCLM!$A$2:$A$500)+$A35-1,1)-1)</f>
        <v>5.2936090272821534E-3</v>
      </c>
      <c r="FI35" s="9">
        <f ca="1">IF(OR(FI8="",FI$28&lt;$A35),"",FI8/OFFSET(SSAutCLM!$A$2,MATCH(FI$29,SSAutCLM!$A$2:$A$500)+$A35-1,1)-1)</f>
        <v>-7.4831392842967803E-3</v>
      </c>
      <c r="FJ35" s="9">
        <f ca="1">IF(OR(FJ8="",FJ$28&lt;$A35),"",FJ8/OFFSET(SSAutCLM!$A$2,MATCH(FJ$29,SSAutCLM!$A$2:$A$500)+$A35-1,1)-1)</f>
        <v>-1.5468605226748311E-2</v>
      </c>
      <c r="FK35" s="9">
        <f ca="1">IF(OR(FK8="",FK$28&lt;$A35),"",FK8/OFFSET(SSAutCLM!$A$2,MATCH(FK$29,SSAutCLM!$A$2:$A$500)+$A35-1,1)-1)</f>
        <v>-5.716609385109539E-3</v>
      </c>
      <c r="FL35" s="9">
        <f ca="1">IF(OR(FL8="",FL$28&lt;$A35),"",FL8/OFFSET(SSAutCLM!$A$2,MATCH(FL$29,SSAutCLM!$A$2:$A$500)+$A35-1,1)-1)</f>
        <v>-7.3062644312332781E-3</v>
      </c>
      <c r="FM35" s="9">
        <f ca="1">IF(OR(FM8="",FM$28&lt;$A35),"",FM8/OFFSET(SSAutCLM!$A$2,MATCH(FM$29,SSAutCLM!$A$2:$A$500)+$A35-1,1)-1)</f>
        <v>-9.6723324141951839E-3</v>
      </c>
      <c r="FN35" s="9">
        <f ca="1">IF(OR(FN8="",FN$28&lt;$A35),"",FN8/OFFSET(SSAutCLM!$A$2,MATCH(FN$29,SSAutCLM!$A$2:$A$500)+$A35-1,1)-1)</f>
        <v>-9.8700223990079161E-3</v>
      </c>
      <c r="FO35" s="9">
        <f ca="1">IF(OR(FO8="",FO$28&lt;$A35),"",FO8/OFFSET(SSAutCLM!$A$2,MATCH(FO$29,SSAutCLM!$A$2:$A$500)+$A35-1,1)-1)</f>
        <v>4.0969638866994451E-4</v>
      </c>
      <c r="FP35" s="9">
        <f ca="1">IF(OR(FP8="",FP$28&lt;$A35),"",FP8/OFFSET(SSAutCLM!$A$2,MATCH(FP$29,SSAutCLM!$A$2:$A$500)+$A35-1,1)-1)</f>
        <v>1.672222694105252E-2</v>
      </c>
      <c r="FQ35" s="9">
        <f ca="1">IF(OR(FQ8="",FQ$28&lt;$A35),"",FQ8/OFFSET(SSAutCLM!$A$2,MATCH(FQ$29,SSAutCLM!$A$2:$A$500)+$A35-1,1)-1)</f>
        <v>8.3933715023782884E-3</v>
      </c>
      <c r="FR35" s="9">
        <f ca="1">IF(OR(FR8="",FR$28&lt;$A35),"",FR8/OFFSET(SSAutCLM!$A$2,MATCH(FR$29,SSAutCLM!$A$2:$A$500)+$A35-1,1)-1)</f>
        <v>4.6696045117933238E-3</v>
      </c>
      <c r="FS35" s="9">
        <f ca="1">IF(OR(FS8="",FS$28&lt;$A35),"",FS8/OFFSET(SSAutCLM!$A$2,MATCH(FS$29,SSAutCLM!$A$2:$A$500)+$A35-1,1)-1)</f>
        <v>4.2898726889719629E-3</v>
      </c>
      <c r="FT35" s="9">
        <f ca="1">IF(OR(FT8="",FT$28&lt;$A35),"",FT8/OFFSET(SSAutCLM!$A$2,MATCH(FT$29,SSAutCLM!$A$2:$A$500)+$A35-1,1)-1)</f>
        <v>-1.3480879490894715E-3</v>
      </c>
      <c r="FU35" s="9">
        <f ca="1">IF(OR(FU8="",FU$28&lt;$A35),"",FU8/OFFSET(SSAutCLM!$A$2,MATCH(FU$29,SSAutCLM!$A$2:$A$500)+$A35-1,1)-1)</f>
        <v>-3.7536267571147697E-3</v>
      </c>
      <c r="FV35" s="9">
        <f ca="1">IF(OR(FV8="",FV$28&lt;$A35),"",FV8/OFFSET(SSAutCLM!$A$2,MATCH(FV$29,SSAutCLM!$A$2:$A$500)+$A35-1,1)-1)</f>
        <v>-2.6014707473096532E-3</v>
      </c>
      <c r="FW35" s="9">
        <f ca="1">IF(OR(FW8="",FW$28&lt;$A35),"",FW8/OFFSET(SSAutCLM!$A$2,MATCH(FW$29,SSAutCLM!$A$2:$A$500)+$A35-1,1)-1)</f>
        <v>3.3426026013192445E-3</v>
      </c>
      <c r="FX35" s="9">
        <f ca="1">IF(OR(FX8="",FX$28&lt;$A35),"",FX8/OFFSET(SSAutCLM!$A$2,MATCH(FX$29,SSAutCLM!$A$2:$A$500)+$A35-1,1)-1)</f>
        <v>7.8200096110605521E-3</v>
      </c>
      <c r="FY35" s="9">
        <f ca="1">IF(OR(FY8="",FY$28&lt;$A35),"",FY8/OFFSET(SSAutCLM!$A$2,MATCH(FY$29,SSAutCLM!$A$2:$A$500)+$A35-1,1)-1)</f>
        <v>6.6245718775121976E-3</v>
      </c>
      <c r="FZ35" s="9">
        <f ca="1">IF(OR(FZ8="",FZ$28&lt;$A35),"",FZ8/OFFSET(SSAutCLM!$A$2,MATCH(FZ$29,SSAutCLM!$A$2:$A$500)+$A35-1,1)-1)</f>
        <v>1.0908081018851545E-2</v>
      </c>
      <c r="GA35" s="9">
        <f ca="1">IF(OR(GA8="",GA$28&lt;$A35),"",GA8/OFFSET(SSAutCLM!$A$2,MATCH(GA$29,SSAutCLM!$A$2:$A$500)+$A35-1,1)-1)</f>
        <v>-1.2433681828886156E-3</v>
      </c>
      <c r="GB35" s="9">
        <f ca="1">IF(OR(GB8="",GB$28&lt;$A35),"",GB8/OFFSET(SSAutCLM!$A$2,MATCH(GB$29,SSAutCLM!$A$2:$A$500)+$A35-1,1)-1)</f>
        <v>-3.8147520165042748E-3</v>
      </c>
      <c r="GC35" s="9">
        <f ca="1">IF(OR(GC8="",GC$28&lt;$A35),"",GC8/OFFSET(SSAutCLM!$A$2,MATCH(GC$29,SSAutCLM!$A$2:$A$500)+$A35-1,1)-1)</f>
        <v>-6.414382423320264E-3</v>
      </c>
      <c r="GD35" s="9">
        <f ca="1">IF(OR(GD8="",GD$28&lt;$A35),"",GD8/OFFSET(SSAutCLM!$A$2,MATCH(GD$29,SSAutCLM!$A$2:$A$500)+$A35-1,1)-1)</f>
        <v>-7.0976000235514203E-3</v>
      </c>
      <c r="GE35" s="9">
        <f ca="1">IF(OR(GE8="",GE$28&lt;$A35),"",GE8/OFFSET(SSAutCLM!$A$2,MATCH(GE$29,SSAutCLM!$A$2:$A$500)+$A35-1,1)-1)</f>
        <v>-7.0550482195984587E-3</v>
      </c>
      <c r="GF35" s="9">
        <f ca="1">IF(OR(GF8="",GF$28&lt;$A35),"",GF8/OFFSET(SSAutCLM!$A$2,MATCH(GF$29,SSAutCLM!$A$2:$A$500)+$A35-1,1)-1)</f>
        <v>-2.7521153851214342E-3</v>
      </c>
      <c r="GG35" s="9">
        <f ca="1">IF(OR(GG8="",GG$28&lt;$A35),"",GG8/OFFSET(SSAutCLM!$A$2,MATCH(GG$29,SSAutCLM!$A$2:$A$500)+$A35-1,1)-1)</f>
        <v>-1.5937738523232881E-3</v>
      </c>
      <c r="GH35" s="9">
        <f ca="1">IF(OR(GH8="",GH$28&lt;$A35),"",GH8/OFFSET(SSAutCLM!$A$2,MATCH(GH$29,SSAutCLM!$A$2:$A$500)+$A35-1,1)-1)</f>
        <v>-2.1957670597233525E-3</v>
      </c>
      <c r="GI35" s="9">
        <f ca="1">IF(OR(GI8="",GI$28&lt;$A35),"",GI8/OFFSET(SSAutCLM!$A$2,MATCH(GI$29,SSAutCLM!$A$2:$A$500)+$A35-1,1)-1)</f>
        <v>2.6024783115909944E-3</v>
      </c>
      <c r="GJ35" s="9">
        <f ca="1">IF(OR(GJ8="",GJ$28&lt;$A35),"",GJ8/OFFSET(SSAutCLM!$A$2,MATCH(GJ$29,SSAutCLM!$A$2:$A$500)+$A35-1,1)-1)</f>
        <v>2.1775831868020568E-2</v>
      </c>
      <c r="GK35" s="9">
        <f ca="1">IF(OR(GK8="",GK$28&lt;$A35),"",GK8/OFFSET(SSAutCLM!$A$2,MATCH(GK$29,SSAutCLM!$A$2:$A$500)+$A35-1,1)-1)</f>
        <v>2.2415394086951368E-2</v>
      </c>
      <c r="GL35" s="9">
        <f ca="1">IF(OR(GL8="",GL$28&lt;$A35),"",GL8/OFFSET(SSAutCLM!$A$2,MATCH(GL$29,SSAutCLM!$A$2:$A$500)+$A35-1,1)-1)</f>
        <v>2.4135720831595986E-2</v>
      </c>
      <c r="GM35" s="9">
        <f ca="1">IF(OR(GM8="",GM$28&lt;$A35),"",GM8/OFFSET(SSAutCLM!$A$2,MATCH(GM$29,SSAutCLM!$A$2:$A$500)+$A35-1,1)-1)</f>
        <v>1.2026686532311981E-2</v>
      </c>
      <c r="GN35" s="9">
        <f ca="1">IF(OR(GN8="",GN$28&lt;$A35),"",GN8/OFFSET(SSAutCLM!$A$2,MATCH(GN$29,SSAutCLM!$A$2:$A$500)+$A35-1,1)-1)</f>
        <v>1.4139242238967231E-2</v>
      </c>
      <c r="GO35" s="9">
        <f ca="1">IF(OR(GO8="",GO$28&lt;$A35),"",GO8/OFFSET(SSAutCLM!$A$2,MATCH(GO$29,SSAutCLM!$A$2:$A$500)+$A35-1,1)-1)</f>
        <v>-4.8248785406114214E-3</v>
      </c>
      <c r="GP35" s="9">
        <f ca="1">IF(OR(GP8="",GP$28&lt;$A35),"",GP8/OFFSET(SSAutCLM!$A$2,MATCH(GP$29,SSAutCLM!$A$2:$A$500)+$A35-1,1)-1)</f>
        <v>-4.0266990863206065E-2</v>
      </c>
      <c r="GQ35" s="9">
        <f ca="1">IF(OR(GQ8="",GQ$28&lt;$A35),"",GQ8/OFFSET(SSAutCLM!$A$2,MATCH(GQ$29,SSAutCLM!$A$2:$A$500)+$A35-1,1)-1)</f>
        <v>-2.8332289840223179E-2</v>
      </c>
      <c r="GR35" s="9">
        <f ca="1">IF(OR(GR8="",GR$28&lt;$A35),"",GR8/OFFSET(SSAutCLM!$A$2,MATCH(GR$29,SSAutCLM!$A$2:$A$500)+$A35-1,1)-1)</f>
        <v>-1.4090552338906437E-2</v>
      </c>
      <c r="GS35" s="9">
        <f ca="1">IF(OR(GS8="",GS$28&lt;$A35),"",GS8/OFFSET(SSAutCLM!$A$2,MATCH(GS$29,SSAutCLM!$A$2:$A$500)+$A35-1,1)-1)</f>
        <v>3.0852432525481088E-3</v>
      </c>
      <c r="GT35" s="9" t="str">
        <f ca="1">IF(OR(GT8="",GT$28&lt;$A35),"",GT8/OFFSET(SSAutCLM!$A$2,MATCH(GT$29,SSAutCLM!$A$2:$A$500)+$A35-1,1)-1)</f>
        <v/>
      </c>
      <c r="GU35" s="9" t="str">
        <f ca="1">IF(OR(GU8="",GU$28&lt;$A35),"",GU8/OFFSET(SSAutCLM!$A$2,MATCH(GU$29,SSAutCLM!$A$2:$A$500)+$A35-1,1)-1)</f>
        <v/>
      </c>
      <c r="GV35" s="9" t="str">
        <f ca="1">IF(OR(GV8="",GV$28&lt;$A35),"",GV8/OFFSET(SSAutCLM!$A$2,MATCH(GV$29,SSAutCLM!$A$2:$A$500)+$A35-1,1)-1)</f>
        <v/>
      </c>
      <c r="GW35" s="9" t="str">
        <f ca="1">IF(OR(GW8="",GW$28&lt;$A35),"",GW8/OFFSET(SSAutCLM!$A$2,MATCH(GW$29,SSAutCLM!$A$2:$A$500)+$A35-1,1)-1)</f>
        <v/>
      </c>
      <c r="GX35" s="9" t="str">
        <f ca="1">IF(OR(GX8="",GX$28&lt;$A35),"",GX8/OFFSET(SSAutCLM!$A$2,MATCH(GX$29,SSAutCLM!$A$2:$A$500)+$A35-1,1)-1)</f>
        <v/>
      </c>
      <c r="GY35" s="9" t="str">
        <f ca="1">IF(OR(GY8="",GY$28&lt;$A35),"",GY8/OFFSET(SSAutCLM!$A$2,MATCH(GY$29,SSAutCLM!$A$2:$A$500)+$A35-1,1)-1)</f>
        <v/>
      </c>
      <c r="GZ35" s="9" t="str">
        <f ca="1">IF(OR(GZ8="",GZ$28&lt;$A35),"",GZ8/OFFSET(SSAutCLM!$A$2,MATCH(GZ$29,SSAutCLM!$A$2:$A$500)+$A35-1,1)-1)</f>
        <v/>
      </c>
      <c r="HA35" s="9" t="str">
        <f ca="1">IF(OR(HA8="",HA$28&lt;$A35),"",HA8/OFFSET(SSAutCLM!$A$2,MATCH(HA$29,SSAutCLM!$A$2:$A$500)+$A35-1,1)-1)</f>
        <v/>
      </c>
      <c r="HB35" s="9" t="str">
        <f ca="1">IF(OR(HB8="",HB$28&lt;$A35),"",HB8/OFFSET(SSAutCLM!$A$2,MATCH(HB$29,SSAutCLM!$A$2:$A$500)+$A35-1,1)-1)</f>
        <v/>
      </c>
      <c r="HC35" s="9" t="str">
        <f ca="1">IF(OR(HC8="",HC$28&lt;$A35),"",HC8/OFFSET(SSAutCLM!$A$2,MATCH(HC$29,SSAutCLM!$A$2:$A$500)+$A35-1,1)-1)</f>
        <v/>
      </c>
      <c r="HD35" s="9" t="str">
        <f ca="1">IF(OR(HD8="",HD$28&lt;$A35),"",HD8/OFFSET(SSAutCLM!$A$2,MATCH(HD$29,SSAutCLM!$A$2:$A$500)+$A35-1,1)-1)</f>
        <v/>
      </c>
      <c r="HE35" s="9" t="str">
        <f ca="1">IF(OR(HE8="",HE$28&lt;$A35),"",HE8/OFFSET(SSAutCLM!$A$2,MATCH(HE$29,SSAutCLM!$A$2:$A$500)+$A35-1,1)-1)</f>
        <v/>
      </c>
      <c r="HF35" s="9" t="str">
        <f ca="1">IF(OR(HF8="",HF$28&lt;$A35),"",HF8/OFFSET(SSAutCLM!$A$2,MATCH(HF$29,SSAutCLM!$A$2:$A$500)+$A35-1,1)-1)</f>
        <v/>
      </c>
      <c r="HG35" s="9" t="str">
        <f ca="1">IF(OR(HG8="",HG$28&lt;$A35),"",HG8/OFFSET(SSAutCLM!$A$2,MATCH(HG$29,SSAutCLM!$A$2:$A$500)+$A35-1,1)-1)</f>
        <v/>
      </c>
      <c r="HH35" s="9" t="str">
        <f ca="1">IF(OR(HH8="",HH$28&lt;$A35),"",HH8/OFFSET(SSAutCLM!$A$2,MATCH(HH$29,SSAutCLM!$A$2:$A$500)+$A35-1,1)-1)</f>
        <v/>
      </c>
      <c r="HI35" s="9" t="str">
        <f ca="1">IF(OR(HI8="",HI$28&lt;$A35),"",HI8/OFFSET(SSAutCLM!$A$2,MATCH(HI$29,SSAutCLM!$A$2:$A$500)+$A35-1,1)-1)</f>
        <v/>
      </c>
      <c r="HJ35" s="9" t="str">
        <f ca="1">IF(OR(HJ8="",HJ$28&lt;$A35),"",HJ8/OFFSET(SSAutCLM!$A$2,MATCH(HJ$29,SSAutCLM!$A$2:$A$500)+$A35-1,1)-1)</f>
        <v/>
      </c>
      <c r="HK35" s="9" t="str">
        <f ca="1">IF(OR(HK8="",HK$28&lt;$A35),"",HK8/OFFSET(SSAutCLM!$A$2,MATCH(HK$29,SSAutCLM!$A$2:$A$500)+$A35-1,1)-1)</f>
        <v/>
      </c>
      <c r="HL35" s="9" t="str">
        <f ca="1">IF(OR(HL8="",HL$28&lt;$A35),"",HL8/OFFSET(SSAutCLM!$A$2,MATCH(HL$29,SSAutCLM!$A$2:$A$500)+$A35-1,1)-1)</f>
        <v/>
      </c>
      <c r="HM35" s="9" t="str">
        <f ca="1">IF(OR(HM8="",HM$28&lt;$A35),"",HM8/OFFSET(SSAutCLM!$A$2,MATCH(HM$29,SSAutCLM!$A$2:$A$500)+$A35-1,1)-1)</f>
        <v/>
      </c>
      <c r="HN35" s="9" t="str">
        <f ca="1">IF(OR(HN8="",HN$28&lt;$A35),"",HN8/OFFSET(SSAutCLM!$A$2,MATCH(HN$29,SSAutCLM!$A$2:$A$500)+$A35-1,1)-1)</f>
        <v/>
      </c>
      <c r="HO35" s="9" t="str">
        <f ca="1">IF(OR(HO8="",HO$28&lt;$A35),"",HO8/OFFSET(SSAutCLM!$A$2,MATCH(HO$29,SSAutCLM!$A$2:$A$500)+$A35-1,1)-1)</f>
        <v/>
      </c>
      <c r="HP35" s="9" t="str">
        <f ca="1">IF(OR(HP8="",HP$28&lt;$A35),"",HP8/OFFSET(SSAutCLM!$A$2,MATCH(HP$29,SSAutCLM!$A$2:$A$500)+$A35-1,1)-1)</f>
        <v/>
      </c>
      <c r="HQ35" s="9" t="str">
        <f ca="1">IF(OR(HQ8="",HQ$28&lt;$A35),"",HQ8/OFFSET(SSAutCLM!$A$2,MATCH(HQ$29,SSAutCLM!$A$2:$A$500)+$A35-1,1)-1)</f>
        <v/>
      </c>
      <c r="HR35" s="9" t="str">
        <f ca="1">IF(OR(HR8="",HR$28&lt;$A35),"",HR8/OFFSET(SSAutCLM!$A$2,MATCH(HR$29,SSAutCLM!$A$2:$A$500)+$A35-1,1)-1)</f>
        <v/>
      </c>
      <c r="HS35" s="9" t="str">
        <f ca="1">IF(OR(HS8="",HS$28&lt;$A35),"",HS8/OFFSET(SSAutCLM!$A$2,MATCH(HS$29,SSAutCLM!$A$2:$A$500)+$A35-1,1)-1)</f>
        <v/>
      </c>
      <c r="HT35" s="9" t="str">
        <f ca="1">IF(OR(HT8="",HT$28&lt;$A35),"",HT8/OFFSET(SSAutCLM!$A$2,MATCH(HT$29,SSAutCLM!$A$2:$A$500)+$A35-1,1)-1)</f>
        <v/>
      </c>
      <c r="HU35" s="9" t="str">
        <f ca="1">IF(OR(HU8="",HU$28&lt;$A35),"",HU8/OFFSET(SSAutCLM!$A$2,MATCH(HU$29,SSAutCLM!$A$2:$A$500)+$A35-1,1)-1)</f>
        <v/>
      </c>
      <c r="HV35" s="9" t="str">
        <f ca="1">IF(OR(HV8="",HV$28&lt;$A35),"",HV8/OFFSET(SSAutCLM!$A$2,MATCH(HV$29,SSAutCLM!$A$2:$A$500)+$A35-1,1)-1)</f>
        <v/>
      </c>
      <c r="HW35" s="9" t="str">
        <f ca="1">IF(OR(HW8="",HW$28&lt;$A35),"",HW8/OFFSET(SSAutCLM!$A$2,MATCH(HW$29,SSAutCLM!$A$2:$A$500)+$A35-1,1)-1)</f>
        <v/>
      </c>
      <c r="HX35" s="9" t="str">
        <f ca="1">IF(OR(HX8="",HX$28&lt;$A35),"",HX8/OFFSET(SSAutCLM!$A$2,MATCH(HX$29,SSAutCLM!$A$2:$A$500)+$A35-1,1)-1)</f>
        <v/>
      </c>
      <c r="HY35" s="9" t="str">
        <f ca="1">IF(OR(HY8="",HY$28&lt;$A35),"",HY8/OFFSET(SSAutCLM!$A$2,MATCH(HY$29,SSAutCLM!$A$2:$A$500)+$A35-1,1)-1)</f>
        <v/>
      </c>
      <c r="HZ35" s="9" t="str">
        <f ca="1">IF(OR(HZ8="",HZ$28&lt;$A35),"",HZ8/OFFSET(SSAutCLM!$A$2,MATCH(HZ$29,SSAutCLM!$A$2:$A$500)+$A35-1,1)-1)</f>
        <v/>
      </c>
      <c r="IA35" s="9" t="str">
        <f ca="1">IF(OR(IA8="",IA$28&lt;$A35),"",IA8/OFFSET(SSAutCLM!$A$2,MATCH(IA$29,SSAutCLM!$A$2:$A$500)+$A35-1,1)-1)</f>
        <v/>
      </c>
      <c r="IB35" s="9" t="str">
        <f ca="1">IF(OR(IB8="",IB$28&lt;$A35),"",IB8/OFFSET(SSAutCLM!$A$2,MATCH(IB$29,SSAutCLM!$A$2:$A$500)+$A35-1,1)-1)</f>
        <v/>
      </c>
      <c r="IC35" s="9" t="str">
        <f ca="1">IF(OR(IC8="",IC$28&lt;$A35),"",IC8/OFFSET(SSAutCLM!$A$2,MATCH(IC$29,SSAutCLM!$A$2:$A$500)+$A35-1,1)-1)</f>
        <v/>
      </c>
      <c r="ID35" s="9" t="str">
        <f ca="1">IF(OR(ID8="",ID$28&lt;$A35),"",ID8/OFFSET(SSAutCLM!$A$2,MATCH(ID$29,SSAutCLM!$A$2:$A$500)+$A35-1,1)-1)</f>
        <v/>
      </c>
      <c r="IE35" s="9" t="str">
        <f ca="1">IF(OR(IE8="",IE$28&lt;$A35),"",IE8/OFFSET(SSAutCLM!$A$2,MATCH(IE$29,SSAutCLM!$A$2:$A$500)+$A35-1,1)-1)</f>
        <v/>
      </c>
      <c r="IF35" s="9" t="str">
        <f ca="1">IF(OR(IF8="",IF$28&lt;$A35),"",IF8/OFFSET(SSAutCLM!$A$2,MATCH(IF$29,SSAutCLM!$A$2:$A$500)+$A35-1,1)-1)</f>
        <v/>
      </c>
      <c r="IG35" s="9" t="str">
        <f ca="1">IF(OR(IG8="",IG$28&lt;$A35),"",IG8/OFFSET(SSAutCLM!$A$2,MATCH(IG$29,SSAutCLM!$A$2:$A$500)+$A35-1,1)-1)</f>
        <v/>
      </c>
      <c r="IH35" s="9" t="str">
        <f ca="1">IF(OR(IH8="",IH$28&lt;$A35),"",IH8/OFFSET(SSAutCLM!$A$2,MATCH(IH$29,SSAutCLM!$A$2:$A$500)+$A35-1,1)-1)</f>
        <v/>
      </c>
      <c r="II35" s="9" t="str">
        <f ca="1">IF(OR(II8="",II$28&lt;$A35),"",II8/OFFSET(SSAutCLM!$A$2,MATCH(II$29,SSAutCLM!$A$2:$A$500)+$A35-1,1)-1)</f>
        <v/>
      </c>
      <c r="IJ35" s="9" t="str">
        <f ca="1">IF(OR(IJ8="",IJ$28&lt;$A35),"",IJ8/OFFSET(SSAutCLM!$A$2,MATCH(IJ$29,SSAutCLM!$A$2:$A$500)+$A35-1,1)-1)</f>
        <v/>
      </c>
      <c r="IK35" s="9" t="str">
        <f ca="1">IF(OR(IK8="",IK$28&lt;$A35),"",IK8/OFFSET(SSAutCLM!$A$2,MATCH(IK$29,SSAutCLM!$A$2:$A$500)+$A35-1,1)-1)</f>
        <v/>
      </c>
      <c r="IL35" s="9" t="str">
        <f ca="1">IF(OR(IL8="",IL$28&lt;$A35),"",IL8/OFFSET(SSAutCLM!$A$2,MATCH(IL$29,SSAutCLM!$A$2:$A$500)+$A35-1,1)-1)</f>
        <v/>
      </c>
      <c r="IM35" s="9" t="str">
        <f ca="1">IF(OR(IM8="",IM$28&lt;$A35),"",IM8/OFFSET(SSAutCLM!$A$2,MATCH(IM$29,SSAutCLM!$A$2:$A$500)+$A35-1,1)-1)</f>
        <v/>
      </c>
      <c r="IN35" s="9" t="str">
        <f ca="1">IF(OR(IN8="",IN$28&lt;$A35),"",IN8/OFFSET(SSAutCLM!$A$2,MATCH(IN$29,SSAutCLM!$A$2:$A$500)+$A35-1,1)-1)</f>
        <v/>
      </c>
      <c r="IO35" s="9" t="str">
        <f ca="1">IF(OR(IO8="",IO$28&lt;$A35),"",IO8/OFFSET(SSAutCLM!$A$2,MATCH(IO$29,SSAutCLM!$A$2:$A$500)+$A35-1,1)-1)</f>
        <v/>
      </c>
      <c r="IP35" s="9" t="str">
        <f ca="1">IF(OR(IP8="",IP$28&lt;$A35),"",IP8/OFFSET(SSAutCLM!$A$2,MATCH(IP$29,SSAutCLM!$A$2:$A$500)+$A35-1,1)-1)</f>
        <v/>
      </c>
      <c r="IQ35" s="9" t="str">
        <f ca="1">IF(OR(IQ8="",IQ$28&lt;$A35),"",IQ8/OFFSET(SSAutCLM!$A$2,MATCH(IQ$29,SSAutCLM!$A$2:$A$500)+$A35-1,1)-1)</f>
        <v/>
      </c>
      <c r="IR35" s="9" t="str">
        <f ca="1">IF(OR(IR8="",IR$28&lt;$A35),"",IR8/OFFSET(SSAutCLM!$A$2,MATCH(IR$29,SSAutCLM!$A$2:$A$500)+$A35-1,1)-1)</f>
        <v/>
      </c>
      <c r="IS35" s="9" t="str">
        <f ca="1">IF(OR(IS8="",IS$28&lt;$A35),"",IS8/OFFSET(SSAutCLM!$A$2,MATCH(IS$29,SSAutCLM!$A$2:$A$500)+$A35-1,1)-1)</f>
        <v/>
      </c>
      <c r="IT35" s="9" t="str">
        <f ca="1">IF(OR(IT8="",IT$28&lt;$A35),"",IT8/OFFSET(SSAutCLM!$A$2,MATCH(IT$29,SSAutCLM!$A$2:$A$500)+$A35-1,1)-1)</f>
        <v/>
      </c>
      <c r="IU35" s="9" t="str">
        <f ca="1">IF(OR(IU8="",IU$28&lt;$A35),"",IU8/OFFSET(SSAutCLM!$A$2,MATCH(IU$29,SSAutCLM!$A$2:$A$500)+$A35-1,1)-1)</f>
        <v/>
      </c>
      <c r="IV35" s="9" t="str">
        <f ca="1">IF(OR(IV8="",IV$28&lt;$A35),"",IV8/OFFSET(SSAutCLM!$A$2,MATCH(IV$29,SSAutCLM!$A$2:$A$500)+$A35-1,1)-1)</f>
        <v/>
      </c>
      <c r="IW35" s="9" t="str">
        <f ca="1">IF(OR(IW8="",IW$28&lt;$A35),"",IW8/OFFSET(SSAutCLM!$A$2,MATCH(IW$29,SSAutCLM!$A$2:$A$500)+$A35-1,1)-1)</f>
        <v/>
      </c>
      <c r="IX35" s="9" t="str">
        <f ca="1">IF(OR(IX8="",IX$28&lt;$A35),"",IX8/OFFSET(SSAutCLM!$A$2,MATCH(IX$29,SSAutCLM!$A$2:$A$500)+$A35-1,1)-1)</f>
        <v/>
      </c>
      <c r="IY35" s="9" t="str">
        <f ca="1">IF(OR(IY8="",IY$28&lt;$A35),"",IY8/OFFSET(SSAutCLM!$A$2,MATCH(IY$29,SSAutCLM!$A$2:$A$500)+$A35-1,1)-1)</f>
        <v/>
      </c>
      <c r="IZ35" s="9" t="str">
        <f ca="1">IF(OR(IZ8="",IZ$28&lt;$A35),"",IZ8/OFFSET(SSAutCLM!$A$2,MATCH(IZ$29,SSAutCLM!$A$2:$A$500)+$A35-1,1)-1)</f>
        <v/>
      </c>
      <c r="JA35" s="9" t="str">
        <f ca="1">IF(OR(JA8="",JA$28&lt;$A35),"",JA8/OFFSET(SSAutCLM!$A$2,MATCH(JA$29,SSAutCLM!$A$2:$A$500)+$A35-1,1)-1)</f>
        <v/>
      </c>
      <c r="JB35" s="9" t="str">
        <f ca="1">IF(OR(JB8="",JB$28&lt;$A35),"",JB8/OFFSET(SSAutCLM!$A$2,MATCH(JB$29,SSAutCLM!$A$2:$A$500)+$A35-1,1)-1)</f>
        <v/>
      </c>
      <c r="JC35" s="9" t="str">
        <f ca="1">IF(OR(JC8="",JC$28&lt;$A35),"",JC8/OFFSET(SSAutCLM!$A$2,MATCH(JC$29,SSAutCLM!$A$2:$A$500)+$A35-1,1)-1)</f>
        <v/>
      </c>
      <c r="JD35" s="9" t="str">
        <f ca="1">IF(OR(JD8="",JD$28&lt;$A35),"",JD8/OFFSET(SSAutCLM!$A$2,MATCH(JD$29,SSAutCLM!$A$2:$A$500)+$A35-1,1)-1)</f>
        <v/>
      </c>
      <c r="JE35" s="9" t="str">
        <f ca="1">IF(OR(JE8="",JE$28&lt;$A35),"",JE8/OFFSET(SSAutCLM!$A$2,MATCH(JE$29,SSAutCLM!$A$2:$A$500)+$A35-1,1)-1)</f>
        <v/>
      </c>
      <c r="JF35" s="9" t="str">
        <f ca="1">IF(OR(JF8="",JF$28&lt;$A35),"",JF8/OFFSET(SSAutCLM!$A$2,MATCH(JF$29,SSAutCLM!$A$2:$A$500)+$A35-1,1)-1)</f>
        <v/>
      </c>
      <c r="JG35" s="9" t="str">
        <f ca="1">IF(OR(JG8="",JG$28&lt;$A35),"",JG8/OFFSET(SSAutCLM!$A$2,MATCH(JG$29,SSAutCLM!$A$2:$A$500)+$A35-1,1)-1)</f>
        <v/>
      </c>
      <c r="JH35" s="9" t="str">
        <f ca="1">IF(OR(JH8="",JH$28&lt;$A35),"",JH8/OFFSET(SSAutCLM!$A$2,MATCH(JH$29,SSAutCLM!$A$2:$A$500)+$A35-1,1)-1)</f>
        <v/>
      </c>
      <c r="JI35" s="13">
        <f t="shared" ca="1" si="13"/>
        <v>1.1605138730356036E-3</v>
      </c>
      <c r="JJ35" s="13">
        <f t="shared" ca="1" si="14"/>
        <v>4.0969638866994451E-4</v>
      </c>
      <c r="JK35" s="14">
        <f t="shared" ca="1" si="15"/>
        <v>1.7241611069636589E-4</v>
      </c>
      <c r="JL35" s="17">
        <f t="shared" ca="1" si="18"/>
        <v>1.313073153698475E-2</v>
      </c>
      <c r="JM35" s="15" t="str">
        <f t="shared" ca="1" si="16"/>
        <v>[ -2,51% ; 2,74% ]</v>
      </c>
      <c r="JN35" s="17">
        <f t="shared" ca="1" si="17"/>
        <v>1.680733636734048E-2</v>
      </c>
      <c r="LY35" s="1"/>
    </row>
    <row r="36" spans="1:337" x14ac:dyDescent="0.25">
      <c r="A36" s="4">
        <v>7</v>
      </c>
      <c r="B36" s="9">
        <f ca="1">IF(OR(B9="",B$28&lt;$A36),"",B9/OFFSET(SSAutCLM!$A$2,MATCH(B$29,SSAutCLM!$A$2:$A$500)+$A36-1,1)-1)</f>
        <v>-4.761883791196686E-3</v>
      </c>
      <c r="C36" s="9">
        <f ca="1">IF(OR(C9="",C$28&lt;$A36),"",C9/OFFSET(SSAutCLM!$A$2,MATCH(C$29,SSAutCLM!$A$2:$A$500)+$A36-1,1)-1)</f>
        <v>-7.0589031091028431E-4</v>
      </c>
      <c r="D36" s="9">
        <f ca="1">IF(OR(D9="",D$28&lt;$A36),"",D9/OFFSET(SSAutCLM!$A$2,MATCH(D$29,SSAutCLM!$A$2:$A$500)+$A36-1,1)-1)</f>
        <v>-4.5623239191265874E-3</v>
      </c>
      <c r="E36" s="9">
        <f ca="1">IF(OR(E9="",E$28&lt;$A36),"",E9/OFFSET(SSAutCLM!$A$2,MATCH(E$29,SSAutCLM!$A$2:$A$500)+$A36-1,1)-1)</f>
        <v>-2.09108822692472E-3</v>
      </c>
      <c r="F36" s="9">
        <f ca="1">IF(OR(F9="",F$28&lt;$A36),"",F9/OFFSET(SSAutCLM!$A$2,MATCH(F$29,SSAutCLM!$A$2:$A$500)+$A36-1,1)-1)</f>
        <v>-3.3717687750464131E-3</v>
      </c>
      <c r="G36" s="9">
        <f ca="1">IF(OR(G9="",G$28&lt;$A36),"",G9/OFFSET(SSAutCLM!$A$2,MATCH(G$29,SSAutCLM!$A$2:$A$500)+$A36-1,1)-1)</f>
        <v>-2.9508317664703743E-3</v>
      </c>
      <c r="H36" s="9">
        <f ca="1">IF(OR(H9="",H$28&lt;$A36),"",H9/OFFSET(SSAutCLM!$A$2,MATCH(H$29,SSAutCLM!$A$2:$A$500)+$A36-1,1)-1)</f>
        <v>-3.1658342224066827E-3</v>
      </c>
      <c r="I36" s="9">
        <f ca="1">IF(OR(I9="",I$28&lt;$A36),"",I9/OFFSET(SSAutCLM!$A$2,MATCH(I$29,SSAutCLM!$A$2:$A$500)+$A36-1,1)-1)</f>
        <v>-7.3014075254351773E-4</v>
      </c>
      <c r="J36" s="9">
        <f ca="1">IF(OR(J9="",J$28&lt;$A36),"",J9/OFFSET(SSAutCLM!$A$2,MATCH(J$29,SSAutCLM!$A$2:$A$500)+$A36-1,1)-1)</f>
        <v>-1.0124902729817808E-3</v>
      </c>
      <c r="K36" s="9">
        <f ca="1">IF(OR(K9="",K$28&lt;$A36),"",K9/OFFSET(SSAutCLM!$A$2,MATCH(K$29,SSAutCLM!$A$2:$A$500)+$A36-1,1)-1)</f>
        <v>9.1270596400216952E-4</v>
      </c>
      <c r="L36" s="9">
        <f ca="1">IF(OR(L9="",L$28&lt;$A36),"",L9/OFFSET(SSAutCLM!$A$2,MATCH(L$29,SSAutCLM!$A$2:$A$500)+$A36-1,1)-1)</f>
        <v>6.9093181228385703E-4</v>
      </c>
      <c r="M36" s="9">
        <f ca="1">IF(OR(M9="",M$28&lt;$A36),"",M9/OFFSET(SSAutCLM!$A$2,MATCH(M$29,SSAutCLM!$A$2:$A$500)+$A36-1,1)-1)</f>
        <v>5.1521074185378879E-4</v>
      </c>
      <c r="N36" s="9">
        <f ca="1">IF(OR(N9="",N$28&lt;$A36),"",N9/OFFSET(SSAutCLM!$A$2,MATCH(N$29,SSAutCLM!$A$2:$A$500)+$A36-1,1)-1)</f>
        <v>3.5145015905595489E-3</v>
      </c>
      <c r="O36" s="9">
        <f ca="1">IF(OR(O9="",O$28&lt;$A36),"",O9/OFFSET(SSAutCLM!$A$2,MATCH(O$29,SSAutCLM!$A$2:$A$500)+$A36-1,1)-1)</f>
        <v>8.0556725623470715E-3</v>
      </c>
      <c r="P36" s="9">
        <f ca="1">IF(OR(P9="",P$28&lt;$A36),"",P9/OFFSET(SSAutCLM!$A$2,MATCH(P$29,SSAutCLM!$A$2:$A$500)+$A36-1,1)-1)</f>
        <v>7.8771913421247231E-3</v>
      </c>
      <c r="Q36" s="9">
        <f ca="1">IF(OR(Q9="",Q$28&lt;$A36),"",Q9/OFFSET(SSAutCLM!$A$2,MATCH(Q$29,SSAutCLM!$A$2:$A$500)+$A36-1,1)-1)</f>
        <v>6.8058774631993835E-3</v>
      </c>
      <c r="R36" s="9">
        <f ca="1">IF(OR(R9="",R$28&lt;$A36),"",R9/OFFSET(SSAutCLM!$A$2,MATCH(R$29,SSAutCLM!$A$2:$A$500)+$A36-1,1)-1)</f>
        <v>6.0373107927500502E-3</v>
      </c>
      <c r="S36" s="9">
        <f ca="1">IF(OR(S9="",S$28&lt;$A36),"",S9/OFFSET(SSAutCLM!$A$2,MATCH(S$29,SSAutCLM!$A$2:$A$500)+$A36-1,1)-1)</f>
        <v>2.9707301906998218E-3</v>
      </c>
      <c r="T36" s="9">
        <f ca="1">IF(OR(T9="",T$28&lt;$A36),"",T9/OFFSET(SSAutCLM!$A$2,MATCH(T$29,SSAutCLM!$A$2:$A$500)+$A36-1,1)-1)</f>
        <v>1.202755983176429E-3</v>
      </c>
      <c r="U36" s="9">
        <f ca="1">IF(OR(U9="",U$28&lt;$A36),"",U9/OFFSET(SSAutCLM!$A$2,MATCH(U$29,SSAutCLM!$A$2:$A$500)+$A36-1,1)-1)</f>
        <v>-2.5240067546850042E-4</v>
      </c>
      <c r="V36" s="9">
        <f ca="1">IF(OR(V9="",V$28&lt;$A36),"",V9/OFFSET(SSAutCLM!$A$2,MATCH(V$29,SSAutCLM!$A$2:$A$500)+$A36-1,1)-1)</f>
        <v>-6.3512329869397366E-4</v>
      </c>
      <c r="W36" s="9">
        <f ca="1">IF(OR(W9="",W$28&lt;$A36),"",W9/OFFSET(SSAutCLM!$A$2,MATCH(W$29,SSAutCLM!$A$2:$A$500)+$A36-1,1)-1)</f>
        <v>-8.0964101612135408E-4</v>
      </c>
      <c r="X36" s="9">
        <f ca="1">IF(OR(X9="",X$28&lt;$A36),"",X9/OFFSET(SSAutCLM!$A$2,MATCH(X$29,SSAutCLM!$A$2:$A$500)+$A36-1,1)-1)</f>
        <v>-1.0974491553153998E-3</v>
      </c>
      <c r="Y36" s="9">
        <f ca="1">IF(OR(Y9="",Y$28&lt;$A36),"",Y9/OFFSET(SSAutCLM!$A$2,MATCH(Y$29,SSAutCLM!$A$2:$A$500)+$A36-1,1)-1)</f>
        <v>-3.6856249878556291E-3</v>
      </c>
      <c r="Z36" s="9">
        <f ca="1">IF(OR(Z9="",Z$28&lt;$A36),"",Z9/OFFSET(SSAutCLM!$A$2,MATCH(Z$29,SSAutCLM!$A$2:$A$500)+$A36-1,1)-1)</f>
        <v>-3.3616624318830723E-3</v>
      </c>
      <c r="AA36" s="9">
        <f ca="1">IF(OR(AA9="",AA$28&lt;$A36),"",AA9/OFFSET(SSAutCLM!$A$2,MATCH(AA$29,SSAutCLM!$A$2:$A$500)+$A36-1,1)-1)</f>
        <v>-5.2716605370406455E-4</v>
      </c>
      <c r="AB36" s="9">
        <f ca="1">IF(OR(AB9="",AB$28&lt;$A36),"",AB9/OFFSET(SSAutCLM!$A$2,MATCH(AB$29,SSAutCLM!$A$2:$A$500)+$A36-1,1)-1)</f>
        <v>5.8214772071085719E-4</v>
      </c>
      <c r="AC36" s="9">
        <f ca="1">IF(OR(AC9="",AC$28&lt;$A36),"",AC9/OFFSET(SSAutCLM!$A$2,MATCH(AC$29,SSAutCLM!$A$2:$A$500)+$A36-1,1)-1)</f>
        <v>-1.4853688212052019E-3</v>
      </c>
      <c r="AD36" s="9">
        <f ca="1">IF(OR(AD9="",AD$28&lt;$A36),"",AD9/OFFSET(SSAutCLM!$A$2,MATCH(AD$29,SSAutCLM!$A$2:$A$500)+$A36-1,1)-1)</f>
        <v>-2.2770510689573698E-3</v>
      </c>
      <c r="AE36" s="9">
        <f ca="1">IF(OR(AE9="",AE$28&lt;$A36),"",AE9/OFFSET(SSAutCLM!$A$2,MATCH(AE$29,SSAutCLM!$A$2:$A$500)+$A36-1,1)-1)</f>
        <v>-3.0604725764000751E-3</v>
      </c>
      <c r="AF36" s="9">
        <f ca="1">IF(OR(AF9="",AF$28&lt;$A36),"",AF9/OFFSET(SSAutCLM!$A$2,MATCH(AF$29,SSAutCLM!$A$2:$A$500)+$A36-1,1)-1)</f>
        <v>-3.4391573399518149E-3</v>
      </c>
      <c r="AG36" s="9">
        <f ca="1">IF(OR(AG9="",AG$28&lt;$A36),"",AG9/OFFSET(SSAutCLM!$A$2,MATCH(AG$29,SSAutCLM!$A$2:$A$500)+$A36-1,1)-1)</f>
        <v>-5.3213948708979997E-3</v>
      </c>
      <c r="AH36" s="9">
        <f ca="1">IF(OR(AH9="",AH$28&lt;$A36),"",AH9/OFFSET(SSAutCLM!$A$2,MATCH(AH$29,SSAutCLM!$A$2:$A$500)+$A36-1,1)-1)</f>
        <v>-9.0991215733493558E-3</v>
      </c>
      <c r="AI36" s="9">
        <f ca="1">IF(OR(AI9="",AI$28&lt;$A36),"",AI9/OFFSET(SSAutCLM!$A$2,MATCH(AI$29,SSAutCLM!$A$2:$A$500)+$A36-1,1)-1)</f>
        <v>-9.1627701483334434E-3</v>
      </c>
      <c r="AJ36" s="9">
        <f ca="1">IF(OR(AJ9="",AJ$28&lt;$A36),"",AJ9/OFFSET(SSAutCLM!$A$2,MATCH(AJ$29,SSAutCLM!$A$2:$A$500)+$A36-1,1)-1)</f>
        <v>-8.872824233413068E-3</v>
      </c>
      <c r="AK36" s="9">
        <f ca="1">IF(OR(AK9="",AK$28&lt;$A36),"",AK9/OFFSET(SSAutCLM!$A$2,MATCH(AK$29,SSAutCLM!$A$2:$A$500)+$A36-1,1)-1)</f>
        <v>-1.0511806654524891E-2</v>
      </c>
      <c r="AL36" s="9">
        <f ca="1">IF(OR(AL9="",AL$28&lt;$A36),"",AL9/OFFSET(SSAutCLM!$A$2,MATCH(AL$29,SSAutCLM!$A$2:$A$500)+$A36-1,1)-1)</f>
        <v>-9.0766624924406569E-3</v>
      </c>
      <c r="AM36" s="9">
        <f ca="1">IF(OR(AM9="",AM$28&lt;$A36),"",AM9/OFFSET(SSAutCLM!$A$2,MATCH(AM$29,SSAutCLM!$A$2:$A$500)+$A36-1,1)-1)</f>
        <v>-9.2675447002880107E-3</v>
      </c>
      <c r="AN36" s="9">
        <f ca="1">IF(OR(AN9="",AN$28&lt;$A36),"",AN9/OFFSET(SSAutCLM!$A$2,MATCH(AN$29,SSAutCLM!$A$2:$A$500)+$A36-1,1)-1)</f>
        <v>-6.3517760233448017E-3</v>
      </c>
      <c r="AO36" s="9">
        <f ca="1">IF(OR(AO9="",AO$28&lt;$A36),"",AO9/OFFSET(SSAutCLM!$A$2,MATCH(AO$29,SSAutCLM!$A$2:$A$500)+$A36-1,1)-1)</f>
        <v>-3.7999532070686071E-3</v>
      </c>
      <c r="AP36" s="9">
        <f ca="1">IF(OR(AP9="",AP$28&lt;$A36),"",AP9/OFFSET(SSAutCLM!$A$2,MATCH(AP$29,SSAutCLM!$A$2:$A$500)+$A36-1,1)-1)</f>
        <v>-4.7461315208564558E-3</v>
      </c>
      <c r="AQ36" s="9">
        <f ca="1">IF(OR(AQ9="",AQ$28&lt;$A36),"",AQ9/OFFSET(SSAutCLM!$A$2,MATCH(AQ$29,SSAutCLM!$A$2:$A$500)+$A36-1,1)-1)</f>
        <v>-3.8179119964408814E-3</v>
      </c>
      <c r="AR36" s="9">
        <f ca="1">IF(OR(AR9="",AR$28&lt;$A36),"",AR9/OFFSET(SSAutCLM!$A$2,MATCH(AR$29,SSAutCLM!$A$2:$A$500)+$A36-1,1)-1)</f>
        <v>1.9004725016744661E-3</v>
      </c>
      <c r="AS36" s="9">
        <f ca="1">IF(OR(AS9="",AS$28&lt;$A36),"",AS9/OFFSET(SSAutCLM!$A$2,MATCH(AS$29,SSAutCLM!$A$2:$A$500)+$A36-1,1)-1)</f>
        <v>8.5506575361031789E-3</v>
      </c>
      <c r="AT36" s="9">
        <f ca="1">IF(OR(AT9="",AT$28&lt;$A36),"",AT9/OFFSET(SSAutCLM!$A$2,MATCH(AT$29,SSAutCLM!$A$2:$A$500)+$A36-1,1)-1)</f>
        <v>1.1975869971898367E-2</v>
      </c>
      <c r="AU36" s="9">
        <f ca="1">IF(OR(AU9="",AU$28&lt;$A36),"",AU9/OFFSET(SSAutCLM!$A$2,MATCH(AU$29,SSAutCLM!$A$2:$A$500)+$A36-1,1)-1)</f>
        <v>1.8702785660026588E-2</v>
      </c>
      <c r="AV36" s="9">
        <f ca="1">IF(OR(AV9="",AV$28&lt;$A36),"",AV9/OFFSET(SSAutCLM!$A$2,MATCH(AV$29,SSAutCLM!$A$2:$A$500)+$A36-1,1)-1)</f>
        <v>2.7005795261842325E-2</v>
      </c>
      <c r="AW36" s="9">
        <f ca="1">IF(OR(AW9="",AW$28&lt;$A36),"",AW9/OFFSET(SSAutCLM!$A$2,MATCH(AW$29,SSAutCLM!$A$2:$A$500)+$A36-1,1)-1)</f>
        <v>3.3516013958985402E-2</v>
      </c>
      <c r="AX36" s="9">
        <f ca="1">IF(OR(AX9="",AX$28&lt;$A36),"",AX9/OFFSET(SSAutCLM!$A$2,MATCH(AX$29,SSAutCLM!$A$2:$A$500)+$A36-1,1)-1)</f>
        <v>3.4040809789936066E-2</v>
      </c>
      <c r="AY36" s="9">
        <f ca="1">IF(OR(AY9="",AY$28&lt;$A36),"",AY9/OFFSET(SSAutCLM!$A$2,MATCH(AY$29,SSAutCLM!$A$2:$A$500)+$A36-1,1)-1)</f>
        <v>3.3780957617255192E-2</v>
      </c>
      <c r="AZ36" s="9">
        <f ca="1">IF(OR(AZ9="",AZ$28&lt;$A36),"",AZ9/OFFSET(SSAutCLM!$A$2,MATCH(AZ$29,SSAutCLM!$A$2:$A$500)+$A36-1,1)-1)</f>
        <v>3.129725133869421E-2</v>
      </c>
      <c r="BA36" s="9">
        <f ca="1">IF(OR(BA9="",BA$28&lt;$A36),"",BA9/OFFSET(SSAutCLM!$A$2,MATCH(BA$29,SSAutCLM!$A$2:$A$500)+$A36-1,1)-1)</f>
        <v>3.4016670046291608E-2</v>
      </c>
      <c r="BB36" s="9">
        <f ca="1">IF(OR(BB9="",BB$28&lt;$A36),"",BB9/OFFSET(SSAutCLM!$A$2,MATCH(BB$29,SSAutCLM!$A$2:$A$500)+$A36-1,1)-1)</f>
        <v>3.1720233420898136E-2</v>
      </c>
      <c r="BC36" s="9">
        <f ca="1">IF(OR(BC9="",BC$28&lt;$A36),"",BC9/OFFSET(SSAutCLM!$A$2,MATCH(BC$29,SSAutCLM!$A$2:$A$500)+$A36-1,1)-1)</f>
        <v>1.9641791937963227E-2</v>
      </c>
      <c r="BD36" s="9">
        <f ca="1">IF(OR(BD9="",BD$28&lt;$A36),"",BD9/OFFSET(SSAutCLM!$A$2,MATCH(BD$29,SSAutCLM!$A$2:$A$500)+$A36-1,1)-1)</f>
        <v>2.6059271997503908E-2</v>
      </c>
      <c r="BE36" s="9">
        <f ca="1">IF(OR(BE9="",BE$28&lt;$A36),"",BE9/OFFSET(SSAutCLM!$A$2,MATCH(BE$29,SSAutCLM!$A$2:$A$500)+$A36-1,1)-1)</f>
        <v>3.0519535247358176E-2</v>
      </c>
      <c r="BF36" s="9">
        <f ca="1">IF(OR(BF9="",BF$28&lt;$A36),"",BF9/OFFSET(SSAutCLM!$A$2,MATCH(BF$29,SSAutCLM!$A$2:$A$500)+$A36-1,1)-1)</f>
        <v>3.0805542388477658E-2</v>
      </c>
      <c r="BG36" s="9">
        <f ca="1">IF(OR(BG9="",BG$28&lt;$A36),"",BG9/OFFSET(SSAutCLM!$A$2,MATCH(BG$29,SSAutCLM!$A$2:$A$500)+$A36-1,1)-1)</f>
        <v>3.4669576284873438E-2</v>
      </c>
      <c r="BH36" s="9">
        <f ca="1">IF(OR(BH9="",BH$28&lt;$A36),"",BH9/OFFSET(SSAutCLM!$A$2,MATCH(BH$29,SSAutCLM!$A$2:$A$500)+$A36-1,1)-1)</f>
        <v>2.4322918609534394E-2</v>
      </c>
      <c r="BI36" s="9">
        <f ca="1">IF(OR(BI9="",BI$28&lt;$A36),"",BI9/OFFSET(SSAutCLM!$A$2,MATCH(BI$29,SSAutCLM!$A$2:$A$500)+$A36-1,1)-1)</f>
        <v>1.3169520206122609E-2</v>
      </c>
      <c r="BJ36" s="9">
        <f ca="1">IF(OR(BJ9="",BJ$28&lt;$A36),"",BJ9/OFFSET(SSAutCLM!$A$2,MATCH(BJ$29,SSAutCLM!$A$2:$A$500)+$A36-1,1)-1)</f>
        <v>-3.816397372367053E-3</v>
      </c>
      <c r="BK36" s="9">
        <f ca="1">IF(OR(BK9="",BK$28&lt;$A36),"",BK9/OFFSET(SSAutCLM!$A$2,MATCH(BK$29,SSAutCLM!$A$2:$A$500)+$A36-1,1)-1)</f>
        <v>-1.1058135577986627E-2</v>
      </c>
      <c r="BL36" s="9">
        <f ca="1">IF(OR(BL9="",BL$28&lt;$A36),"",BL9/OFFSET(SSAutCLM!$A$2,MATCH(BL$29,SSAutCLM!$A$2:$A$500)+$A36-1,1)-1)</f>
        <v>-2.4625868910107762E-2</v>
      </c>
      <c r="BM36" s="9">
        <f ca="1">IF(OR(BM9="",BM$28&lt;$A36),"",BM9/OFFSET(SSAutCLM!$A$2,MATCH(BM$29,SSAutCLM!$A$2:$A$500)+$A36-1,1)-1)</f>
        <v>-3.2318896708612876E-2</v>
      </c>
      <c r="BN36" s="9">
        <f ca="1">IF(OR(BN9="",BN$28&lt;$A36),"",BN9/OFFSET(SSAutCLM!$A$2,MATCH(BN$29,SSAutCLM!$A$2:$A$500)+$A36-1,1)-1)</f>
        <v>-3.668080655549244E-2</v>
      </c>
      <c r="BO36" s="9">
        <f ca="1">IF(OR(BO9="",BO$28&lt;$A36),"",BO9/OFFSET(SSAutCLM!$A$2,MATCH(BO$29,SSAutCLM!$A$2:$A$500)+$A36-1,1)-1)</f>
        <v>-2.6686443661736448E-2</v>
      </c>
      <c r="BP36" s="9">
        <f ca="1">IF(OR(BP9="",BP$28&lt;$A36),"",BP9/OFFSET(SSAutCLM!$A$2,MATCH(BP$29,SSAutCLM!$A$2:$A$500)+$A36-1,1)-1)</f>
        <v>-1.1484254331683985E-2</v>
      </c>
      <c r="BQ36" s="9">
        <f ca="1">IF(OR(BQ9="",BQ$28&lt;$A36),"",BQ9/OFFSET(SSAutCLM!$A$2,MATCH(BQ$29,SSAutCLM!$A$2:$A$500)+$A36-1,1)-1)</f>
        <v>-9.8891588489319338E-3</v>
      </c>
      <c r="BR36" s="9">
        <f ca="1">IF(OR(BR9="",BR$28&lt;$A36),"",BR9/OFFSET(SSAutCLM!$A$2,MATCH(BR$29,SSAutCLM!$A$2:$A$500)+$A36-1,1)-1)</f>
        <v>-1.0826160657617434E-2</v>
      </c>
      <c r="BS36" s="9">
        <f ca="1">IF(OR(BS9="",BS$28&lt;$A36),"",BS9/OFFSET(SSAutCLM!$A$2,MATCH(BS$29,SSAutCLM!$A$2:$A$500)+$A36-1,1)-1)</f>
        <v>-1.493468552892685E-2</v>
      </c>
      <c r="BT36" s="9">
        <f ca="1">IF(OR(BT9="",BT$28&lt;$A36),"",BT9/OFFSET(SSAutCLM!$A$2,MATCH(BT$29,SSAutCLM!$A$2:$A$500)+$A36-1,1)-1)</f>
        <v>-2.5000109788289815E-2</v>
      </c>
      <c r="BU36" s="9">
        <f ca="1">IF(OR(BU9="",BU$28&lt;$A36),"",BU9/OFFSET(SSAutCLM!$A$2,MATCH(BU$29,SSAutCLM!$A$2:$A$500)+$A36-1,1)-1)</f>
        <v>-1.6032686931700346E-2</v>
      </c>
      <c r="BV36" s="9">
        <f ca="1">IF(OR(BV9="",BV$28&lt;$A36),"",BV9/OFFSET(SSAutCLM!$A$2,MATCH(BV$29,SSAutCLM!$A$2:$A$500)+$A36-1,1)-1)</f>
        <v>-6.6773248575224819E-3</v>
      </c>
      <c r="BW36" s="9">
        <f ca="1">IF(OR(BW9="",BW$28&lt;$A36),"",BW9/OFFSET(SSAutCLM!$A$2,MATCH(BW$29,SSAutCLM!$A$2:$A$500)+$A36-1,1)-1)</f>
        <v>-8.9382640373816269E-3</v>
      </c>
      <c r="BX36" s="9">
        <f ca="1">IF(OR(BX9="",BX$28&lt;$A36),"",BX9/OFFSET(SSAutCLM!$A$2,MATCH(BX$29,SSAutCLM!$A$2:$A$500)+$A36-1,1)-1)</f>
        <v>-1.9056134212945386E-2</v>
      </c>
      <c r="BY36" s="9">
        <f ca="1">IF(OR(BY9="",BY$28&lt;$A36),"",BY9/OFFSET(SSAutCLM!$A$2,MATCH(BY$29,SSAutCLM!$A$2:$A$500)+$A36-1,1)-1)</f>
        <v>-9.6321381143800178E-3</v>
      </c>
      <c r="BZ36" s="9">
        <f ca="1">IF(OR(BZ9="",BZ$28&lt;$A36),"",BZ9/OFFSET(SSAutCLM!$A$2,MATCH(BZ$29,SSAutCLM!$A$2:$A$500)+$A36-1,1)-1)</f>
        <v>5.265665328871183E-3</v>
      </c>
      <c r="CA36" s="9">
        <f ca="1">IF(OR(CA9="",CA$28&lt;$A36),"",CA9/OFFSET(SSAutCLM!$A$2,MATCH(CA$29,SSAutCLM!$A$2:$A$500)+$A36-1,1)-1)</f>
        <v>1.2962750032914361E-2</v>
      </c>
      <c r="CB36" s="9">
        <f ca="1">IF(OR(CB9="",CB$28&lt;$A36),"",CB9/OFFSET(SSAutCLM!$A$2,MATCH(CB$29,SSAutCLM!$A$2:$A$500)+$A36-1,1)-1)</f>
        <v>1.4654024649539465E-2</v>
      </c>
      <c r="CC36" s="9">
        <f ca="1">IF(OR(CC9="",CC$28&lt;$A36),"",CC9/OFFSET(SSAutCLM!$A$2,MATCH(CC$29,SSAutCLM!$A$2:$A$500)+$A36-1,1)-1)</f>
        <v>9.3514391646758455E-3</v>
      </c>
      <c r="CD36" s="9">
        <f ca="1">IF(OR(CD9="",CD$28&lt;$A36),"",CD9/OFFSET(SSAutCLM!$A$2,MATCH(CD$29,SSAutCLM!$A$2:$A$500)+$A36-1,1)-1)</f>
        <v>6.8877856705817919E-4</v>
      </c>
      <c r="CE36" s="9">
        <f ca="1">IF(OR(CE9="",CE$28&lt;$A36),"",CE9/OFFSET(SSAutCLM!$A$2,MATCH(CE$29,SSAutCLM!$A$2:$A$500)+$A36-1,1)-1)</f>
        <v>-1.1468861872043767E-3</v>
      </c>
      <c r="CF36" s="9">
        <f ca="1">IF(OR(CF9="",CF$28&lt;$A36),"",CF9/OFFSET(SSAutCLM!$A$2,MATCH(CF$29,SSAutCLM!$A$2:$A$500)+$A36-1,1)-1)</f>
        <v>-5.8663199507569264E-4</v>
      </c>
      <c r="CG36" s="9">
        <f ca="1">IF(OR(CG9="",CG$28&lt;$A36),"",CG9/OFFSET(SSAutCLM!$A$2,MATCH(CG$29,SSAutCLM!$A$2:$A$500)+$A36-1,1)-1)</f>
        <v>-5.9520273205144747E-3</v>
      </c>
      <c r="CH36" s="9">
        <f ca="1">IF(OR(CH9="",CH$28&lt;$A36),"",CH9/OFFSET(SSAutCLM!$A$2,MATCH(CH$29,SSAutCLM!$A$2:$A$500)+$A36-1,1)-1)</f>
        <v>-9.3659357914473995E-3</v>
      </c>
      <c r="CI36" s="9">
        <f ca="1">IF(OR(CI9="",CI$28&lt;$A36),"",CI9/OFFSET(SSAutCLM!$A$2,MATCH(CI$29,SSAutCLM!$A$2:$A$500)+$A36-1,1)-1)</f>
        <v>-2.0656822531675001E-3</v>
      </c>
      <c r="CJ36" s="9">
        <f ca="1">IF(OR(CJ9="",CJ$28&lt;$A36),"",CJ9/OFFSET(SSAutCLM!$A$2,MATCH(CJ$29,SSAutCLM!$A$2:$A$500)+$A36-1,1)-1)</f>
        <v>-1.2822782639752894E-2</v>
      </c>
      <c r="CK36" s="9">
        <f ca="1">IF(OR(CK9="",CK$28&lt;$A36),"",CK9/OFFSET(SSAutCLM!$A$2,MATCH(CK$29,SSAutCLM!$A$2:$A$500)+$A36-1,1)-1)</f>
        <v>5.5393022239089706E-3</v>
      </c>
      <c r="CL36" s="9">
        <f ca="1">IF(OR(CL9="",CL$28&lt;$A36),"",CL9/OFFSET(SSAutCLM!$A$2,MATCH(CL$29,SSAutCLM!$A$2:$A$500)+$A36-1,1)-1)</f>
        <v>9.2430045168856445E-3</v>
      </c>
      <c r="CM36" s="9">
        <f ca="1">IF(OR(CM9="",CM$28&lt;$A36),"",CM9/OFFSET(SSAutCLM!$A$2,MATCH(CM$29,SSAutCLM!$A$2:$A$500)+$A36-1,1)-1)</f>
        <v>2.0664816870872293E-2</v>
      </c>
      <c r="CN36" s="9">
        <f ca="1">IF(OR(CN9="",CN$28&lt;$A36),"",CN9/OFFSET(SSAutCLM!$A$2,MATCH(CN$29,SSAutCLM!$A$2:$A$500)+$A36-1,1)-1)</f>
        <v>2.1556327565092293E-2</v>
      </c>
      <c r="CO36" s="9">
        <f ca="1">IF(OR(CO9="",CO$28&lt;$A36),"",CO9/OFFSET(SSAutCLM!$A$2,MATCH(CO$29,SSAutCLM!$A$2:$A$500)+$A36-1,1)-1)</f>
        <v>1.0265832366626926E-2</v>
      </c>
      <c r="CP36" s="9">
        <f ca="1">IF(OR(CP9="",CP$28&lt;$A36),"",CP9/OFFSET(SSAutCLM!$A$2,MATCH(CP$29,SSAutCLM!$A$2:$A$500)+$A36-1,1)-1)</f>
        <v>2.4438935894974811E-3</v>
      </c>
      <c r="CQ36" s="9">
        <f ca="1">IF(OR(CQ9="",CQ$28&lt;$A36),"",CQ9/OFFSET(SSAutCLM!$A$2,MATCH(CQ$29,SSAutCLM!$A$2:$A$500)+$A36-1,1)-1)</f>
        <v>6.2004924528307193E-3</v>
      </c>
      <c r="CR36" s="9">
        <f ca="1">IF(OR(CR9="",CR$28&lt;$A36),"",CR9/OFFSET(SSAutCLM!$A$2,MATCH(CR$29,SSAutCLM!$A$2:$A$500)+$A36-1,1)-1)</f>
        <v>2.73482255457691E-3</v>
      </c>
      <c r="CS36" s="9">
        <f ca="1">IF(OR(CS9="",CS$28&lt;$A36),"",CS9/OFFSET(SSAutCLM!$A$2,MATCH(CS$29,SSAutCLM!$A$2:$A$500)+$A36-1,1)-1)</f>
        <v>-1.5635928069186456E-3</v>
      </c>
      <c r="CT36" s="9">
        <f ca="1">IF(OR(CT9="",CT$28&lt;$A36),"",CT9/OFFSET(SSAutCLM!$A$2,MATCH(CT$29,SSAutCLM!$A$2:$A$500)+$A36-1,1)-1)</f>
        <v>-6.678314056410728E-3</v>
      </c>
      <c r="CU36" s="9">
        <f ca="1">IF(OR(CU9="",CU$28&lt;$A36),"",CU9/OFFSET(SSAutCLM!$A$2,MATCH(CU$29,SSAutCLM!$A$2:$A$500)+$A36-1,1)-1)</f>
        <v>-3.2834574236211944E-2</v>
      </c>
      <c r="CV36" s="9">
        <f ca="1">IF(OR(CV9="",CV$28&lt;$A36),"",CV9/OFFSET(SSAutCLM!$A$2,MATCH(CV$29,SSAutCLM!$A$2:$A$500)+$A36-1,1)-1)</f>
        <v>-8.0199645988425772E-3</v>
      </c>
      <c r="CW36" s="9">
        <f ca="1">IF(OR(CW9="",CW$28&lt;$A36),"",CW9/OFFSET(SSAutCLM!$A$2,MATCH(CW$29,SSAutCLM!$A$2:$A$500)+$A36-1,1)-1)</f>
        <v>-8.2676918752966344E-4</v>
      </c>
      <c r="CX36" s="9">
        <f ca="1">IF(OR(CX9="",CX$28&lt;$A36),"",CX9/OFFSET(SSAutCLM!$A$2,MATCH(CX$29,SSAutCLM!$A$2:$A$500)+$A36-1,1)-1)</f>
        <v>4.3101061109283023E-3</v>
      </c>
      <c r="CY36" s="9">
        <f ca="1">IF(OR(CY9="",CY$28&lt;$A36),"",CY9/OFFSET(SSAutCLM!$A$2,MATCH(CY$29,SSAutCLM!$A$2:$A$500)+$A36-1,1)-1)</f>
        <v>2.7327525279323694E-3</v>
      </c>
      <c r="CZ36" s="9">
        <f ca="1">IF(OR(CZ9="",CZ$28&lt;$A36),"",CZ9/OFFSET(SSAutCLM!$A$2,MATCH(CZ$29,SSAutCLM!$A$2:$A$500)+$A36-1,1)-1)</f>
        <v>2.0702496343092402E-3</v>
      </c>
      <c r="DA36" s="9">
        <f ca="1">IF(OR(DA9="",DA$28&lt;$A36),"",DA9/OFFSET(SSAutCLM!$A$2,MATCH(DA$29,SSAutCLM!$A$2:$A$500)+$A36-1,1)-1)</f>
        <v>6.7015124996150366E-3</v>
      </c>
      <c r="DB36" s="9">
        <f ca="1">IF(OR(DB9="",DB$28&lt;$A36),"",DB9/OFFSET(SSAutCLM!$A$2,MATCH(DB$29,SSAutCLM!$A$2:$A$500)+$A36-1,1)-1)</f>
        <v>-1.4639565786691566E-3</v>
      </c>
      <c r="DC36" s="9">
        <f ca="1">IF(OR(DC9="",DC$28&lt;$A36),"",DC9/OFFSET(SSAutCLM!$A$2,MATCH(DC$29,SSAutCLM!$A$2:$A$500)+$A36-1,1)-1)</f>
        <v>-7.4444767601152817E-3</v>
      </c>
      <c r="DD36" s="9">
        <f ca="1">IF(OR(DD9="",DD$28&lt;$A36),"",DD9/OFFSET(SSAutCLM!$A$2,MATCH(DD$29,SSAutCLM!$A$2:$A$500)+$A36-1,1)-1)</f>
        <v>-4.3326674834058831E-3</v>
      </c>
      <c r="DE36" s="9">
        <f ca="1">IF(OR(DE9="",DE$28&lt;$A36),"",DE9/OFFSET(SSAutCLM!$A$2,MATCH(DE$29,SSAutCLM!$A$2:$A$500)+$A36-1,1)-1)</f>
        <v>-1.0218686858934567E-2</v>
      </c>
      <c r="DF36" s="9">
        <f ca="1">IF(OR(DF9="",DF$28&lt;$A36),"",DF9/OFFSET(SSAutCLM!$A$2,MATCH(DF$29,SSAutCLM!$A$2:$A$500)+$A36-1,1)-1)</f>
        <v>-1.2620828103742321E-2</v>
      </c>
      <c r="DG36" s="9">
        <f ca="1">IF(OR(DG9="",DG$28&lt;$A36),"",DG9/OFFSET(SSAutCLM!$A$2,MATCH(DG$29,SSAutCLM!$A$2:$A$500)+$A36-1,1)-1)</f>
        <v>-1.6908347731155793E-2</v>
      </c>
      <c r="DH36" s="9">
        <f ca="1">IF(OR(DH9="",DH$28&lt;$A36),"",DH9/OFFSET(SSAutCLM!$A$2,MATCH(DH$29,SSAutCLM!$A$2:$A$500)+$A36-1,1)-1)</f>
        <v>-2.308806403290653E-2</v>
      </c>
      <c r="DI36" s="9">
        <f ca="1">IF(OR(DI9="",DI$28&lt;$A36),"",DI9/OFFSET(SSAutCLM!$A$2,MATCH(DI$29,SSAutCLM!$A$2:$A$500)+$A36-1,1)-1)</f>
        <v>-1.9915064423899342E-2</v>
      </c>
      <c r="DJ36" s="9">
        <f ca="1">IF(OR(DJ9="",DJ$28&lt;$A36),"",DJ9/OFFSET(SSAutCLM!$A$2,MATCH(DJ$29,SSAutCLM!$A$2:$A$500)+$A36-1,1)-1)</f>
        <v>-1.0903369600622548E-2</v>
      </c>
      <c r="DK36" s="9">
        <f ca="1">IF(OR(DK9="",DK$28&lt;$A36),"",DK9/OFFSET(SSAutCLM!$A$2,MATCH(DK$29,SSAutCLM!$A$2:$A$500)+$A36-1,1)-1)</f>
        <v>-1.8110350820008669E-3</v>
      </c>
      <c r="DL36" s="9">
        <f ca="1">IF(OR(DL9="",DL$28&lt;$A36),"",DL9/OFFSET(SSAutCLM!$A$2,MATCH(DL$29,SSAutCLM!$A$2:$A$500)+$A36-1,1)-1)</f>
        <v>4.2860278906609039E-4</v>
      </c>
      <c r="DM36" s="9">
        <f ca="1">IF(OR(DM9="",DM$28&lt;$A36),"",DM9/OFFSET(SSAutCLM!$A$2,MATCH(DM$29,SSAutCLM!$A$2:$A$500)+$A36-1,1)-1)</f>
        <v>6.1502439449641066E-3</v>
      </c>
      <c r="DN36" s="9">
        <f ca="1">IF(OR(DN9="",DN$28&lt;$A36),"",DN9/OFFSET(SSAutCLM!$A$2,MATCH(DN$29,SSAutCLM!$A$2:$A$500)+$A36-1,1)-1)</f>
        <v>-8.9324481543464618E-3</v>
      </c>
      <c r="DO36" s="9">
        <f ca="1">IF(OR(DO9="",DO$28&lt;$A36),"",DO9/OFFSET(SSAutCLM!$A$2,MATCH(DO$29,SSAutCLM!$A$2:$A$500)+$A36-1,1)-1)</f>
        <v>-7.7247756968661374E-3</v>
      </c>
      <c r="DP36" s="9">
        <f ca="1">IF(OR(DP9="",DP$28&lt;$A36),"",DP9/OFFSET(SSAutCLM!$A$2,MATCH(DP$29,SSAutCLM!$A$2:$A$500)+$A36-1,1)-1)</f>
        <v>-2.4708436509679466E-3</v>
      </c>
      <c r="DQ36" s="9">
        <f ca="1">IF(OR(DQ9="",DQ$28&lt;$A36),"",DQ9/OFFSET(SSAutCLM!$A$2,MATCH(DQ$29,SSAutCLM!$A$2:$A$500)+$A36-1,1)-1)</f>
        <v>4.3886346204287108E-3</v>
      </c>
      <c r="DR36" s="9">
        <f ca="1">IF(OR(DR9="",DR$28&lt;$A36),"",DR9/OFFSET(SSAutCLM!$A$2,MATCH(DR$29,SSAutCLM!$A$2:$A$500)+$A36-1,1)-1)</f>
        <v>8.2694759492645264E-3</v>
      </c>
      <c r="DS36" s="9">
        <f ca="1">IF(OR(DS9="",DS$28&lt;$A36),"",DS9/OFFSET(SSAutCLM!$A$2,MATCH(DS$29,SSAutCLM!$A$2:$A$500)+$A36-1,1)-1)</f>
        <v>3.2606199112488188E-3</v>
      </c>
      <c r="DT36" s="9">
        <f ca="1">IF(OR(DT9="",DT$28&lt;$A36),"",DT9/OFFSET(SSAutCLM!$A$2,MATCH(DT$29,SSAutCLM!$A$2:$A$500)+$A36-1,1)-1)</f>
        <v>4.442026990653325E-3</v>
      </c>
      <c r="DU36" s="9">
        <f ca="1">IF(OR(DU9="",DU$28&lt;$A36),"",DU9/OFFSET(SSAutCLM!$A$2,MATCH(DU$29,SSAutCLM!$A$2:$A$500)+$A36-1,1)-1)</f>
        <v>-7.4296756085057147E-5</v>
      </c>
      <c r="DV36" s="9" t="str">
        <f ca="1">IF(OR(DV9="",DV$28&lt;$A36),"",DV9/OFFSET(SSAutCLM!$A$2,MATCH(DV$29,SSAutCLM!$A$2:$A$500)+$A36-1,1)-1)</f>
        <v/>
      </c>
      <c r="DW36" s="9" t="str">
        <f ca="1">IF(OR(DW9="",DW$28&lt;$A36),"",DW9/OFFSET(SSAutCLM!$A$2,MATCH(DW$29,SSAutCLM!$A$2:$A$500)+$A36-1,1)-1)</f>
        <v/>
      </c>
      <c r="DX36" s="9" t="str">
        <f ca="1">IF(OR(DX9="",DX$28&lt;$A36),"",DX9/OFFSET(SSAutCLM!$A$2,MATCH(DX$29,SSAutCLM!$A$2:$A$500)+$A36-1,1)-1)</f>
        <v/>
      </c>
      <c r="DY36" s="9" t="str">
        <f ca="1">IF(OR(DY9="",DY$28&lt;$A36),"",DY9/OFFSET(SSAutCLM!$A$2,MATCH(DY$29,SSAutCLM!$A$2:$A$500)+$A36-1,1)-1)</f>
        <v/>
      </c>
      <c r="DZ36" s="9" t="str">
        <f ca="1">IF(OR(DZ9="",DZ$28&lt;$A36),"",DZ9/OFFSET(SSAutCLM!$A$2,MATCH(DZ$29,SSAutCLM!$A$2:$A$500)+$A36-1,1)-1)</f>
        <v/>
      </c>
      <c r="EA36" s="9" t="str">
        <f ca="1">IF(OR(EA9="",EA$28&lt;$A36),"",EA9/OFFSET(SSAutCLM!$A$2,MATCH(EA$29,SSAutCLM!$A$2:$A$500)+$A36-1,1)-1)</f>
        <v/>
      </c>
      <c r="EB36" s="9" t="str">
        <f ca="1">IF(OR(EB9="",EB$28&lt;$A36),"",EB9/OFFSET(SSAutCLM!$A$2,MATCH(EB$29,SSAutCLM!$A$2:$A$500)+$A36-1,1)-1)</f>
        <v/>
      </c>
      <c r="EC36" s="9" t="str">
        <f ca="1">IF(OR(EC9="",EC$28&lt;$A36),"",EC9/OFFSET(SSAutCLM!$A$2,MATCH(EC$29,SSAutCLM!$A$2:$A$500)+$A36-1,1)-1)</f>
        <v/>
      </c>
      <c r="ED36" s="9" t="str">
        <f ca="1">IF(OR(ED9="",ED$28&lt;$A36),"",ED9/OFFSET(SSAutCLM!$A$2,MATCH(ED$29,SSAutCLM!$A$2:$A$500)+$A36-1,1)-1)</f>
        <v/>
      </c>
      <c r="EE36" s="9" t="str">
        <f ca="1">IF(OR(EE9="",EE$28&lt;$A36),"",EE9/OFFSET(SSAutCLM!$A$2,MATCH(EE$29,SSAutCLM!$A$2:$A$500)+$A36-1,1)-1)</f>
        <v/>
      </c>
      <c r="EF36" s="9" t="str">
        <f ca="1">IF(OR(EF9="",EF$28&lt;$A36),"",EF9/OFFSET(SSAutCLM!$A$2,MATCH(EF$29,SSAutCLM!$A$2:$A$500)+$A36-1,1)-1)</f>
        <v/>
      </c>
      <c r="EG36" s="9">
        <f ca="1">IF(OR(EG9="",EG$28&lt;$A36),"",EG9/OFFSET(SSAutCLM!$A$2,MATCH(EG$29,SSAutCLM!$A$2:$A$500)+$A36-1,1)-1)</f>
        <v>9.5163042335699721E-4</v>
      </c>
      <c r="EH36" s="9">
        <f ca="1">IF(OR(EH9="",EH$28&lt;$A36),"",EH9/OFFSET(SSAutCLM!$A$2,MATCH(EH$29,SSAutCLM!$A$2:$A$500)+$A36-1,1)-1)</f>
        <v>6.999848664371644E-3</v>
      </c>
      <c r="EI36" s="9">
        <f ca="1">IF(OR(EI9="",EI$28&lt;$A36),"",EI9/OFFSET(SSAutCLM!$A$2,MATCH(EI$29,SSAutCLM!$A$2:$A$500)+$A36-1,1)-1)</f>
        <v>1.6394954250547045E-2</v>
      </c>
      <c r="EJ36" s="9">
        <f ca="1">IF(OR(EJ9="",EJ$28&lt;$A36),"",EJ9/OFFSET(SSAutCLM!$A$2,MATCH(EJ$29,SSAutCLM!$A$2:$A$500)+$A36-1,1)-1)</f>
        <v>1.1304203412006553E-2</v>
      </c>
      <c r="EK36" s="9">
        <f ca="1">IF(OR(EK9="",EK$28&lt;$A36),"",EK9/OFFSET(SSAutCLM!$A$2,MATCH(EK$29,SSAutCLM!$A$2:$A$500)+$A36-1,1)-1)</f>
        <v>3.944436067073287E-3</v>
      </c>
      <c r="EL36" s="9">
        <f ca="1">IF(OR(EL9="",EL$28&lt;$A36),"",EL9/OFFSET(SSAutCLM!$A$2,MATCH(EL$29,SSAutCLM!$A$2:$A$500)+$A36-1,1)-1)</f>
        <v>3.1550363620103106E-4</v>
      </c>
      <c r="EM36" s="9">
        <f ca="1">IF(OR(EM9="",EM$28&lt;$A36),"",EM9/OFFSET(SSAutCLM!$A$2,MATCH(EM$29,SSAutCLM!$A$2:$A$500)+$A36-1,1)-1)</f>
        <v>1.583779655442985E-3</v>
      </c>
      <c r="EN36" s="9">
        <f ca="1">IF(OR(EN9="",EN$28&lt;$A36),"",EN9/OFFSET(SSAutCLM!$A$2,MATCH(EN$29,SSAutCLM!$A$2:$A$500)+$A36-1,1)-1)</f>
        <v>3.4421885587376799E-4</v>
      </c>
      <c r="EO36" s="9">
        <f ca="1">IF(OR(EO9="",EO$28&lt;$A36),"",EO9/OFFSET(SSAutCLM!$A$2,MATCH(EO$29,SSAutCLM!$A$2:$A$500)+$A36-1,1)-1)</f>
        <v>1.73576405067144E-3</v>
      </c>
      <c r="EP36" s="9">
        <f ca="1">IF(OR(EP9="",EP$28&lt;$A36),"",EP9/OFFSET(SSAutCLM!$A$2,MATCH(EP$29,SSAutCLM!$A$2:$A$500)+$A36-1,1)-1)</f>
        <v>-1.7798162546752927E-2</v>
      </c>
      <c r="EQ36" s="9">
        <f ca="1">IF(OR(EQ9="",EQ$28&lt;$A36),"",EQ9/OFFSET(SSAutCLM!$A$2,MATCH(EQ$29,SSAutCLM!$A$2:$A$500)+$A36-1,1)-1)</f>
        <v>-2.1780817997323343E-3</v>
      </c>
      <c r="ER36" s="9">
        <f ca="1">IF(OR(ER9="",ER$28&lt;$A36),"",ER9/OFFSET(SSAutCLM!$A$2,MATCH(ER$29,SSAutCLM!$A$2:$A$500)+$A36-1,1)-1)</f>
        <v>1.2534092327127322E-2</v>
      </c>
      <c r="ES36" s="9">
        <f ca="1">IF(OR(ES9="",ES$28&lt;$A36),"",ES9/OFFSET(SSAutCLM!$A$2,MATCH(ES$29,SSAutCLM!$A$2:$A$500)+$A36-1,1)-1)</f>
        <v>7.4620956158484297E-3</v>
      </c>
      <c r="ET36" s="9">
        <f ca="1">IF(OR(ET9="",ET$28&lt;$A36),"",ET9/OFFSET(SSAutCLM!$A$2,MATCH(ET$29,SSAutCLM!$A$2:$A$500)+$A36-1,1)-1)</f>
        <v>4.0753201238428183E-3</v>
      </c>
      <c r="EU36" s="9">
        <f ca="1">IF(OR(EU9="",EU$28&lt;$A36),"",EU9/OFFSET(SSAutCLM!$A$2,MATCH(EU$29,SSAutCLM!$A$2:$A$500)+$A36-1,1)-1)</f>
        <v>3.2082567832671938E-3</v>
      </c>
      <c r="EV36" s="9">
        <f ca="1">IF(OR(EV9="",EV$28&lt;$A36),"",EV9/OFFSET(SSAutCLM!$A$2,MATCH(EV$29,SSAutCLM!$A$2:$A$500)+$A36-1,1)-1)</f>
        <v>1.2007768158139864E-3</v>
      </c>
      <c r="EW36" s="9">
        <f ca="1">IF(OR(EW9="",EW$28&lt;$A36),"",EW9/OFFSET(SSAutCLM!$A$2,MATCH(EW$29,SSAutCLM!$A$2:$A$500)+$A36-1,1)-1)</f>
        <v>-2.3870779342292092E-3</v>
      </c>
      <c r="EX36" s="9">
        <f ca="1">IF(OR(EX9="",EX$28&lt;$A36),"",EX9/OFFSET(SSAutCLM!$A$2,MATCH(EX$29,SSAutCLM!$A$2:$A$500)+$A36-1,1)-1)</f>
        <v>-9.0280195098713101E-4</v>
      </c>
      <c r="EY36" s="9">
        <f ca="1">IF(OR(EY9="",EY$28&lt;$A36),"",EY9/OFFSET(SSAutCLM!$A$2,MATCH(EY$29,SSAutCLM!$A$2:$A$500)+$A36-1,1)-1)</f>
        <v>-6.6522890709382887E-3</v>
      </c>
      <c r="EZ36" s="9">
        <f ca="1">IF(OR(EZ9="",EZ$28&lt;$A36),"",EZ9/OFFSET(SSAutCLM!$A$2,MATCH(EZ$29,SSAutCLM!$A$2:$A$500)+$A36-1,1)-1)</f>
        <v>-2.3610204988344652E-3</v>
      </c>
      <c r="FA36" s="9">
        <f ca="1">IF(OR(FA9="",FA$28&lt;$A36),"",FA9/OFFSET(SSAutCLM!$A$2,MATCH(FA$29,SSAutCLM!$A$2:$A$500)+$A36-1,1)-1)</f>
        <v>2.420467252352454E-3</v>
      </c>
      <c r="FB36" s="9">
        <f ca="1">IF(OR(FB9="",FB$28&lt;$A36),"",FB9/OFFSET(SSAutCLM!$A$2,MATCH(FB$29,SSAutCLM!$A$2:$A$500)+$A36-1,1)-1)</f>
        <v>1.1992360136312552E-3</v>
      </c>
      <c r="FC36" s="9">
        <f ca="1">IF(OR(FC9="",FC$28&lt;$A36),"",FC9/OFFSET(SSAutCLM!$A$2,MATCH(FC$29,SSAutCLM!$A$2:$A$500)+$A36-1,1)-1)</f>
        <v>-2.9619458630403273E-4</v>
      </c>
      <c r="FD36" s="9">
        <f ca="1">IF(OR(FD9="",FD$28&lt;$A36),"",FD9/OFFSET(SSAutCLM!$A$2,MATCH(FD$29,SSAutCLM!$A$2:$A$500)+$A36-1,1)-1)</f>
        <v>5.2419992545409411E-3</v>
      </c>
      <c r="FE36" s="9">
        <f ca="1">IF(OR(FE9="",FE$28&lt;$A36),"",FE9/OFFSET(SSAutCLM!$A$2,MATCH(FE$29,SSAutCLM!$A$2:$A$500)+$A36-1,1)-1)</f>
        <v>5.0096713792773251E-3</v>
      </c>
      <c r="FF36" s="9">
        <f ca="1">IF(OR(FF9="",FF$28&lt;$A36),"",FF9/OFFSET(SSAutCLM!$A$2,MATCH(FF$29,SSAutCLM!$A$2:$A$500)+$A36-1,1)-1)</f>
        <v>5.3723469559161519E-3</v>
      </c>
      <c r="FG36" s="9">
        <f ca="1">IF(OR(FG9="",FG$28&lt;$A36),"",FG9/OFFSET(SSAutCLM!$A$2,MATCH(FG$29,SSAutCLM!$A$2:$A$500)+$A36-1,1)-1)</f>
        <v>9.6335887240270868E-3</v>
      </c>
      <c r="FH36" s="9">
        <f ca="1">IF(OR(FH9="",FH$28&lt;$A36),"",FH9/OFFSET(SSAutCLM!$A$2,MATCH(FH$29,SSAutCLM!$A$2:$A$500)+$A36-1,1)-1)</f>
        <v>3.9918729448737977E-3</v>
      </c>
      <c r="FI36" s="9">
        <f ca="1">IF(OR(FI9="",FI$28&lt;$A36),"",FI9/OFFSET(SSAutCLM!$A$2,MATCH(FI$29,SSAutCLM!$A$2:$A$500)+$A36-1,1)-1)</f>
        <v>-1.3427965373613238E-2</v>
      </c>
      <c r="FJ36" s="9">
        <f ca="1">IF(OR(FJ9="",FJ$28&lt;$A36),"",FJ9/OFFSET(SSAutCLM!$A$2,MATCH(FJ$29,SSAutCLM!$A$2:$A$500)+$A36-1,1)-1)</f>
        <v>-1.7498803012578112E-2</v>
      </c>
      <c r="FK36" s="9">
        <f ca="1">IF(OR(FK9="",FK$28&lt;$A36),"",FK9/OFFSET(SSAutCLM!$A$2,MATCH(FK$29,SSAutCLM!$A$2:$A$500)+$A36-1,1)-1)</f>
        <v>-8.2098107952185417E-3</v>
      </c>
      <c r="FL36" s="9">
        <f ca="1">IF(OR(FL9="",FL$28&lt;$A36),"",FL9/OFFSET(SSAutCLM!$A$2,MATCH(FL$29,SSAutCLM!$A$2:$A$500)+$A36-1,1)-1)</f>
        <v>-8.4923687542780568E-3</v>
      </c>
      <c r="FM36" s="9">
        <f ca="1">IF(OR(FM9="",FM$28&lt;$A36),"",FM9/OFFSET(SSAutCLM!$A$2,MATCH(FM$29,SSAutCLM!$A$2:$A$500)+$A36-1,1)-1)</f>
        <v>-1.0294768896834117E-2</v>
      </c>
      <c r="FN36" s="9">
        <f ca="1">IF(OR(FN9="",FN$28&lt;$A36),"",FN9/OFFSET(SSAutCLM!$A$2,MATCH(FN$29,SSAutCLM!$A$2:$A$500)+$A36-1,1)-1)</f>
        <v>-9.1055514743643151E-3</v>
      </c>
      <c r="FO36" s="9">
        <f ca="1">IF(OR(FO9="",FO$28&lt;$A36),"",FO9/OFFSET(SSAutCLM!$A$2,MATCH(FO$29,SSAutCLM!$A$2:$A$500)+$A36-1,1)-1)</f>
        <v>1.926846755089251E-3</v>
      </c>
      <c r="FP36" s="9">
        <f ca="1">IF(OR(FP9="",FP$28&lt;$A36),"",FP9/OFFSET(SSAutCLM!$A$2,MATCH(FP$29,SSAutCLM!$A$2:$A$500)+$A36-1,1)-1)</f>
        <v>1.8798223972698036E-2</v>
      </c>
      <c r="FQ36" s="9">
        <f ca="1">IF(OR(FQ9="",FQ$28&lt;$A36),"",FQ9/OFFSET(SSAutCLM!$A$2,MATCH(FQ$29,SSAutCLM!$A$2:$A$500)+$A36-1,1)-1)</f>
        <v>8.330980381985098E-3</v>
      </c>
      <c r="FR36" s="9">
        <f ca="1">IF(OR(FR9="",FR$28&lt;$A36),"",FR9/OFFSET(SSAutCLM!$A$2,MATCH(FR$29,SSAutCLM!$A$2:$A$500)+$A36-1,1)-1)</f>
        <v>5.3660296092170601E-3</v>
      </c>
      <c r="FS36" s="9">
        <f ca="1">IF(OR(FS9="",FS$28&lt;$A36),"",FS9/OFFSET(SSAutCLM!$A$2,MATCH(FS$29,SSAutCLM!$A$2:$A$500)+$A36-1,1)-1)</f>
        <v>3.059414962439222E-3</v>
      </c>
      <c r="FT36" s="9">
        <f ca="1">IF(OR(FT9="",FT$28&lt;$A36),"",FT9/OFFSET(SSAutCLM!$A$2,MATCH(FT$29,SSAutCLM!$A$2:$A$500)+$A36-1,1)-1)</f>
        <v>9.0023911458492201E-4</v>
      </c>
      <c r="FU36" s="9">
        <f ca="1">IF(OR(FU9="",FU$28&lt;$A36),"",FU9/OFFSET(SSAutCLM!$A$2,MATCH(FU$29,SSAutCLM!$A$2:$A$500)+$A36-1,1)-1)</f>
        <v>-2.2482241729827601E-3</v>
      </c>
      <c r="FV36" s="9">
        <f ca="1">IF(OR(FV9="",FV$28&lt;$A36),"",FV9/OFFSET(SSAutCLM!$A$2,MATCH(FV$29,SSAutCLM!$A$2:$A$500)+$A36-1,1)-1)</f>
        <v>-1.2209768943372001E-3</v>
      </c>
      <c r="FW36" s="9">
        <f ca="1">IF(OR(FW9="",FW$28&lt;$A36),"",FW9/OFFSET(SSAutCLM!$A$2,MATCH(FW$29,SSAutCLM!$A$2:$A$500)+$A36-1,1)-1)</f>
        <v>4.6672819371702534E-3</v>
      </c>
      <c r="FX36" s="9">
        <f ca="1">IF(OR(FX9="",FX$28&lt;$A36),"",FX9/OFFSET(SSAutCLM!$A$2,MATCH(FX$29,SSAutCLM!$A$2:$A$500)+$A36-1,1)-1)</f>
        <v>7.9361934218433738E-3</v>
      </c>
      <c r="FY36" s="9">
        <f ca="1">IF(OR(FY9="",FY$28&lt;$A36),"",FY9/OFFSET(SSAutCLM!$A$2,MATCH(FY$29,SSAutCLM!$A$2:$A$500)+$A36-1,1)-1)</f>
        <v>6.1975498503190618E-3</v>
      </c>
      <c r="FZ36" s="9">
        <f ca="1">IF(OR(FZ9="",FZ$28&lt;$A36),"",FZ9/OFFSET(SSAutCLM!$A$2,MATCH(FZ$29,SSAutCLM!$A$2:$A$500)+$A36-1,1)-1)</f>
        <v>1.1937098691167103E-2</v>
      </c>
      <c r="GA36" s="9">
        <f ca="1">IF(OR(GA9="",GA$28&lt;$A36),"",GA9/OFFSET(SSAutCLM!$A$2,MATCH(GA$29,SSAutCLM!$A$2:$A$500)+$A36-1,1)-1)</f>
        <v>-3.110153408134142E-3</v>
      </c>
      <c r="GB36" s="9">
        <f ca="1">IF(OR(GB9="",GB$28&lt;$A36),"",GB9/OFFSET(SSAutCLM!$A$2,MATCH(GB$29,SSAutCLM!$A$2:$A$500)+$A36-1,1)-1)</f>
        <v>-3.7212728384407034E-3</v>
      </c>
      <c r="GC36" s="9">
        <f ca="1">IF(OR(GC9="",GC$28&lt;$A36),"",GC9/OFFSET(SSAutCLM!$A$2,MATCH(GC$29,SSAutCLM!$A$2:$A$500)+$A36-1,1)-1)</f>
        <v>-7.7007057729183703E-3</v>
      </c>
      <c r="GD36" s="9">
        <f ca="1">IF(OR(GD9="",GD$28&lt;$A36),"",GD9/OFFSET(SSAutCLM!$A$2,MATCH(GD$29,SSAutCLM!$A$2:$A$500)+$A36-1,1)-1)</f>
        <v>-8.6091515139031793E-3</v>
      </c>
      <c r="GE36" s="9">
        <f ca="1">IF(OR(GE9="",GE$28&lt;$A36),"",GE9/OFFSET(SSAutCLM!$A$2,MATCH(GE$29,SSAutCLM!$A$2:$A$500)+$A36-1,1)-1)</f>
        <v>-1.0298692134394494E-2</v>
      </c>
      <c r="GF36" s="9">
        <f ca="1">IF(OR(GF9="",GF$28&lt;$A36),"",GF9/OFFSET(SSAutCLM!$A$2,MATCH(GF$29,SSAutCLM!$A$2:$A$500)+$A36-1,1)-1)</f>
        <v>-2.5546461178441726E-3</v>
      </c>
      <c r="GG36" s="9">
        <f ca="1">IF(OR(GG9="",GG$28&lt;$A36),"",GG9/OFFSET(SSAutCLM!$A$2,MATCH(GG$29,SSAutCLM!$A$2:$A$500)+$A36-1,1)-1)</f>
        <v>-3.5092993698035979E-3</v>
      </c>
      <c r="GH36" s="9">
        <f ca="1">IF(OR(GH9="",GH$28&lt;$A36),"",GH9/OFFSET(SSAutCLM!$A$2,MATCH(GH$29,SSAutCLM!$A$2:$A$500)+$A36-1,1)-1)</f>
        <v>2.8143325349787585E-3</v>
      </c>
      <c r="GI36" s="9">
        <f ca="1">IF(OR(GI9="",GI$28&lt;$A36),"",GI9/OFFSET(SSAutCLM!$A$2,MATCH(GI$29,SSAutCLM!$A$2:$A$500)+$A36-1,1)-1)</f>
        <v>2.1233317113870998E-2</v>
      </c>
      <c r="GJ36" s="9">
        <f ca="1">IF(OR(GJ9="",GJ$28&lt;$A36),"",GJ9/OFFSET(SSAutCLM!$A$2,MATCH(GJ$29,SSAutCLM!$A$2:$A$500)+$A36-1,1)-1)</f>
        <v>2.0995811026593536E-2</v>
      </c>
      <c r="GK36" s="9">
        <f ca="1">IF(OR(GK9="",GK$28&lt;$A36),"",GK9/OFFSET(SSAutCLM!$A$2,MATCH(GK$29,SSAutCLM!$A$2:$A$500)+$A36-1,1)-1)</f>
        <v>1.7009869840060032E-2</v>
      </c>
      <c r="GL36" s="9">
        <f ca="1">IF(OR(GL9="",GL$28&lt;$A36),"",GL9/OFFSET(SSAutCLM!$A$2,MATCH(GL$29,SSAutCLM!$A$2:$A$500)+$A36-1,1)-1)</f>
        <v>1.9150042635093234E-2</v>
      </c>
      <c r="GM36" s="9">
        <f ca="1">IF(OR(GM9="",GM$28&lt;$A36),"",GM9/OFFSET(SSAutCLM!$A$2,MATCH(GM$29,SSAutCLM!$A$2:$A$500)+$A36-1,1)-1)</f>
        <v>8.7077353871656271E-3</v>
      </c>
      <c r="GN36" s="9">
        <f ca="1">IF(OR(GN9="",GN$28&lt;$A36),"",GN9/OFFSET(SSAutCLM!$A$2,MATCH(GN$29,SSAutCLM!$A$2:$A$500)+$A36-1,1)-1)</f>
        <v>1.3651651918797247E-2</v>
      </c>
      <c r="GO36" s="9">
        <f ca="1">IF(OR(GO9="",GO$28&lt;$A36),"",GO9/OFFSET(SSAutCLM!$A$2,MATCH(GO$29,SSAutCLM!$A$2:$A$500)+$A36-1,1)-1)</f>
        <v>-6.2755544813060116E-3</v>
      </c>
      <c r="GP36" s="9">
        <f ca="1">IF(OR(GP9="",GP$28&lt;$A36),"",GP9/OFFSET(SSAutCLM!$A$2,MATCH(GP$29,SSAutCLM!$A$2:$A$500)+$A36-1,1)-1)</f>
        <v>-4.3102058031792012E-2</v>
      </c>
      <c r="GQ36" s="9">
        <f ca="1">IF(OR(GQ9="",GQ$28&lt;$A36),"",GQ9/OFFSET(SSAutCLM!$A$2,MATCH(GQ$29,SSAutCLM!$A$2:$A$500)+$A36-1,1)-1)</f>
        <v>-3.1639929992150706E-2</v>
      </c>
      <c r="GR36" s="9">
        <f ca="1">IF(OR(GR9="",GR$28&lt;$A36),"",GR9/OFFSET(SSAutCLM!$A$2,MATCH(GR$29,SSAutCLM!$A$2:$A$500)+$A36-1,1)-1)</f>
        <v>-1.5154399180597466E-2</v>
      </c>
      <c r="GS36" s="9" t="str">
        <f ca="1">IF(OR(GS9="",GS$28&lt;$A36),"",GS9/OFFSET(SSAutCLM!$A$2,MATCH(GS$29,SSAutCLM!$A$2:$A$500)+$A36-1,1)-1)</f>
        <v/>
      </c>
      <c r="GT36" s="9" t="str">
        <f ca="1">IF(OR(GT9="",GT$28&lt;$A36),"",GT9/OFFSET(SSAutCLM!$A$2,MATCH(GT$29,SSAutCLM!$A$2:$A$500)+$A36-1,1)-1)</f>
        <v/>
      </c>
      <c r="GU36" s="9" t="str">
        <f ca="1">IF(OR(GU9="",GU$28&lt;$A36),"",GU9/OFFSET(SSAutCLM!$A$2,MATCH(GU$29,SSAutCLM!$A$2:$A$500)+$A36-1,1)-1)</f>
        <v/>
      </c>
      <c r="GV36" s="9" t="str">
        <f ca="1">IF(OR(GV9="",GV$28&lt;$A36),"",GV9/OFFSET(SSAutCLM!$A$2,MATCH(GV$29,SSAutCLM!$A$2:$A$500)+$A36-1,1)-1)</f>
        <v/>
      </c>
      <c r="GW36" s="9" t="str">
        <f ca="1">IF(OR(GW9="",GW$28&lt;$A36),"",GW9/OFFSET(SSAutCLM!$A$2,MATCH(GW$29,SSAutCLM!$A$2:$A$500)+$A36-1,1)-1)</f>
        <v/>
      </c>
      <c r="GX36" s="9" t="str">
        <f ca="1">IF(OR(GX9="",GX$28&lt;$A36),"",GX9/OFFSET(SSAutCLM!$A$2,MATCH(GX$29,SSAutCLM!$A$2:$A$500)+$A36-1,1)-1)</f>
        <v/>
      </c>
      <c r="GY36" s="9" t="str">
        <f ca="1">IF(OR(GY9="",GY$28&lt;$A36),"",GY9/OFFSET(SSAutCLM!$A$2,MATCH(GY$29,SSAutCLM!$A$2:$A$500)+$A36-1,1)-1)</f>
        <v/>
      </c>
      <c r="GZ36" s="9" t="str">
        <f ca="1">IF(OR(GZ9="",GZ$28&lt;$A36),"",GZ9/OFFSET(SSAutCLM!$A$2,MATCH(GZ$29,SSAutCLM!$A$2:$A$500)+$A36-1,1)-1)</f>
        <v/>
      </c>
      <c r="HA36" s="9" t="str">
        <f ca="1">IF(OR(HA9="",HA$28&lt;$A36),"",HA9/OFFSET(SSAutCLM!$A$2,MATCH(HA$29,SSAutCLM!$A$2:$A$500)+$A36-1,1)-1)</f>
        <v/>
      </c>
      <c r="HB36" s="9" t="str">
        <f ca="1">IF(OR(HB9="",HB$28&lt;$A36),"",HB9/OFFSET(SSAutCLM!$A$2,MATCH(HB$29,SSAutCLM!$A$2:$A$500)+$A36-1,1)-1)</f>
        <v/>
      </c>
      <c r="HC36" s="9" t="str">
        <f ca="1">IF(OR(HC9="",HC$28&lt;$A36),"",HC9/OFFSET(SSAutCLM!$A$2,MATCH(HC$29,SSAutCLM!$A$2:$A$500)+$A36-1,1)-1)</f>
        <v/>
      </c>
      <c r="HD36" s="9" t="str">
        <f ca="1">IF(OR(HD9="",HD$28&lt;$A36),"",HD9/OFFSET(SSAutCLM!$A$2,MATCH(HD$29,SSAutCLM!$A$2:$A$500)+$A36-1,1)-1)</f>
        <v/>
      </c>
      <c r="HE36" s="9" t="str">
        <f ca="1">IF(OR(HE9="",HE$28&lt;$A36),"",HE9/OFFSET(SSAutCLM!$A$2,MATCH(HE$29,SSAutCLM!$A$2:$A$500)+$A36-1,1)-1)</f>
        <v/>
      </c>
      <c r="HF36" s="9" t="str">
        <f ca="1">IF(OR(HF9="",HF$28&lt;$A36),"",HF9/OFFSET(SSAutCLM!$A$2,MATCH(HF$29,SSAutCLM!$A$2:$A$500)+$A36-1,1)-1)</f>
        <v/>
      </c>
      <c r="HG36" s="9" t="str">
        <f ca="1">IF(OR(HG9="",HG$28&lt;$A36),"",HG9/OFFSET(SSAutCLM!$A$2,MATCH(HG$29,SSAutCLM!$A$2:$A$500)+$A36-1,1)-1)</f>
        <v/>
      </c>
      <c r="HH36" s="9" t="str">
        <f ca="1">IF(OR(HH9="",HH$28&lt;$A36),"",HH9/OFFSET(SSAutCLM!$A$2,MATCH(HH$29,SSAutCLM!$A$2:$A$500)+$A36-1,1)-1)</f>
        <v/>
      </c>
      <c r="HI36" s="9" t="str">
        <f ca="1">IF(OR(HI9="",HI$28&lt;$A36),"",HI9/OFFSET(SSAutCLM!$A$2,MATCH(HI$29,SSAutCLM!$A$2:$A$500)+$A36-1,1)-1)</f>
        <v/>
      </c>
      <c r="HJ36" s="9" t="str">
        <f ca="1">IF(OR(HJ9="",HJ$28&lt;$A36),"",HJ9/OFFSET(SSAutCLM!$A$2,MATCH(HJ$29,SSAutCLM!$A$2:$A$500)+$A36-1,1)-1)</f>
        <v/>
      </c>
      <c r="HK36" s="9" t="str">
        <f ca="1">IF(OR(HK9="",HK$28&lt;$A36),"",HK9/OFFSET(SSAutCLM!$A$2,MATCH(HK$29,SSAutCLM!$A$2:$A$500)+$A36-1,1)-1)</f>
        <v/>
      </c>
      <c r="HL36" s="9" t="str">
        <f ca="1">IF(OR(HL9="",HL$28&lt;$A36),"",HL9/OFFSET(SSAutCLM!$A$2,MATCH(HL$29,SSAutCLM!$A$2:$A$500)+$A36-1,1)-1)</f>
        <v/>
      </c>
      <c r="HM36" s="9" t="str">
        <f ca="1">IF(OR(HM9="",HM$28&lt;$A36),"",HM9/OFFSET(SSAutCLM!$A$2,MATCH(HM$29,SSAutCLM!$A$2:$A$500)+$A36-1,1)-1)</f>
        <v/>
      </c>
      <c r="HN36" s="9" t="str">
        <f ca="1">IF(OR(HN9="",HN$28&lt;$A36),"",HN9/OFFSET(SSAutCLM!$A$2,MATCH(HN$29,SSAutCLM!$A$2:$A$500)+$A36-1,1)-1)</f>
        <v/>
      </c>
      <c r="HO36" s="9" t="str">
        <f ca="1">IF(OR(HO9="",HO$28&lt;$A36),"",HO9/OFFSET(SSAutCLM!$A$2,MATCH(HO$29,SSAutCLM!$A$2:$A$500)+$A36-1,1)-1)</f>
        <v/>
      </c>
      <c r="HP36" s="9" t="str">
        <f ca="1">IF(OR(HP9="",HP$28&lt;$A36),"",HP9/OFFSET(SSAutCLM!$A$2,MATCH(HP$29,SSAutCLM!$A$2:$A$500)+$A36-1,1)-1)</f>
        <v/>
      </c>
      <c r="HQ36" s="9" t="str">
        <f ca="1">IF(OR(HQ9="",HQ$28&lt;$A36),"",HQ9/OFFSET(SSAutCLM!$A$2,MATCH(HQ$29,SSAutCLM!$A$2:$A$500)+$A36-1,1)-1)</f>
        <v/>
      </c>
      <c r="HR36" s="9" t="str">
        <f ca="1">IF(OR(HR9="",HR$28&lt;$A36),"",HR9/OFFSET(SSAutCLM!$A$2,MATCH(HR$29,SSAutCLM!$A$2:$A$500)+$A36-1,1)-1)</f>
        <v/>
      </c>
      <c r="HS36" s="9" t="str">
        <f ca="1">IF(OR(HS9="",HS$28&lt;$A36),"",HS9/OFFSET(SSAutCLM!$A$2,MATCH(HS$29,SSAutCLM!$A$2:$A$500)+$A36-1,1)-1)</f>
        <v/>
      </c>
      <c r="HT36" s="9" t="str">
        <f ca="1">IF(OR(HT9="",HT$28&lt;$A36),"",HT9/OFFSET(SSAutCLM!$A$2,MATCH(HT$29,SSAutCLM!$A$2:$A$500)+$A36-1,1)-1)</f>
        <v/>
      </c>
      <c r="HU36" s="9" t="str">
        <f ca="1">IF(OR(HU9="",HU$28&lt;$A36),"",HU9/OFFSET(SSAutCLM!$A$2,MATCH(HU$29,SSAutCLM!$A$2:$A$500)+$A36-1,1)-1)</f>
        <v/>
      </c>
      <c r="HV36" s="9" t="str">
        <f ca="1">IF(OR(HV9="",HV$28&lt;$A36),"",HV9/OFFSET(SSAutCLM!$A$2,MATCH(HV$29,SSAutCLM!$A$2:$A$500)+$A36-1,1)-1)</f>
        <v/>
      </c>
      <c r="HW36" s="9" t="str">
        <f ca="1">IF(OR(HW9="",HW$28&lt;$A36),"",HW9/OFFSET(SSAutCLM!$A$2,MATCH(HW$29,SSAutCLM!$A$2:$A$500)+$A36-1,1)-1)</f>
        <v/>
      </c>
      <c r="HX36" s="9" t="str">
        <f ca="1">IF(OR(HX9="",HX$28&lt;$A36),"",HX9/OFFSET(SSAutCLM!$A$2,MATCH(HX$29,SSAutCLM!$A$2:$A$500)+$A36-1,1)-1)</f>
        <v/>
      </c>
      <c r="HY36" s="9" t="str">
        <f ca="1">IF(OR(HY9="",HY$28&lt;$A36),"",HY9/OFFSET(SSAutCLM!$A$2,MATCH(HY$29,SSAutCLM!$A$2:$A$500)+$A36-1,1)-1)</f>
        <v/>
      </c>
      <c r="HZ36" s="9" t="str">
        <f ca="1">IF(OR(HZ9="",HZ$28&lt;$A36),"",HZ9/OFFSET(SSAutCLM!$A$2,MATCH(HZ$29,SSAutCLM!$A$2:$A$500)+$A36-1,1)-1)</f>
        <v/>
      </c>
      <c r="IA36" s="9" t="str">
        <f ca="1">IF(OR(IA9="",IA$28&lt;$A36),"",IA9/OFFSET(SSAutCLM!$A$2,MATCH(IA$29,SSAutCLM!$A$2:$A$500)+$A36-1,1)-1)</f>
        <v/>
      </c>
      <c r="IB36" s="9" t="str">
        <f ca="1">IF(OR(IB9="",IB$28&lt;$A36),"",IB9/OFFSET(SSAutCLM!$A$2,MATCH(IB$29,SSAutCLM!$A$2:$A$500)+$A36-1,1)-1)</f>
        <v/>
      </c>
      <c r="IC36" s="9" t="str">
        <f ca="1">IF(OR(IC9="",IC$28&lt;$A36),"",IC9/OFFSET(SSAutCLM!$A$2,MATCH(IC$29,SSAutCLM!$A$2:$A$500)+$A36-1,1)-1)</f>
        <v/>
      </c>
      <c r="ID36" s="9" t="str">
        <f ca="1">IF(OR(ID9="",ID$28&lt;$A36),"",ID9/OFFSET(SSAutCLM!$A$2,MATCH(ID$29,SSAutCLM!$A$2:$A$500)+$A36-1,1)-1)</f>
        <v/>
      </c>
      <c r="IE36" s="9" t="str">
        <f ca="1">IF(OR(IE9="",IE$28&lt;$A36),"",IE9/OFFSET(SSAutCLM!$A$2,MATCH(IE$29,SSAutCLM!$A$2:$A$500)+$A36-1,1)-1)</f>
        <v/>
      </c>
      <c r="IF36" s="9" t="str">
        <f ca="1">IF(OR(IF9="",IF$28&lt;$A36),"",IF9/OFFSET(SSAutCLM!$A$2,MATCH(IF$29,SSAutCLM!$A$2:$A$500)+$A36-1,1)-1)</f>
        <v/>
      </c>
      <c r="IG36" s="9" t="str">
        <f ca="1">IF(OR(IG9="",IG$28&lt;$A36),"",IG9/OFFSET(SSAutCLM!$A$2,MATCH(IG$29,SSAutCLM!$A$2:$A$500)+$A36-1,1)-1)</f>
        <v/>
      </c>
      <c r="IH36" s="9" t="str">
        <f ca="1">IF(OR(IH9="",IH$28&lt;$A36),"",IH9/OFFSET(SSAutCLM!$A$2,MATCH(IH$29,SSAutCLM!$A$2:$A$500)+$A36-1,1)-1)</f>
        <v/>
      </c>
      <c r="II36" s="9" t="str">
        <f ca="1">IF(OR(II9="",II$28&lt;$A36),"",II9/OFFSET(SSAutCLM!$A$2,MATCH(II$29,SSAutCLM!$A$2:$A$500)+$A36-1,1)-1)</f>
        <v/>
      </c>
      <c r="IJ36" s="9" t="str">
        <f ca="1">IF(OR(IJ9="",IJ$28&lt;$A36),"",IJ9/OFFSET(SSAutCLM!$A$2,MATCH(IJ$29,SSAutCLM!$A$2:$A$500)+$A36-1,1)-1)</f>
        <v/>
      </c>
      <c r="IK36" s="9" t="str">
        <f ca="1">IF(OR(IK9="",IK$28&lt;$A36),"",IK9/OFFSET(SSAutCLM!$A$2,MATCH(IK$29,SSAutCLM!$A$2:$A$500)+$A36-1,1)-1)</f>
        <v/>
      </c>
      <c r="IL36" s="9" t="str">
        <f ca="1">IF(OR(IL9="",IL$28&lt;$A36),"",IL9/OFFSET(SSAutCLM!$A$2,MATCH(IL$29,SSAutCLM!$A$2:$A$500)+$A36-1,1)-1)</f>
        <v/>
      </c>
      <c r="IM36" s="9" t="str">
        <f ca="1">IF(OR(IM9="",IM$28&lt;$A36),"",IM9/OFFSET(SSAutCLM!$A$2,MATCH(IM$29,SSAutCLM!$A$2:$A$500)+$A36-1,1)-1)</f>
        <v/>
      </c>
      <c r="IN36" s="9" t="str">
        <f ca="1">IF(OR(IN9="",IN$28&lt;$A36),"",IN9/OFFSET(SSAutCLM!$A$2,MATCH(IN$29,SSAutCLM!$A$2:$A$500)+$A36-1,1)-1)</f>
        <v/>
      </c>
      <c r="IO36" s="9" t="str">
        <f ca="1">IF(OR(IO9="",IO$28&lt;$A36),"",IO9/OFFSET(SSAutCLM!$A$2,MATCH(IO$29,SSAutCLM!$A$2:$A$500)+$A36-1,1)-1)</f>
        <v/>
      </c>
      <c r="IP36" s="9" t="str">
        <f ca="1">IF(OR(IP9="",IP$28&lt;$A36),"",IP9/OFFSET(SSAutCLM!$A$2,MATCH(IP$29,SSAutCLM!$A$2:$A$500)+$A36-1,1)-1)</f>
        <v/>
      </c>
      <c r="IQ36" s="9" t="str">
        <f ca="1">IF(OR(IQ9="",IQ$28&lt;$A36),"",IQ9/OFFSET(SSAutCLM!$A$2,MATCH(IQ$29,SSAutCLM!$A$2:$A$500)+$A36-1,1)-1)</f>
        <v/>
      </c>
      <c r="IR36" s="9" t="str">
        <f ca="1">IF(OR(IR9="",IR$28&lt;$A36),"",IR9/OFFSET(SSAutCLM!$A$2,MATCH(IR$29,SSAutCLM!$A$2:$A$500)+$A36-1,1)-1)</f>
        <v/>
      </c>
      <c r="IS36" s="9" t="str">
        <f ca="1">IF(OR(IS9="",IS$28&lt;$A36),"",IS9/OFFSET(SSAutCLM!$A$2,MATCH(IS$29,SSAutCLM!$A$2:$A$500)+$A36-1,1)-1)</f>
        <v/>
      </c>
      <c r="IT36" s="9" t="str">
        <f ca="1">IF(OR(IT9="",IT$28&lt;$A36),"",IT9/OFFSET(SSAutCLM!$A$2,MATCH(IT$29,SSAutCLM!$A$2:$A$500)+$A36-1,1)-1)</f>
        <v/>
      </c>
      <c r="IU36" s="9" t="str">
        <f ca="1">IF(OR(IU9="",IU$28&lt;$A36),"",IU9/OFFSET(SSAutCLM!$A$2,MATCH(IU$29,SSAutCLM!$A$2:$A$500)+$A36-1,1)-1)</f>
        <v/>
      </c>
      <c r="IV36" s="9" t="str">
        <f ca="1">IF(OR(IV9="",IV$28&lt;$A36),"",IV9/OFFSET(SSAutCLM!$A$2,MATCH(IV$29,SSAutCLM!$A$2:$A$500)+$A36-1,1)-1)</f>
        <v/>
      </c>
      <c r="IW36" s="9" t="str">
        <f ca="1">IF(OR(IW9="",IW$28&lt;$A36),"",IW9/OFFSET(SSAutCLM!$A$2,MATCH(IW$29,SSAutCLM!$A$2:$A$500)+$A36-1,1)-1)</f>
        <v/>
      </c>
      <c r="IX36" s="9" t="str">
        <f ca="1">IF(OR(IX9="",IX$28&lt;$A36),"",IX9/OFFSET(SSAutCLM!$A$2,MATCH(IX$29,SSAutCLM!$A$2:$A$500)+$A36-1,1)-1)</f>
        <v/>
      </c>
      <c r="IY36" s="9" t="str">
        <f ca="1">IF(OR(IY9="",IY$28&lt;$A36),"",IY9/OFFSET(SSAutCLM!$A$2,MATCH(IY$29,SSAutCLM!$A$2:$A$500)+$A36-1,1)-1)</f>
        <v/>
      </c>
      <c r="IZ36" s="9" t="str">
        <f ca="1">IF(OR(IZ9="",IZ$28&lt;$A36),"",IZ9/OFFSET(SSAutCLM!$A$2,MATCH(IZ$29,SSAutCLM!$A$2:$A$500)+$A36-1,1)-1)</f>
        <v/>
      </c>
      <c r="JA36" s="9" t="str">
        <f ca="1">IF(OR(JA9="",JA$28&lt;$A36),"",JA9/OFFSET(SSAutCLM!$A$2,MATCH(JA$29,SSAutCLM!$A$2:$A$500)+$A36-1,1)-1)</f>
        <v/>
      </c>
      <c r="JB36" s="9" t="str">
        <f ca="1">IF(OR(JB9="",JB$28&lt;$A36),"",JB9/OFFSET(SSAutCLM!$A$2,MATCH(JB$29,SSAutCLM!$A$2:$A$500)+$A36-1,1)-1)</f>
        <v/>
      </c>
      <c r="JC36" s="9" t="str">
        <f ca="1">IF(OR(JC9="",JC$28&lt;$A36),"",JC9/OFFSET(SSAutCLM!$A$2,MATCH(JC$29,SSAutCLM!$A$2:$A$500)+$A36-1,1)-1)</f>
        <v/>
      </c>
      <c r="JD36" s="9" t="str">
        <f ca="1">IF(OR(JD9="",JD$28&lt;$A36),"",JD9/OFFSET(SSAutCLM!$A$2,MATCH(JD$29,SSAutCLM!$A$2:$A$500)+$A36-1,1)-1)</f>
        <v/>
      </c>
      <c r="JE36" s="9" t="str">
        <f ca="1">IF(OR(JE9="",JE$28&lt;$A36),"",JE9/OFFSET(SSAutCLM!$A$2,MATCH(JE$29,SSAutCLM!$A$2:$A$500)+$A36-1,1)-1)</f>
        <v/>
      </c>
      <c r="JF36" s="9" t="str">
        <f ca="1">IF(OR(JF9="",JF$28&lt;$A36),"",JF9/OFFSET(SSAutCLM!$A$2,MATCH(JF$29,SSAutCLM!$A$2:$A$500)+$A36-1,1)-1)</f>
        <v/>
      </c>
      <c r="JG36" s="9" t="str">
        <f ca="1">IF(OR(JG9="",JG$28&lt;$A36),"",JG9/OFFSET(SSAutCLM!$A$2,MATCH(JG$29,SSAutCLM!$A$2:$A$500)+$A36-1,1)-1)</f>
        <v/>
      </c>
      <c r="JH36" s="9" t="str">
        <f ca="1">IF(OR(JH9="",JH$28&lt;$A36),"",JH9/OFFSET(SSAutCLM!$A$2,MATCH(JH$29,SSAutCLM!$A$2:$A$500)+$A36-1,1)-1)</f>
        <v/>
      </c>
      <c r="JI36" s="13">
        <f t="shared" ca="1" si="13"/>
        <v>1.1179185081489332E-3</v>
      </c>
      <c r="JJ36" s="13">
        <f t="shared" ca="1" si="14"/>
        <v>2.3705896450340047E-3</v>
      </c>
      <c r="JK36" s="14">
        <f t="shared" ca="1" si="15"/>
        <v>1.9759282276943775E-4</v>
      </c>
      <c r="JL36" s="17">
        <f t="shared" ca="1" si="18"/>
        <v>1.4056771420544539E-2</v>
      </c>
      <c r="JM36" s="15" t="str">
        <f t="shared" ca="1" si="16"/>
        <v>[ -2,70% ; 2,92% ]</v>
      </c>
      <c r="JN36" s="17">
        <f t="shared" ca="1" si="17"/>
        <v>1.7992667418297012E-2</v>
      </c>
      <c r="LY36" s="1"/>
    </row>
    <row r="37" spans="1:337" x14ac:dyDescent="0.25">
      <c r="A37" s="4">
        <v>8</v>
      </c>
      <c r="B37" s="9">
        <f ca="1">IF(OR(B10="",B$28&lt;$A37),"",B10/OFFSET(SSAutCLM!$A$2,MATCH(B$29,SSAutCLM!$A$2:$A$500)+$A37-1,1)-1)</f>
        <v>-4.68982089739578E-3</v>
      </c>
      <c r="C37" s="9">
        <f ca="1">IF(OR(C10="",C$28&lt;$A37),"",C10/OFFSET(SSAutCLM!$A$2,MATCH(C$29,SSAutCLM!$A$2:$A$500)+$A37-1,1)-1)</f>
        <v>-1.3979913134212207E-3</v>
      </c>
      <c r="D37" s="9">
        <f ca="1">IF(OR(D10="",D$28&lt;$A37),"",D10/OFFSET(SSAutCLM!$A$2,MATCH(D$29,SSAutCLM!$A$2:$A$500)+$A37-1,1)-1)</f>
        <v>-3.8698501872650448E-3</v>
      </c>
      <c r="E37" s="9">
        <f ca="1">IF(OR(E10="",E$28&lt;$A37),"",E10/OFFSET(SSAutCLM!$A$2,MATCH(E$29,SSAutCLM!$A$2:$A$500)+$A37-1,1)-1)</f>
        <v>-2.666005008846617E-3</v>
      </c>
      <c r="F37" s="9">
        <f ca="1">IF(OR(F10="",F$28&lt;$A37),"",F10/OFFSET(SSAutCLM!$A$2,MATCH(F$29,SSAutCLM!$A$2:$A$500)+$A37-1,1)-1)</f>
        <v>-4.7631723396110992E-3</v>
      </c>
      <c r="G37" s="9">
        <f ca="1">IF(OR(G10="",G$28&lt;$A37),"",G10/OFFSET(SSAutCLM!$A$2,MATCH(G$29,SSAutCLM!$A$2:$A$500)+$A37-1,1)-1)</f>
        <v>-4.9645995771571139E-3</v>
      </c>
      <c r="H37" s="9">
        <f ca="1">IF(OR(H10="",H$28&lt;$A37),"",H10/OFFSET(SSAutCLM!$A$2,MATCH(H$29,SSAutCLM!$A$2:$A$500)+$A37-1,1)-1)</f>
        <v>-1.7708993652573168E-3</v>
      </c>
      <c r="I37" s="9">
        <f ca="1">IF(OR(I10="",I$28&lt;$A37),"",I10/OFFSET(SSAutCLM!$A$2,MATCH(I$29,SSAutCLM!$A$2:$A$500)+$A37-1,1)-1)</f>
        <v>-1.8210947262886634E-4</v>
      </c>
      <c r="J37" s="9">
        <f ca="1">IF(OR(J10="",J$28&lt;$A37),"",J10/OFFSET(SSAutCLM!$A$2,MATCH(J$29,SSAutCLM!$A$2:$A$500)+$A37-1,1)-1)</f>
        <v>3.9849027743588117E-4</v>
      </c>
      <c r="K37" s="9">
        <f ca="1">IF(OR(K10="",K$28&lt;$A37),"",K10/OFFSET(SSAutCLM!$A$2,MATCH(K$29,SSAutCLM!$A$2:$A$500)+$A37-1,1)-1)</f>
        <v>2.2132976609423594E-3</v>
      </c>
      <c r="L37" s="9">
        <f ca="1">IF(OR(L10="",L$28&lt;$A37),"",L10/OFFSET(SSAutCLM!$A$2,MATCH(L$29,SSAutCLM!$A$2:$A$500)+$A37-1,1)-1)</f>
        <v>1.1580226349026113E-3</v>
      </c>
      <c r="M37" s="9">
        <f ca="1">IF(OR(M10="",M$28&lt;$A37),"",M10/OFFSET(SSAutCLM!$A$2,MATCH(M$29,SSAutCLM!$A$2:$A$500)+$A37-1,1)-1)</f>
        <v>1.1997050130092557E-3</v>
      </c>
      <c r="N37" s="9">
        <f ca="1">IF(OR(N10="",N$28&lt;$A37),"",N10/OFFSET(SSAutCLM!$A$2,MATCH(N$29,SSAutCLM!$A$2:$A$500)+$A37-1,1)-1)</f>
        <v>4.3124272486134707E-3</v>
      </c>
      <c r="O37" s="9">
        <f ca="1">IF(OR(O10="",O$28&lt;$A37),"",O10/OFFSET(SSAutCLM!$A$2,MATCH(O$29,SSAutCLM!$A$2:$A$500)+$A37-1,1)-1)</f>
        <v>8.9199111173470236E-3</v>
      </c>
      <c r="P37" s="9">
        <f ca="1">IF(OR(P10="",P$28&lt;$A37),"",P10/OFFSET(SSAutCLM!$A$2,MATCH(P$29,SSAutCLM!$A$2:$A$500)+$A37-1,1)-1)</f>
        <v>9.155706518380935E-3</v>
      </c>
      <c r="Q37" s="9">
        <f ca="1">IF(OR(Q10="",Q$28&lt;$A37),"",Q10/OFFSET(SSAutCLM!$A$2,MATCH(Q$29,SSAutCLM!$A$2:$A$500)+$A37-1,1)-1)</f>
        <v>8.0776972668104019E-3</v>
      </c>
      <c r="R37" s="9">
        <f ca="1">IF(OR(R10="",R$28&lt;$A37),"",R10/OFFSET(SSAutCLM!$A$2,MATCH(R$29,SSAutCLM!$A$2:$A$500)+$A37-1,1)-1)</f>
        <v>5.8110977868053304E-3</v>
      </c>
      <c r="S37" s="9">
        <f ca="1">IF(OR(S10="",S$28&lt;$A37),"",S10/OFFSET(SSAutCLM!$A$2,MATCH(S$29,SSAutCLM!$A$2:$A$500)+$A37-1,1)-1)</f>
        <v>2.1456744105883274E-3</v>
      </c>
      <c r="T37" s="9">
        <f ca="1">IF(OR(T10="",T$28&lt;$A37),"",T10/OFFSET(SSAutCLM!$A$2,MATCH(T$29,SSAutCLM!$A$2:$A$500)+$A37-1,1)-1)</f>
        <v>7.4882063592807135E-4</v>
      </c>
      <c r="U37" s="9">
        <f ca="1">IF(OR(U10="",U$28&lt;$A37),"",U10/OFFSET(SSAutCLM!$A$2,MATCH(U$29,SSAutCLM!$A$2:$A$500)+$A37-1,1)-1)</f>
        <v>4.7308051314765009E-4</v>
      </c>
      <c r="V37" s="9">
        <f ca="1">IF(OR(V10="",V$28&lt;$A37),"",V10/OFFSET(SSAutCLM!$A$2,MATCH(V$29,SSAutCLM!$A$2:$A$500)+$A37-1,1)-1)</f>
        <v>-6.0454308784052557E-4</v>
      </c>
      <c r="W37" s="9">
        <f ca="1">IF(OR(W10="",W$28&lt;$A37),"",W10/OFFSET(SSAutCLM!$A$2,MATCH(W$29,SSAutCLM!$A$2:$A$500)+$A37-1,1)-1)</f>
        <v>-1.3011089600243331E-3</v>
      </c>
      <c r="X37" s="9">
        <f ca="1">IF(OR(X10="",X$28&lt;$A37),"",X10/OFFSET(SSAutCLM!$A$2,MATCH(X$29,SSAutCLM!$A$2:$A$500)+$A37-1,1)-1)</f>
        <v>-1.5356428811242884E-3</v>
      </c>
      <c r="Y37" s="9">
        <f ca="1">IF(OR(Y10="",Y$28&lt;$A37),"",Y10/OFFSET(SSAutCLM!$A$2,MATCH(Y$29,SSAutCLM!$A$2:$A$500)+$A37-1,1)-1)</f>
        <v>-4.6869428294681326E-3</v>
      </c>
      <c r="Z37" s="9">
        <f ca="1">IF(OR(Z10="",Z$28&lt;$A37),"",Z10/OFFSET(SSAutCLM!$A$2,MATCH(Z$29,SSAutCLM!$A$2:$A$500)+$A37-1,1)-1)</f>
        <v>-2.5698670372774624E-3</v>
      </c>
      <c r="AA37" s="9">
        <f ca="1">IF(OR(AA10="",AA$28&lt;$A37),"",AA10/OFFSET(SSAutCLM!$A$2,MATCH(AA$29,SSAutCLM!$A$2:$A$500)+$A37-1,1)-1)</f>
        <v>-9.819727654604149E-4</v>
      </c>
      <c r="AB37" s="9">
        <f ca="1">IF(OR(AB10="",AB$28&lt;$A37),"",AB10/OFFSET(SSAutCLM!$A$2,MATCH(AB$29,SSAutCLM!$A$2:$A$500)+$A37-1,1)-1)</f>
        <v>8.6596023177953896E-5</v>
      </c>
      <c r="AC37" s="9">
        <f ca="1">IF(OR(AC10="",AC$28&lt;$A37),"",AC10/OFFSET(SSAutCLM!$A$2,MATCH(AC$29,SSAutCLM!$A$2:$A$500)+$A37-1,1)-1)</f>
        <v>-1.8788425501489181E-3</v>
      </c>
      <c r="AD37" s="9">
        <f ca="1">IF(OR(AD10="",AD$28&lt;$A37),"",AD10/OFFSET(SSAutCLM!$A$2,MATCH(AD$29,SSAutCLM!$A$2:$A$500)+$A37-1,1)-1)</f>
        <v>-3.4847106260073035E-3</v>
      </c>
      <c r="AE37" s="9">
        <f ca="1">IF(OR(AE10="",AE$28&lt;$A37),"",AE10/OFFSET(SSAutCLM!$A$2,MATCH(AE$29,SSAutCLM!$A$2:$A$500)+$A37-1,1)-1)</f>
        <v>-3.8048592674165826E-3</v>
      </c>
      <c r="AF37" s="9">
        <f ca="1">IF(OR(AF10="",AF$28&lt;$A37),"",AF10/OFFSET(SSAutCLM!$A$2,MATCH(AF$29,SSAutCLM!$A$2:$A$500)+$A37-1,1)-1)</f>
        <v>-6.1808708582268279E-3</v>
      </c>
      <c r="AG37" s="9">
        <f ca="1">IF(OR(AG10="",AG$28&lt;$A37),"",AG10/OFFSET(SSAutCLM!$A$2,MATCH(AG$29,SSAutCLM!$A$2:$A$500)+$A37-1,1)-1)</f>
        <v>-7.5958021430116984E-3</v>
      </c>
      <c r="AH37" s="9">
        <f ca="1">IF(OR(AH10="",AH$28&lt;$A37),"",AH10/OFFSET(SSAutCLM!$A$2,MATCH(AH$29,SSAutCLM!$A$2:$A$500)+$A37-1,1)-1)</f>
        <v>-1.0225909263620658E-2</v>
      </c>
      <c r="AI37" s="9">
        <f ca="1">IF(OR(AI10="",AI$28&lt;$A37),"",AI10/OFFSET(SSAutCLM!$A$2,MATCH(AI$29,SSAutCLM!$A$2:$A$500)+$A37-1,1)-1)</f>
        <v>-1.028051940677488E-2</v>
      </c>
      <c r="AJ37" s="9">
        <f ca="1">IF(OR(AJ10="",AJ$28&lt;$A37),"",AJ10/OFFSET(SSAutCLM!$A$2,MATCH(AJ$29,SSAutCLM!$A$2:$A$500)+$A37-1,1)-1)</f>
        <v>-1.1239394119454738E-2</v>
      </c>
      <c r="AK37" s="9">
        <f ca="1">IF(OR(AK10="",AK$28&lt;$A37),"",AK10/OFFSET(SSAutCLM!$A$2,MATCH(AK$29,SSAutCLM!$A$2:$A$500)+$A37-1,1)-1)</f>
        <v>-1.1945502692075727E-2</v>
      </c>
      <c r="AL37" s="9">
        <f ca="1">IF(OR(AL10="",AL$28&lt;$A37),"",AL10/OFFSET(SSAutCLM!$A$2,MATCH(AL$29,SSAutCLM!$A$2:$A$500)+$A37-1,1)-1)</f>
        <v>-1.0236529374831882E-2</v>
      </c>
      <c r="AM37" s="9">
        <f ca="1">IF(OR(AM10="",AM$28&lt;$A37),"",AM10/OFFSET(SSAutCLM!$A$2,MATCH(AM$29,SSAutCLM!$A$2:$A$500)+$A37-1,1)-1)</f>
        <v>-1.0898862012670318E-2</v>
      </c>
      <c r="AN37" s="9">
        <f ca="1">IF(OR(AN10="",AN$28&lt;$A37),"",AN10/OFFSET(SSAutCLM!$A$2,MATCH(AN$29,SSAutCLM!$A$2:$A$500)+$A37-1,1)-1)</f>
        <v>-7.5902583727359696E-3</v>
      </c>
      <c r="AO37" s="9">
        <f ca="1">IF(OR(AO10="",AO$28&lt;$A37),"",AO10/OFFSET(SSAutCLM!$A$2,MATCH(AO$29,SSAutCLM!$A$2:$A$500)+$A37-1,1)-1)</f>
        <v>-3.4202603741654292E-3</v>
      </c>
      <c r="AP37" s="9">
        <f ca="1">IF(OR(AP10="",AP$28&lt;$A37),"",AP10/OFFSET(SSAutCLM!$A$2,MATCH(AP$29,SSAutCLM!$A$2:$A$500)+$A37-1,1)-1)</f>
        <v>-3.164606777063983E-3</v>
      </c>
      <c r="AQ37" s="9">
        <f ca="1">IF(OR(AQ10="",AQ$28&lt;$A37),"",AQ10/OFFSET(SSAutCLM!$A$2,MATCH(AQ$29,SSAutCLM!$A$2:$A$500)+$A37-1,1)-1)</f>
        <v>-1.4470956068748375E-3</v>
      </c>
      <c r="AR37" s="9">
        <f ca="1">IF(OR(AR10="",AR$28&lt;$A37),"",AR10/OFFSET(SSAutCLM!$A$2,MATCH(AR$29,SSAutCLM!$A$2:$A$500)+$A37-1,1)-1)</f>
        <v>5.7938342991052938E-3</v>
      </c>
      <c r="AS37" s="9">
        <f ca="1">IF(OR(AS10="",AS$28&lt;$A37),"",AS10/OFFSET(SSAutCLM!$A$2,MATCH(AS$29,SSAutCLM!$A$2:$A$500)+$A37-1,1)-1)</f>
        <v>1.1836111496292379E-2</v>
      </c>
      <c r="AT37" s="9">
        <f ca="1">IF(OR(AT10="",AT$28&lt;$A37),"",AT10/OFFSET(SSAutCLM!$A$2,MATCH(AT$29,SSAutCLM!$A$2:$A$500)+$A37-1,1)-1)</f>
        <v>1.8237385714183318E-2</v>
      </c>
      <c r="AU37" s="9">
        <f ca="1">IF(OR(AU10="",AU$28&lt;$A37),"",AU10/OFFSET(SSAutCLM!$A$2,MATCH(AU$29,SSAutCLM!$A$2:$A$500)+$A37-1,1)-1)</f>
        <v>2.5267153220609462E-2</v>
      </c>
      <c r="AV37" s="9">
        <f ca="1">IF(OR(AV10="",AV$28&lt;$A37),"",AV10/OFFSET(SSAutCLM!$A$2,MATCH(AV$29,SSAutCLM!$A$2:$A$500)+$A37-1,1)-1)</f>
        <v>3.4141580324065224E-2</v>
      </c>
      <c r="AW37" s="9">
        <f ca="1">IF(OR(AW10="",AW$28&lt;$A37),"",AW10/OFFSET(SSAutCLM!$A$2,MATCH(AW$29,SSAutCLM!$A$2:$A$500)+$A37-1,1)-1)</f>
        <v>4.0584361371184929E-2</v>
      </c>
      <c r="AX37" s="9">
        <f ca="1">IF(OR(AX10="",AX$28&lt;$A37),"",AX10/OFFSET(SSAutCLM!$A$2,MATCH(AX$29,SSAutCLM!$A$2:$A$500)+$A37-1,1)-1)</f>
        <v>4.1309914520098578E-2</v>
      </c>
      <c r="AY37" s="9">
        <f ca="1">IF(OR(AY10="",AY$28&lt;$A37),"",AY10/OFFSET(SSAutCLM!$A$2,MATCH(AY$29,SSAutCLM!$A$2:$A$500)+$A37-1,1)-1)</f>
        <v>4.0134825624930315E-2</v>
      </c>
      <c r="AZ37" s="9">
        <f ca="1">IF(OR(AZ10="",AZ$28&lt;$A37),"",AZ10/OFFSET(SSAutCLM!$A$2,MATCH(AZ$29,SSAutCLM!$A$2:$A$500)+$A37-1,1)-1)</f>
        <v>3.9527710121051829E-2</v>
      </c>
      <c r="BA37" s="9">
        <f ca="1">IF(OR(BA10="",BA$28&lt;$A37),"",BA10/OFFSET(SSAutCLM!$A$2,MATCH(BA$29,SSAutCLM!$A$2:$A$500)+$A37-1,1)-1)</f>
        <v>4.4440267813256273E-2</v>
      </c>
      <c r="BB37" s="9">
        <f ca="1">IF(OR(BB10="",BB$28&lt;$A37),"",BB10/OFFSET(SSAutCLM!$A$2,MATCH(BB$29,SSAutCLM!$A$2:$A$500)+$A37-1,1)-1)</f>
        <v>3.9115989705194476E-2</v>
      </c>
      <c r="BC37" s="9">
        <f ca="1">IF(OR(BC10="",BC$28&lt;$A37),"",BC10/OFFSET(SSAutCLM!$A$2,MATCH(BC$29,SSAutCLM!$A$2:$A$500)+$A37-1,1)-1)</f>
        <v>2.4829431852510186E-2</v>
      </c>
      <c r="BD37" s="9">
        <f ca="1">IF(OR(BD10="",BD$28&lt;$A37),"",BD10/OFFSET(SSAutCLM!$A$2,MATCH(BD$29,SSAutCLM!$A$2:$A$500)+$A37-1,1)-1)</f>
        <v>3.3074906068010224E-2</v>
      </c>
      <c r="BE37" s="9">
        <f ca="1">IF(OR(BE10="",BE$28&lt;$A37),"",BE10/OFFSET(SSAutCLM!$A$2,MATCH(BE$29,SSAutCLM!$A$2:$A$500)+$A37-1,1)-1)</f>
        <v>3.6307000284156787E-2</v>
      </c>
      <c r="BF37" s="9">
        <f ca="1">IF(OR(BF10="",BF$28&lt;$A37),"",BF10/OFFSET(SSAutCLM!$A$2,MATCH(BF$29,SSAutCLM!$A$2:$A$500)+$A37-1,1)-1)</f>
        <v>3.7071693162358255E-2</v>
      </c>
      <c r="BG37" s="9">
        <f ca="1">IF(OR(BG10="",BG$28&lt;$A37),"",BG10/OFFSET(SSAutCLM!$A$2,MATCH(BG$29,SSAutCLM!$A$2:$A$500)+$A37-1,1)-1)</f>
        <v>3.7724475899943322E-2</v>
      </c>
      <c r="BH37" s="9">
        <f ca="1">IF(OR(BH10="",BH$28&lt;$A37),"",BH10/OFFSET(SSAutCLM!$A$2,MATCH(BH$29,SSAutCLM!$A$2:$A$500)+$A37-1,1)-1)</f>
        <v>2.3484749972068508E-2</v>
      </c>
      <c r="BI37" s="9">
        <f ca="1">IF(OR(BI10="",BI$28&lt;$A37),"",BI10/OFFSET(SSAutCLM!$A$2,MATCH(BI$29,SSAutCLM!$A$2:$A$500)+$A37-1,1)-1)</f>
        <v>1.1805822456309789E-2</v>
      </c>
      <c r="BJ37" s="9">
        <f ca="1">IF(OR(BJ10="",BJ$28&lt;$A37),"",BJ10/OFFSET(SSAutCLM!$A$2,MATCH(BJ$29,SSAutCLM!$A$2:$A$500)+$A37-1,1)-1)</f>
        <v>-7.7320813367403041E-3</v>
      </c>
      <c r="BK37" s="9">
        <f ca="1">IF(OR(BK10="",BK$28&lt;$A37),"",BK10/OFFSET(SSAutCLM!$A$2,MATCH(BK$29,SSAutCLM!$A$2:$A$500)+$A37-1,1)-1)</f>
        <v>-1.4516073975604171E-2</v>
      </c>
      <c r="BL37" s="9">
        <f ca="1">IF(OR(BL10="",BL$28&lt;$A37),"",BL10/OFFSET(SSAutCLM!$A$2,MATCH(BL$29,SSAutCLM!$A$2:$A$500)+$A37-1,1)-1)</f>
        <v>-2.9132860580671549E-2</v>
      </c>
      <c r="BM37" s="9">
        <f ca="1">IF(OR(BM10="",BM$28&lt;$A37),"",BM10/OFFSET(SSAutCLM!$A$2,MATCH(BM$29,SSAutCLM!$A$2:$A$500)+$A37-1,1)-1)</f>
        <v>-4.0385240764762464E-2</v>
      </c>
      <c r="BN37" s="9">
        <f ca="1">IF(OR(BN10="",BN$28&lt;$A37),"",BN10/OFFSET(SSAutCLM!$A$2,MATCH(BN$29,SSAutCLM!$A$2:$A$500)+$A37-1,1)-1)</f>
        <v>-4.5134114085502164E-2</v>
      </c>
      <c r="BO37" s="9">
        <f ca="1">IF(OR(BO10="",BO$28&lt;$A37),"",BO10/OFFSET(SSAutCLM!$A$2,MATCH(BO$29,SSAutCLM!$A$2:$A$500)+$A37-1,1)-1)</f>
        <v>-3.1350511182640317E-2</v>
      </c>
      <c r="BP37" s="9">
        <f ca="1">IF(OR(BP10="",BP$28&lt;$A37),"",BP10/OFFSET(SSAutCLM!$A$2,MATCH(BP$29,SSAutCLM!$A$2:$A$500)+$A37-1,1)-1)</f>
        <v>-1.2788184031736538E-2</v>
      </c>
      <c r="BQ37" s="9">
        <f ca="1">IF(OR(BQ10="",BQ$28&lt;$A37),"",BQ10/OFFSET(SSAutCLM!$A$2,MATCH(BQ$29,SSAutCLM!$A$2:$A$500)+$A37-1,1)-1)</f>
        <v>-1.2961894038260979E-2</v>
      </c>
      <c r="BR37" s="9">
        <f ca="1">IF(OR(BR10="",BR$28&lt;$A37),"",BR10/OFFSET(SSAutCLM!$A$2,MATCH(BR$29,SSAutCLM!$A$2:$A$500)+$A37-1,1)-1)</f>
        <v>-1.5584568140000643E-2</v>
      </c>
      <c r="BS37" s="9">
        <f ca="1">IF(OR(BS10="",BS$28&lt;$A37),"",BS10/OFFSET(SSAutCLM!$A$2,MATCH(BS$29,SSAutCLM!$A$2:$A$500)+$A37-1,1)-1)</f>
        <v>-2.0557544839152175E-2</v>
      </c>
      <c r="BT37" s="9">
        <f ca="1">IF(OR(BT10="",BT$28&lt;$A37),"",BT10/OFFSET(SSAutCLM!$A$2,MATCH(BT$29,SSAutCLM!$A$2:$A$500)+$A37-1,1)-1)</f>
        <v>-2.9293487026321841E-2</v>
      </c>
      <c r="BU37" s="9">
        <f ca="1">IF(OR(BU10="",BU$28&lt;$A37),"",BU10/OFFSET(SSAutCLM!$A$2,MATCH(BU$29,SSAutCLM!$A$2:$A$500)+$A37-1,1)-1)</f>
        <v>-1.9543503327650757E-2</v>
      </c>
      <c r="BV37" s="9">
        <f ca="1">IF(OR(BV10="",BV$28&lt;$A37),"",BV10/OFFSET(SSAutCLM!$A$2,MATCH(BV$29,SSAutCLM!$A$2:$A$500)+$A37-1,1)-1)</f>
        <v>-6.576282559882074E-3</v>
      </c>
      <c r="BW37" s="9">
        <f ca="1">IF(OR(BW10="",BW$28&lt;$A37),"",BW10/OFFSET(SSAutCLM!$A$2,MATCH(BW$29,SSAutCLM!$A$2:$A$500)+$A37-1,1)-1)</f>
        <v>-9.7847777740115438E-3</v>
      </c>
      <c r="BX37" s="9">
        <f ca="1">IF(OR(BX10="",BX$28&lt;$A37),"",BX10/OFFSET(SSAutCLM!$A$2,MATCH(BX$29,SSAutCLM!$A$2:$A$500)+$A37-1,1)-1)</f>
        <v>-2.0104351096091655E-2</v>
      </c>
      <c r="BY37" s="9">
        <f ca="1">IF(OR(BY10="",BY$28&lt;$A37),"",BY10/OFFSET(SSAutCLM!$A$2,MATCH(BY$29,SSAutCLM!$A$2:$A$500)+$A37-1,1)-1)</f>
        <v>-9.1762245167033019E-3</v>
      </c>
      <c r="BZ37" s="9">
        <f ca="1">IF(OR(BZ10="",BZ$28&lt;$A37),"",BZ10/OFFSET(SSAutCLM!$A$2,MATCH(BZ$29,SSAutCLM!$A$2:$A$500)+$A37-1,1)-1)</f>
        <v>7.4658040888211374E-3</v>
      </c>
      <c r="CA37" s="9">
        <f ca="1">IF(OR(CA10="",CA$28&lt;$A37),"",CA10/OFFSET(SSAutCLM!$A$2,MATCH(CA$29,SSAutCLM!$A$2:$A$500)+$A37-1,1)-1)</f>
        <v>1.554384587529789E-2</v>
      </c>
      <c r="CB37" s="9">
        <f ca="1">IF(OR(CB10="",CB$28&lt;$A37),"",CB10/OFFSET(SSAutCLM!$A$2,MATCH(CB$29,SSAutCLM!$A$2:$A$500)+$A37-1,1)-1)</f>
        <v>1.814781082663508E-2</v>
      </c>
      <c r="CC37" s="9">
        <f ca="1">IF(OR(CC10="",CC$28&lt;$A37),"",CC10/OFFSET(SSAutCLM!$A$2,MATCH(CC$29,SSAutCLM!$A$2:$A$500)+$A37-1,1)-1)</f>
        <v>8.6496578610204544E-3</v>
      </c>
      <c r="CD37" s="9">
        <f ca="1">IF(OR(CD10="",CD$28&lt;$A37),"",CD10/OFFSET(SSAutCLM!$A$2,MATCH(CD$29,SSAutCLM!$A$2:$A$500)+$A37-1,1)-1)</f>
        <v>-3.2653353721934231E-4</v>
      </c>
      <c r="CE37" s="9">
        <f ca="1">IF(OR(CE10="",CE$28&lt;$A37),"",CE10/OFFSET(SSAutCLM!$A$2,MATCH(CE$29,SSAutCLM!$A$2:$A$500)+$A37-1,1)-1)</f>
        <v>-3.8052008176029384E-3</v>
      </c>
      <c r="CF37" s="9">
        <f ca="1">IF(OR(CF10="",CF$28&lt;$A37),"",CF10/OFFSET(SSAutCLM!$A$2,MATCH(CF$29,SSAutCLM!$A$2:$A$500)+$A37-1,1)-1)</f>
        <v>-1.935853316202385E-3</v>
      </c>
      <c r="CG37" s="9">
        <f ca="1">IF(OR(CG10="",CG$28&lt;$A37),"",CG10/OFFSET(SSAutCLM!$A$2,MATCH(CG$29,SSAutCLM!$A$2:$A$500)+$A37-1,1)-1)</f>
        <v>-5.8121547133531681E-3</v>
      </c>
      <c r="CH37" s="9">
        <f ca="1">IF(OR(CH10="",CH$28&lt;$A37),"",CH10/OFFSET(SSAutCLM!$A$2,MATCH(CH$29,SSAutCLM!$A$2:$A$500)+$A37-1,1)-1)</f>
        <v>-8.2197920254831747E-3</v>
      </c>
      <c r="CI37" s="9">
        <f ca="1">IF(OR(CI10="",CI$28&lt;$A37),"",CI10/OFFSET(SSAutCLM!$A$2,MATCH(CI$29,SSAutCLM!$A$2:$A$500)+$A37-1,1)-1)</f>
        <v>-2.1468995491111809E-3</v>
      </c>
      <c r="CJ37" s="9">
        <f ca="1">IF(OR(CJ10="",CJ$28&lt;$A37),"",CJ10/OFFSET(SSAutCLM!$A$2,MATCH(CJ$29,SSAutCLM!$A$2:$A$500)+$A37-1,1)-1)</f>
        <v>-1.3311791991095334E-2</v>
      </c>
      <c r="CK37" s="9">
        <f ca="1">IF(OR(CK10="",CK$28&lt;$A37),"",CK10/OFFSET(SSAutCLM!$A$2,MATCH(CK$29,SSAutCLM!$A$2:$A$500)+$A37-1,1)-1)</f>
        <v>7.5070086046877815E-3</v>
      </c>
      <c r="CL37" s="9">
        <f ca="1">IF(OR(CL10="",CL$28&lt;$A37),"",CL10/OFFSET(SSAutCLM!$A$2,MATCH(CL$29,SSAutCLM!$A$2:$A$500)+$A37-1,1)-1)</f>
        <v>1.2378325555944203E-2</v>
      </c>
      <c r="CM37" s="9">
        <f ca="1">IF(OR(CM10="",CM$28&lt;$A37),"",CM10/OFFSET(SSAutCLM!$A$2,MATCH(CM$29,SSAutCLM!$A$2:$A$500)+$A37-1,1)-1)</f>
        <v>3.0656603844320118E-2</v>
      </c>
      <c r="CN37" s="9">
        <f ca="1">IF(OR(CN10="",CN$28&lt;$A37),"",CN10/OFFSET(SSAutCLM!$A$2,MATCH(CN$29,SSAutCLM!$A$2:$A$500)+$A37-1,1)-1)</f>
        <v>2.1173761370482769E-2</v>
      </c>
      <c r="CO37" s="9">
        <f ca="1">IF(OR(CO10="",CO$28&lt;$A37),"",CO10/OFFSET(SSAutCLM!$A$2,MATCH(CO$29,SSAutCLM!$A$2:$A$500)+$A37-1,1)-1)</f>
        <v>1.0550502864446587E-2</v>
      </c>
      <c r="CP37" s="9">
        <f ca="1">IF(OR(CP10="",CP$28&lt;$A37),"",CP10/OFFSET(SSAutCLM!$A$2,MATCH(CP$29,SSAutCLM!$A$2:$A$500)+$A37-1,1)-1)</f>
        <v>7.4701089632078777E-4</v>
      </c>
      <c r="CQ37" s="9">
        <f ca="1">IF(OR(CQ10="",CQ$28&lt;$A37),"",CQ10/OFFSET(SSAutCLM!$A$2,MATCH(CQ$29,SSAutCLM!$A$2:$A$500)+$A37-1,1)-1)</f>
        <v>5.6285921727128319E-3</v>
      </c>
      <c r="CR37" s="9">
        <f ca="1">IF(OR(CR10="",CR$28&lt;$A37),"",CR10/OFFSET(SSAutCLM!$A$2,MATCH(CR$29,SSAutCLM!$A$2:$A$500)+$A37-1,1)-1)</f>
        <v>2.013304713567976E-3</v>
      </c>
      <c r="CS37" s="9">
        <f ca="1">IF(OR(CS10="",CS$28&lt;$A37),"",CS10/OFFSET(SSAutCLM!$A$2,MATCH(CS$29,SSAutCLM!$A$2:$A$500)+$A37-1,1)-1)</f>
        <v>-2.573217310158582E-3</v>
      </c>
      <c r="CT37" s="9">
        <f ca="1">IF(OR(CT10="",CT$28&lt;$A37),"",CT10/OFFSET(SSAutCLM!$A$2,MATCH(CT$29,SSAutCLM!$A$2:$A$500)+$A37-1,1)-1)</f>
        <v>-5.9195322816407714E-3</v>
      </c>
      <c r="CU37" s="9">
        <f ca="1">IF(OR(CU10="",CU$28&lt;$A37),"",CU10/OFFSET(SSAutCLM!$A$2,MATCH(CU$29,SSAutCLM!$A$2:$A$500)+$A37-1,1)-1)</f>
        <v>-3.6396649460070374E-2</v>
      </c>
      <c r="CV37" s="9">
        <f ca="1">IF(OR(CV10="",CV$28&lt;$A37),"",CV10/OFFSET(SSAutCLM!$A$2,MATCH(CV$29,SSAutCLM!$A$2:$A$500)+$A37-1,1)-1)</f>
        <v>-9.424655952520844E-3</v>
      </c>
      <c r="CW37" s="9">
        <f ca="1">IF(OR(CW10="",CW$28&lt;$A37),"",CW10/OFFSET(SSAutCLM!$A$2,MATCH(CW$29,SSAutCLM!$A$2:$A$500)+$A37-1,1)-1)</f>
        <v>-5.4223707971590152E-5</v>
      </c>
      <c r="CX37" s="9">
        <f ca="1">IF(OR(CX10="",CX$28&lt;$A37),"",CX10/OFFSET(SSAutCLM!$A$2,MATCH(CX$29,SSAutCLM!$A$2:$A$500)+$A37-1,1)-1)</f>
        <v>4.2798850832546087E-3</v>
      </c>
      <c r="CY37" s="9">
        <f ca="1">IF(OR(CY10="",CY$28&lt;$A37),"",CY10/OFFSET(SSAutCLM!$A$2,MATCH(CY$29,SSAutCLM!$A$2:$A$500)+$A37-1,1)-1)</f>
        <v>2.6976636030873191E-3</v>
      </c>
      <c r="CZ37" s="9">
        <f ca="1">IF(OR(CZ10="",CZ$28&lt;$A37),"",CZ10/OFFSET(SSAutCLM!$A$2,MATCH(CZ$29,SSAutCLM!$A$2:$A$500)+$A37-1,1)-1)</f>
        <v>4.5990065751961851E-3</v>
      </c>
      <c r="DA37" s="9">
        <f ca="1">IF(OR(DA10="",DA$28&lt;$A37),"",DA10/OFFSET(SSAutCLM!$A$2,MATCH(DA$29,SSAutCLM!$A$2:$A$500)+$A37-1,1)-1)</f>
        <v>6.3767242716725736E-3</v>
      </c>
      <c r="DB37" s="9">
        <f ca="1">IF(OR(DB10="",DB$28&lt;$A37),"",DB10/OFFSET(SSAutCLM!$A$2,MATCH(DB$29,SSAutCLM!$A$2:$A$500)+$A37-1,1)-1)</f>
        <v>-4.269770385301741E-3</v>
      </c>
      <c r="DC37" s="9">
        <f ca="1">IF(OR(DC10="",DC$28&lt;$A37),"",DC10/OFFSET(SSAutCLM!$A$2,MATCH(DC$29,SSAutCLM!$A$2:$A$500)+$A37-1,1)-1)</f>
        <v>-1.3088276695549794E-2</v>
      </c>
      <c r="DD37" s="9">
        <f ca="1">IF(OR(DD10="",DD$28&lt;$A37),"",DD10/OFFSET(SSAutCLM!$A$2,MATCH(DD$29,SSAutCLM!$A$2:$A$500)+$A37-1,1)-1)</f>
        <v>-7.6146660324575288E-3</v>
      </c>
      <c r="DE37" s="9">
        <f ca="1">IF(OR(DE10="",DE$28&lt;$A37),"",DE10/OFFSET(SSAutCLM!$A$2,MATCH(DE$29,SSAutCLM!$A$2:$A$500)+$A37-1,1)-1)</f>
        <v>-1.4287934162232507E-2</v>
      </c>
      <c r="DF37" s="9">
        <f ca="1">IF(OR(DF10="",DF$28&lt;$A37),"",DF10/OFFSET(SSAutCLM!$A$2,MATCH(DF$29,SSAutCLM!$A$2:$A$500)+$A37-1,1)-1)</f>
        <v>-1.2975322619941831E-2</v>
      </c>
      <c r="DG37" s="9">
        <f ca="1">IF(OR(DG10="",DG$28&lt;$A37),"",DG10/OFFSET(SSAutCLM!$A$2,MATCH(DG$29,SSAutCLM!$A$2:$A$500)+$A37-1,1)-1)</f>
        <v>-1.9543466433843082E-2</v>
      </c>
      <c r="DH37" s="9">
        <f ca="1">IF(OR(DH10="",DH$28&lt;$A37),"",DH10/OFFSET(SSAutCLM!$A$2,MATCH(DH$29,SSAutCLM!$A$2:$A$500)+$A37-1,1)-1)</f>
        <v>-2.6974471647595366E-2</v>
      </c>
      <c r="DI37" s="9">
        <f ca="1">IF(OR(DI10="",DI$28&lt;$A37),"",DI10/OFFSET(SSAutCLM!$A$2,MATCH(DI$29,SSAutCLM!$A$2:$A$500)+$A37-1,1)-1)</f>
        <v>-2.298788805267804E-2</v>
      </c>
      <c r="DJ37" s="9">
        <f ca="1">IF(OR(DJ10="",DJ$28&lt;$A37),"",DJ10/OFFSET(SSAutCLM!$A$2,MATCH(DJ$29,SSAutCLM!$A$2:$A$500)+$A37-1,1)-1)</f>
        <v>-1.3009335137566858E-2</v>
      </c>
      <c r="DK37" s="9">
        <f ca="1">IF(OR(DK10="",DK$28&lt;$A37),"",DK10/OFFSET(SSAutCLM!$A$2,MATCH(DK$29,SSAutCLM!$A$2:$A$500)+$A37-1,1)-1)</f>
        <v>-1.5166118669081019E-3</v>
      </c>
      <c r="DL37" s="9">
        <f ca="1">IF(OR(DL10="",DL$28&lt;$A37),"",DL10/OFFSET(SSAutCLM!$A$2,MATCH(DL$29,SSAutCLM!$A$2:$A$500)+$A37-1,1)-1)</f>
        <v>4.0385104491336143E-4</v>
      </c>
      <c r="DM37" s="9">
        <f ca="1">IF(OR(DM10="",DM$28&lt;$A37),"",DM10/OFFSET(SSAutCLM!$A$2,MATCH(DM$29,SSAutCLM!$A$2:$A$500)+$A37-1,1)-1)</f>
        <v>7.7116782830408681E-3</v>
      </c>
      <c r="DN37" s="9">
        <f ca="1">IF(OR(DN10="",DN$28&lt;$A37),"",DN10/OFFSET(SSAutCLM!$A$2,MATCH(DN$29,SSAutCLM!$A$2:$A$500)+$A37-1,1)-1)</f>
        <v>-1.0499113493164236E-2</v>
      </c>
      <c r="DO37" s="9">
        <f ca="1">IF(OR(DO10="",DO$28&lt;$A37),"",DO10/OFFSET(SSAutCLM!$A$2,MATCH(DO$29,SSAutCLM!$A$2:$A$500)+$A37-1,1)-1)</f>
        <v>-8.7077076419772581E-3</v>
      </c>
      <c r="DP37" s="9">
        <f ca="1">IF(OR(DP10="",DP$28&lt;$A37),"",DP10/OFFSET(SSAutCLM!$A$2,MATCH(DP$29,SSAutCLM!$A$2:$A$500)+$A37-1,1)-1)</f>
        <v>-2.3377674114347657E-3</v>
      </c>
      <c r="DQ37" s="9">
        <f ca="1">IF(OR(DQ10="",DQ$28&lt;$A37),"",DQ10/OFFSET(SSAutCLM!$A$2,MATCH(DQ$29,SSAutCLM!$A$2:$A$500)+$A37-1,1)-1)</f>
        <v>7.9322450551022605E-3</v>
      </c>
      <c r="DR37" s="9">
        <f ca="1">IF(OR(DR10="",DR$28&lt;$A37),"",DR10/OFFSET(SSAutCLM!$A$2,MATCH(DR$29,SSAutCLM!$A$2:$A$500)+$A37-1,1)-1)</f>
        <v>1.1703480425397927E-2</v>
      </c>
      <c r="DS37" s="9">
        <f ca="1">IF(OR(DS10="",DS$28&lt;$A37),"",DS10/OFFSET(SSAutCLM!$A$2,MATCH(DS$29,SSAutCLM!$A$2:$A$500)+$A37-1,1)-1)</f>
        <v>3.8826875938617889E-3</v>
      </c>
      <c r="DT37" s="9">
        <f ca="1">IF(OR(DT10="",DT$28&lt;$A37),"",DT10/OFFSET(SSAutCLM!$A$2,MATCH(DT$29,SSAutCLM!$A$2:$A$500)+$A37-1,1)-1)</f>
        <v>4.7723670579400412E-3</v>
      </c>
      <c r="DU37" s="9" t="str">
        <f ca="1">IF(OR(DU10="",DU$28&lt;$A37),"",DU10/OFFSET(SSAutCLM!$A$2,MATCH(DU$29,SSAutCLM!$A$2:$A$500)+$A37-1,1)-1)</f>
        <v/>
      </c>
      <c r="DV37" s="9" t="str">
        <f ca="1">IF(OR(DV10="",DV$28&lt;$A37),"",DV10/OFFSET(SSAutCLM!$A$2,MATCH(DV$29,SSAutCLM!$A$2:$A$500)+$A37-1,1)-1)</f>
        <v/>
      </c>
      <c r="DW37" s="9" t="str">
        <f ca="1">IF(OR(DW10="",DW$28&lt;$A37),"",DW10/OFFSET(SSAutCLM!$A$2,MATCH(DW$29,SSAutCLM!$A$2:$A$500)+$A37-1,1)-1)</f>
        <v/>
      </c>
      <c r="DX37" s="9" t="str">
        <f ca="1">IF(OR(DX10="",DX$28&lt;$A37),"",DX10/OFFSET(SSAutCLM!$A$2,MATCH(DX$29,SSAutCLM!$A$2:$A$500)+$A37-1,1)-1)</f>
        <v/>
      </c>
      <c r="DY37" s="9" t="str">
        <f ca="1">IF(OR(DY10="",DY$28&lt;$A37),"",DY10/OFFSET(SSAutCLM!$A$2,MATCH(DY$29,SSAutCLM!$A$2:$A$500)+$A37-1,1)-1)</f>
        <v/>
      </c>
      <c r="DZ37" s="9" t="str">
        <f ca="1">IF(OR(DZ10="",DZ$28&lt;$A37),"",DZ10/OFFSET(SSAutCLM!$A$2,MATCH(DZ$29,SSAutCLM!$A$2:$A$500)+$A37-1,1)-1)</f>
        <v/>
      </c>
      <c r="EA37" s="9" t="str">
        <f ca="1">IF(OR(EA10="",EA$28&lt;$A37),"",EA10/OFFSET(SSAutCLM!$A$2,MATCH(EA$29,SSAutCLM!$A$2:$A$500)+$A37-1,1)-1)</f>
        <v/>
      </c>
      <c r="EB37" s="9" t="str">
        <f ca="1">IF(OR(EB10="",EB$28&lt;$A37),"",EB10/OFFSET(SSAutCLM!$A$2,MATCH(EB$29,SSAutCLM!$A$2:$A$500)+$A37-1,1)-1)</f>
        <v/>
      </c>
      <c r="EC37" s="9" t="str">
        <f ca="1">IF(OR(EC10="",EC$28&lt;$A37),"",EC10/OFFSET(SSAutCLM!$A$2,MATCH(EC$29,SSAutCLM!$A$2:$A$500)+$A37-1,1)-1)</f>
        <v/>
      </c>
      <c r="ED37" s="9" t="str">
        <f ca="1">IF(OR(ED10="",ED$28&lt;$A37),"",ED10/OFFSET(SSAutCLM!$A$2,MATCH(ED$29,SSAutCLM!$A$2:$A$500)+$A37-1,1)-1)</f>
        <v/>
      </c>
      <c r="EE37" s="9" t="str">
        <f ca="1">IF(OR(EE10="",EE$28&lt;$A37),"",EE10/OFFSET(SSAutCLM!$A$2,MATCH(EE$29,SSAutCLM!$A$2:$A$500)+$A37-1,1)-1)</f>
        <v/>
      </c>
      <c r="EF37" s="9" t="str">
        <f ca="1">IF(OR(EF10="",EF$28&lt;$A37),"",EF10/OFFSET(SSAutCLM!$A$2,MATCH(EF$29,SSAutCLM!$A$2:$A$500)+$A37-1,1)-1)</f>
        <v/>
      </c>
      <c r="EG37" s="9">
        <f ca="1">IF(OR(EG10="",EG$28&lt;$A37),"",EG10/OFFSET(SSAutCLM!$A$2,MATCH(EG$29,SSAutCLM!$A$2:$A$500)+$A37-1,1)-1)</f>
        <v>1.3556885198429125E-3</v>
      </c>
      <c r="EH37" s="9">
        <f ca="1">IF(OR(EH10="",EH$28&lt;$A37),"",EH10/OFFSET(SSAutCLM!$A$2,MATCH(EH$29,SSAutCLM!$A$2:$A$500)+$A37-1,1)-1)</f>
        <v>1.5222536062896364E-2</v>
      </c>
      <c r="EI37" s="9">
        <f ca="1">IF(OR(EI10="",EI$28&lt;$A37),"",EI10/OFFSET(SSAutCLM!$A$2,MATCH(EI$29,SSAutCLM!$A$2:$A$500)+$A37-1,1)-1)</f>
        <v>1.2925317320101604E-2</v>
      </c>
      <c r="EJ37" s="9">
        <f ca="1">IF(OR(EJ10="",EJ$28&lt;$A37),"",EJ10/OFFSET(SSAutCLM!$A$2,MATCH(EJ$29,SSAutCLM!$A$2:$A$500)+$A37-1,1)-1)</f>
        <v>1.1588049242864384E-2</v>
      </c>
      <c r="EK37" s="9">
        <f ca="1">IF(OR(EK10="",EK$28&lt;$A37),"",EK10/OFFSET(SSAutCLM!$A$2,MATCH(EK$29,SSAutCLM!$A$2:$A$500)+$A37-1,1)-1)</f>
        <v>4.1984916392885374E-3</v>
      </c>
      <c r="EL37" s="9">
        <f ca="1">IF(OR(EL10="",EL$28&lt;$A37),"",EL10/OFFSET(SSAutCLM!$A$2,MATCH(EL$29,SSAutCLM!$A$2:$A$500)+$A37-1,1)-1)</f>
        <v>8.0769454927320794E-4</v>
      </c>
      <c r="EM37" s="9">
        <f ca="1">IF(OR(EM10="",EM$28&lt;$A37),"",EM10/OFFSET(SSAutCLM!$A$2,MATCH(EM$29,SSAutCLM!$A$2:$A$500)+$A37-1,1)-1)</f>
        <v>2.4602361212453516E-3</v>
      </c>
      <c r="EN37" s="9">
        <f ca="1">IF(OR(EN10="",EN$28&lt;$A37),"",EN10/OFFSET(SSAutCLM!$A$2,MATCH(EN$29,SSAutCLM!$A$2:$A$500)+$A37-1,1)-1)</f>
        <v>1.4336029270771711E-3</v>
      </c>
      <c r="EO37" s="9">
        <f ca="1">IF(OR(EO10="",EO$28&lt;$A37),"",EO10/OFFSET(SSAutCLM!$A$2,MATCH(EO$29,SSAutCLM!$A$2:$A$500)+$A37-1,1)-1)</f>
        <v>2.7485994501708078E-3</v>
      </c>
      <c r="EP37" s="9">
        <f ca="1">IF(OR(EP10="",EP$28&lt;$A37),"",EP10/OFFSET(SSAutCLM!$A$2,MATCH(EP$29,SSAutCLM!$A$2:$A$500)+$A37-1,1)-1)</f>
        <v>-1.7881948594681396E-2</v>
      </c>
      <c r="EQ37" s="9">
        <f ca="1">IF(OR(EQ10="",EQ$28&lt;$A37),"",EQ10/OFFSET(SSAutCLM!$A$2,MATCH(EQ$29,SSAutCLM!$A$2:$A$500)+$A37-1,1)-1)</f>
        <v>-1.118622099015254E-3</v>
      </c>
      <c r="ER37" s="9">
        <f ca="1">IF(OR(ER10="",ER$28&lt;$A37),"",ER10/OFFSET(SSAutCLM!$A$2,MATCH(ER$29,SSAutCLM!$A$2:$A$500)+$A37-1,1)-1)</f>
        <v>1.3262418372523177E-2</v>
      </c>
      <c r="ES37" s="9">
        <f ca="1">IF(OR(ES10="",ES$28&lt;$A37),"",ES10/OFFSET(SSAutCLM!$A$2,MATCH(ES$29,SSAutCLM!$A$2:$A$500)+$A37-1,1)-1)</f>
        <v>7.2074727110891246E-3</v>
      </c>
      <c r="ET37" s="9">
        <f ca="1">IF(OR(ET10="",ET$28&lt;$A37),"",ET10/OFFSET(SSAutCLM!$A$2,MATCH(ET$29,SSAutCLM!$A$2:$A$500)+$A37-1,1)-1)</f>
        <v>4.3430492412122046E-3</v>
      </c>
      <c r="EU37" s="9">
        <f ca="1">IF(OR(EU10="",EU$28&lt;$A37),"",EU10/OFFSET(SSAutCLM!$A$2,MATCH(EU$29,SSAutCLM!$A$2:$A$500)+$A37-1,1)-1)</f>
        <v>6.0172503951736456E-3</v>
      </c>
      <c r="EV37" s="9">
        <f ca="1">IF(OR(EV10="",EV$28&lt;$A37),"",EV10/OFFSET(SSAutCLM!$A$2,MATCH(EV$29,SSAutCLM!$A$2:$A$500)+$A37-1,1)-1)</f>
        <v>-1.5655625764754433E-4</v>
      </c>
      <c r="EW37" s="9">
        <f ca="1">IF(OR(EW10="",EW$28&lt;$A37),"",EW10/OFFSET(SSAutCLM!$A$2,MATCH(EW$29,SSAutCLM!$A$2:$A$500)+$A37-1,1)-1)</f>
        <v>-3.0478104251892013E-3</v>
      </c>
      <c r="EX37" s="9">
        <f ca="1">IF(OR(EX10="",EX$28&lt;$A37),"",EX10/OFFSET(SSAutCLM!$A$2,MATCH(EX$29,SSAutCLM!$A$2:$A$500)+$A37-1,1)-1)</f>
        <v>-1.2187216205161722E-3</v>
      </c>
      <c r="EY37" s="9">
        <f ca="1">IF(OR(EY10="",EY$28&lt;$A37),"",EY10/OFFSET(SSAutCLM!$A$2,MATCH(EY$29,SSAutCLM!$A$2:$A$500)+$A37-1,1)-1)</f>
        <v>-8.9951972402252389E-3</v>
      </c>
      <c r="EZ37" s="9">
        <f ca="1">IF(OR(EZ10="",EZ$28&lt;$A37),"",EZ10/OFFSET(SSAutCLM!$A$2,MATCH(EZ$29,SSAutCLM!$A$2:$A$500)+$A37-1,1)-1)</f>
        <v>-1.7036094956389691E-3</v>
      </c>
      <c r="FA37" s="9">
        <f ca="1">IF(OR(FA10="",FA$28&lt;$A37),"",FA10/OFFSET(SSAutCLM!$A$2,MATCH(FA$29,SSAutCLM!$A$2:$A$500)+$A37-1,1)-1)</f>
        <v>6.1893758409885535E-3</v>
      </c>
      <c r="FB37" s="9">
        <f ca="1">IF(OR(FB10="",FB$28&lt;$A37),"",FB10/OFFSET(SSAutCLM!$A$2,MATCH(FB$29,SSAutCLM!$A$2:$A$500)+$A37-1,1)-1)</f>
        <v>3.41779655993113E-3</v>
      </c>
      <c r="FC37" s="9">
        <f ca="1">IF(OR(FC10="",FC$28&lt;$A37),"",FC10/OFFSET(SSAutCLM!$A$2,MATCH(FC$29,SSAutCLM!$A$2:$A$500)+$A37-1,1)-1)</f>
        <v>-1.8199689203489688E-3</v>
      </c>
      <c r="FD37" s="9">
        <f ca="1">IF(OR(FD10="",FD$28&lt;$A37),"",FD10/OFFSET(SSAutCLM!$A$2,MATCH(FD$29,SSAutCLM!$A$2:$A$500)+$A37-1,1)-1)</f>
        <v>5.7299412268714267E-3</v>
      </c>
      <c r="FE37" s="9">
        <f ca="1">IF(OR(FE10="",FE$28&lt;$A37),"",FE10/OFFSET(SSAutCLM!$A$2,MATCH(FE$29,SSAutCLM!$A$2:$A$500)+$A37-1,1)-1)</f>
        <v>6.2269288386256338E-3</v>
      </c>
      <c r="FF37" s="9">
        <f ca="1">IF(OR(FF10="",FF$28&lt;$A37),"",FF10/OFFSET(SSAutCLM!$A$2,MATCH(FF$29,SSAutCLM!$A$2:$A$500)+$A37-1,1)-1)</f>
        <v>6.1287640799194687E-3</v>
      </c>
      <c r="FG37" s="9">
        <f ca="1">IF(OR(FG10="",FG$28&lt;$A37),"",FG10/OFFSET(SSAutCLM!$A$2,MATCH(FG$29,SSAutCLM!$A$2:$A$500)+$A37-1,1)-1)</f>
        <v>8.9758617732127455E-3</v>
      </c>
      <c r="FH37" s="9">
        <f ca="1">IF(OR(FH10="",FH$28&lt;$A37),"",FH10/OFFSET(SSAutCLM!$A$2,MATCH(FH$29,SSAutCLM!$A$2:$A$500)+$A37-1,1)-1)</f>
        <v>-6.7062281783314415E-4</v>
      </c>
      <c r="FI37" s="9">
        <f ca="1">IF(OR(FI10="",FI$28&lt;$A37),"",FI10/OFFSET(SSAutCLM!$A$2,MATCH(FI$29,SSAutCLM!$A$2:$A$500)+$A37-1,1)-1)</f>
        <v>-1.5414118785540998E-2</v>
      </c>
      <c r="FJ37" s="9">
        <f ca="1">IF(OR(FJ10="",FJ$28&lt;$A37),"",FJ10/OFFSET(SSAutCLM!$A$2,MATCH(FJ$29,SSAutCLM!$A$2:$A$500)+$A37-1,1)-1)</f>
        <v>-1.8622396537881558E-2</v>
      </c>
      <c r="FK37" s="9">
        <f ca="1">IF(OR(FK10="",FK$28&lt;$A37),"",FK10/OFFSET(SSAutCLM!$A$2,MATCH(FK$29,SSAutCLM!$A$2:$A$500)+$A37-1,1)-1)</f>
        <v>-9.3340295005714946E-3</v>
      </c>
      <c r="FL37" s="9">
        <f ca="1">IF(OR(FL10="",FL$28&lt;$A37),"",FL10/OFFSET(SSAutCLM!$A$2,MATCH(FL$29,SSAutCLM!$A$2:$A$500)+$A37-1,1)-1)</f>
        <v>-7.9789330872793718E-3</v>
      </c>
      <c r="FM37" s="9">
        <f ca="1">IF(OR(FM10="",FM$28&lt;$A37),"",FM10/OFFSET(SSAutCLM!$A$2,MATCH(FM$29,SSAutCLM!$A$2:$A$500)+$A37-1,1)-1)</f>
        <v>-8.8255400168911757E-3</v>
      </c>
      <c r="FN37" s="9">
        <f ca="1">IF(OR(FN10="",FN$28&lt;$A37),"",FN10/OFFSET(SSAutCLM!$A$2,MATCH(FN$29,SSAutCLM!$A$2:$A$500)+$A37-1,1)-1)</f>
        <v>-8.31030891519835E-3</v>
      </c>
      <c r="FO37" s="9">
        <f ca="1">IF(OR(FO10="",FO$28&lt;$A37),"",FO10/OFFSET(SSAutCLM!$A$2,MATCH(FO$29,SSAutCLM!$A$2:$A$500)+$A37-1,1)-1)</f>
        <v>2.1019462271012479E-3</v>
      </c>
      <c r="FP37" s="9">
        <f ca="1">IF(OR(FP10="",FP$28&lt;$A37),"",FP10/OFFSET(SSAutCLM!$A$2,MATCH(FP$29,SSAutCLM!$A$2:$A$500)+$A37-1,1)-1)</f>
        <v>1.9983690148929645E-2</v>
      </c>
      <c r="FQ37" s="9">
        <f ca="1">IF(OR(FQ10="",FQ$28&lt;$A37),"",FQ10/OFFSET(SSAutCLM!$A$2,MATCH(FQ$29,SSAutCLM!$A$2:$A$500)+$A37-1,1)-1)</f>
        <v>9.5140468936085743E-3</v>
      </c>
      <c r="FR37" s="9">
        <f ca="1">IF(OR(FR10="",FR$28&lt;$A37),"",FR10/OFFSET(SSAutCLM!$A$2,MATCH(FR$29,SSAutCLM!$A$2:$A$500)+$A37-1,1)-1)</f>
        <v>4.9150615090756133E-3</v>
      </c>
      <c r="FS37" s="9">
        <f ca="1">IF(OR(FS10="",FS$28&lt;$A37),"",FS10/OFFSET(SSAutCLM!$A$2,MATCH(FS$29,SSAutCLM!$A$2:$A$500)+$A37-1,1)-1)</f>
        <v>5.8470799317518196E-3</v>
      </c>
      <c r="FT37" s="9">
        <f ca="1">IF(OR(FT10="",FT$28&lt;$A37),"",FT10/OFFSET(SSAutCLM!$A$2,MATCH(FT$29,SSAutCLM!$A$2:$A$500)+$A37-1,1)-1)</f>
        <v>9.7280807469202202E-4</v>
      </c>
      <c r="FU37" s="9">
        <f ca="1">IF(OR(FU10="",FU$28&lt;$A37),"",FU10/OFFSET(SSAutCLM!$A$2,MATCH(FU$29,SSAutCLM!$A$2:$A$500)+$A37-1,1)-1)</f>
        <v>-5.1353503325768379E-4</v>
      </c>
      <c r="FV37" s="9">
        <f ca="1">IF(OR(FV10="",FV$28&lt;$A37),"",FV10/OFFSET(SSAutCLM!$A$2,MATCH(FV$29,SSAutCLM!$A$2:$A$500)+$A37-1,1)-1)</f>
        <v>-7.0058321361299303E-4</v>
      </c>
      <c r="FW37" s="9">
        <f ca="1">IF(OR(FW10="",FW$28&lt;$A37),"",FW10/OFFSET(SSAutCLM!$A$2,MATCH(FW$29,SSAutCLM!$A$2:$A$500)+$A37-1,1)-1)</f>
        <v>5.2396594803734153E-3</v>
      </c>
      <c r="FX37" s="9">
        <f ca="1">IF(OR(FX10="",FX$28&lt;$A37),"",FX10/OFFSET(SSAutCLM!$A$2,MATCH(FX$29,SSAutCLM!$A$2:$A$500)+$A37-1,1)-1)</f>
        <v>7.6508670749910745E-3</v>
      </c>
      <c r="FY37" s="9">
        <f ca="1">IF(OR(FY10="",FY$28&lt;$A37),"",FY10/OFFSET(SSAutCLM!$A$2,MATCH(FY$29,SSAutCLM!$A$2:$A$500)+$A37-1,1)-1)</f>
        <v>6.6840202604687704E-3</v>
      </c>
      <c r="FZ37" s="9">
        <f ca="1">IF(OR(FZ10="",FZ$28&lt;$A37),"",FZ10/OFFSET(SSAutCLM!$A$2,MATCH(FZ$29,SSAutCLM!$A$2:$A$500)+$A37-1,1)-1)</f>
        <v>1.2033927350135531E-2</v>
      </c>
      <c r="GA37" s="9">
        <f ca="1">IF(OR(GA10="",GA$28&lt;$A37),"",GA10/OFFSET(SSAutCLM!$A$2,MATCH(GA$29,SSAutCLM!$A$2:$A$500)+$A37-1,1)-1)</f>
        <v>-4.1025011224297137E-3</v>
      </c>
      <c r="GB37" s="9">
        <f ca="1">IF(OR(GB10="",GB$28&lt;$A37),"",GB10/OFFSET(SSAutCLM!$A$2,MATCH(GB$29,SSAutCLM!$A$2:$A$500)+$A37-1,1)-1)</f>
        <v>-4.6717044616174652E-3</v>
      </c>
      <c r="GC37" s="9">
        <f ca="1">IF(OR(GC10="",GC$28&lt;$A37),"",GC10/OFFSET(SSAutCLM!$A$2,MATCH(GC$29,SSAutCLM!$A$2:$A$500)+$A37-1,1)-1)</f>
        <v>-8.8655763523908249E-3</v>
      </c>
      <c r="GD37" s="9">
        <f ca="1">IF(OR(GD10="",GD$28&lt;$A37),"",GD10/OFFSET(SSAutCLM!$A$2,MATCH(GD$29,SSAutCLM!$A$2:$A$500)+$A37-1,1)-1)</f>
        <v>-1.2020629740557731E-2</v>
      </c>
      <c r="GE37" s="9">
        <f ca="1">IF(OR(GE10="",GE$28&lt;$A37),"",GE10/OFFSET(SSAutCLM!$A$2,MATCH(GE$29,SSAutCLM!$A$2:$A$500)+$A37-1,1)-1)</f>
        <v>-1.0274023045051428E-2</v>
      </c>
      <c r="GF37" s="9">
        <f ca="1">IF(OR(GF10="",GF$28&lt;$A37),"",GF10/OFFSET(SSAutCLM!$A$2,MATCH(GF$29,SSAutCLM!$A$2:$A$500)+$A37-1,1)-1)</f>
        <v>-3.8190918148736097E-3</v>
      </c>
      <c r="GG37" s="9">
        <f ca="1">IF(OR(GG10="",GG$28&lt;$A37),"",GG10/OFFSET(SSAutCLM!$A$2,MATCH(GG$29,SSAutCLM!$A$2:$A$500)+$A37-1,1)-1)</f>
        <v>2.5855755392207858E-3</v>
      </c>
      <c r="GH37" s="9">
        <f ca="1">IF(OR(GH10="",GH$28&lt;$A37),"",GH10/OFFSET(SSAutCLM!$A$2,MATCH(GH$29,SSAutCLM!$A$2:$A$500)+$A37-1,1)-1)</f>
        <v>2.0205570635351444E-2</v>
      </c>
      <c r="GI37" s="9">
        <f ca="1">IF(OR(GI10="",GI$28&lt;$A37),"",GI10/OFFSET(SSAutCLM!$A$2,MATCH(GI$29,SSAutCLM!$A$2:$A$500)+$A37-1,1)-1)</f>
        <v>2.0012267000451445E-2</v>
      </c>
      <c r="GJ37" s="9">
        <f ca="1">IF(OR(GJ10="",GJ$28&lt;$A37),"",GJ10/OFFSET(SSAutCLM!$A$2,MATCH(GJ$29,SSAutCLM!$A$2:$A$500)+$A37-1,1)-1)</f>
        <v>1.552834480123777E-2</v>
      </c>
      <c r="GK37" s="9">
        <f ca="1">IF(OR(GK10="",GK$28&lt;$A37),"",GK10/OFFSET(SSAutCLM!$A$2,MATCH(GK$29,SSAutCLM!$A$2:$A$500)+$A37-1,1)-1)</f>
        <v>1.1333283788895088E-2</v>
      </c>
      <c r="GL37" s="9">
        <f ca="1">IF(OR(GL10="",GL$28&lt;$A37),"",GL10/OFFSET(SSAutCLM!$A$2,MATCH(GL$29,SSAutCLM!$A$2:$A$500)+$A37-1,1)-1)</f>
        <v>1.6520352968882435E-2</v>
      </c>
      <c r="GM37" s="9">
        <f ca="1">IF(OR(GM10="",GM$28&lt;$A37),"",GM10/OFFSET(SSAutCLM!$A$2,MATCH(GM$29,SSAutCLM!$A$2:$A$500)+$A37-1,1)-1)</f>
        <v>7.5201110947151761E-3</v>
      </c>
      <c r="GN37" s="9">
        <f ca="1">IF(OR(GN10="",GN$28&lt;$A37),"",GN10/OFFSET(SSAutCLM!$A$2,MATCH(GN$29,SSAutCLM!$A$2:$A$500)+$A37-1,1)-1)</f>
        <v>1.4221810807753421E-2</v>
      </c>
      <c r="GO37" s="9">
        <f ca="1">IF(OR(GO10="",GO$28&lt;$A37),"",GO10/OFFSET(SSAutCLM!$A$2,MATCH(GO$29,SSAutCLM!$A$2:$A$500)+$A37-1,1)-1)</f>
        <v>-7.5580374792650895E-3</v>
      </c>
      <c r="GP37" s="9">
        <f ca="1">IF(OR(GP10="",GP$28&lt;$A37),"",GP10/OFFSET(SSAutCLM!$A$2,MATCH(GP$29,SSAutCLM!$A$2:$A$500)+$A37-1,1)-1)</f>
        <v>-4.6116291291096068E-2</v>
      </c>
      <c r="GQ37" s="9">
        <f ca="1">IF(OR(GQ10="",GQ$28&lt;$A37),"",GQ10/OFFSET(SSAutCLM!$A$2,MATCH(GQ$29,SSAutCLM!$A$2:$A$500)+$A37-1,1)-1)</f>
        <v>-3.4467855324579855E-2</v>
      </c>
      <c r="GR37" s="9" t="str">
        <f ca="1">IF(OR(GR10="",GR$28&lt;$A37),"",GR10/OFFSET(SSAutCLM!$A$2,MATCH(GR$29,SSAutCLM!$A$2:$A$500)+$A37-1,1)-1)</f>
        <v/>
      </c>
      <c r="GS37" s="9" t="str">
        <f ca="1">IF(OR(GS10="",GS$28&lt;$A37),"",GS10/OFFSET(SSAutCLM!$A$2,MATCH(GS$29,SSAutCLM!$A$2:$A$500)+$A37-1,1)-1)</f>
        <v/>
      </c>
      <c r="GT37" s="9" t="str">
        <f ca="1">IF(OR(GT10="",GT$28&lt;$A37),"",GT10/OFFSET(SSAutCLM!$A$2,MATCH(GT$29,SSAutCLM!$A$2:$A$500)+$A37-1,1)-1)</f>
        <v/>
      </c>
      <c r="GU37" s="9" t="str">
        <f ca="1">IF(OR(GU10="",GU$28&lt;$A37),"",GU10/OFFSET(SSAutCLM!$A$2,MATCH(GU$29,SSAutCLM!$A$2:$A$500)+$A37-1,1)-1)</f>
        <v/>
      </c>
      <c r="GV37" s="9" t="str">
        <f ca="1">IF(OR(GV10="",GV$28&lt;$A37),"",GV10/OFFSET(SSAutCLM!$A$2,MATCH(GV$29,SSAutCLM!$A$2:$A$500)+$A37-1,1)-1)</f>
        <v/>
      </c>
      <c r="GW37" s="9" t="str">
        <f ca="1">IF(OR(GW10="",GW$28&lt;$A37),"",GW10/OFFSET(SSAutCLM!$A$2,MATCH(GW$29,SSAutCLM!$A$2:$A$500)+$A37-1,1)-1)</f>
        <v/>
      </c>
      <c r="GX37" s="9" t="str">
        <f ca="1">IF(OR(GX10="",GX$28&lt;$A37),"",GX10/OFFSET(SSAutCLM!$A$2,MATCH(GX$29,SSAutCLM!$A$2:$A$500)+$A37-1,1)-1)</f>
        <v/>
      </c>
      <c r="GY37" s="9" t="str">
        <f ca="1">IF(OR(GY10="",GY$28&lt;$A37),"",GY10/OFFSET(SSAutCLM!$A$2,MATCH(GY$29,SSAutCLM!$A$2:$A$500)+$A37-1,1)-1)</f>
        <v/>
      </c>
      <c r="GZ37" s="9" t="str">
        <f ca="1">IF(OR(GZ10="",GZ$28&lt;$A37),"",GZ10/OFFSET(SSAutCLM!$A$2,MATCH(GZ$29,SSAutCLM!$A$2:$A$500)+$A37-1,1)-1)</f>
        <v/>
      </c>
      <c r="HA37" s="9" t="str">
        <f ca="1">IF(OR(HA10="",HA$28&lt;$A37),"",HA10/OFFSET(SSAutCLM!$A$2,MATCH(HA$29,SSAutCLM!$A$2:$A$500)+$A37-1,1)-1)</f>
        <v/>
      </c>
      <c r="HB37" s="9" t="str">
        <f ca="1">IF(OR(HB10="",HB$28&lt;$A37),"",HB10/OFFSET(SSAutCLM!$A$2,MATCH(HB$29,SSAutCLM!$A$2:$A$500)+$A37-1,1)-1)</f>
        <v/>
      </c>
      <c r="HC37" s="9" t="str">
        <f ca="1">IF(OR(HC10="",HC$28&lt;$A37),"",HC10/OFFSET(SSAutCLM!$A$2,MATCH(HC$29,SSAutCLM!$A$2:$A$500)+$A37-1,1)-1)</f>
        <v/>
      </c>
      <c r="HD37" s="9" t="str">
        <f ca="1">IF(OR(HD10="",HD$28&lt;$A37),"",HD10/OFFSET(SSAutCLM!$A$2,MATCH(HD$29,SSAutCLM!$A$2:$A$500)+$A37-1,1)-1)</f>
        <v/>
      </c>
      <c r="HE37" s="9" t="str">
        <f ca="1">IF(OR(HE10="",HE$28&lt;$A37),"",HE10/OFFSET(SSAutCLM!$A$2,MATCH(HE$29,SSAutCLM!$A$2:$A$500)+$A37-1,1)-1)</f>
        <v/>
      </c>
      <c r="HF37" s="9" t="str">
        <f ca="1">IF(OR(HF10="",HF$28&lt;$A37),"",HF10/OFFSET(SSAutCLM!$A$2,MATCH(HF$29,SSAutCLM!$A$2:$A$500)+$A37-1,1)-1)</f>
        <v/>
      </c>
      <c r="HG37" s="9" t="str">
        <f ca="1">IF(OR(HG10="",HG$28&lt;$A37),"",HG10/OFFSET(SSAutCLM!$A$2,MATCH(HG$29,SSAutCLM!$A$2:$A$500)+$A37-1,1)-1)</f>
        <v/>
      </c>
      <c r="HH37" s="9" t="str">
        <f ca="1">IF(OR(HH10="",HH$28&lt;$A37),"",HH10/OFFSET(SSAutCLM!$A$2,MATCH(HH$29,SSAutCLM!$A$2:$A$500)+$A37-1,1)-1)</f>
        <v/>
      </c>
      <c r="HI37" s="9" t="str">
        <f ca="1">IF(OR(HI10="",HI$28&lt;$A37),"",HI10/OFFSET(SSAutCLM!$A$2,MATCH(HI$29,SSAutCLM!$A$2:$A$500)+$A37-1,1)-1)</f>
        <v/>
      </c>
      <c r="HJ37" s="9" t="str">
        <f ca="1">IF(OR(HJ10="",HJ$28&lt;$A37),"",HJ10/OFFSET(SSAutCLM!$A$2,MATCH(HJ$29,SSAutCLM!$A$2:$A$500)+$A37-1,1)-1)</f>
        <v/>
      </c>
      <c r="HK37" s="9" t="str">
        <f ca="1">IF(OR(HK10="",HK$28&lt;$A37),"",HK10/OFFSET(SSAutCLM!$A$2,MATCH(HK$29,SSAutCLM!$A$2:$A$500)+$A37-1,1)-1)</f>
        <v/>
      </c>
      <c r="HL37" s="9" t="str">
        <f ca="1">IF(OR(HL10="",HL$28&lt;$A37),"",HL10/OFFSET(SSAutCLM!$A$2,MATCH(HL$29,SSAutCLM!$A$2:$A$500)+$A37-1,1)-1)</f>
        <v/>
      </c>
      <c r="HM37" s="9" t="str">
        <f ca="1">IF(OR(HM10="",HM$28&lt;$A37),"",HM10/OFFSET(SSAutCLM!$A$2,MATCH(HM$29,SSAutCLM!$A$2:$A$500)+$A37-1,1)-1)</f>
        <v/>
      </c>
      <c r="HN37" s="9" t="str">
        <f ca="1">IF(OR(HN10="",HN$28&lt;$A37),"",HN10/OFFSET(SSAutCLM!$A$2,MATCH(HN$29,SSAutCLM!$A$2:$A$500)+$A37-1,1)-1)</f>
        <v/>
      </c>
      <c r="HO37" s="9" t="str">
        <f ca="1">IF(OR(HO10="",HO$28&lt;$A37),"",HO10/OFFSET(SSAutCLM!$A$2,MATCH(HO$29,SSAutCLM!$A$2:$A$500)+$A37-1,1)-1)</f>
        <v/>
      </c>
      <c r="HP37" s="9" t="str">
        <f ca="1">IF(OR(HP10="",HP$28&lt;$A37),"",HP10/OFFSET(SSAutCLM!$A$2,MATCH(HP$29,SSAutCLM!$A$2:$A$500)+$A37-1,1)-1)</f>
        <v/>
      </c>
      <c r="HQ37" s="9" t="str">
        <f ca="1">IF(OR(HQ10="",HQ$28&lt;$A37),"",HQ10/OFFSET(SSAutCLM!$A$2,MATCH(HQ$29,SSAutCLM!$A$2:$A$500)+$A37-1,1)-1)</f>
        <v/>
      </c>
      <c r="HR37" s="9" t="str">
        <f ca="1">IF(OR(HR10="",HR$28&lt;$A37),"",HR10/OFFSET(SSAutCLM!$A$2,MATCH(HR$29,SSAutCLM!$A$2:$A$500)+$A37-1,1)-1)</f>
        <v/>
      </c>
      <c r="HS37" s="9" t="str">
        <f ca="1">IF(OR(HS10="",HS$28&lt;$A37),"",HS10/OFFSET(SSAutCLM!$A$2,MATCH(HS$29,SSAutCLM!$A$2:$A$500)+$A37-1,1)-1)</f>
        <v/>
      </c>
      <c r="HT37" s="9" t="str">
        <f ca="1">IF(OR(HT10="",HT$28&lt;$A37),"",HT10/OFFSET(SSAutCLM!$A$2,MATCH(HT$29,SSAutCLM!$A$2:$A$500)+$A37-1,1)-1)</f>
        <v/>
      </c>
      <c r="HU37" s="9" t="str">
        <f ca="1">IF(OR(HU10="",HU$28&lt;$A37),"",HU10/OFFSET(SSAutCLM!$A$2,MATCH(HU$29,SSAutCLM!$A$2:$A$500)+$A37-1,1)-1)</f>
        <v/>
      </c>
      <c r="HV37" s="9" t="str">
        <f ca="1">IF(OR(HV10="",HV$28&lt;$A37),"",HV10/OFFSET(SSAutCLM!$A$2,MATCH(HV$29,SSAutCLM!$A$2:$A$500)+$A37-1,1)-1)</f>
        <v/>
      </c>
      <c r="HW37" s="9" t="str">
        <f ca="1">IF(OR(HW10="",HW$28&lt;$A37),"",HW10/OFFSET(SSAutCLM!$A$2,MATCH(HW$29,SSAutCLM!$A$2:$A$500)+$A37-1,1)-1)</f>
        <v/>
      </c>
      <c r="HX37" s="9" t="str">
        <f ca="1">IF(OR(HX10="",HX$28&lt;$A37),"",HX10/OFFSET(SSAutCLM!$A$2,MATCH(HX$29,SSAutCLM!$A$2:$A$500)+$A37-1,1)-1)</f>
        <v/>
      </c>
      <c r="HY37" s="9" t="str">
        <f ca="1">IF(OR(HY10="",HY$28&lt;$A37),"",HY10/OFFSET(SSAutCLM!$A$2,MATCH(HY$29,SSAutCLM!$A$2:$A$500)+$A37-1,1)-1)</f>
        <v/>
      </c>
      <c r="HZ37" s="9" t="str">
        <f ca="1">IF(OR(HZ10="",HZ$28&lt;$A37),"",HZ10/OFFSET(SSAutCLM!$A$2,MATCH(HZ$29,SSAutCLM!$A$2:$A$500)+$A37-1,1)-1)</f>
        <v/>
      </c>
      <c r="IA37" s="9" t="str">
        <f ca="1">IF(OR(IA10="",IA$28&lt;$A37),"",IA10/OFFSET(SSAutCLM!$A$2,MATCH(IA$29,SSAutCLM!$A$2:$A$500)+$A37-1,1)-1)</f>
        <v/>
      </c>
      <c r="IB37" s="9" t="str">
        <f ca="1">IF(OR(IB10="",IB$28&lt;$A37),"",IB10/OFFSET(SSAutCLM!$A$2,MATCH(IB$29,SSAutCLM!$A$2:$A$500)+$A37-1,1)-1)</f>
        <v/>
      </c>
      <c r="IC37" s="9" t="str">
        <f ca="1">IF(OR(IC10="",IC$28&lt;$A37),"",IC10/OFFSET(SSAutCLM!$A$2,MATCH(IC$29,SSAutCLM!$A$2:$A$500)+$A37-1,1)-1)</f>
        <v/>
      </c>
      <c r="ID37" s="9" t="str">
        <f ca="1">IF(OR(ID10="",ID$28&lt;$A37),"",ID10/OFFSET(SSAutCLM!$A$2,MATCH(ID$29,SSAutCLM!$A$2:$A$500)+$A37-1,1)-1)</f>
        <v/>
      </c>
      <c r="IE37" s="9" t="str">
        <f ca="1">IF(OR(IE10="",IE$28&lt;$A37),"",IE10/OFFSET(SSAutCLM!$A$2,MATCH(IE$29,SSAutCLM!$A$2:$A$500)+$A37-1,1)-1)</f>
        <v/>
      </c>
      <c r="IF37" s="9" t="str">
        <f ca="1">IF(OR(IF10="",IF$28&lt;$A37),"",IF10/OFFSET(SSAutCLM!$A$2,MATCH(IF$29,SSAutCLM!$A$2:$A$500)+$A37-1,1)-1)</f>
        <v/>
      </c>
      <c r="IG37" s="9" t="str">
        <f ca="1">IF(OR(IG10="",IG$28&lt;$A37),"",IG10/OFFSET(SSAutCLM!$A$2,MATCH(IG$29,SSAutCLM!$A$2:$A$500)+$A37-1,1)-1)</f>
        <v/>
      </c>
      <c r="IH37" s="9" t="str">
        <f ca="1">IF(OR(IH10="",IH$28&lt;$A37),"",IH10/OFFSET(SSAutCLM!$A$2,MATCH(IH$29,SSAutCLM!$A$2:$A$500)+$A37-1,1)-1)</f>
        <v/>
      </c>
      <c r="II37" s="9" t="str">
        <f ca="1">IF(OR(II10="",II$28&lt;$A37),"",II10/OFFSET(SSAutCLM!$A$2,MATCH(II$29,SSAutCLM!$A$2:$A$500)+$A37-1,1)-1)</f>
        <v/>
      </c>
      <c r="IJ37" s="9" t="str">
        <f ca="1">IF(OR(IJ10="",IJ$28&lt;$A37),"",IJ10/OFFSET(SSAutCLM!$A$2,MATCH(IJ$29,SSAutCLM!$A$2:$A$500)+$A37-1,1)-1)</f>
        <v/>
      </c>
      <c r="IK37" s="9" t="str">
        <f ca="1">IF(OR(IK10="",IK$28&lt;$A37),"",IK10/OFFSET(SSAutCLM!$A$2,MATCH(IK$29,SSAutCLM!$A$2:$A$500)+$A37-1,1)-1)</f>
        <v/>
      </c>
      <c r="IL37" s="9" t="str">
        <f ca="1">IF(OR(IL10="",IL$28&lt;$A37),"",IL10/OFFSET(SSAutCLM!$A$2,MATCH(IL$29,SSAutCLM!$A$2:$A$500)+$A37-1,1)-1)</f>
        <v/>
      </c>
      <c r="IM37" s="9" t="str">
        <f ca="1">IF(OR(IM10="",IM$28&lt;$A37),"",IM10/OFFSET(SSAutCLM!$A$2,MATCH(IM$29,SSAutCLM!$A$2:$A$500)+$A37-1,1)-1)</f>
        <v/>
      </c>
      <c r="IN37" s="9" t="str">
        <f ca="1">IF(OR(IN10="",IN$28&lt;$A37),"",IN10/OFFSET(SSAutCLM!$A$2,MATCH(IN$29,SSAutCLM!$A$2:$A$500)+$A37-1,1)-1)</f>
        <v/>
      </c>
      <c r="IO37" s="9" t="str">
        <f ca="1">IF(OR(IO10="",IO$28&lt;$A37),"",IO10/OFFSET(SSAutCLM!$A$2,MATCH(IO$29,SSAutCLM!$A$2:$A$500)+$A37-1,1)-1)</f>
        <v/>
      </c>
      <c r="IP37" s="9" t="str">
        <f ca="1">IF(OR(IP10="",IP$28&lt;$A37),"",IP10/OFFSET(SSAutCLM!$A$2,MATCH(IP$29,SSAutCLM!$A$2:$A$500)+$A37-1,1)-1)</f>
        <v/>
      </c>
      <c r="IQ37" s="9" t="str">
        <f ca="1">IF(OR(IQ10="",IQ$28&lt;$A37),"",IQ10/OFFSET(SSAutCLM!$A$2,MATCH(IQ$29,SSAutCLM!$A$2:$A$500)+$A37-1,1)-1)</f>
        <v/>
      </c>
      <c r="IR37" s="9" t="str">
        <f ca="1">IF(OR(IR10="",IR$28&lt;$A37),"",IR10/OFFSET(SSAutCLM!$A$2,MATCH(IR$29,SSAutCLM!$A$2:$A$500)+$A37-1,1)-1)</f>
        <v/>
      </c>
      <c r="IS37" s="9" t="str">
        <f ca="1">IF(OR(IS10="",IS$28&lt;$A37),"",IS10/OFFSET(SSAutCLM!$A$2,MATCH(IS$29,SSAutCLM!$A$2:$A$500)+$A37-1,1)-1)</f>
        <v/>
      </c>
      <c r="IT37" s="9" t="str">
        <f ca="1">IF(OR(IT10="",IT$28&lt;$A37),"",IT10/OFFSET(SSAutCLM!$A$2,MATCH(IT$29,SSAutCLM!$A$2:$A$500)+$A37-1,1)-1)</f>
        <v/>
      </c>
      <c r="IU37" s="9" t="str">
        <f ca="1">IF(OR(IU10="",IU$28&lt;$A37),"",IU10/OFFSET(SSAutCLM!$A$2,MATCH(IU$29,SSAutCLM!$A$2:$A$500)+$A37-1,1)-1)</f>
        <v/>
      </c>
      <c r="IV37" s="9" t="str">
        <f ca="1">IF(OR(IV10="",IV$28&lt;$A37),"",IV10/OFFSET(SSAutCLM!$A$2,MATCH(IV$29,SSAutCLM!$A$2:$A$500)+$A37-1,1)-1)</f>
        <v/>
      </c>
      <c r="IW37" s="9" t="str">
        <f ca="1">IF(OR(IW10="",IW$28&lt;$A37),"",IW10/OFFSET(SSAutCLM!$A$2,MATCH(IW$29,SSAutCLM!$A$2:$A$500)+$A37-1,1)-1)</f>
        <v/>
      </c>
      <c r="IX37" s="9" t="str">
        <f ca="1">IF(OR(IX10="",IX$28&lt;$A37),"",IX10/OFFSET(SSAutCLM!$A$2,MATCH(IX$29,SSAutCLM!$A$2:$A$500)+$A37-1,1)-1)</f>
        <v/>
      </c>
      <c r="IY37" s="9" t="str">
        <f ca="1">IF(OR(IY10="",IY$28&lt;$A37),"",IY10/OFFSET(SSAutCLM!$A$2,MATCH(IY$29,SSAutCLM!$A$2:$A$500)+$A37-1,1)-1)</f>
        <v/>
      </c>
      <c r="IZ37" s="9" t="str">
        <f ca="1">IF(OR(IZ10="",IZ$28&lt;$A37),"",IZ10/OFFSET(SSAutCLM!$A$2,MATCH(IZ$29,SSAutCLM!$A$2:$A$500)+$A37-1,1)-1)</f>
        <v/>
      </c>
      <c r="JA37" s="9" t="str">
        <f ca="1">IF(OR(JA10="",JA$28&lt;$A37),"",JA10/OFFSET(SSAutCLM!$A$2,MATCH(JA$29,SSAutCLM!$A$2:$A$500)+$A37-1,1)-1)</f>
        <v/>
      </c>
      <c r="JB37" s="9" t="str">
        <f ca="1">IF(OR(JB10="",JB$28&lt;$A37),"",JB10/OFFSET(SSAutCLM!$A$2,MATCH(JB$29,SSAutCLM!$A$2:$A$500)+$A37-1,1)-1)</f>
        <v/>
      </c>
      <c r="JC37" s="9" t="str">
        <f ca="1">IF(OR(JC10="",JC$28&lt;$A37),"",JC10/OFFSET(SSAutCLM!$A$2,MATCH(JC$29,SSAutCLM!$A$2:$A$500)+$A37-1,1)-1)</f>
        <v/>
      </c>
      <c r="JD37" s="9" t="str">
        <f ca="1">IF(OR(JD10="",JD$28&lt;$A37),"",JD10/OFFSET(SSAutCLM!$A$2,MATCH(JD$29,SSAutCLM!$A$2:$A$500)+$A37-1,1)-1)</f>
        <v/>
      </c>
      <c r="JE37" s="9" t="str">
        <f ca="1">IF(OR(JE10="",JE$28&lt;$A37),"",JE10/OFFSET(SSAutCLM!$A$2,MATCH(JE$29,SSAutCLM!$A$2:$A$500)+$A37-1,1)-1)</f>
        <v/>
      </c>
      <c r="JF37" s="9" t="str">
        <f ca="1">IF(OR(JF10="",JF$28&lt;$A37),"",JF10/OFFSET(SSAutCLM!$A$2,MATCH(JF$29,SSAutCLM!$A$2:$A$500)+$A37-1,1)-1)</f>
        <v/>
      </c>
      <c r="JG37" s="9" t="str">
        <f ca="1">IF(OR(JG10="",JG$28&lt;$A37),"",JG10/OFFSET(SSAutCLM!$A$2,MATCH(JG$29,SSAutCLM!$A$2:$A$500)+$A37-1,1)-1)</f>
        <v/>
      </c>
      <c r="JH37" s="9" t="str">
        <f ca="1">IF(OR(JH10="",JH$28&lt;$A37),"",JH10/OFFSET(SSAutCLM!$A$2,MATCH(JH$29,SSAutCLM!$A$2:$A$500)+$A37-1,1)-1)</f>
        <v/>
      </c>
      <c r="JI37" s="13">
        <f t="shared" ca="1" si="13"/>
        <v>1.7158825761690627E-3</v>
      </c>
      <c r="JJ37" s="13">
        <f t="shared" ca="1" si="14"/>
        <v>4.9150615090756133E-3</v>
      </c>
      <c r="JK37" s="14">
        <f t="shared" ca="1" si="15"/>
        <v>2.1430813103387317E-4</v>
      </c>
      <c r="JL37" s="17">
        <f t="shared" ca="1" si="18"/>
        <v>1.4639266751920097E-2</v>
      </c>
      <c r="JM37" s="15" t="str">
        <f t="shared" ca="1" si="16"/>
        <v>[ -2,76% ; 3,10% ]</v>
      </c>
      <c r="JN37" s="17">
        <f t="shared" ca="1" si="17"/>
        <v>1.8738261442457726E-2</v>
      </c>
      <c r="LY37" s="1"/>
    </row>
    <row r="38" spans="1:337" x14ac:dyDescent="0.25">
      <c r="A38" s="4">
        <v>9</v>
      </c>
      <c r="B38" s="9">
        <f ca="1">IF(OR(B11="",B$28&lt;$A38),"",B11/OFFSET(SSAutCLM!$A$2,MATCH(B$29,SSAutCLM!$A$2:$A$500)+$A38-1,1)-1)</f>
        <v>-5.4422460443354082E-3</v>
      </c>
      <c r="C38" s="9">
        <f ca="1">IF(OR(C11="",C$28&lt;$A38),"",C11/OFFSET(SSAutCLM!$A$2,MATCH(C$29,SSAutCLM!$A$2:$A$500)+$A38-1,1)-1)</f>
        <v>-3.9113388829337126E-4</v>
      </c>
      <c r="D38" s="9">
        <f ca="1">IF(OR(D11="",D$28&lt;$A38),"",D11/OFFSET(SSAutCLM!$A$2,MATCH(D$29,SSAutCLM!$A$2:$A$500)+$A38-1,1)-1)</f>
        <v>-4.7230536763227526E-3</v>
      </c>
      <c r="E38" s="9">
        <f ca="1">IF(OR(E11="",E$28&lt;$A38),"",E11/OFFSET(SSAutCLM!$A$2,MATCH(E$29,SSAutCLM!$A$2:$A$500)+$A38-1,1)-1)</f>
        <v>-3.9673628133894967E-3</v>
      </c>
      <c r="F38" s="9">
        <f ca="1">IF(OR(F11="",F$28&lt;$A38),"",F11/OFFSET(SSAutCLM!$A$2,MATCH(F$29,SSAutCLM!$A$2:$A$500)+$A38-1,1)-1)</f>
        <v>-6.9184813886595808E-3</v>
      </c>
      <c r="G38" s="9">
        <f ca="1">IF(OR(G11="",G$28&lt;$A38),"",G11/OFFSET(SSAutCLM!$A$2,MATCH(G$29,SSAutCLM!$A$2:$A$500)+$A38-1,1)-1)</f>
        <v>-4.3037188986420061E-3</v>
      </c>
      <c r="H38" s="9">
        <f ca="1">IF(OR(H11="",H$28&lt;$A38),"",H11/OFFSET(SSAutCLM!$A$2,MATCH(H$29,SSAutCLM!$A$2:$A$500)+$A38-1,1)-1)</f>
        <v>-1.2928984559946732E-3</v>
      </c>
      <c r="I38" s="9">
        <f ca="1">IF(OR(I11="",I$28&lt;$A38),"",I11/OFFSET(SSAutCLM!$A$2,MATCH(I$29,SSAutCLM!$A$2:$A$500)+$A38-1,1)-1)</f>
        <v>1.2442242829984185E-3</v>
      </c>
      <c r="J38" s="9">
        <f ca="1">IF(OR(J11="",J$28&lt;$A38),"",J11/OFFSET(SSAutCLM!$A$2,MATCH(J$29,SSAutCLM!$A$2:$A$500)+$A38-1,1)-1)</f>
        <v>1.6474036372204903E-3</v>
      </c>
      <c r="K38" s="9">
        <f ca="1">IF(OR(K11="",K$28&lt;$A38),"",K11/OFFSET(SSAutCLM!$A$2,MATCH(K$29,SSAutCLM!$A$2:$A$500)+$A38-1,1)-1)</f>
        <v>2.6267528940036033E-3</v>
      </c>
      <c r="L38" s="9">
        <f ca="1">IF(OR(L11="",L$28&lt;$A38),"",L11/OFFSET(SSAutCLM!$A$2,MATCH(L$29,SSAutCLM!$A$2:$A$500)+$A38-1,1)-1)</f>
        <v>1.9302539900367677E-3</v>
      </c>
      <c r="M38" s="9">
        <f ca="1">IF(OR(M11="",M$28&lt;$A38),"",M11/OFFSET(SSAutCLM!$A$2,MATCH(M$29,SSAutCLM!$A$2:$A$500)+$A38-1,1)-1)</f>
        <v>1.8754309008812697E-3</v>
      </c>
      <c r="N38" s="9">
        <f ca="1">IF(OR(N11="",N$28&lt;$A38),"",N11/OFFSET(SSAutCLM!$A$2,MATCH(N$29,SSAutCLM!$A$2:$A$500)+$A38-1,1)-1)</f>
        <v>4.9064938225384935E-3</v>
      </c>
      <c r="O38" s="9">
        <f ca="1">IF(OR(O11="",O$28&lt;$A38),"",O11/OFFSET(SSAutCLM!$A$2,MATCH(O$29,SSAutCLM!$A$2:$A$500)+$A38-1,1)-1)</f>
        <v>1.0473311969816823E-2</v>
      </c>
      <c r="P38" s="9">
        <f ca="1">IF(OR(P11="",P$28&lt;$A38),"",P11/OFFSET(SSAutCLM!$A$2,MATCH(P$29,SSAutCLM!$A$2:$A$500)+$A38-1,1)-1)</f>
        <v>1.0659728783281697E-2</v>
      </c>
      <c r="Q38" s="9">
        <f ca="1">IF(OR(Q11="",Q$28&lt;$A38),"",Q11/OFFSET(SSAutCLM!$A$2,MATCH(Q$29,SSAutCLM!$A$2:$A$500)+$A38-1,1)-1)</f>
        <v>7.4768738705690563E-3</v>
      </c>
      <c r="R38" s="9">
        <f ca="1">IF(OR(R11="",R$28&lt;$A38),"",R11/OFFSET(SSAutCLM!$A$2,MATCH(R$29,SSAutCLM!$A$2:$A$500)+$A38-1,1)-1)</f>
        <v>6.0715226984129345E-3</v>
      </c>
      <c r="S38" s="9">
        <f ca="1">IF(OR(S11="",S$28&lt;$A38),"",S11/OFFSET(SSAutCLM!$A$2,MATCH(S$29,SSAutCLM!$A$2:$A$500)+$A38-1,1)-1)</f>
        <v>2.0672784213433548E-3</v>
      </c>
      <c r="T38" s="9">
        <f ca="1">IF(OR(T11="",T$28&lt;$A38),"",T11/OFFSET(SSAutCLM!$A$2,MATCH(T$29,SSAutCLM!$A$2:$A$500)+$A38-1,1)-1)</f>
        <v>1.4088611318368027E-3</v>
      </c>
      <c r="U38" s="9">
        <f ca="1">IF(OR(U11="",U$28&lt;$A38),"",U11/OFFSET(SSAutCLM!$A$2,MATCH(U$29,SSAutCLM!$A$2:$A$500)+$A38-1,1)-1)</f>
        <v>4.1335616311655166E-4</v>
      </c>
      <c r="V38" s="9">
        <f ca="1">IF(OR(V11="",V$28&lt;$A38),"",V11/OFFSET(SSAutCLM!$A$2,MATCH(V$29,SSAutCLM!$A$2:$A$500)+$A38-1,1)-1)</f>
        <v>-9.854273449471096E-4</v>
      </c>
      <c r="W38" s="9">
        <f ca="1">IF(OR(W11="",W$28&lt;$A38),"",W11/OFFSET(SSAutCLM!$A$2,MATCH(W$29,SSAutCLM!$A$2:$A$500)+$A38-1,1)-1)</f>
        <v>-1.6114924496608563E-3</v>
      </c>
      <c r="X38" s="9">
        <f ca="1">IF(OR(X11="",X$28&lt;$A38),"",X11/OFFSET(SSAutCLM!$A$2,MATCH(X$29,SSAutCLM!$A$2:$A$500)+$A38-1,1)-1)</f>
        <v>-2.3185506575258419E-3</v>
      </c>
      <c r="Y38" s="9">
        <f ca="1">IF(OR(Y11="",Y$28&lt;$A38),"",Y11/OFFSET(SSAutCLM!$A$2,MATCH(Y$29,SSAutCLM!$A$2:$A$500)+$A38-1,1)-1)</f>
        <v>-4.3774821849654755E-3</v>
      </c>
      <c r="Z38" s="9">
        <f ca="1">IF(OR(Z11="",Z$28&lt;$A38),"",Z11/OFFSET(SSAutCLM!$A$2,MATCH(Z$29,SSAutCLM!$A$2:$A$500)+$A38-1,1)-1)</f>
        <v>-3.2859271792708977E-3</v>
      </c>
      <c r="AA38" s="9">
        <f ca="1">IF(OR(AA11="",AA$28&lt;$A38),"",AA11/OFFSET(SSAutCLM!$A$2,MATCH(AA$29,SSAutCLM!$A$2:$A$500)+$A38-1,1)-1)</f>
        <v>-1.7401719747659472E-3</v>
      </c>
      <c r="AB38" s="9">
        <f ca="1">IF(OR(AB11="",AB$28&lt;$A38),"",AB11/OFFSET(SSAutCLM!$A$2,MATCH(AB$29,SSAutCLM!$A$2:$A$500)+$A38-1,1)-1)</f>
        <v>-1.6168319351139715E-4</v>
      </c>
      <c r="AC38" s="9">
        <f ca="1">IF(OR(AC11="",AC$28&lt;$A38),"",AC11/OFFSET(SSAutCLM!$A$2,MATCH(AC$29,SSAutCLM!$A$2:$A$500)+$A38-1,1)-1)</f>
        <v>-3.1769576642954878E-3</v>
      </c>
      <c r="AD38" s="9">
        <f ca="1">IF(OR(AD11="",AD$28&lt;$A38),"",AD11/OFFSET(SSAutCLM!$A$2,MATCH(AD$29,SSAutCLM!$A$2:$A$500)+$A38-1,1)-1)</f>
        <v>-4.4923874703575173E-3</v>
      </c>
      <c r="AE38" s="9">
        <f ca="1">IF(OR(AE11="",AE$28&lt;$A38),"",AE11/OFFSET(SSAutCLM!$A$2,MATCH(AE$29,SSAutCLM!$A$2:$A$500)+$A38-1,1)-1)</f>
        <v>-6.5350007199624915E-3</v>
      </c>
      <c r="AF38" s="9">
        <f ca="1">IF(OR(AF11="",AF$28&lt;$A38),"",AF11/OFFSET(SSAutCLM!$A$2,MATCH(AF$29,SSAutCLM!$A$2:$A$500)+$A38-1,1)-1)</f>
        <v>-8.5316146310691066E-3</v>
      </c>
      <c r="AG38" s="9">
        <f ca="1">IF(OR(AG11="",AG$28&lt;$A38),"",AG11/OFFSET(SSAutCLM!$A$2,MATCH(AG$29,SSAutCLM!$A$2:$A$500)+$A38-1,1)-1)</f>
        <v>-8.4458446156460143E-3</v>
      </c>
      <c r="AH38" s="9">
        <f ca="1">IF(OR(AH11="",AH$28&lt;$A38),"",AH11/OFFSET(SSAutCLM!$A$2,MATCH(AH$29,SSAutCLM!$A$2:$A$500)+$A38-1,1)-1)</f>
        <v>-1.1260938071686821E-2</v>
      </c>
      <c r="AI38" s="9">
        <f ca="1">IF(OR(AI11="",AI$28&lt;$A38),"",AI11/OFFSET(SSAutCLM!$A$2,MATCH(AI$29,SSAutCLM!$A$2:$A$500)+$A38-1,1)-1)</f>
        <v>-1.2753957543771621E-2</v>
      </c>
      <c r="AJ38" s="9">
        <f ca="1">IF(OR(AJ11="",AJ$28&lt;$A38),"",AJ11/OFFSET(SSAutCLM!$A$2,MATCH(AJ$29,SSAutCLM!$A$2:$A$500)+$A38-1,1)-1)</f>
        <v>-1.2736084561241201E-2</v>
      </c>
      <c r="AK38" s="9">
        <f ca="1">IF(OR(AK11="",AK$28&lt;$A38),"",AK11/OFFSET(SSAutCLM!$A$2,MATCH(AK$29,SSAutCLM!$A$2:$A$500)+$A38-1,1)-1)</f>
        <v>-1.3341905025482492E-2</v>
      </c>
      <c r="AL38" s="9">
        <f ca="1">IF(OR(AL11="",AL$28&lt;$A38),"",AL11/OFFSET(SSAutCLM!$A$2,MATCH(AL$29,SSAutCLM!$A$2:$A$500)+$A38-1,1)-1)</f>
        <v>-1.1951372740934607E-2</v>
      </c>
      <c r="AM38" s="9">
        <f ca="1">IF(OR(AM11="",AM$28&lt;$A38),"",AM11/OFFSET(SSAutCLM!$A$2,MATCH(AM$29,SSAutCLM!$A$2:$A$500)+$A38-1,1)-1)</f>
        <v>-1.2586018961992518E-2</v>
      </c>
      <c r="AN38" s="9">
        <f ca="1">IF(OR(AN11="",AN$28&lt;$A38),"",AN11/OFFSET(SSAutCLM!$A$2,MATCH(AN$29,SSAutCLM!$A$2:$A$500)+$A38-1,1)-1)</f>
        <v>-7.4895682587541312E-3</v>
      </c>
      <c r="AO38" s="9">
        <f ca="1">IF(OR(AO11="",AO$28&lt;$A38),"",AO11/OFFSET(SSAutCLM!$A$2,MATCH(AO$29,SSAutCLM!$A$2:$A$500)+$A38-1,1)-1)</f>
        <v>-1.6580300536312986E-3</v>
      </c>
      <c r="AP38" s="9">
        <f ca="1">IF(OR(AP11="",AP$28&lt;$A38),"",AP11/OFFSET(SSAutCLM!$A$2,MATCH(AP$29,SSAutCLM!$A$2:$A$500)+$A38-1,1)-1)</f>
        <v>-8.3136182942822323E-4</v>
      </c>
      <c r="AQ38" s="9">
        <f ca="1">IF(OR(AQ11="",AQ$28&lt;$A38),"",AQ11/OFFSET(SSAutCLM!$A$2,MATCH(AQ$29,SSAutCLM!$A$2:$A$500)+$A38-1,1)-1)</f>
        <v>3.0110019054747639E-3</v>
      </c>
      <c r="AR38" s="9">
        <f ca="1">IF(OR(AR11="",AR$28&lt;$A38),"",AR11/OFFSET(SSAutCLM!$A$2,MATCH(AR$29,SSAutCLM!$A$2:$A$500)+$A38-1,1)-1)</f>
        <v>8.2284121757891793E-3</v>
      </c>
      <c r="AS38" s="9">
        <f ca="1">IF(OR(AS11="",AS$28&lt;$A38),"",AS11/OFFSET(SSAutCLM!$A$2,MATCH(AS$29,SSAutCLM!$A$2:$A$500)+$A38-1,1)-1)</f>
        <v>1.8077435230793526E-2</v>
      </c>
      <c r="AT38" s="9">
        <f ca="1">IF(OR(AT11="",AT$28&lt;$A38),"",AT11/OFFSET(SSAutCLM!$A$2,MATCH(AT$29,SSAutCLM!$A$2:$A$500)+$A38-1,1)-1)</f>
        <v>2.4502365685131089E-2</v>
      </c>
      <c r="AU38" s="9">
        <f ca="1">IF(OR(AU11="",AU$28&lt;$A38),"",AU11/OFFSET(SSAutCLM!$A$2,MATCH(AU$29,SSAutCLM!$A$2:$A$500)+$A38-1,1)-1)</f>
        <v>3.240198268915484E-2</v>
      </c>
      <c r="AV38" s="9">
        <f ca="1">IF(OR(AV11="",AV$28&lt;$A38),"",AV11/OFFSET(SSAutCLM!$A$2,MATCH(AV$29,SSAutCLM!$A$2:$A$500)+$A38-1,1)-1)</f>
        <v>4.1285742316463203E-2</v>
      </c>
      <c r="AW38" s="9">
        <f ca="1">IF(OR(AW11="",AW$28&lt;$A38),"",AW11/OFFSET(SSAutCLM!$A$2,MATCH(AW$29,SSAutCLM!$A$2:$A$500)+$A38-1,1)-1)</f>
        <v>4.882401914041945E-2</v>
      </c>
      <c r="AX38" s="9">
        <f ca="1">IF(OR(AX11="",AX$28&lt;$A38),"",AX11/OFFSET(SSAutCLM!$A$2,MATCH(AX$29,SSAutCLM!$A$2:$A$500)+$A38-1,1)-1)</f>
        <v>4.8049727606669368E-2</v>
      </c>
      <c r="AY38" s="9">
        <f ca="1">IF(OR(AY11="",AY$28&lt;$A38),"",AY11/OFFSET(SSAutCLM!$A$2,MATCH(AY$29,SSAutCLM!$A$2:$A$500)+$A38-1,1)-1)</f>
        <v>4.8685133886794407E-2</v>
      </c>
      <c r="AZ38" s="9">
        <f ca="1">IF(OR(AZ11="",AZ$28&lt;$A38),"",AZ11/OFFSET(SSAutCLM!$A$2,MATCH(AZ$29,SSAutCLM!$A$2:$A$500)+$A38-1,1)-1)</f>
        <v>4.9659202619809939E-2</v>
      </c>
      <c r="BA38" s="9">
        <f ca="1">IF(OR(BA11="",BA$28&lt;$A38),"",BA11/OFFSET(SSAutCLM!$A$2,MATCH(BA$29,SSAutCLM!$A$2:$A$500)+$A38-1,1)-1)</f>
        <v>5.2723621891340056E-2</v>
      </c>
      <c r="BB38" s="9">
        <f ca="1">IF(OR(BB11="",BB$28&lt;$A38),"",BB11/OFFSET(SSAutCLM!$A$2,MATCH(BB$29,SSAutCLM!$A$2:$A$500)+$A38-1,1)-1)</f>
        <v>4.7360311670714417E-2</v>
      </c>
      <c r="BC38" s="9">
        <f ca="1">IF(OR(BC11="",BC$28&lt;$A38),"",BC11/OFFSET(SSAutCLM!$A$2,MATCH(BC$29,SSAutCLM!$A$2:$A$500)+$A38-1,1)-1)</f>
        <v>2.9897611064612972E-2</v>
      </c>
      <c r="BD38" s="9">
        <f ca="1">IF(OR(BD11="",BD$28&lt;$A38),"",BD11/OFFSET(SSAutCLM!$A$2,MATCH(BD$29,SSAutCLM!$A$2:$A$500)+$A38-1,1)-1)</f>
        <v>3.9120646620701249E-2</v>
      </c>
      <c r="BE38" s="9">
        <f ca="1">IF(OR(BE11="",BE$28&lt;$A38),"",BE11/OFFSET(SSAutCLM!$A$2,MATCH(BE$29,SSAutCLM!$A$2:$A$500)+$A38-1,1)-1)</f>
        <v>4.2436904935341913E-2</v>
      </c>
      <c r="BF38" s="9">
        <f ca="1">IF(OR(BF11="",BF$28&lt;$A38),"",BF11/OFFSET(SSAutCLM!$A$2,MATCH(BF$29,SSAutCLM!$A$2:$A$500)+$A38-1,1)-1)</f>
        <v>4.0885884829791719E-2</v>
      </c>
      <c r="BG38" s="9">
        <f ca="1">IF(OR(BG11="",BG$28&lt;$A38),"",BG11/OFFSET(SSAutCLM!$A$2,MATCH(BG$29,SSAutCLM!$A$2:$A$500)+$A38-1,1)-1)</f>
        <v>3.8104748543432043E-2</v>
      </c>
      <c r="BH38" s="9">
        <f ca="1">IF(OR(BH11="",BH$28&lt;$A38),"",BH11/OFFSET(SSAutCLM!$A$2,MATCH(BH$29,SSAutCLM!$A$2:$A$500)+$A38-1,1)-1)</f>
        <v>2.3282234431680759E-2</v>
      </c>
      <c r="BI38" s="9">
        <f ca="1">IF(OR(BI11="",BI$28&lt;$A38),"",BI11/OFFSET(SSAutCLM!$A$2,MATCH(BI$29,SSAutCLM!$A$2:$A$500)+$A38-1,1)-1)</f>
        <v>1.0699996022144331E-2</v>
      </c>
      <c r="BJ38" s="9">
        <f ca="1">IF(OR(BJ11="",BJ$28&lt;$A38),"",BJ11/OFFSET(SSAutCLM!$A$2,MATCH(BJ$29,SSAutCLM!$A$2:$A$500)+$A38-1,1)-1)</f>
        <v>-1.1664712404411137E-2</v>
      </c>
      <c r="BK38" s="9">
        <f ca="1">IF(OR(BK11="",BK$28&lt;$A38),"",BK11/OFFSET(SSAutCLM!$A$2,MATCH(BK$29,SSAutCLM!$A$2:$A$500)+$A38-1,1)-1)</f>
        <v>-1.784427457130644E-2</v>
      </c>
      <c r="BL38" s="9">
        <f ca="1">IF(OR(BL11="",BL$28&lt;$A38),"",BL11/OFFSET(SSAutCLM!$A$2,MATCH(BL$29,SSAutCLM!$A$2:$A$500)+$A38-1,1)-1)</f>
        <v>-3.6944158016721906E-2</v>
      </c>
      <c r="BM38" s="9">
        <f ca="1">IF(OR(BM11="",BM$28&lt;$A38),"",BM11/OFFSET(SSAutCLM!$A$2,MATCH(BM$29,SSAutCLM!$A$2:$A$500)+$A38-1,1)-1)</f>
        <v>-4.953823054514328E-2</v>
      </c>
      <c r="BN38" s="9">
        <f ca="1">IF(OR(BN11="",BN$28&lt;$A38),"",BN11/OFFSET(SSAutCLM!$A$2,MATCH(BN$29,SSAutCLM!$A$2:$A$500)+$A38-1,1)-1)</f>
        <v>-5.1935912896656777E-2</v>
      </c>
      <c r="BO38" s="9">
        <f ca="1">IF(OR(BO11="",BO$28&lt;$A38),"",BO11/OFFSET(SSAutCLM!$A$2,MATCH(BO$29,SSAutCLM!$A$2:$A$500)+$A38-1,1)-1)</f>
        <v>-3.5063565123810481E-2</v>
      </c>
      <c r="BP38" s="9">
        <f ca="1">IF(OR(BP11="",BP$28&lt;$A38),"",BP11/OFFSET(SSAutCLM!$A$2,MATCH(BP$29,SSAutCLM!$A$2:$A$500)+$A38-1,1)-1)</f>
        <v>-1.5705347395794989E-2</v>
      </c>
      <c r="BQ38" s="9">
        <f ca="1">IF(OR(BQ11="",BQ$28&lt;$A38),"",BQ11/OFFSET(SSAutCLM!$A$2,MATCH(BQ$29,SSAutCLM!$A$2:$A$500)+$A38-1,1)-1)</f>
        <v>-1.775717643194874E-2</v>
      </c>
      <c r="BR38" s="9">
        <f ca="1">IF(OR(BR11="",BR$28&lt;$A38),"",BR11/OFFSET(SSAutCLM!$A$2,MATCH(BR$29,SSAutCLM!$A$2:$A$500)+$A38-1,1)-1)</f>
        <v>-2.0372611741772628E-2</v>
      </c>
      <c r="BS38" s="9">
        <f ca="1">IF(OR(BS11="",BS$28&lt;$A38),"",BS11/OFFSET(SSAutCLM!$A$2,MATCH(BS$29,SSAutCLM!$A$2:$A$500)+$A38-1,1)-1)</f>
        <v>-2.6095384096766261E-2</v>
      </c>
      <c r="BT38" s="9">
        <f ca="1">IF(OR(BT11="",BT$28&lt;$A38),"",BT11/OFFSET(SSAutCLM!$A$2,MATCH(BT$29,SSAutCLM!$A$2:$A$500)+$A38-1,1)-1)</f>
        <v>-3.3044994916663128E-2</v>
      </c>
      <c r="BU38" s="9">
        <f ca="1">IF(OR(BU11="",BU$28&lt;$A38),"",BU11/OFFSET(SSAutCLM!$A$2,MATCH(BU$29,SSAutCLM!$A$2:$A$500)+$A38-1,1)-1)</f>
        <v>-2.1078763436678138E-2</v>
      </c>
      <c r="BV38" s="9">
        <f ca="1">IF(OR(BV11="",BV$28&lt;$A38),"",BV11/OFFSET(SSAutCLM!$A$2,MATCH(BV$29,SSAutCLM!$A$2:$A$500)+$A38-1,1)-1)</f>
        <v>-7.0356093601453562E-3</v>
      </c>
      <c r="BW38" s="9">
        <f ca="1">IF(OR(BW11="",BW$28&lt;$A38),"",BW11/OFFSET(SSAutCLM!$A$2,MATCH(BW$29,SSAutCLM!$A$2:$A$500)+$A38-1,1)-1)</f>
        <v>-1.1139390930412496E-2</v>
      </c>
      <c r="BX38" s="9">
        <f ca="1">IF(OR(BX11="",BX$28&lt;$A38),"",BX11/OFFSET(SSAutCLM!$A$2,MATCH(BX$29,SSAutCLM!$A$2:$A$500)+$A38-1,1)-1)</f>
        <v>-2.0682434228965429E-2</v>
      </c>
      <c r="BY38" s="9">
        <f ca="1">IF(OR(BY11="",BY$28&lt;$A38),"",BY11/OFFSET(SSAutCLM!$A$2,MATCH(BY$29,SSAutCLM!$A$2:$A$500)+$A38-1,1)-1)</f>
        <v>-8.2468750994643125E-3</v>
      </c>
      <c r="BZ38" s="9">
        <f ca="1">IF(OR(BZ11="",BZ$28&lt;$A38),"",BZ11/OFFSET(SSAutCLM!$A$2,MATCH(BZ$29,SSAutCLM!$A$2:$A$500)+$A38-1,1)-1)</f>
        <v>1.0105909612176944E-2</v>
      </c>
      <c r="CA38" s="9">
        <f ca="1">IF(OR(CA11="",CA$28&lt;$A38),"",CA11/OFFSET(SSAutCLM!$A$2,MATCH(CA$29,SSAutCLM!$A$2:$A$500)+$A38-1,1)-1)</f>
        <v>1.9008908551940928E-2</v>
      </c>
      <c r="CB38" s="9">
        <f ca="1">IF(OR(CB11="",CB$28&lt;$A38),"",CB11/OFFSET(SSAutCLM!$A$2,MATCH(CB$29,SSAutCLM!$A$2:$A$500)+$A38-1,1)-1)</f>
        <v>1.8305877973493478E-2</v>
      </c>
      <c r="CC38" s="9">
        <f ca="1">IF(OR(CC11="",CC$28&lt;$A38),"",CC11/OFFSET(SSAutCLM!$A$2,MATCH(CC$29,SSAutCLM!$A$2:$A$500)+$A38-1,1)-1)</f>
        <v>8.7105567219976088E-3</v>
      </c>
      <c r="CD38" s="9">
        <f ca="1">IF(OR(CD11="",CD$28&lt;$A38),"",CD11/OFFSET(SSAutCLM!$A$2,MATCH(CD$29,SSAutCLM!$A$2:$A$500)+$A38-1,1)-1)</f>
        <v>-2.9540523257217677E-3</v>
      </c>
      <c r="CE38" s="9">
        <f ca="1">IF(OR(CE11="",CE$28&lt;$A38),"",CE11/OFFSET(SSAutCLM!$A$2,MATCH(CE$29,SSAutCLM!$A$2:$A$500)+$A38-1,1)-1)</f>
        <v>-4.8935601954535057E-3</v>
      </c>
      <c r="CF38" s="9">
        <f ca="1">IF(OR(CF11="",CF$28&lt;$A38),"",CF11/OFFSET(SSAutCLM!$A$2,MATCH(CF$29,SSAutCLM!$A$2:$A$500)+$A38-1,1)-1)</f>
        <v>-1.234885340771541E-3</v>
      </c>
      <c r="CG38" s="9">
        <f ca="1">IF(OR(CG11="",CG$28&lt;$A38),"",CG11/OFFSET(SSAutCLM!$A$2,MATCH(CG$29,SSAutCLM!$A$2:$A$500)+$A38-1,1)-1)</f>
        <v>-4.0143462660876539E-3</v>
      </c>
      <c r="CH38" s="9">
        <f ca="1">IF(OR(CH11="",CH$28&lt;$A38),"",CH11/OFFSET(SSAutCLM!$A$2,MATCH(CH$29,SSAutCLM!$A$2:$A$500)+$A38-1,1)-1)</f>
        <v>-8.5629489988071628E-3</v>
      </c>
      <c r="CI38" s="9">
        <f ca="1">IF(OR(CI11="",CI$28&lt;$A38),"",CI11/OFFSET(SSAutCLM!$A$2,MATCH(CI$29,SSAutCLM!$A$2:$A$500)+$A38-1,1)-1)</f>
        <v>-1.3640027292518564E-3</v>
      </c>
      <c r="CJ38" s="9">
        <f ca="1">IF(OR(CJ11="",CJ$28&lt;$A38),"",CJ11/OFFSET(SSAutCLM!$A$2,MATCH(CJ$29,SSAutCLM!$A$2:$A$500)+$A38-1,1)-1)</f>
        <v>-1.3238059709028804E-2</v>
      </c>
      <c r="CK38" s="9">
        <f ca="1">IF(OR(CK11="",CK$28&lt;$A38),"",CK11/OFFSET(SSAutCLM!$A$2,MATCH(CK$29,SSAutCLM!$A$2:$A$500)+$A38-1,1)-1)</f>
        <v>9.8147445596092897E-3</v>
      </c>
      <c r="CL38" s="9">
        <f ca="1">IF(OR(CL11="",CL$28&lt;$A38),"",CL11/OFFSET(SSAutCLM!$A$2,MATCH(CL$29,SSAutCLM!$A$2:$A$500)+$A38-1,1)-1)</f>
        <v>2.1498336157949494E-2</v>
      </c>
      <c r="CM38" s="9">
        <f ca="1">IF(OR(CM11="",CM$28&lt;$A38),"",CM11/OFFSET(SSAutCLM!$A$2,MATCH(CM$29,SSAutCLM!$A$2:$A$500)+$A38-1,1)-1)</f>
        <v>3.1263548556727416E-2</v>
      </c>
      <c r="CN38" s="9">
        <f ca="1">IF(OR(CN11="",CN$28&lt;$A38),"",CN11/OFFSET(SSAutCLM!$A$2,MATCH(CN$29,SSAutCLM!$A$2:$A$500)+$A38-1,1)-1)</f>
        <v>2.2770210600210339E-2</v>
      </c>
      <c r="CO38" s="9">
        <f ca="1">IF(OR(CO11="",CO$28&lt;$A38),"",CO11/OFFSET(SSAutCLM!$A$2,MATCH(CO$29,SSAutCLM!$A$2:$A$500)+$A38-1,1)-1)</f>
        <v>9.8195293489375945E-3</v>
      </c>
      <c r="CP38" s="9">
        <f ca="1">IF(OR(CP11="",CP$28&lt;$A38),"",CP11/OFFSET(SSAutCLM!$A$2,MATCH(CP$29,SSAutCLM!$A$2:$A$500)+$A38-1,1)-1)</f>
        <v>-4.7146715812418361E-4</v>
      </c>
      <c r="CQ38" s="9">
        <f ca="1">IF(OR(CQ11="",CQ$28&lt;$A38),"",CQ11/OFFSET(SSAutCLM!$A$2,MATCH(CQ$29,SSAutCLM!$A$2:$A$500)+$A38-1,1)-1)</f>
        <v>4.245866898972217E-3</v>
      </c>
      <c r="CR38" s="9">
        <f ca="1">IF(OR(CR11="",CR$28&lt;$A38),"",CR11/OFFSET(SSAutCLM!$A$2,MATCH(CR$29,SSAutCLM!$A$2:$A$500)+$A38-1,1)-1)</f>
        <v>1.3358680304336179E-3</v>
      </c>
      <c r="CS38" s="9">
        <f ca="1">IF(OR(CS11="",CS$28&lt;$A38),"",CS11/OFFSET(SSAutCLM!$A$2,MATCH(CS$29,SSAutCLM!$A$2:$A$500)+$A38-1,1)-1)</f>
        <v>-1.9935430590248826E-3</v>
      </c>
      <c r="CT38" s="9">
        <f ca="1">IF(OR(CT11="",CT$28&lt;$A38),"",CT11/OFFSET(SSAutCLM!$A$2,MATCH(CT$29,SSAutCLM!$A$2:$A$500)+$A38-1,1)-1)</f>
        <v>-4.8695318495910467E-3</v>
      </c>
      <c r="CU38" s="9">
        <f ca="1">IF(OR(CU11="",CU$28&lt;$A38),"",CU11/OFFSET(SSAutCLM!$A$2,MATCH(CU$29,SSAutCLM!$A$2:$A$500)+$A38-1,1)-1)</f>
        <v>-4.0757663835433111E-2</v>
      </c>
      <c r="CV38" s="9">
        <f ca="1">IF(OR(CV11="",CV$28&lt;$A38),"",CV11/OFFSET(SSAutCLM!$A$2,MATCH(CV$29,SSAutCLM!$A$2:$A$500)+$A38-1,1)-1)</f>
        <v>-9.7259131868300264E-3</v>
      </c>
      <c r="CW38" s="9">
        <f ca="1">IF(OR(CW11="",CW$28&lt;$A38),"",CW11/OFFSET(SSAutCLM!$A$2,MATCH(CW$29,SSAutCLM!$A$2:$A$500)+$A38-1,1)-1)</f>
        <v>-7.1364310765154038E-5</v>
      </c>
      <c r="CX38" s="9">
        <f ca="1">IF(OR(CX11="",CX$28&lt;$A38),"",CX11/OFFSET(SSAutCLM!$A$2,MATCH(CX$29,SSAutCLM!$A$2:$A$500)+$A38-1,1)-1)</f>
        <v>4.4527297032970203E-3</v>
      </c>
      <c r="CY38" s="9">
        <f ca="1">IF(OR(CY11="",CY$28&lt;$A38),"",CY11/OFFSET(SSAutCLM!$A$2,MATCH(CY$29,SSAutCLM!$A$2:$A$500)+$A38-1,1)-1)</f>
        <v>5.1167217865413228E-3</v>
      </c>
      <c r="CZ38" s="9">
        <f ca="1">IF(OR(CZ11="",CZ$28&lt;$A38),"",CZ11/OFFSET(SSAutCLM!$A$2,MATCH(CZ$29,SSAutCLM!$A$2:$A$500)+$A38-1,1)-1)</f>
        <v>4.0392191030542701E-3</v>
      </c>
      <c r="DA38" s="9">
        <f ca="1">IF(OR(DA11="",DA$28&lt;$A38),"",DA11/OFFSET(SSAutCLM!$A$2,MATCH(DA$29,SSAutCLM!$A$2:$A$500)+$A38-1,1)-1)</f>
        <v>4.5072654435733828E-3</v>
      </c>
      <c r="DB38" s="9">
        <f ca="1">IF(OR(DB11="",DB$28&lt;$A38),"",DB11/OFFSET(SSAutCLM!$A$2,MATCH(DB$29,SSAutCLM!$A$2:$A$500)+$A38-1,1)-1)</f>
        <v>-9.4836221969973877E-3</v>
      </c>
      <c r="DC38" s="9">
        <f ca="1">IF(OR(DC11="",DC$28&lt;$A38),"",DC11/OFFSET(SSAutCLM!$A$2,MATCH(DC$29,SSAutCLM!$A$2:$A$500)+$A38-1,1)-1)</f>
        <v>-1.7645479353165849E-2</v>
      </c>
      <c r="DD38" s="9">
        <f ca="1">IF(OR(DD11="",DD$28&lt;$A38),"",DD11/OFFSET(SSAutCLM!$A$2,MATCH(DD$29,SSAutCLM!$A$2:$A$500)+$A38-1,1)-1)</f>
        <v>-1.1611444997641773E-2</v>
      </c>
      <c r="DE38" s="9">
        <f ca="1">IF(OR(DE11="",DE$28&lt;$A38),"",DE11/OFFSET(SSAutCLM!$A$2,MATCH(DE$29,SSAutCLM!$A$2:$A$500)+$A38-1,1)-1)</f>
        <v>-1.5344099657137567E-2</v>
      </c>
      <c r="DF38" s="9">
        <f ca="1">IF(OR(DF11="",DF$28&lt;$A38),"",DF11/OFFSET(SSAutCLM!$A$2,MATCH(DF$29,SSAutCLM!$A$2:$A$500)+$A38-1,1)-1)</f>
        <v>-1.5415739574641929E-2</v>
      </c>
      <c r="DG38" s="9">
        <f ca="1">IF(OR(DG11="",DG$28&lt;$A38),"",DG11/OFFSET(SSAutCLM!$A$2,MATCH(DG$29,SSAutCLM!$A$2:$A$500)+$A38-1,1)-1)</f>
        <v>-2.3013749153518837E-2</v>
      </c>
      <c r="DH38" s="9">
        <f ca="1">IF(OR(DH11="",DH$28&lt;$A38),"",DH11/OFFSET(SSAutCLM!$A$2,MATCH(DH$29,SSAutCLM!$A$2:$A$500)+$A38-1,1)-1)</f>
        <v>-3.1793390755255668E-2</v>
      </c>
      <c r="DI38" s="9">
        <f ca="1">IF(OR(DI11="",DI$28&lt;$A38),"",DI11/OFFSET(SSAutCLM!$A$2,MATCH(DI$29,SSAutCLM!$A$2:$A$500)+$A38-1,1)-1)</f>
        <v>-2.5689781095210917E-2</v>
      </c>
      <c r="DJ38" s="9">
        <f ca="1">IF(OR(DJ11="",DJ$28&lt;$A38),"",DJ11/OFFSET(SSAutCLM!$A$2,MATCH(DJ$29,SSAutCLM!$A$2:$A$500)+$A38-1,1)-1)</f>
        <v>-1.4558634785910463E-2</v>
      </c>
      <c r="DK38" s="9">
        <f ca="1">IF(OR(DK11="",DK$28&lt;$A38),"",DK11/OFFSET(SSAutCLM!$A$2,MATCH(DK$29,SSAutCLM!$A$2:$A$500)+$A38-1,1)-1)</f>
        <v>-1.7087956119411496E-3</v>
      </c>
      <c r="DL38" s="9">
        <f ca="1">IF(OR(DL11="",DL$28&lt;$A38),"",DL11/OFFSET(SSAutCLM!$A$2,MATCH(DL$29,SSAutCLM!$A$2:$A$500)+$A38-1,1)-1)</f>
        <v>1.2066373700339028E-3</v>
      </c>
      <c r="DM38" s="9">
        <f ca="1">IF(OR(DM11="",DM$28&lt;$A38),"",DM11/OFFSET(SSAutCLM!$A$2,MATCH(DM$29,SSAutCLM!$A$2:$A$500)+$A38-1,1)-1)</f>
        <v>7.6620473374389153E-3</v>
      </c>
      <c r="DN38" s="9">
        <f ca="1">IF(OR(DN11="",DN$28&lt;$A38),"",DN11/OFFSET(SSAutCLM!$A$2,MATCH(DN$29,SSAutCLM!$A$2:$A$500)+$A38-1,1)-1)</f>
        <v>-1.1728701686504306E-2</v>
      </c>
      <c r="DO38" s="9">
        <f ca="1">IF(OR(DO11="",DO$28&lt;$A38),"",DO11/OFFSET(SSAutCLM!$A$2,MATCH(DO$29,SSAutCLM!$A$2:$A$500)+$A38-1,1)-1)</f>
        <v>-9.3563360003285911E-3</v>
      </c>
      <c r="DP38" s="9">
        <f ca="1">IF(OR(DP11="",DP$28&lt;$A38),"",DP11/OFFSET(SSAutCLM!$A$2,MATCH(DP$29,SSAutCLM!$A$2:$A$500)+$A38-1,1)-1)</f>
        <v>4.3433033480511085E-4</v>
      </c>
      <c r="DQ38" s="9">
        <f ca="1">IF(OR(DQ11="",DQ$28&lt;$A38),"",DQ11/OFFSET(SSAutCLM!$A$2,MATCH(DQ$29,SSAutCLM!$A$2:$A$500)+$A38-1,1)-1)</f>
        <v>1.1349405366704479E-2</v>
      </c>
      <c r="DR38" s="9">
        <f ca="1">IF(OR(DR11="",DR$28&lt;$A38),"",DR11/OFFSET(SSAutCLM!$A$2,MATCH(DR$29,SSAutCLM!$A$2:$A$500)+$A38-1,1)-1)</f>
        <v>1.3363408118083564E-2</v>
      </c>
      <c r="DS38" s="9">
        <f ca="1">IF(OR(DS11="",DS$28&lt;$A38),"",DS11/OFFSET(SSAutCLM!$A$2,MATCH(DS$29,SSAutCLM!$A$2:$A$500)+$A38-1,1)-1)</f>
        <v>4.1620400192465823E-3</v>
      </c>
      <c r="DT38" s="9" t="str">
        <f ca="1">IF(OR(DT11="",DT$28&lt;$A38),"",DT11/OFFSET(SSAutCLM!$A$2,MATCH(DT$29,SSAutCLM!$A$2:$A$500)+$A38-1,1)-1)</f>
        <v/>
      </c>
      <c r="DU38" s="9" t="str">
        <f ca="1">IF(OR(DU11="",DU$28&lt;$A38),"",DU11/OFFSET(SSAutCLM!$A$2,MATCH(DU$29,SSAutCLM!$A$2:$A$500)+$A38-1,1)-1)</f>
        <v/>
      </c>
      <c r="DV38" s="9" t="str">
        <f ca="1">IF(OR(DV11="",DV$28&lt;$A38),"",DV11/OFFSET(SSAutCLM!$A$2,MATCH(DV$29,SSAutCLM!$A$2:$A$500)+$A38-1,1)-1)</f>
        <v/>
      </c>
      <c r="DW38" s="9" t="str">
        <f ca="1">IF(OR(DW11="",DW$28&lt;$A38),"",DW11/OFFSET(SSAutCLM!$A$2,MATCH(DW$29,SSAutCLM!$A$2:$A$500)+$A38-1,1)-1)</f>
        <v/>
      </c>
      <c r="DX38" s="9" t="str">
        <f ca="1">IF(OR(DX11="",DX$28&lt;$A38),"",DX11/OFFSET(SSAutCLM!$A$2,MATCH(DX$29,SSAutCLM!$A$2:$A$500)+$A38-1,1)-1)</f>
        <v/>
      </c>
      <c r="DY38" s="9" t="str">
        <f ca="1">IF(OR(DY11="",DY$28&lt;$A38),"",DY11/OFFSET(SSAutCLM!$A$2,MATCH(DY$29,SSAutCLM!$A$2:$A$500)+$A38-1,1)-1)</f>
        <v/>
      </c>
      <c r="DZ38" s="9" t="str">
        <f ca="1">IF(OR(DZ11="",DZ$28&lt;$A38),"",DZ11/OFFSET(SSAutCLM!$A$2,MATCH(DZ$29,SSAutCLM!$A$2:$A$500)+$A38-1,1)-1)</f>
        <v/>
      </c>
      <c r="EA38" s="9" t="str">
        <f ca="1">IF(OR(EA11="",EA$28&lt;$A38),"",EA11/OFFSET(SSAutCLM!$A$2,MATCH(EA$29,SSAutCLM!$A$2:$A$500)+$A38-1,1)-1)</f>
        <v/>
      </c>
      <c r="EB38" s="9" t="str">
        <f ca="1">IF(OR(EB11="",EB$28&lt;$A38),"",EB11/OFFSET(SSAutCLM!$A$2,MATCH(EB$29,SSAutCLM!$A$2:$A$500)+$A38-1,1)-1)</f>
        <v/>
      </c>
      <c r="EC38" s="9" t="str">
        <f ca="1">IF(OR(EC11="",EC$28&lt;$A38),"",EC11/OFFSET(SSAutCLM!$A$2,MATCH(EC$29,SSAutCLM!$A$2:$A$500)+$A38-1,1)-1)</f>
        <v/>
      </c>
      <c r="ED38" s="9" t="str">
        <f ca="1">IF(OR(ED11="",ED$28&lt;$A38),"",ED11/OFFSET(SSAutCLM!$A$2,MATCH(ED$29,SSAutCLM!$A$2:$A$500)+$A38-1,1)-1)</f>
        <v/>
      </c>
      <c r="EE38" s="9" t="str">
        <f ca="1">IF(OR(EE11="",EE$28&lt;$A38),"",EE11/OFFSET(SSAutCLM!$A$2,MATCH(EE$29,SSAutCLM!$A$2:$A$500)+$A38-1,1)-1)</f>
        <v/>
      </c>
      <c r="EF38" s="9" t="str">
        <f ca="1">IF(OR(EF11="",EF$28&lt;$A38),"",EF11/OFFSET(SSAutCLM!$A$2,MATCH(EF$29,SSAutCLM!$A$2:$A$500)+$A38-1,1)-1)</f>
        <v/>
      </c>
      <c r="EG38" s="9">
        <f ca="1">IF(OR(EG11="",EG$28&lt;$A38),"",EG11/OFFSET(SSAutCLM!$A$2,MATCH(EG$29,SSAutCLM!$A$2:$A$500)+$A38-1,1)-1)</f>
        <v>8.9889338425921395E-3</v>
      </c>
      <c r="EH38" s="9">
        <f ca="1">IF(OR(EH11="",EH$28&lt;$A38),"",EH11/OFFSET(SSAutCLM!$A$2,MATCH(EH$29,SSAutCLM!$A$2:$A$500)+$A38-1,1)-1)</f>
        <v>1.2454215300449656E-2</v>
      </c>
      <c r="EI38" s="9">
        <f ca="1">IF(OR(EI11="",EI$28&lt;$A38),"",EI11/OFFSET(SSAutCLM!$A$2,MATCH(EI$29,SSAutCLM!$A$2:$A$500)+$A38-1,1)-1)</f>
        <v>1.2639758124547873E-2</v>
      </c>
      <c r="EJ38" s="9">
        <f ca="1">IF(OR(EJ11="",EJ$28&lt;$A38),"",EJ11/OFFSET(SSAutCLM!$A$2,MATCH(EJ$29,SSAutCLM!$A$2:$A$500)+$A38-1,1)-1)</f>
        <v>1.2596214029303443E-2</v>
      </c>
      <c r="EK38" s="9">
        <f ca="1">IF(OR(EK11="",EK$28&lt;$A38),"",EK11/OFFSET(SSAutCLM!$A$2,MATCH(EK$29,SSAutCLM!$A$2:$A$500)+$A38-1,1)-1)</f>
        <v>4.5254480374465889E-3</v>
      </c>
      <c r="EL38" s="9">
        <f ca="1">IF(OR(EL11="",EL$28&lt;$A38),"",EL11/OFFSET(SSAutCLM!$A$2,MATCH(EL$29,SSAutCLM!$A$2:$A$500)+$A38-1,1)-1)</f>
        <v>1.5431817369027101E-3</v>
      </c>
      <c r="EM38" s="9">
        <f ca="1">IF(OR(EM11="",EM$28&lt;$A38),"",EM11/OFFSET(SSAutCLM!$A$2,MATCH(EM$29,SSAutCLM!$A$2:$A$500)+$A38-1,1)-1)</f>
        <v>3.5325681304751999E-3</v>
      </c>
      <c r="EN38" s="9">
        <f ca="1">IF(OR(EN11="",EN$28&lt;$A38),"",EN11/OFFSET(SSAutCLM!$A$2,MATCH(EN$29,SSAutCLM!$A$2:$A$500)+$A38-1,1)-1)</f>
        <v>2.4069551230172515E-3</v>
      </c>
      <c r="EO38" s="9">
        <f ca="1">IF(OR(EO11="",EO$28&lt;$A38),"",EO11/OFFSET(SSAutCLM!$A$2,MATCH(EO$29,SSAutCLM!$A$2:$A$500)+$A38-1,1)-1)</f>
        <v>4.4428352713947739E-3</v>
      </c>
      <c r="EP38" s="9">
        <f ca="1">IF(OR(EP11="",EP$28&lt;$A38),"",EP11/OFFSET(SSAutCLM!$A$2,MATCH(EP$29,SSAutCLM!$A$2:$A$500)+$A38-1,1)-1)</f>
        <v>-1.8105258030560512E-2</v>
      </c>
      <c r="EQ38" s="9">
        <f ca="1">IF(OR(EQ11="",EQ$28&lt;$A38),"",EQ11/OFFSET(SSAutCLM!$A$2,MATCH(EQ$29,SSAutCLM!$A$2:$A$500)+$A38-1,1)-1)</f>
        <v>-1.7346376741339542E-3</v>
      </c>
      <c r="ER38" s="9">
        <f ca="1">IF(OR(ER11="",ER$28&lt;$A38),"",ER11/OFFSET(SSAutCLM!$A$2,MATCH(ER$29,SSAutCLM!$A$2:$A$500)+$A38-1,1)-1)</f>
        <v>1.3590623419558634E-2</v>
      </c>
      <c r="ES38" s="9">
        <f ca="1">IF(OR(ES11="",ES$28&lt;$A38),"",ES11/OFFSET(SSAutCLM!$A$2,MATCH(ES$29,SSAutCLM!$A$2:$A$500)+$A38-1,1)-1)</f>
        <v>8.1210915730529631E-3</v>
      </c>
      <c r="ET38" s="9">
        <f ca="1">IF(OR(ET11="",ET$28&lt;$A38),"",ET11/OFFSET(SSAutCLM!$A$2,MATCH(ET$29,SSAutCLM!$A$2:$A$500)+$A38-1,1)-1)</f>
        <v>7.2841495144779778E-3</v>
      </c>
      <c r="EU38" s="9">
        <f ca="1">IF(OR(EU11="",EU$28&lt;$A38),"",EU11/OFFSET(SSAutCLM!$A$2,MATCH(EU$29,SSAutCLM!$A$2:$A$500)+$A38-1,1)-1)</f>
        <v>5.6475438410852341E-3</v>
      </c>
      <c r="EV38" s="9">
        <f ca="1">IF(OR(EV11="",EV$28&lt;$A38),"",EV11/OFFSET(SSAutCLM!$A$2,MATCH(EV$29,SSAutCLM!$A$2:$A$500)+$A38-1,1)-1)</f>
        <v>-5.7632714222632941E-4</v>
      </c>
      <c r="EW38" s="9">
        <f ca="1">IF(OR(EW11="",EW$28&lt;$A38),"",EW11/OFFSET(SSAutCLM!$A$2,MATCH(EW$29,SSAutCLM!$A$2:$A$500)+$A38-1,1)-1)</f>
        <v>-3.907004763262778E-3</v>
      </c>
      <c r="EX38" s="9">
        <f ca="1">IF(OR(EX11="",EX$28&lt;$A38),"",EX11/OFFSET(SSAutCLM!$A$2,MATCH(EX$29,SSAutCLM!$A$2:$A$500)+$A38-1,1)-1)</f>
        <v>-2.6957145095602986E-3</v>
      </c>
      <c r="EY38" s="9">
        <f ca="1">IF(OR(EY11="",EY$28&lt;$A38),"",EY11/OFFSET(SSAutCLM!$A$2,MATCH(EY$29,SSAutCLM!$A$2:$A$500)+$A38-1,1)-1)</f>
        <v>-9.3848926601963756E-3</v>
      </c>
      <c r="EZ38" s="9">
        <f ca="1">IF(OR(EZ11="",EZ$28&lt;$A38),"",EZ11/OFFSET(SSAutCLM!$A$2,MATCH(EZ$29,SSAutCLM!$A$2:$A$500)+$A38-1,1)-1)</f>
        <v>1.3797113233882108E-3</v>
      </c>
      <c r="FA38" s="9">
        <f ca="1">IF(OR(FA11="",FA$28&lt;$A38),"",FA11/OFFSET(SSAutCLM!$A$2,MATCH(FA$29,SSAutCLM!$A$2:$A$500)+$A38-1,1)-1)</f>
        <v>8.6445460352395642E-3</v>
      </c>
      <c r="FB38" s="9">
        <f ca="1">IF(OR(FB11="",FB$28&lt;$A38),"",FB11/OFFSET(SSAutCLM!$A$2,MATCH(FB$29,SSAutCLM!$A$2:$A$500)+$A38-1,1)-1)</f>
        <v>2.3465203529362544E-3</v>
      </c>
      <c r="FC38" s="9">
        <f ca="1">IF(OR(FC11="",FC$28&lt;$A38),"",FC11/OFFSET(SSAutCLM!$A$2,MATCH(FC$29,SSAutCLM!$A$2:$A$500)+$A38-1,1)-1)</f>
        <v>-2.1406210772786372E-3</v>
      </c>
      <c r="FD38" s="9">
        <f ca="1">IF(OR(FD11="",FD$28&lt;$A38),"",FD11/OFFSET(SSAutCLM!$A$2,MATCH(FD$29,SSAutCLM!$A$2:$A$500)+$A38-1,1)-1)</f>
        <v>6.7099594942190421E-3</v>
      </c>
      <c r="FE38" s="9">
        <f ca="1">IF(OR(FE11="",FE$28&lt;$A38),"",FE11/OFFSET(SSAutCLM!$A$2,MATCH(FE$29,SSAutCLM!$A$2:$A$500)+$A38-1,1)-1)</f>
        <v>6.6660625454784128E-3</v>
      </c>
      <c r="FF38" s="9">
        <f ca="1">IF(OR(FF11="",FF$28&lt;$A38),"",FF11/OFFSET(SSAutCLM!$A$2,MATCH(FF$29,SSAutCLM!$A$2:$A$500)+$A38-1,1)-1)</f>
        <v>5.2407334337656319E-3</v>
      </c>
      <c r="FG38" s="9">
        <f ca="1">IF(OR(FG11="",FG$28&lt;$A38),"",FG11/OFFSET(SSAutCLM!$A$2,MATCH(FG$29,SSAutCLM!$A$2:$A$500)+$A38-1,1)-1)</f>
        <v>5.2318083718476682E-3</v>
      </c>
      <c r="FH38" s="9">
        <f ca="1">IF(OR(FH11="",FH$28&lt;$A38),"",FH11/OFFSET(SSAutCLM!$A$2,MATCH(FH$29,SSAutCLM!$A$2:$A$500)+$A38-1,1)-1)</f>
        <v>-1.4181983272585352E-3</v>
      </c>
      <c r="FI38" s="9">
        <f ca="1">IF(OR(FI11="",FI$28&lt;$A38),"",FI11/OFFSET(SSAutCLM!$A$2,MATCH(FI$29,SSAutCLM!$A$2:$A$500)+$A38-1,1)-1)</f>
        <v>-1.6650259761149311E-2</v>
      </c>
      <c r="FJ38" s="9">
        <f ca="1">IF(OR(FJ11="",FJ$28&lt;$A38),"",FJ11/OFFSET(SSAutCLM!$A$2,MATCH(FJ$29,SSAutCLM!$A$2:$A$500)+$A38-1,1)-1)</f>
        <v>-1.9825531959711706E-2</v>
      </c>
      <c r="FK38" s="9">
        <f ca="1">IF(OR(FK11="",FK$28&lt;$A38),"",FK11/OFFSET(SSAutCLM!$A$2,MATCH(FK$29,SSAutCLM!$A$2:$A$500)+$A38-1,1)-1)</f>
        <v>-9.344957608496407E-3</v>
      </c>
      <c r="FL38" s="9">
        <f ca="1">IF(OR(FL11="",FL$28&lt;$A38),"",FL11/OFFSET(SSAutCLM!$A$2,MATCH(FL$29,SSAutCLM!$A$2:$A$500)+$A38-1,1)-1)</f>
        <v>-6.4480368997166249E-3</v>
      </c>
      <c r="FM38" s="9">
        <f ca="1">IF(OR(FM11="",FM$28&lt;$A38),"",FM11/OFFSET(SSAutCLM!$A$2,MATCH(FM$29,SSAutCLM!$A$2:$A$500)+$A38-1,1)-1)</f>
        <v>-7.0813257189492607E-3</v>
      </c>
      <c r="FN38" s="9">
        <f ca="1">IF(OR(FN11="",FN$28&lt;$A38),"",FN11/OFFSET(SSAutCLM!$A$2,MATCH(FN$29,SSAutCLM!$A$2:$A$500)+$A38-1,1)-1)</f>
        <v>-9.4446460676104182E-3</v>
      </c>
      <c r="FO38" s="9">
        <f ca="1">IF(OR(FO11="",FO$28&lt;$A38),"",FO11/OFFSET(SSAutCLM!$A$2,MATCH(FO$29,SSAutCLM!$A$2:$A$500)+$A38-1,1)-1)</f>
        <v>1.4481311258507379E-3</v>
      </c>
      <c r="FP38" s="9">
        <f ca="1">IF(OR(FP11="",FP$28&lt;$A38),"",FP11/OFFSET(SSAutCLM!$A$2,MATCH(FP$29,SSAutCLM!$A$2:$A$500)+$A38-1,1)-1)</f>
        <v>2.2468855448107394E-2</v>
      </c>
      <c r="FQ38" s="9">
        <f ca="1">IF(OR(FQ11="",FQ$28&lt;$A38),"",FQ11/OFFSET(SSAutCLM!$A$2,MATCH(FQ$29,SSAutCLM!$A$2:$A$500)+$A38-1,1)-1)</f>
        <v>9.4499707533945987E-3</v>
      </c>
      <c r="FR38" s="9">
        <f ca="1">IF(OR(FR11="",FR$28&lt;$A38),"",FR11/OFFSET(SSAutCLM!$A$2,MATCH(FR$29,SSAutCLM!$A$2:$A$500)+$A38-1,1)-1)</f>
        <v>7.4794867947072241E-3</v>
      </c>
      <c r="FS38" s="9">
        <f ca="1">IF(OR(FS11="",FS$28&lt;$A38),"",FS11/OFFSET(SSAutCLM!$A$2,MATCH(FS$29,SSAutCLM!$A$2:$A$500)+$A38-1,1)-1)</f>
        <v>6.4057839573885555E-3</v>
      </c>
      <c r="FT38" s="9">
        <f ca="1">IF(OR(FT11="",FT$28&lt;$A38),"",FT11/OFFSET(SSAutCLM!$A$2,MATCH(FT$29,SSAutCLM!$A$2:$A$500)+$A38-1,1)-1)</f>
        <v>2.7506101096488322E-3</v>
      </c>
      <c r="FU38" s="9">
        <f ca="1">IF(OR(FU11="",FU$28&lt;$A38),"",FU11/OFFSET(SSAutCLM!$A$2,MATCH(FU$29,SSAutCLM!$A$2:$A$500)+$A38-1,1)-1)</f>
        <v>3.9854523556748234E-4</v>
      </c>
      <c r="FV38" s="9">
        <f ca="1">IF(OR(FV11="",FV$28&lt;$A38),"",FV11/OFFSET(SSAutCLM!$A$2,MATCH(FV$29,SSAutCLM!$A$2:$A$500)+$A38-1,1)-1)</f>
        <v>-1.0778739780252788E-3</v>
      </c>
      <c r="FW38" s="9">
        <f ca="1">IF(OR(FW11="",FW$28&lt;$A38),"",FW11/OFFSET(SSAutCLM!$A$2,MATCH(FW$29,SSAutCLM!$A$2:$A$500)+$A38-1,1)-1)</f>
        <v>3.0832924570149967E-3</v>
      </c>
      <c r="FX38" s="9">
        <f ca="1">IF(OR(FX11="",FX$28&lt;$A38),"",FX11/OFFSET(SSAutCLM!$A$2,MATCH(FX$29,SSAutCLM!$A$2:$A$500)+$A38-1,1)-1)</f>
        <v>8.2786198482922568E-3</v>
      </c>
      <c r="FY38" s="9">
        <f ca="1">IF(OR(FY11="",FY$28&lt;$A38),"",FY11/OFFSET(SSAutCLM!$A$2,MATCH(FY$29,SSAutCLM!$A$2:$A$500)+$A38-1,1)-1)</f>
        <v>6.2492471803505811E-3</v>
      </c>
      <c r="FZ38" s="9">
        <f ca="1">IF(OR(FZ11="",FZ$28&lt;$A38),"",FZ11/OFFSET(SSAutCLM!$A$2,MATCH(FZ$29,SSAutCLM!$A$2:$A$500)+$A38-1,1)-1)</f>
        <v>1.2485782434713988E-2</v>
      </c>
      <c r="GA38" s="9">
        <f ca="1">IF(OR(GA11="",GA$28&lt;$A38),"",GA11/OFFSET(SSAutCLM!$A$2,MATCH(GA$29,SSAutCLM!$A$2:$A$500)+$A38-1,1)-1)</f>
        <v>-5.3630963546531518E-3</v>
      </c>
      <c r="GB38" s="9">
        <f ca="1">IF(OR(GB11="",GB$28&lt;$A38),"",GB11/OFFSET(SSAutCLM!$A$2,MATCH(GB$29,SSAutCLM!$A$2:$A$500)+$A38-1,1)-1)</f>
        <v>-5.5075754091526985E-3</v>
      </c>
      <c r="GC38" s="9">
        <f ca="1">IF(OR(GC11="",GC$28&lt;$A38),"",GC11/OFFSET(SSAutCLM!$A$2,MATCH(GC$29,SSAutCLM!$A$2:$A$500)+$A38-1,1)-1)</f>
        <v>-1.095321527151083E-2</v>
      </c>
      <c r="GD38" s="9">
        <f ca="1">IF(OR(GD11="",GD$28&lt;$A38),"",GD11/OFFSET(SSAutCLM!$A$2,MATCH(GD$29,SSAutCLM!$A$2:$A$500)+$A38-1,1)-1)</f>
        <v>-1.2166785297397675E-2</v>
      </c>
      <c r="GE38" s="9">
        <f ca="1">IF(OR(GE11="",GE$28&lt;$A38),"",GE11/OFFSET(SSAutCLM!$A$2,MATCH(GE$29,SSAutCLM!$A$2:$A$500)+$A38-1,1)-1)</f>
        <v>-1.3207983019625447E-2</v>
      </c>
      <c r="GF38" s="9">
        <f ca="1">IF(OR(GF11="",GF$28&lt;$A38),"",GF11/OFFSET(SSAutCLM!$A$2,MATCH(GF$29,SSAutCLM!$A$2:$A$500)+$A38-1,1)-1)</f>
        <v>2.0306611283438247E-3</v>
      </c>
      <c r="GG38" s="9">
        <f ca="1">IF(OR(GG11="",GG$28&lt;$A38),"",GG11/OFFSET(SSAutCLM!$A$2,MATCH(GG$29,SSAutCLM!$A$2:$A$500)+$A38-1,1)-1)</f>
        <v>2.1222268213239914E-2</v>
      </c>
      <c r="GH38" s="9">
        <f ca="1">IF(OR(GH11="",GH$28&lt;$A38),"",GH11/OFFSET(SSAutCLM!$A$2,MATCH(GH$29,SSAutCLM!$A$2:$A$500)+$A38-1,1)-1)</f>
        <v>1.9651855431122023E-2</v>
      </c>
      <c r="GI38" s="9">
        <f ca="1">IF(OR(GI11="",GI$28&lt;$A38),"",GI11/OFFSET(SSAutCLM!$A$2,MATCH(GI$29,SSAutCLM!$A$2:$A$500)+$A38-1,1)-1)</f>
        <v>1.4411809413851229E-2</v>
      </c>
      <c r="GJ38" s="9">
        <f ca="1">IF(OR(GJ11="",GJ$28&lt;$A38),"",GJ11/OFFSET(SSAutCLM!$A$2,MATCH(GJ$29,SSAutCLM!$A$2:$A$500)+$A38-1,1)-1)</f>
        <v>9.1766372207273683E-3</v>
      </c>
      <c r="GK38" s="9">
        <f ca="1">IF(OR(GK11="",GK$28&lt;$A38),"",GK11/OFFSET(SSAutCLM!$A$2,MATCH(GK$29,SSAutCLM!$A$2:$A$500)+$A38-1,1)-1)</f>
        <v>8.0461506079232414E-3</v>
      </c>
      <c r="GL38" s="9">
        <f ca="1">IF(OR(GL11="",GL$28&lt;$A38),"",GL11/OFFSET(SSAutCLM!$A$2,MATCH(GL$29,SSAutCLM!$A$2:$A$500)+$A38-1,1)-1)</f>
        <v>1.588949745758339E-2</v>
      </c>
      <c r="GM38" s="9">
        <f ca="1">IF(OR(GM11="",GM$28&lt;$A38),"",GM11/OFFSET(SSAutCLM!$A$2,MATCH(GM$29,SSAutCLM!$A$2:$A$500)+$A38-1,1)-1)</f>
        <v>7.553083145816597E-3</v>
      </c>
      <c r="GN38" s="9">
        <f ca="1">IF(OR(GN11="",GN$28&lt;$A38),"",GN11/OFFSET(SSAutCLM!$A$2,MATCH(GN$29,SSAutCLM!$A$2:$A$500)+$A38-1,1)-1)</f>
        <v>1.4563241453050546E-2</v>
      </c>
      <c r="GO38" s="9">
        <f ca="1">IF(OR(GO11="",GO$28&lt;$A38),"",GO11/OFFSET(SSAutCLM!$A$2,MATCH(GO$29,SSAutCLM!$A$2:$A$500)+$A38-1,1)-1)</f>
        <v>-1.0023950866631659E-2</v>
      </c>
      <c r="GP38" s="9">
        <f ca="1">IF(OR(GP11="",GP$28&lt;$A38),"",GP11/OFFSET(SSAutCLM!$A$2,MATCH(GP$29,SSAutCLM!$A$2:$A$500)+$A38-1,1)-1)</f>
        <v>-4.6237180978515591E-2</v>
      </c>
      <c r="GQ38" s="9" t="str">
        <f ca="1">IF(OR(GQ11="",GQ$28&lt;$A38),"",GQ11/OFFSET(SSAutCLM!$A$2,MATCH(GQ$29,SSAutCLM!$A$2:$A$500)+$A38-1,1)-1)</f>
        <v/>
      </c>
      <c r="GR38" s="9" t="str">
        <f ca="1">IF(OR(GR11="",GR$28&lt;$A38),"",GR11/OFFSET(SSAutCLM!$A$2,MATCH(GR$29,SSAutCLM!$A$2:$A$500)+$A38-1,1)-1)</f>
        <v/>
      </c>
      <c r="GS38" s="9" t="str">
        <f ca="1">IF(OR(GS11="",GS$28&lt;$A38),"",GS11/OFFSET(SSAutCLM!$A$2,MATCH(GS$29,SSAutCLM!$A$2:$A$500)+$A38-1,1)-1)</f>
        <v/>
      </c>
      <c r="GT38" s="9" t="str">
        <f ca="1">IF(OR(GT11="",GT$28&lt;$A38),"",GT11/OFFSET(SSAutCLM!$A$2,MATCH(GT$29,SSAutCLM!$A$2:$A$500)+$A38-1,1)-1)</f>
        <v/>
      </c>
      <c r="GU38" s="9" t="str">
        <f ca="1">IF(OR(GU11="",GU$28&lt;$A38),"",GU11/OFFSET(SSAutCLM!$A$2,MATCH(GU$29,SSAutCLM!$A$2:$A$500)+$A38-1,1)-1)</f>
        <v/>
      </c>
      <c r="GV38" s="9" t="str">
        <f ca="1">IF(OR(GV11="",GV$28&lt;$A38),"",GV11/OFFSET(SSAutCLM!$A$2,MATCH(GV$29,SSAutCLM!$A$2:$A$500)+$A38-1,1)-1)</f>
        <v/>
      </c>
      <c r="GW38" s="9" t="str">
        <f ca="1">IF(OR(GW11="",GW$28&lt;$A38),"",GW11/OFFSET(SSAutCLM!$A$2,MATCH(GW$29,SSAutCLM!$A$2:$A$500)+$A38-1,1)-1)</f>
        <v/>
      </c>
      <c r="GX38" s="9" t="str">
        <f ca="1">IF(OR(GX11="",GX$28&lt;$A38),"",GX11/OFFSET(SSAutCLM!$A$2,MATCH(GX$29,SSAutCLM!$A$2:$A$500)+$A38-1,1)-1)</f>
        <v/>
      </c>
      <c r="GY38" s="9" t="str">
        <f ca="1">IF(OR(GY11="",GY$28&lt;$A38),"",GY11/OFFSET(SSAutCLM!$A$2,MATCH(GY$29,SSAutCLM!$A$2:$A$500)+$A38-1,1)-1)</f>
        <v/>
      </c>
      <c r="GZ38" s="9" t="str">
        <f ca="1">IF(OR(GZ11="",GZ$28&lt;$A38),"",GZ11/OFFSET(SSAutCLM!$A$2,MATCH(GZ$29,SSAutCLM!$A$2:$A$500)+$A38-1,1)-1)</f>
        <v/>
      </c>
      <c r="HA38" s="9" t="str">
        <f ca="1">IF(OR(HA11="",HA$28&lt;$A38),"",HA11/OFFSET(SSAutCLM!$A$2,MATCH(HA$29,SSAutCLM!$A$2:$A$500)+$A38-1,1)-1)</f>
        <v/>
      </c>
      <c r="HB38" s="9" t="str">
        <f ca="1">IF(OR(HB11="",HB$28&lt;$A38),"",HB11/OFFSET(SSAutCLM!$A$2,MATCH(HB$29,SSAutCLM!$A$2:$A$500)+$A38-1,1)-1)</f>
        <v/>
      </c>
      <c r="HC38" s="9" t="str">
        <f ca="1">IF(OR(HC11="",HC$28&lt;$A38),"",HC11/OFFSET(SSAutCLM!$A$2,MATCH(HC$29,SSAutCLM!$A$2:$A$500)+$A38-1,1)-1)</f>
        <v/>
      </c>
      <c r="HD38" s="9" t="str">
        <f ca="1">IF(OR(HD11="",HD$28&lt;$A38),"",HD11/OFFSET(SSAutCLM!$A$2,MATCH(HD$29,SSAutCLM!$A$2:$A$500)+$A38-1,1)-1)</f>
        <v/>
      </c>
      <c r="HE38" s="9" t="str">
        <f ca="1">IF(OR(HE11="",HE$28&lt;$A38),"",HE11/OFFSET(SSAutCLM!$A$2,MATCH(HE$29,SSAutCLM!$A$2:$A$500)+$A38-1,1)-1)</f>
        <v/>
      </c>
      <c r="HF38" s="9" t="str">
        <f ca="1">IF(OR(HF11="",HF$28&lt;$A38),"",HF11/OFFSET(SSAutCLM!$A$2,MATCH(HF$29,SSAutCLM!$A$2:$A$500)+$A38-1,1)-1)</f>
        <v/>
      </c>
      <c r="HG38" s="9" t="str">
        <f ca="1">IF(OR(HG11="",HG$28&lt;$A38),"",HG11/OFFSET(SSAutCLM!$A$2,MATCH(HG$29,SSAutCLM!$A$2:$A$500)+$A38-1,1)-1)</f>
        <v/>
      </c>
      <c r="HH38" s="9" t="str">
        <f ca="1">IF(OR(HH11="",HH$28&lt;$A38),"",HH11/OFFSET(SSAutCLM!$A$2,MATCH(HH$29,SSAutCLM!$A$2:$A$500)+$A38-1,1)-1)</f>
        <v/>
      </c>
      <c r="HI38" s="9" t="str">
        <f ca="1">IF(OR(HI11="",HI$28&lt;$A38),"",HI11/OFFSET(SSAutCLM!$A$2,MATCH(HI$29,SSAutCLM!$A$2:$A$500)+$A38-1,1)-1)</f>
        <v/>
      </c>
      <c r="HJ38" s="9" t="str">
        <f ca="1">IF(OR(HJ11="",HJ$28&lt;$A38),"",HJ11/OFFSET(SSAutCLM!$A$2,MATCH(HJ$29,SSAutCLM!$A$2:$A$500)+$A38-1,1)-1)</f>
        <v/>
      </c>
      <c r="HK38" s="9" t="str">
        <f ca="1">IF(OR(HK11="",HK$28&lt;$A38),"",HK11/OFFSET(SSAutCLM!$A$2,MATCH(HK$29,SSAutCLM!$A$2:$A$500)+$A38-1,1)-1)</f>
        <v/>
      </c>
      <c r="HL38" s="9" t="str">
        <f ca="1">IF(OR(HL11="",HL$28&lt;$A38),"",HL11/OFFSET(SSAutCLM!$A$2,MATCH(HL$29,SSAutCLM!$A$2:$A$500)+$A38-1,1)-1)</f>
        <v/>
      </c>
      <c r="HM38" s="9" t="str">
        <f ca="1">IF(OR(HM11="",HM$28&lt;$A38),"",HM11/OFFSET(SSAutCLM!$A$2,MATCH(HM$29,SSAutCLM!$A$2:$A$500)+$A38-1,1)-1)</f>
        <v/>
      </c>
      <c r="HN38" s="9" t="str">
        <f ca="1">IF(OR(HN11="",HN$28&lt;$A38),"",HN11/OFFSET(SSAutCLM!$A$2,MATCH(HN$29,SSAutCLM!$A$2:$A$500)+$A38-1,1)-1)</f>
        <v/>
      </c>
      <c r="HO38" s="9" t="str">
        <f ca="1">IF(OR(HO11="",HO$28&lt;$A38),"",HO11/OFFSET(SSAutCLM!$A$2,MATCH(HO$29,SSAutCLM!$A$2:$A$500)+$A38-1,1)-1)</f>
        <v/>
      </c>
      <c r="HP38" s="9" t="str">
        <f ca="1">IF(OR(HP11="",HP$28&lt;$A38),"",HP11/OFFSET(SSAutCLM!$A$2,MATCH(HP$29,SSAutCLM!$A$2:$A$500)+$A38-1,1)-1)</f>
        <v/>
      </c>
      <c r="HQ38" s="9" t="str">
        <f ca="1">IF(OR(HQ11="",HQ$28&lt;$A38),"",HQ11/OFFSET(SSAutCLM!$A$2,MATCH(HQ$29,SSAutCLM!$A$2:$A$500)+$A38-1,1)-1)</f>
        <v/>
      </c>
      <c r="HR38" s="9" t="str">
        <f ca="1">IF(OR(HR11="",HR$28&lt;$A38),"",HR11/OFFSET(SSAutCLM!$A$2,MATCH(HR$29,SSAutCLM!$A$2:$A$500)+$A38-1,1)-1)</f>
        <v/>
      </c>
      <c r="HS38" s="9" t="str">
        <f ca="1">IF(OR(HS11="",HS$28&lt;$A38),"",HS11/OFFSET(SSAutCLM!$A$2,MATCH(HS$29,SSAutCLM!$A$2:$A$500)+$A38-1,1)-1)</f>
        <v/>
      </c>
      <c r="HT38" s="9" t="str">
        <f ca="1">IF(OR(HT11="",HT$28&lt;$A38),"",HT11/OFFSET(SSAutCLM!$A$2,MATCH(HT$29,SSAutCLM!$A$2:$A$500)+$A38-1,1)-1)</f>
        <v/>
      </c>
      <c r="HU38" s="9" t="str">
        <f ca="1">IF(OR(HU11="",HU$28&lt;$A38),"",HU11/OFFSET(SSAutCLM!$A$2,MATCH(HU$29,SSAutCLM!$A$2:$A$500)+$A38-1,1)-1)</f>
        <v/>
      </c>
      <c r="HV38" s="9" t="str">
        <f ca="1">IF(OR(HV11="",HV$28&lt;$A38),"",HV11/OFFSET(SSAutCLM!$A$2,MATCH(HV$29,SSAutCLM!$A$2:$A$500)+$A38-1,1)-1)</f>
        <v/>
      </c>
      <c r="HW38" s="9" t="str">
        <f ca="1">IF(OR(HW11="",HW$28&lt;$A38),"",HW11/OFFSET(SSAutCLM!$A$2,MATCH(HW$29,SSAutCLM!$A$2:$A$500)+$A38-1,1)-1)</f>
        <v/>
      </c>
      <c r="HX38" s="9" t="str">
        <f ca="1">IF(OR(HX11="",HX$28&lt;$A38),"",HX11/OFFSET(SSAutCLM!$A$2,MATCH(HX$29,SSAutCLM!$A$2:$A$500)+$A38-1,1)-1)</f>
        <v/>
      </c>
      <c r="HY38" s="9" t="str">
        <f ca="1">IF(OR(HY11="",HY$28&lt;$A38),"",HY11/OFFSET(SSAutCLM!$A$2,MATCH(HY$29,SSAutCLM!$A$2:$A$500)+$A38-1,1)-1)</f>
        <v/>
      </c>
      <c r="HZ38" s="9" t="str">
        <f ca="1">IF(OR(HZ11="",HZ$28&lt;$A38),"",HZ11/OFFSET(SSAutCLM!$A$2,MATCH(HZ$29,SSAutCLM!$A$2:$A$500)+$A38-1,1)-1)</f>
        <v/>
      </c>
      <c r="IA38" s="9" t="str">
        <f ca="1">IF(OR(IA11="",IA$28&lt;$A38),"",IA11/OFFSET(SSAutCLM!$A$2,MATCH(IA$29,SSAutCLM!$A$2:$A$500)+$A38-1,1)-1)</f>
        <v/>
      </c>
      <c r="IB38" s="9" t="str">
        <f ca="1">IF(OR(IB11="",IB$28&lt;$A38),"",IB11/OFFSET(SSAutCLM!$A$2,MATCH(IB$29,SSAutCLM!$A$2:$A$500)+$A38-1,1)-1)</f>
        <v/>
      </c>
      <c r="IC38" s="9" t="str">
        <f ca="1">IF(OR(IC11="",IC$28&lt;$A38),"",IC11/OFFSET(SSAutCLM!$A$2,MATCH(IC$29,SSAutCLM!$A$2:$A$500)+$A38-1,1)-1)</f>
        <v/>
      </c>
      <c r="ID38" s="9" t="str">
        <f ca="1">IF(OR(ID11="",ID$28&lt;$A38),"",ID11/OFFSET(SSAutCLM!$A$2,MATCH(ID$29,SSAutCLM!$A$2:$A$500)+$A38-1,1)-1)</f>
        <v/>
      </c>
      <c r="IE38" s="9" t="str">
        <f ca="1">IF(OR(IE11="",IE$28&lt;$A38),"",IE11/OFFSET(SSAutCLM!$A$2,MATCH(IE$29,SSAutCLM!$A$2:$A$500)+$A38-1,1)-1)</f>
        <v/>
      </c>
      <c r="IF38" s="9" t="str">
        <f ca="1">IF(OR(IF11="",IF$28&lt;$A38),"",IF11/OFFSET(SSAutCLM!$A$2,MATCH(IF$29,SSAutCLM!$A$2:$A$500)+$A38-1,1)-1)</f>
        <v/>
      </c>
      <c r="IG38" s="9" t="str">
        <f ca="1">IF(OR(IG11="",IG$28&lt;$A38),"",IG11/OFFSET(SSAutCLM!$A$2,MATCH(IG$29,SSAutCLM!$A$2:$A$500)+$A38-1,1)-1)</f>
        <v/>
      </c>
      <c r="IH38" s="9" t="str">
        <f ca="1">IF(OR(IH11="",IH$28&lt;$A38),"",IH11/OFFSET(SSAutCLM!$A$2,MATCH(IH$29,SSAutCLM!$A$2:$A$500)+$A38-1,1)-1)</f>
        <v/>
      </c>
      <c r="II38" s="9" t="str">
        <f ca="1">IF(OR(II11="",II$28&lt;$A38),"",II11/OFFSET(SSAutCLM!$A$2,MATCH(II$29,SSAutCLM!$A$2:$A$500)+$A38-1,1)-1)</f>
        <v/>
      </c>
      <c r="IJ38" s="9" t="str">
        <f ca="1">IF(OR(IJ11="",IJ$28&lt;$A38),"",IJ11/OFFSET(SSAutCLM!$A$2,MATCH(IJ$29,SSAutCLM!$A$2:$A$500)+$A38-1,1)-1)</f>
        <v/>
      </c>
      <c r="IK38" s="9" t="str">
        <f ca="1">IF(OR(IK11="",IK$28&lt;$A38),"",IK11/OFFSET(SSAutCLM!$A$2,MATCH(IK$29,SSAutCLM!$A$2:$A$500)+$A38-1,1)-1)</f>
        <v/>
      </c>
      <c r="IL38" s="9" t="str">
        <f ca="1">IF(OR(IL11="",IL$28&lt;$A38),"",IL11/OFFSET(SSAutCLM!$A$2,MATCH(IL$29,SSAutCLM!$A$2:$A$500)+$A38-1,1)-1)</f>
        <v/>
      </c>
      <c r="IM38" s="9" t="str">
        <f ca="1">IF(OR(IM11="",IM$28&lt;$A38),"",IM11/OFFSET(SSAutCLM!$A$2,MATCH(IM$29,SSAutCLM!$A$2:$A$500)+$A38-1,1)-1)</f>
        <v/>
      </c>
      <c r="IN38" s="9" t="str">
        <f ca="1">IF(OR(IN11="",IN$28&lt;$A38),"",IN11/OFFSET(SSAutCLM!$A$2,MATCH(IN$29,SSAutCLM!$A$2:$A$500)+$A38-1,1)-1)</f>
        <v/>
      </c>
      <c r="IO38" s="9" t="str">
        <f ca="1">IF(OR(IO11="",IO$28&lt;$A38),"",IO11/OFFSET(SSAutCLM!$A$2,MATCH(IO$29,SSAutCLM!$A$2:$A$500)+$A38-1,1)-1)</f>
        <v/>
      </c>
      <c r="IP38" s="9" t="str">
        <f ca="1">IF(OR(IP11="",IP$28&lt;$A38),"",IP11/OFFSET(SSAutCLM!$A$2,MATCH(IP$29,SSAutCLM!$A$2:$A$500)+$A38-1,1)-1)</f>
        <v/>
      </c>
      <c r="IQ38" s="9" t="str">
        <f ca="1">IF(OR(IQ11="",IQ$28&lt;$A38),"",IQ11/OFFSET(SSAutCLM!$A$2,MATCH(IQ$29,SSAutCLM!$A$2:$A$500)+$A38-1,1)-1)</f>
        <v/>
      </c>
      <c r="IR38" s="9" t="str">
        <f ca="1">IF(OR(IR11="",IR$28&lt;$A38),"",IR11/OFFSET(SSAutCLM!$A$2,MATCH(IR$29,SSAutCLM!$A$2:$A$500)+$A38-1,1)-1)</f>
        <v/>
      </c>
      <c r="IS38" s="9" t="str">
        <f ca="1">IF(OR(IS11="",IS$28&lt;$A38),"",IS11/OFFSET(SSAutCLM!$A$2,MATCH(IS$29,SSAutCLM!$A$2:$A$500)+$A38-1,1)-1)</f>
        <v/>
      </c>
      <c r="IT38" s="9" t="str">
        <f ca="1">IF(OR(IT11="",IT$28&lt;$A38),"",IT11/OFFSET(SSAutCLM!$A$2,MATCH(IT$29,SSAutCLM!$A$2:$A$500)+$A38-1,1)-1)</f>
        <v/>
      </c>
      <c r="IU38" s="9" t="str">
        <f ca="1">IF(OR(IU11="",IU$28&lt;$A38),"",IU11/OFFSET(SSAutCLM!$A$2,MATCH(IU$29,SSAutCLM!$A$2:$A$500)+$A38-1,1)-1)</f>
        <v/>
      </c>
      <c r="IV38" s="9" t="str">
        <f ca="1">IF(OR(IV11="",IV$28&lt;$A38),"",IV11/OFFSET(SSAutCLM!$A$2,MATCH(IV$29,SSAutCLM!$A$2:$A$500)+$A38-1,1)-1)</f>
        <v/>
      </c>
      <c r="IW38" s="9" t="str">
        <f ca="1">IF(OR(IW11="",IW$28&lt;$A38),"",IW11/OFFSET(SSAutCLM!$A$2,MATCH(IW$29,SSAutCLM!$A$2:$A$500)+$A38-1,1)-1)</f>
        <v/>
      </c>
      <c r="IX38" s="9" t="str">
        <f ca="1">IF(OR(IX11="",IX$28&lt;$A38),"",IX11/OFFSET(SSAutCLM!$A$2,MATCH(IX$29,SSAutCLM!$A$2:$A$500)+$A38-1,1)-1)</f>
        <v/>
      </c>
      <c r="IY38" s="9" t="str">
        <f ca="1">IF(OR(IY11="",IY$28&lt;$A38),"",IY11/OFFSET(SSAutCLM!$A$2,MATCH(IY$29,SSAutCLM!$A$2:$A$500)+$A38-1,1)-1)</f>
        <v/>
      </c>
      <c r="IZ38" s="9" t="str">
        <f ca="1">IF(OR(IZ11="",IZ$28&lt;$A38),"",IZ11/OFFSET(SSAutCLM!$A$2,MATCH(IZ$29,SSAutCLM!$A$2:$A$500)+$A38-1,1)-1)</f>
        <v/>
      </c>
      <c r="JA38" s="9" t="str">
        <f ca="1">IF(OR(JA11="",JA$28&lt;$A38),"",JA11/OFFSET(SSAutCLM!$A$2,MATCH(JA$29,SSAutCLM!$A$2:$A$500)+$A38-1,1)-1)</f>
        <v/>
      </c>
      <c r="JB38" s="9" t="str">
        <f ca="1">IF(OR(JB11="",JB$28&lt;$A38),"",JB11/OFFSET(SSAutCLM!$A$2,MATCH(JB$29,SSAutCLM!$A$2:$A$500)+$A38-1,1)-1)</f>
        <v/>
      </c>
      <c r="JC38" s="9" t="str">
        <f ca="1">IF(OR(JC11="",JC$28&lt;$A38),"",JC11/OFFSET(SSAutCLM!$A$2,MATCH(JC$29,SSAutCLM!$A$2:$A$500)+$A38-1,1)-1)</f>
        <v/>
      </c>
      <c r="JD38" s="9" t="str">
        <f ca="1">IF(OR(JD11="",JD$28&lt;$A38),"",JD11/OFFSET(SSAutCLM!$A$2,MATCH(JD$29,SSAutCLM!$A$2:$A$500)+$A38-1,1)-1)</f>
        <v/>
      </c>
      <c r="JE38" s="9" t="str">
        <f ca="1">IF(OR(JE11="",JE$28&lt;$A38),"",JE11/OFFSET(SSAutCLM!$A$2,MATCH(JE$29,SSAutCLM!$A$2:$A$500)+$A38-1,1)-1)</f>
        <v/>
      </c>
      <c r="JF38" s="9" t="str">
        <f ca="1">IF(OR(JF11="",JF$28&lt;$A38),"",JF11/OFFSET(SSAutCLM!$A$2,MATCH(JF$29,SSAutCLM!$A$2:$A$500)+$A38-1,1)-1)</f>
        <v/>
      </c>
      <c r="JG38" s="9" t="str">
        <f ca="1">IF(OR(JG11="",JG$28&lt;$A38),"",JG11/OFFSET(SSAutCLM!$A$2,MATCH(JG$29,SSAutCLM!$A$2:$A$500)+$A38-1,1)-1)</f>
        <v/>
      </c>
      <c r="JH38" s="9" t="str">
        <f ca="1">IF(OR(JH11="",JH$28&lt;$A38),"",JH11/OFFSET(SSAutCLM!$A$2,MATCH(JH$29,SSAutCLM!$A$2:$A$500)+$A38-1,1)-1)</f>
        <v/>
      </c>
      <c r="JI38" s="13">
        <f t="shared" ca="1" si="13"/>
        <v>3.1609238657565159E-3</v>
      </c>
      <c r="JJ38" s="13">
        <f t="shared" ca="1" si="14"/>
        <v>6.3275155688695683E-3</v>
      </c>
      <c r="JK38" s="14">
        <f t="shared" ca="1" si="15"/>
        <v>1.8407917843419412E-4</v>
      </c>
      <c r="JL38" s="17">
        <f t="shared" ca="1" si="18"/>
        <v>1.3567578208147323E-2</v>
      </c>
      <c r="JM38" s="15" t="str">
        <f t="shared" ca="1" si="16"/>
        <v>[ -2,40% ; 3,03% ]</v>
      </c>
      <c r="JN38" s="17">
        <f t="shared" ca="1" si="17"/>
        <v>1.7366500106428574E-2</v>
      </c>
      <c r="LY38" s="1"/>
    </row>
    <row r="39" spans="1:337" x14ac:dyDescent="0.25">
      <c r="A39" s="4">
        <v>10</v>
      </c>
      <c r="B39" s="9">
        <f ca="1">IF(OR(B12="",B$28&lt;$A39),"",B12/OFFSET(SSAutCLM!$A$2,MATCH(B$29,SSAutCLM!$A$2:$A$500)+$A39-1,1)-1)</f>
        <v>-4.6953206966382499E-3</v>
      </c>
      <c r="C39" s="9">
        <f ca="1">IF(OR(C12="",C$28&lt;$A39),"",C12/OFFSET(SSAutCLM!$A$2,MATCH(C$29,SSAutCLM!$A$2:$A$500)+$A39-1,1)-1)</f>
        <v>-8.8793044740331784E-4</v>
      </c>
      <c r="D39" s="9">
        <f ca="1">IF(OR(D12="",D$28&lt;$A39),"",D12/OFFSET(SSAutCLM!$A$2,MATCH(D$29,SSAutCLM!$A$2:$A$500)+$A39-1,1)-1)</f>
        <v>-5.7592867411213611E-3</v>
      </c>
      <c r="E39" s="9">
        <f ca="1">IF(OR(E12="",E$28&lt;$A39),"",E12/OFFSET(SSAutCLM!$A$2,MATCH(E$29,SSAutCLM!$A$2:$A$500)+$A39-1,1)-1)</f>
        <v>-6.110602904550122E-3</v>
      </c>
      <c r="F39" s="9">
        <f ca="1">IF(OR(F12="",F$28&lt;$A39),"",F12/OFFSET(SSAutCLM!$A$2,MATCH(F$29,SSAutCLM!$A$2:$A$500)+$A39-1,1)-1)</f>
        <v>-6.241548699340127E-3</v>
      </c>
      <c r="G39" s="9">
        <f ca="1">IF(OR(G12="",G$28&lt;$A39),"",G12/OFFSET(SSAutCLM!$A$2,MATCH(G$29,SSAutCLM!$A$2:$A$500)+$A39-1,1)-1)</f>
        <v>-3.6119349985095361E-3</v>
      </c>
      <c r="H39" s="9">
        <f ca="1">IF(OR(H12="",H$28&lt;$A39),"",H12/OFFSET(SSAutCLM!$A$2,MATCH(H$29,SSAutCLM!$A$2:$A$500)+$A39-1,1)-1)</f>
        <v>1.1277884309168762E-4</v>
      </c>
      <c r="I39" s="9">
        <f ca="1">IF(OR(I12="",I$28&lt;$A39),"",I12/OFFSET(SSAutCLM!$A$2,MATCH(I$29,SSAutCLM!$A$2:$A$500)+$A39-1,1)-1)</f>
        <v>2.3990553382358115E-3</v>
      </c>
      <c r="J39" s="9">
        <f ca="1">IF(OR(J12="",J$28&lt;$A39),"",J12/OFFSET(SSAutCLM!$A$2,MATCH(J$29,SSAutCLM!$A$2:$A$500)+$A39-1,1)-1)</f>
        <v>1.8826445263067093E-3</v>
      </c>
      <c r="K39" s="9">
        <f ca="1">IF(OR(K12="",K$28&lt;$A39),"",K12/OFFSET(SSAutCLM!$A$2,MATCH(K$29,SSAutCLM!$A$2:$A$500)+$A39-1,1)-1)</f>
        <v>3.5208926375736027E-3</v>
      </c>
      <c r="L39" s="9">
        <f ca="1">IF(OR(L12="",L$28&lt;$A39),"",L12/OFFSET(SSAutCLM!$A$2,MATCH(L$29,SSAutCLM!$A$2:$A$500)+$A39-1,1)-1)</f>
        <v>2.6708274684383859E-3</v>
      </c>
      <c r="M39" s="9">
        <f ca="1">IF(OR(M12="",M$28&lt;$A39),"",M12/OFFSET(SSAutCLM!$A$2,MATCH(M$29,SSAutCLM!$A$2:$A$500)+$A39-1,1)-1)</f>
        <v>2.4521234291567939E-3</v>
      </c>
      <c r="N39" s="9">
        <f ca="1">IF(OR(N12="",N$28&lt;$A39),"",N12/OFFSET(SSAutCLM!$A$2,MATCH(N$29,SSAutCLM!$A$2:$A$500)+$A39-1,1)-1)</f>
        <v>5.242666693609177E-3</v>
      </c>
      <c r="O39" s="9">
        <f ca="1">IF(OR(O12="",O$28&lt;$A39),"",O12/OFFSET(SSAutCLM!$A$2,MATCH(O$29,SSAutCLM!$A$2:$A$500)+$A39-1,1)-1)</f>
        <v>1.1875888739464546E-2</v>
      </c>
      <c r="P39" s="9">
        <f ca="1">IF(OR(P12="",P$28&lt;$A39),"",P12/OFFSET(SSAutCLM!$A$2,MATCH(P$29,SSAutCLM!$A$2:$A$500)+$A39-1,1)-1)</f>
        <v>1.0303930995114952E-2</v>
      </c>
      <c r="Q39" s="9">
        <f ca="1">IF(OR(Q12="",Q$28&lt;$A39),"",Q12/OFFSET(SSAutCLM!$A$2,MATCH(Q$29,SSAutCLM!$A$2:$A$500)+$A39-1,1)-1)</f>
        <v>6.9525126155787209E-3</v>
      </c>
      <c r="R39" s="9">
        <f ca="1">IF(OR(R12="",R$28&lt;$A39),"",R12/OFFSET(SSAutCLM!$A$2,MATCH(R$29,SSAutCLM!$A$2:$A$500)+$A39-1,1)-1)</f>
        <v>5.6803980675175225E-3</v>
      </c>
      <c r="S39" s="9">
        <f ca="1">IF(OR(S12="",S$28&lt;$A39),"",S12/OFFSET(SSAutCLM!$A$2,MATCH(S$29,SSAutCLM!$A$2:$A$500)+$A39-1,1)-1)</f>
        <v>2.8502005297783573E-3</v>
      </c>
      <c r="T39" s="9">
        <f ca="1">IF(OR(T12="",T$28&lt;$A39),"",T12/OFFSET(SSAutCLM!$A$2,MATCH(T$29,SSAutCLM!$A$2:$A$500)+$A39-1,1)-1)</f>
        <v>1.663548661153369E-3</v>
      </c>
      <c r="U39" s="9">
        <f ca="1">IF(OR(U12="",U$28&lt;$A39),"",U12/OFFSET(SSAutCLM!$A$2,MATCH(U$29,SSAutCLM!$A$2:$A$500)+$A39-1,1)-1)</f>
        <v>3.9949828890351036E-4</v>
      </c>
      <c r="V39" s="9">
        <f ca="1">IF(OR(V12="",V$28&lt;$A39),"",V12/OFFSET(SSAutCLM!$A$2,MATCH(V$29,SSAutCLM!$A$2:$A$500)+$A39-1,1)-1)</f>
        <v>-1.1917794062519249E-3</v>
      </c>
      <c r="W39" s="9">
        <f ca="1">IF(OR(W12="",W$28&lt;$A39),"",W12/OFFSET(SSAutCLM!$A$2,MATCH(W$29,SSAutCLM!$A$2:$A$500)+$A39-1,1)-1)</f>
        <v>-2.2049132878604327E-3</v>
      </c>
      <c r="X39" s="9">
        <f ca="1">IF(OR(X12="",X$28&lt;$A39),"",X12/OFFSET(SSAutCLM!$A$2,MATCH(X$29,SSAutCLM!$A$2:$A$500)+$A39-1,1)-1)</f>
        <v>-1.6615797947628907E-3</v>
      </c>
      <c r="Y39" s="9">
        <f ca="1">IF(OR(Y12="",Y$28&lt;$A39),"",Y12/OFFSET(SSAutCLM!$A$2,MATCH(Y$29,SSAutCLM!$A$2:$A$500)+$A39-1,1)-1)</f>
        <v>-5.1097693523769472E-3</v>
      </c>
      <c r="Z39" s="9">
        <f ca="1">IF(OR(Z12="",Z$28&lt;$A39),"",Z12/OFFSET(SSAutCLM!$A$2,MATCH(Z$29,SSAutCLM!$A$2:$A$500)+$A39-1,1)-1)</f>
        <v>-4.0927528926614221E-3</v>
      </c>
      <c r="AA39" s="9">
        <f ca="1">IF(OR(AA12="",AA$28&lt;$A39),"",AA12/OFFSET(SSAutCLM!$A$2,MATCH(AA$29,SSAutCLM!$A$2:$A$500)+$A39-1,1)-1)</f>
        <v>-2.2239264238661516E-3</v>
      </c>
      <c r="AB39" s="9">
        <f ca="1">IF(OR(AB12="",AB$28&lt;$A39),"",AB12/OFFSET(SSAutCLM!$A$2,MATCH(AB$29,SSAutCLM!$A$2:$A$500)+$A39-1,1)-1)</f>
        <v>-1.3230193877759033E-3</v>
      </c>
      <c r="AC39" s="9">
        <f ca="1">IF(OR(AC12="",AC$28&lt;$A39),"",AC12/OFFSET(SSAutCLM!$A$2,MATCH(AC$29,SSAutCLM!$A$2:$A$500)+$A39-1,1)-1)</f>
        <v>-4.5782556476458014E-3</v>
      </c>
      <c r="AD39" s="9">
        <f ca="1">IF(OR(AD12="",AD$28&lt;$A39),"",AD12/OFFSET(SSAutCLM!$A$2,MATCH(AD$29,SSAutCLM!$A$2:$A$500)+$A39-1,1)-1)</f>
        <v>-7.0998017884946751E-3</v>
      </c>
      <c r="AE39" s="9">
        <f ca="1">IF(OR(AE12="",AE$28&lt;$A39),"",AE12/OFFSET(SSAutCLM!$A$2,MATCH(AE$29,SSAutCLM!$A$2:$A$500)+$A39-1,1)-1)</f>
        <v>-8.9099523085467425E-3</v>
      </c>
      <c r="AF39" s="9">
        <f ca="1">IF(OR(AF12="",AF$28&lt;$A39),"",AF12/OFFSET(SSAutCLM!$A$2,MATCH(AF$29,SSAutCLM!$A$2:$A$500)+$A39-1,1)-1)</f>
        <v>-9.4518391040123717E-3</v>
      </c>
      <c r="AG39" s="9">
        <f ca="1">IF(OR(AG12="",AG$28&lt;$A39),"",AG12/OFFSET(SSAutCLM!$A$2,MATCH(AG$29,SSAutCLM!$A$2:$A$500)+$A39-1,1)-1)</f>
        <v>-9.5210328754192775E-3</v>
      </c>
      <c r="AH39" s="9">
        <f ca="1">IF(OR(AH12="",AH$28&lt;$A39),"",AH12/OFFSET(SSAutCLM!$A$2,MATCH(AH$29,SSAutCLM!$A$2:$A$500)+$A39-1,1)-1)</f>
        <v>-1.3794963343379929E-2</v>
      </c>
      <c r="AI39" s="9">
        <f ca="1">IF(OR(AI12="",AI$28&lt;$A39),"",AI12/OFFSET(SSAutCLM!$A$2,MATCH(AI$29,SSAutCLM!$A$2:$A$500)+$A39-1,1)-1)</f>
        <v>-1.4347853600393923E-2</v>
      </c>
      <c r="AJ39" s="9">
        <f ca="1">IF(OR(AJ12="",AJ$28&lt;$A39),"",AJ12/OFFSET(SSAutCLM!$A$2,MATCH(AJ$29,SSAutCLM!$A$2:$A$500)+$A39-1,1)-1)</f>
        <v>-1.4202563620834052E-2</v>
      </c>
      <c r="AK39" s="9">
        <f ca="1">IF(OR(AK12="",AK$28&lt;$A39),"",AK12/OFFSET(SSAutCLM!$A$2,MATCH(AK$29,SSAutCLM!$A$2:$A$500)+$A39-1,1)-1)</f>
        <v>-1.5258792288028955E-2</v>
      </c>
      <c r="AL39" s="9">
        <f ca="1">IF(OR(AL12="",AL$28&lt;$A39),"",AL12/OFFSET(SSAutCLM!$A$2,MATCH(AL$29,SSAutCLM!$A$2:$A$500)+$A39-1,1)-1)</f>
        <v>-1.3699105138071932E-2</v>
      </c>
      <c r="AM39" s="9">
        <f ca="1">IF(OR(AM12="",AM$28&lt;$A39),"",AM12/OFFSET(SSAutCLM!$A$2,MATCH(AM$29,SSAutCLM!$A$2:$A$500)+$A39-1,1)-1)</f>
        <v>-1.2877994058258069E-2</v>
      </c>
      <c r="AN39" s="9">
        <f ca="1">IF(OR(AN12="",AN$28&lt;$A39),"",AN12/OFFSET(SSAutCLM!$A$2,MATCH(AN$29,SSAutCLM!$A$2:$A$500)+$A39-1,1)-1)</f>
        <v>-5.9893524569231138E-3</v>
      </c>
      <c r="AO39" s="9">
        <f ca="1">IF(OR(AO12="",AO$28&lt;$A39),"",AO12/OFFSET(SSAutCLM!$A$2,MATCH(AO$29,SSAutCLM!$A$2:$A$500)+$A39-1,1)-1)</f>
        <v>6.2641244184402645E-4</v>
      </c>
      <c r="AP39" s="9">
        <f ca="1">IF(OR(AP12="",AP$28&lt;$A39),"",AP12/OFFSET(SSAutCLM!$A$2,MATCH(AP$29,SSAutCLM!$A$2:$A$500)+$A39-1,1)-1)</f>
        <v>3.6552315901747789E-3</v>
      </c>
      <c r="AQ39" s="9">
        <f ca="1">IF(OR(AQ12="",AQ$28&lt;$A39),"",AQ12/OFFSET(SSAutCLM!$A$2,MATCH(AQ$29,SSAutCLM!$A$2:$A$500)+$A39-1,1)-1)</f>
        <v>5.9156575623415808E-3</v>
      </c>
      <c r="AR39" s="9">
        <f ca="1">IF(OR(AR12="",AR$28&lt;$A39),"",AR12/OFFSET(SSAutCLM!$A$2,MATCH(AR$29,SSAutCLM!$A$2:$A$500)+$A39-1,1)-1)</f>
        <v>1.4348322011595638E-2</v>
      </c>
      <c r="AS39" s="9">
        <f ca="1">IF(OR(AS12="",AS$28&lt;$A39),"",AS12/OFFSET(SSAutCLM!$A$2,MATCH(AS$29,SSAutCLM!$A$2:$A$500)+$A39-1,1)-1)</f>
        <v>2.432925951560394E-2</v>
      </c>
      <c r="AT39" s="9">
        <f ca="1">IF(OR(AT12="",AT$28&lt;$A39),"",AT12/OFFSET(SSAutCLM!$A$2,MATCH(AT$29,SSAutCLM!$A$2:$A$500)+$A39-1,1)-1)</f>
        <v>3.1562193715203524E-2</v>
      </c>
      <c r="AU39" s="9">
        <f ca="1">IF(OR(AU12="",AU$28&lt;$A39),"",AU12/OFFSET(SSAutCLM!$A$2,MATCH(AU$29,SSAutCLM!$A$2:$A$500)+$A39-1,1)-1)</f>
        <v>3.9423332780031517E-2</v>
      </c>
      <c r="AV39" s="9">
        <f ca="1">IF(OR(AV12="",AV$28&lt;$A39),"",AV12/OFFSET(SSAutCLM!$A$2,MATCH(AV$29,SSAutCLM!$A$2:$A$500)+$A39-1,1)-1)</f>
        <v>4.9573605279098265E-2</v>
      </c>
      <c r="AW39" s="9">
        <f ca="1">IF(OR(AW12="",AW$28&lt;$A39),"",AW12/OFFSET(SSAutCLM!$A$2,MATCH(AW$29,SSAutCLM!$A$2:$A$500)+$A39-1,1)-1)</f>
        <v>5.6563913742470495E-2</v>
      </c>
      <c r="AX39" s="9">
        <f ca="1">IF(OR(AX12="",AX$28&lt;$A39),"",AX12/OFFSET(SSAutCLM!$A$2,MATCH(AX$29,SSAutCLM!$A$2:$A$500)+$A39-1,1)-1)</f>
        <v>5.7676006081589959E-2</v>
      </c>
      <c r="AY39" s="9">
        <f ca="1">IF(OR(AY12="",AY$28&lt;$A39),"",AY12/OFFSET(SSAutCLM!$A$2,MATCH(AY$29,SSAutCLM!$A$2:$A$500)+$A39-1,1)-1)</f>
        <v>5.9266775305465424E-2</v>
      </c>
      <c r="AZ39" s="9">
        <f ca="1">IF(OR(AZ12="",AZ$28&lt;$A39),"",AZ12/OFFSET(SSAutCLM!$A$2,MATCH(AZ$29,SSAutCLM!$A$2:$A$500)+$A39-1,1)-1)</f>
        <v>5.8351901717990318E-2</v>
      </c>
      <c r="BA39" s="9">
        <f ca="1">IF(OR(BA12="",BA$28&lt;$A39),"",BA12/OFFSET(SSAutCLM!$A$2,MATCH(BA$29,SSAutCLM!$A$2:$A$500)+$A39-1,1)-1)</f>
        <v>6.2640402863731515E-2</v>
      </c>
      <c r="BB39" s="9">
        <f ca="1">IF(OR(BB12="",BB$28&lt;$A39),"",BB12/OFFSET(SSAutCLM!$A$2,MATCH(BB$29,SSAutCLM!$A$2:$A$500)+$A39-1,1)-1)</f>
        <v>5.6422462138957519E-2</v>
      </c>
      <c r="BC39" s="9">
        <f ca="1">IF(OR(BC12="",BC$28&lt;$A39),"",BC12/OFFSET(SSAutCLM!$A$2,MATCH(BC$29,SSAutCLM!$A$2:$A$500)+$A39-1,1)-1)</f>
        <v>3.5768284919651006E-2</v>
      </c>
      <c r="BD39" s="9">
        <f ca="1">IF(OR(BD12="",BD$28&lt;$A39),"",BD12/OFFSET(SSAutCLM!$A$2,MATCH(BD$29,SSAutCLM!$A$2:$A$500)+$A39-1,1)-1)</f>
        <v>4.5462223548786485E-2</v>
      </c>
      <c r="BE39" s="9">
        <f ca="1">IF(OR(BE12="",BE$28&lt;$A39),"",BE12/OFFSET(SSAutCLM!$A$2,MATCH(BE$29,SSAutCLM!$A$2:$A$500)+$A39-1,1)-1)</f>
        <v>4.6191679179993672E-2</v>
      </c>
      <c r="BF39" s="9">
        <f ca="1">IF(OR(BF12="",BF$28&lt;$A39),"",BF12/OFFSET(SSAutCLM!$A$2,MATCH(BF$29,SSAutCLM!$A$2:$A$500)+$A39-1,1)-1)</f>
        <v>4.1506748374884772E-2</v>
      </c>
      <c r="BG39" s="9">
        <f ca="1">IF(OR(BG12="",BG$28&lt;$A39),"",BG12/OFFSET(SSAutCLM!$A$2,MATCH(BG$29,SSAutCLM!$A$2:$A$500)+$A39-1,1)-1)</f>
        <v>3.9160593195471716E-2</v>
      </c>
      <c r="BH39" s="9">
        <f ca="1">IF(OR(BH12="",BH$28&lt;$A39),"",BH12/OFFSET(SSAutCLM!$A$2,MATCH(BH$29,SSAutCLM!$A$2:$A$500)+$A39-1,1)-1)</f>
        <v>2.2925888230524327E-2</v>
      </c>
      <c r="BI39" s="9">
        <f ca="1">IF(OR(BI12="",BI$28&lt;$A39),"",BI12/OFFSET(SSAutCLM!$A$2,MATCH(BI$29,SSAutCLM!$A$2:$A$500)+$A39-1,1)-1)</f>
        <v>8.937282535955493E-3</v>
      </c>
      <c r="BJ39" s="9">
        <f ca="1">IF(OR(BJ12="",BJ$28&lt;$A39),"",BJ12/OFFSET(SSAutCLM!$A$2,MATCH(BJ$29,SSAutCLM!$A$2:$A$500)+$A39-1,1)-1)</f>
        <v>-1.4684806027989272E-2</v>
      </c>
      <c r="BK39" s="9">
        <f ca="1">IF(OR(BK12="",BK$28&lt;$A39),"",BK12/OFFSET(SSAutCLM!$A$2,MATCH(BK$29,SSAutCLM!$A$2:$A$500)+$A39-1,1)-1)</f>
        <v>-2.3992389303354789E-2</v>
      </c>
      <c r="BL39" s="9">
        <f ca="1">IF(OR(BL12="",BL$28&lt;$A39),"",BL12/OFFSET(SSAutCLM!$A$2,MATCH(BL$29,SSAutCLM!$A$2:$A$500)+$A39-1,1)-1)</f>
        <v>-4.5140999731604348E-2</v>
      </c>
      <c r="BM39" s="9">
        <f ca="1">IF(OR(BM12="",BM$28&lt;$A39),"",BM12/OFFSET(SSAutCLM!$A$2,MATCH(BM$29,SSAutCLM!$A$2:$A$500)+$A39-1,1)-1)</f>
        <v>-5.8304377992912104E-2</v>
      </c>
      <c r="BN39" s="9">
        <f ca="1">IF(OR(BN12="",BN$28&lt;$A39),"",BN12/OFFSET(SSAutCLM!$A$2,MATCH(BN$29,SSAutCLM!$A$2:$A$500)+$A39-1,1)-1)</f>
        <v>-5.7849675662132283E-2</v>
      </c>
      <c r="BO39" s="9">
        <f ca="1">IF(OR(BO12="",BO$28&lt;$A39),"",BO12/OFFSET(SSAutCLM!$A$2,MATCH(BO$29,SSAutCLM!$A$2:$A$500)+$A39-1,1)-1)</f>
        <v>-4.0410938150055808E-2</v>
      </c>
      <c r="BP39" s="9">
        <f ca="1">IF(OR(BP12="",BP$28&lt;$A39),"",BP12/OFFSET(SSAutCLM!$A$2,MATCH(BP$29,SSAutCLM!$A$2:$A$500)+$A39-1,1)-1)</f>
        <v>-2.1033719231943193E-2</v>
      </c>
      <c r="BQ39" s="9">
        <f ca="1">IF(OR(BQ12="",BQ$28&lt;$A39),"",BQ12/OFFSET(SSAutCLM!$A$2,MATCH(BQ$29,SSAutCLM!$A$2:$A$500)+$A39-1,1)-1)</f>
        <v>-2.2401023218104554E-2</v>
      </c>
      <c r="BR39" s="9">
        <f ca="1">IF(OR(BR12="",BR$28&lt;$A39),"",BR12/OFFSET(SSAutCLM!$A$2,MATCH(BR$29,SSAutCLM!$A$2:$A$500)+$A39-1,1)-1)</f>
        <v>-2.496744023171571E-2</v>
      </c>
      <c r="BS39" s="9">
        <f ca="1">IF(OR(BS12="",BS$28&lt;$A39),"",BS12/OFFSET(SSAutCLM!$A$2,MATCH(BS$29,SSAutCLM!$A$2:$A$500)+$A39-1,1)-1)</f>
        <v>-3.068892839236903E-2</v>
      </c>
      <c r="BT39" s="9">
        <f ca="1">IF(OR(BT12="",BT$28&lt;$A39),"",BT12/OFFSET(SSAutCLM!$A$2,MATCH(BT$29,SSAutCLM!$A$2:$A$500)+$A39-1,1)-1)</f>
        <v>-3.5324601293344582E-2</v>
      </c>
      <c r="BU39" s="9">
        <f ca="1">IF(OR(BU12="",BU$28&lt;$A39),"",BU12/OFFSET(SSAutCLM!$A$2,MATCH(BU$29,SSAutCLM!$A$2:$A$500)+$A39-1,1)-1)</f>
        <v>-2.2874252673552142E-2</v>
      </c>
      <c r="BV39" s="9">
        <f ca="1">IF(OR(BV12="",BV$28&lt;$A39),"",BV12/OFFSET(SSAutCLM!$A$2,MATCH(BV$29,SSAutCLM!$A$2:$A$500)+$A39-1,1)-1)</f>
        <v>-8.3130844085491651E-3</v>
      </c>
      <c r="BW39" s="9">
        <f ca="1">IF(OR(BW12="",BW$28&lt;$A39),"",BW12/OFFSET(SSAutCLM!$A$2,MATCH(BW$29,SSAutCLM!$A$2:$A$500)+$A39-1,1)-1)</f>
        <v>-1.1254810618913758E-2</v>
      </c>
      <c r="BX39" s="9">
        <f ca="1">IF(OR(BX12="",BX$28&lt;$A39),"",BX12/OFFSET(SSAutCLM!$A$2,MATCH(BX$29,SSAutCLM!$A$2:$A$500)+$A39-1,1)-1)</f>
        <v>-2.0967536740712722E-2</v>
      </c>
      <c r="BY39" s="9">
        <f ca="1">IF(OR(BY12="",BY$28&lt;$A39),"",BY12/OFFSET(SSAutCLM!$A$2,MATCH(BY$29,SSAutCLM!$A$2:$A$500)+$A39-1,1)-1)</f>
        <v>-7.1577101010723565E-3</v>
      </c>
      <c r="BZ39" s="9">
        <f ca="1">IF(OR(BZ12="",BZ$28&lt;$A39),"",BZ12/OFFSET(SSAutCLM!$A$2,MATCH(BZ$29,SSAutCLM!$A$2:$A$500)+$A39-1,1)-1)</f>
        <v>1.3628196078362853E-2</v>
      </c>
      <c r="CA39" s="9">
        <f ca="1">IF(OR(CA12="",CA$28&lt;$A39),"",CA12/OFFSET(SSAutCLM!$A$2,MATCH(CA$29,SSAutCLM!$A$2:$A$500)+$A39-1,1)-1)</f>
        <v>1.9114990333302773E-2</v>
      </c>
      <c r="CB39" s="9">
        <f ca="1">IF(OR(CB12="",CB$28&lt;$A39),"",CB12/OFFSET(SSAutCLM!$A$2,MATCH(CB$29,SSAutCLM!$A$2:$A$500)+$A39-1,1)-1)</f>
        <v>1.9711238719761992E-2</v>
      </c>
      <c r="CC39" s="9">
        <f ca="1">IF(OR(CC12="",CC$28&lt;$A39),"",CC12/OFFSET(SSAutCLM!$A$2,MATCH(CC$29,SSAutCLM!$A$2:$A$500)+$A39-1,1)-1)</f>
        <v>6.7428404238785156E-3</v>
      </c>
      <c r="CD39" s="9">
        <f ca="1">IF(OR(CD12="",CD$28&lt;$A39),"",CD12/OFFSET(SSAutCLM!$A$2,MATCH(CD$29,SSAutCLM!$A$2:$A$500)+$A39-1,1)-1)</f>
        <v>-3.4452176049744043E-3</v>
      </c>
      <c r="CE39" s="9">
        <f ca="1">IF(OR(CE12="",CE$28&lt;$A39),"",CE12/OFFSET(SSAutCLM!$A$2,MATCH(CE$29,SSAutCLM!$A$2:$A$500)+$A39-1,1)-1)</f>
        <v>-4.5915794523287978E-3</v>
      </c>
      <c r="CF39" s="9">
        <f ca="1">IF(OR(CF12="",CF$28&lt;$A39),"",CF12/OFFSET(SSAutCLM!$A$2,MATCH(CF$29,SSAutCLM!$A$2:$A$500)+$A39-1,1)-1)</f>
        <v>8.2875619055622352E-4</v>
      </c>
      <c r="CG39" s="9">
        <f ca="1">IF(OR(CG12="",CG$28&lt;$A39),"",CG12/OFFSET(SSAutCLM!$A$2,MATCH(CG$29,SSAutCLM!$A$2:$A$500)+$A39-1,1)-1)</f>
        <v>-3.2162723675442928E-3</v>
      </c>
      <c r="CH39" s="9">
        <f ca="1">IF(OR(CH12="",CH$28&lt;$A39),"",CH12/OFFSET(SSAutCLM!$A$2,MATCH(CH$29,SSAutCLM!$A$2:$A$500)+$A39-1,1)-1)</f>
        <v>-8.1014881134676697E-3</v>
      </c>
      <c r="CI39" s="9">
        <f ca="1">IF(OR(CI12="",CI$28&lt;$A39),"",CI12/OFFSET(SSAutCLM!$A$2,MATCH(CI$29,SSAutCLM!$A$2:$A$500)+$A39-1,1)-1)</f>
        <v>-4.4286329451415085E-5</v>
      </c>
      <c r="CJ39" s="9">
        <f ca="1">IF(OR(CJ12="",CJ$28&lt;$A39),"",CJ12/OFFSET(SSAutCLM!$A$2,MATCH(CJ$29,SSAutCLM!$A$2:$A$500)+$A39-1,1)-1)</f>
        <v>-1.2011988250542505E-2</v>
      </c>
      <c r="CK39" s="9">
        <f ca="1">IF(OR(CK12="",CK$28&lt;$A39),"",CK12/OFFSET(SSAutCLM!$A$2,MATCH(CK$29,SSAutCLM!$A$2:$A$500)+$A39-1,1)-1)</f>
        <v>1.8400343890150106E-2</v>
      </c>
      <c r="CL39" s="9">
        <f ca="1">IF(OR(CL12="",CL$28&lt;$A39),"",CL12/OFFSET(SSAutCLM!$A$2,MATCH(CL$29,SSAutCLM!$A$2:$A$500)+$A39-1,1)-1)</f>
        <v>2.1337774506015261E-2</v>
      </c>
      <c r="CM39" s="9">
        <f ca="1">IF(OR(CM12="",CM$28&lt;$A39),"",CM12/OFFSET(SSAutCLM!$A$2,MATCH(CM$29,SSAutCLM!$A$2:$A$500)+$A39-1,1)-1)</f>
        <v>3.2387666059401132E-2</v>
      </c>
      <c r="CN39" s="9">
        <f ca="1">IF(OR(CN12="",CN$28&lt;$A39),"",CN12/OFFSET(SSAutCLM!$A$2,MATCH(CN$29,SSAutCLM!$A$2:$A$500)+$A39-1,1)-1)</f>
        <v>2.3345156231042052E-2</v>
      </c>
      <c r="CO39" s="9">
        <f ca="1">IF(OR(CO12="",CO$28&lt;$A39),"",CO12/OFFSET(SSAutCLM!$A$2,MATCH(CO$29,SSAutCLM!$A$2:$A$500)+$A39-1,1)-1)</f>
        <v>9.5475204151971305E-3</v>
      </c>
      <c r="CP39" s="9">
        <f ca="1">IF(OR(CP12="",CP$28&lt;$A39),"",CP12/OFFSET(SSAutCLM!$A$2,MATCH(CP$29,SSAutCLM!$A$2:$A$500)+$A39-1,1)-1)</f>
        <v>-1.3596991727357066E-3</v>
      </c>
      <c r="CQ39" s="9">
        <f ca="1">IF(OR(CQ12="",CQ$28&lt;$A39),"",CQ12/OFFSET(SSAutCLM!$A$2,MATCH(CQ$29,SSAutCLM!$A$2:$A$500)+$A39-1,1)-1)</f>
        <v>3.4436495599690087E-3</v>
      </c>
      <c r="CR39" s="9">
        <f ca="1">IF(OR(CR12="",CR$28&lt;$A39),"",CR12/OFFSET(SSAutCLM!$A$2,MATCH(CR$29,SSAutCLM!$A$2:$A$500)+$A39-1,1)-1)</f>
        <v>2.5393224955896354E-3</v>
      </c>
      <c r="CS39" s="9">
        <f ca="1">IF(OR(CS12="",CS$28&lt;$A39),"",CS12/OFFSET(SSAutCLM!$A$2,MATCH(CS$29,SSAutCLM!$A$2:$A$500)+$A39-1,1)-1)</f>
        <v>-6.4372181471206158E-4</v>
      </c>
      <c r="CT39" s="9">
        <f ca="1">IF(OR(CT12="",CT$28&lt;$A39),"",CT12/OFFSET(SSAutCLM!$A$2,MATCH(CT$29,SSAutCLM!$A$2:$A$500)+$A39-1,1)-1)</f>
        <v>-5.9676510725537035E-3</v>
      </c>
      <c r="CU39" s="9">
        <f ca="1">IF(OR(CU12="",CU$28&lt;$A39),"",CU12/OFFSET(SSAutCLM!$A$2,MATCH(CU$29,SSAutCLM!$A$2:$A$500)+$A39-1,1)-1)</f>
        <v>-4.2836710914880283E-2</v>
      </c>
      <c r="CV39" s="9">
        <f ca="1">IF(OR(CV12="",CV$28&lt;$A39),"",CV12/OFFSET(SSAutCLM!$A$2,MATCH(CV$29,SSAutCLM!$A$2:$A$500)+$A39-1,1)-1)</f>
        <v>-1.0794470227121211E-2</v>
      </c>
      <c r="CW39" s="9">
        <f ca="1">IF(OR(CW12="",CW$28&lt;$A39),"",CW12/OFFSET(SSAutCLM!$A$2,MATCH(CW$29,SSAutCLM!$A$2:$A$500)+$A39-1,1)-1)</f>
        <v>4.2721252402833088E-4</v>
      </c>
      <c r="CX39" s="9">
        <f ca="1">IF(OR(CX12="",CX$28&lt;$A39),"",CX12/OFFSET(SSAutCLM!$A$2,MATCH(CX$29,SSAutCLM!$A$2:$A$500)+$A39-1,1)-1)</f>
        <v>6.2332884567650737E-3</v>
      </c>
      <c r="CY39" s="9">
        <f ca="1">IF(OR(CY12="",CY$28&lt;$A39),"",CY12/OFFSET(SSAutCLM!$A$2,MATCH(CY$29,SSAutCLM!$A$2:$A$500)+$A39-1,1)-1)</f>
        <v>4.614732498277041E-3</v>
      </c>
      <c r="CZ39" s="9">
        <f ca="1">IF(OR(CZ12="",CZ$28&lt;$A39),"",CZ12/OFFSET(SSAutCLM!$A$2,MATCH(CZ$29,SSAutCLM!$A$2:$A$500)+$A39-1,1)-1)</f>
        <v>1.9584649893198414E-3</v>
      </c>
      <c r="DA39" s="9">
        <f ca="1">IF(OR(DA12="",DA$28&lt;$A39),"",DA12/OFFSET(SSAutCLM!$A$2,MATCH(DA$29,SSAutCLM!$A$2:$A$500)+$A39-1,1)-1)</f>
        <v>1.0637337029655303E-3</v>
      </c>
      <c r="DB39" s="9">
        <f ca="1">IF(OR(DB12="",DB$28&lt;$A39),"",DB12/OFFSET(SSAutCLM!$A$2,MATCH(DB$29,SSAutCLM!$A$2:$A$500)+$A39-1,1)-1)</f>
        <v>-1.4258809041379994E-2</v>
      </c>
      <c r="DC39" s="9">
        <f ca="1">IF(OR(DC12="",DC$28&lt;$A39),"",DC12/OFFSET(SSAutCLM!$A$2,MATCH(DC$29,SSAutCLM!$A$2:$A$500)+$A39-1,1)-1)</f>
        <v>-2.2526988525395586E-2</v>
      </c>
      <c r="DD39" s="9">
        <f ca="1">IF(OR(DD12="",DD$28&lt;$A39),"",DD12/OFFSET(SSAutCLM!$A$2,MATCH(DD$29,SSAutCLM!$A$2:$A$500)+$A39-1,1)-1)</f>
        <v>-1.2297851980102137E-2</v>
      </c>
      <c r="DE39" s="9">
        <f ca="1">IF(OR(DE12="",DE$28&lt;$A39),"",DE12/OFFSET(SSAutCLM!$A$2,MATCH(DE$29,SSAutCLM!$A$2:$A$500)+$A39-1,1)-1)</f>
        <v>-1.7816753914002614E-2</v>
      </c>
      <c r="DF39" s="9">
        <f ca="1">IF(OR(DF12="",DF$28&lt;$A39),"",DF12/OFFSET(SSAutCLM!$A$2,MATCH(DF$29,SSAutCLM!$A$2:$A$500)+$A39-1,1)-1)</f>
        <v>-1.831292842978971E-2</v>
      </c>
      <c r="DG39" s="9">
        <f ca="1">IF(OR(DG12="",DG$28&lt;$A39),"",DG12/OFFSET(SSAutCLM!$A$2,MATCH(DG$29,SSAutCLM!$A$2:$A$500)+$A39-1,1)-1)</f>
        <v>-2.7095804895639564E-2</v>
      </c>
      <c r="DH39" s="9">
        <f ca="1">IF(OR(DH12="",DH$28&lt;$A39),"",DH12/OFFSET(SSAutCLM!$A$2,MATCH(DH$29,SSAutCLM!$A$2:$A$500)+$A39-1,1)-1)</f>
        <v>-3.620852727693824E-2</v>
      </c>
      <c r="DI39" s="9">
        <f ca="1">IF(OR(DI12="",DI$28&lt;$A39),"",DI12/OFFSET(SSAutCLM!$A$2,MATCH(DI$29,SSAutCLM!$A$2:$A$500)+$A39-1,1)-1)</f>
        <v>-2.6304576777199107E-2</v>
      </c>
      <c r="DJ39" s="9">
        <f ca="1">IF(OR(DJ12="",DJ$28&lt;$A39),"",DJ12/OFFSET(SSAutCLM!$A$2,MATCH(DJ$29,SSAutCLM!$A$2:$A$500)+$A39-1,1)-1)</f>
        <v>-1.5299834237683885E-2</v>
      </c>
      <c r="DK39" s="9">
        <f ca="1">IF(OR(DK12="",DK$28&lt;$A39),"",DK12/OFFSET(SSAutCLM!$A$2,MATCH(DK$29,SSAutCLM!$A$2:$A$500)+$A39-1,1)-1)</f>
        <v>-1.1216735918901932E-3</v>
      </c>
      <c r="DL39" s="9">
        <f ca="1">IF(OR(DL12="",DL$28&lt;$A39),"",DL12/OFFSET(SSAutCLM!$A$2,MATCH(DL$29,SSAutCLM!$A$2:$A$500)+$A39-1,1)-1)</f>
        <v>1.3398421181143316E-3</v>
      </c>
      <c r="DM39" s="9">
        <f ca="1">IF(OR(DM12="",DM$28&lt;$A39),"",DM12/OFFSET(SSAutCLM!$A$2,MATCH(DM$29,SSAutCLM!$A$2:$A$500)+$A39-1,1)-1)</f>
        <v>8.7668188898120114E-3</v>
      </c>
      <c r="DN39" s="9">
        <f ca="1">IF(OR(DN12="",DN$28&lt;$A39),"",DN12/OFFSET(SSAutCLM!$A$2,MATCH(DN$29,SSAutCLM!$A$2:$A$500)+$A39-1,1)-1)</f>
        <v>-1.2768514853901847E-2</v>
      </c>
      <c r="DO39" s="9">
        <f ca="1">IF(OR(DO12="",DO$28&lt;$A39),"",DO12/OFFSET(SSAutCLM!$A$2,MATCH(DO$29,SSAutCLM!$A$2:$A$500)+$A39-1,1)-1)</f>
        <v>-7.4584221274358597E-3</v>
      </c>
      <c r="DP39" s="9">
        <f ca="1">IF(OR(DP12="",DP$28&lt;$A39),"",DP12/OFFSET(SSAutCLM!$A$2,MATCH(DP$29,SSAutCLM!$A$2:$A$500)+$A39-1,1)-1)</f>
        <v>3.0504637357080533E-3</v>
      </c>
      <c r="DQ39" s="9">
        <f ca="1">IF(OR(DQ12="",DQ$28&lt;$A39),"",DQ12/OFFSET(SSAutCLM!$A$2,MATCH(DQ$29,SSAutCLM!$A$2:$A$500)+$A39-1,1)-1)</f>
        <v>1.2801320714560305E-2</v>
      </c>
      <c r="DR39" s="9">
        <f ca="1">IF(OR(DR12="",DR$28&lt;$A39),"",DR12/OFFSET(SSAutCLM!$A$2,MATCH(DR$29,SSAutCLM!$A$2:$A$500)+$A39-1,1)-1)</f>
        <v>1.450537426716747E-2</v>
      </c>
      <c r="DS39" s="9" t="str">
        <f ca="1">IF(OR(DS12="",DS$28&lt;$A39),"",DS12/OFFSET(SSAutCLM!$A$2,MATCH(DS$29,SSAutCLM!$A$2:$A$500)+$A39-1,1)-1)</f>
        <v/>
      </c>
      <c r="DT39" s="9" t="str">
        <f ca="1">IF(OR(DT12="",DT$28&lt;$A39),"",DT12/OFFSET(SSAutCLM!$A$2,MATCH(DT$29,SSAutCLM!$A$2:$A$500)+$A39-1,1)-1)</f>
        <v/>
      </c>
      <c r="DU39" s="9" t="str">
        <f ca="1">IF(OR(DU12="",DU$28&lt;$A39),"",DU12/OFFSET(SSAutCLM!$A$2,MATCH(DU$29,SSAutCLM!$A$2:$A$500)+$A39-1,1)-1)</f>
        <v/>
      </c>
      <c r="DV39" s="9" t="str">
        <f ca="1">IF(OR(DV12="",DV$28&lt;$A39),"",DV12/OFFSET(SSAutCLM!$A$2,MATCH(DV$29,SSAutCLM!$A$2:$A$500)+$A39-1,1)-1)</f>
        <v/>
      </c>
      <c r="DW39" s="9" t="str">
        <f ca="1">IF(OR(DW12="",DW$28&lt;$A39),"",DW12/OFFSET(SSAutCLM!$A$2,MATCH(DW$29,SSAutCLM!$A$2:$A$500)+$A39-1,1)-1)</f>
        <v/>
      </c>
      <c r="DX39" s="9" t="str">
        <f ca="1">IF(OR(DX12="",DX$28&lt;$A39),"",DX12/OFFSET(SSAutCLM!$A$2,MATCH(DX$29,SSAutCLM!$A$2:$A$500)+$A39-1,1)-1)</f>
        <v/>
      </c>
      <c r="DY39" s="9" t="str">
        <f ca="1">IF(OR(DY12="",DY$28&lt;$A39),"",DY12/OFFSET(SSAutCLM!$A$2,MATCH(DY$29,SSAutCLM!$A$2:$A$500)+$A39-1,1)-1)</f>
        <v/>
      </c>
      <c r="DZ39" s="9" t="str">
        <f ca="1">IF(OR(DZ12="",DZ$28&lt;$A39),"",DZ12/OFFSET(SSAutCLM!$A$2,MATCH(DZ$29,SSAutCLM!$A$2:$A$500)+$A39-1,1)-1)</f>
        <v/>
      </c>
      <c r="EA39" s="9" t="str">
        <f ca="1">IF(OR(EA12="",EA$28&lt;$A39),"",EA12/OFFSET(SSAutCLM!$A$2,MATCH(EA$29,SSAutCLM!$A$2:$A$500)+$A39-1,1)-1)</f>
        <v/>
      </c>
      <c r="EB39" s="9" t="str">
        <f ca="1">IF(OR(EB12="",EB$28&lt;$A39),"",EB12/OFFSET(SSAutCLM!$A$2,MATCH(EB$29,SSAutCLM!$A$2:$A$500)+$A39-1,1)-1)</f>
        <v/>
      </c>
      <c r="EC39" s="9" t="str">
        <f ca="1">IF(OR(EC12="",EC$28&lt;$A39),"",EC12/OFFSET(SSAutCLM!$A$2,MATCH(EC$29,SSAutCLM!$A$2:$A$500)+$A39-1,1)-1)</f>
        <v/>
      </c>
      <c r="ED39" s="9" t="str">
        <f ca="1">IF(OR(ED12="",ED$28&lt;$A39),"",ED12/OFFSET(SSAutCLM!$A$2,MATCH(ED$29,SSAutCLM!$A$2:$A$500)+$A39-1,1)-1)</f>
        <v/>
      </c>
      <c r="EE39" s="9" t="str">
        <f ca="1">IF(OR(EE12="",EE$28&lt;$A39),"",EE12/OFFSET(SSAutCLM!$A$2,MATCH(EE$29,SSAutCLM!$A$2:$A$500)+$A39-1,1)-1)</f>
        <v/>
      </c>
      <c r="EF39" s="9" t="str">
        <f ca="1">IF(OR(EF12="",EF$28&lt;$A39),"",EF12/OFFSET(SSAutCLM!$A$2,MATCH(EF$29,SSAutCLM!$A$2:$A$500)+$A39-1,1)-1)</f>
        <v/>
      </c>
      <c r="EG39" s="9">
        <f ca="1">IF(OR(EG12="",EG$28&lt;$A39),"",EG12/OFFSET(SSAutCLM!$A$2,MATCH(EG$29,SSAutCLM!$A$2:$A$500)+$A39-1,1)-1)</f>
        <v>4.6303017432622884E-3</v>
      </c>
      <c r="EH39" s="9">
        <f ca="1">IF(OR(EH12="",EH$28&lt;$A39),"",EH12/OFFSET(SSAutCLM!$A$2,MATCH(EH$29,SSAutCLM!$A$2:$A$500)+$A39-1,1)-1)</f>
        <v>1.2180404535431011E-2</v>
      </c>
      <c r="EI39" s="9">
        <f ca="1">IF(OR(EI12="",EI$28&lt;$A39),"",EI12/OFFSET(SSAutCLM!$A$2,MATCH(EI$29,SSAutCLM!$A$2:$A$500)+$A39-1,1)-1)</f>
        <v>1.4204630447092192E-2</v>
      </c>
      <c r="EJ39" s="9">
        <f ca="1">IF(OR(EJ12="",EJ$28&lt;$A39),"",EJ12/OFFSET(SSAutCLM!$A$2,MATCH(EJ$29,SSAutCLM!$A$2:$A$500)+$A39-1,1)-1)</f>
        <v>1.3637792301580909E-2</v>
      </c>
      <c r="EK39" s="9">
        <f ca="1">IF(OR(EK12="",EK$28&lt;$A39),"",EK12/OFFSET(SSAutCLM!$A$2,MATCH(EK$29,SSAutCLM!$A$2:$A$500)+$A39-1,1)-1)</f>
        <v>5.4162958772265846E-3</v>
      </c>
      <c r="EL39" s="9">
        <f ca="1">IF(OR(EL12="",EL$28&lt;$A39),"",EL12/OFFSET(SSAutCLM!$A$2,MATCH(EL$29,SSAutCLM!$A$2:$A$500)+$A39-1,1)-1)</f>
        <v>2.908259550365333E-3</v>
      </c>
      <c r="EM39" s="9">
        <f ca="1">IF(OR(EM12="",EM$28&lt;$A39),"",EM12/OFFSET(SSAutCLM!$A$2,MATCH(EM$29,SSAutCLM!$A$2:$A$500)+$A39-1,1)-1)</f>
        <v>4.5339974584768239E-3</v>
      </c>
      <c r="EN39" s="9">
        <f ca="1">IF(OR(EN12="",EN$28&lt;$A39),"",EN12/OFFSET(SSAutCLM!$A$2,MATCH(EN$29,SSAutCLM!$A$2:$A$500)+$A39-1,1)-1)</f>
        <v>3.2410063620920138E-3</v>
      </c>
      <c r="EO39" s="9">
        <f ca="1">IF(OR(EO12="",EO$28&lt;$A39),"",EO12/OFFSET(SSAutCLM!$A$2,MATCH(EO$29,SSAutCLM!$A$2:$A$500)+$A39-1,1)-1)</f>
        <v>5.9789820728404219E-3</v>
      </c>
      <c r="EP39" s="9">
        <f ca="1">IF(OR(EP12="",EP$28&lt;$A39),"",EP12/OFFSET(SSAutCLM!$A$2,MATCH(EP$29,SSAutCLM!$A$2:$A$500)+$A39-1,1)-1)</f>
        <v>-1.9875169401311843E-2</v>
      </c>
      <c r="EQ39" s="9">
        <f ca="1">IF(OR(EQ12="",EQ$28&lt;$A39),"",EQ12/OFFSET(SSAutCLM!$A$2,MATCH(EQ$29,SSAutCLM!$A$2:$A$500)+$A39-1,1)-1)</f>
        <v>-2.3980290378848856E-3</v>
      </c>
      <c r="ER39" s="9">
        <f ca="1">IF(OR(ER12="",ER$28&lt;$A39),"",ER12/OFFSET(SSAutCLM!$A$2,MATCH(ER$29,SSAutCLM!$A$2:$A$500)+$A39-1,1)-1)</f>
        <v>1.5077486131217732E-2</v>
      </c>
      <c r="ES39" s="9">
        <f ca="1">IF(OR(ES12="",ES$28&lt;$A39),"",ES12/OFFSET(SSAutCLM!$A$2,MATCH(ES$29,SSAutCLM!$A$2:$A$500)+$A39-1,1)-1)</f>
        <v>9.0860762786195703E-3</v>
      </c>
      <c r="ET39" s="9">
        <f ca="1">IF(OR(ET12="",ET$28&lt;$A39),"",ET12/OFFSET(SSAutCLM!$A$2,MATCH(ET$29,SSAutCLM!$A$2:$A$500)+$A39-1,1)-1)</f>
        <v>7.2182521740880023E-3</v>
      </c>
      <c r="EU39" s="9">
        <f ca="1">IF(OR(EU12="",EU$28&lt;$A39),"",EU12/OFFSET(SSAutCLM!$A$2,MATCH(EU$29,SSAutCLM!$A$2:$A$500)+$A39-1,1)-1)</f>
        <v>5.7484752314680421E-3</v>
      </c>
      <c r="EV39" s="9">
        <f ca="1">IF(OR(EV12="",EV$28&lt;$A39),"",EV12/OFFSET(SSAutCLM!$A$2,MATCH(EV$29,SSAutCLM!$A$2:$A$500)+$A39-1,1)-1)</f>
        <v>-1.20107581316653E-3</v>
      </c>
      <c r="EW39" s="9">
        <f ca="1">IF(OR(EW12="",EW$28&lt;$A39),"",EW12/OFFSET(SSAutCLM!$A$2,MATCH(EW$29,SSAutCLM!$A$2:$A$500)+$A39-1,1)-1)</f>
        <v>-5.0618895608238734E-3</v>
      </c>
      <c r="EX39" s="9">
        <f ca="1">IF(OR(EX12="",EX$28&lt;$A39),"",EX12/OFFSET(SSAutCLM!$A$2,MATCH(EX$29,SSAutCLM!$A$2:$A$500)+$A39-1,1)-1)</f>
        <v>-1.9733832754379454E-3</v>
      </c>
      <c r="EY39" s="9">
        <f ca="1">IF(OR(EY12="",EY$28&lt;$A39),"",EY12/OFFSET(SSAutCLM!$A$2,MATCH(EY$29,SSAutCLM!$A$2:$A$500)+$A39-1,1)-1)</f>
        <v>-7.0518464763481559E-3</v>
      </c>
      <c r="EZ39" s="9">
        <f ca="1">IF(OR(EZ12="",EZ$28&lt;$A39),"",EZ12/OFFSET(SSAutCLM!$A$2,MATCH(EZ$29,SSAutCLM!$A$2:$A$500)+$A39-1,1)-1)</f>
        <v>2.828086746535563E-3</v>
      </c>
      <c r="FA39" s="9">
        <f ca="1">IF(OR(FA12="",FA$28&lt;$A39),"",FA12/OFFSET(SSAutCLM!$A$2,MATCH(FA$29,SSAutCLM!$A$2:$A$500)+$A39-1,1)-1)</f>
        <v>8.3579200673995491E-3</v>
      </c>
      <c r="FB39" s="9">
        <f ca="1">IF(OR(FB12="",FB$28&lt;$A39),"",FB12/OFFSET(SSAutCLM!$A$2,MATCH(FB$29,SSAutCLM!$A$2:$A$500)+$A39-1,1)-1)</f>
        <v>2.5383693361247239E-3</v>
      </c>
      <c r="FC39" s="9">
        <f ca="1">IF(OR(FC12="",FC$28&lt;$A39),"",FC12/OFFSET(SSAutCLM!$A$2,MATCH(FC$29,SSAutCLM!$A$2:$A$500)+$A39-1,1)-1)</f>
        <v>-1.7757836398062388E-3</v>
      </c>
      <c r="FD39" s="9">
        <f ca="1">IF(OR(FD12="",FD$28&lt;$A39),"",FD12/OFFSET(SSAutCLM!$A$2,MATCH(FD$29,SSAutCLM!$A$2:$A$500)+$A39-1,1)-1)</f>
        <v>6.7179624362725399E-3</v>
      </c>
      <c r="FE39" s="9">
        <f ca="1">IF(OR(FE12="",FE$28&lt;$A39),"",FE12/OFFSET(SSAutCLM!$A$2,MATCH(FE$29,SSAutCLM!$A$2:$A$500)+$A39-1,1)-1)</f>
        <v>4.7644289431976183E-3</v>
      </c>
      <c r="FF39" s="9">
        <f ca="1">IF(OR(FF12="",FF$28&lt;$A39),"",FF12/OFFSET(SSAutCLM!$A$2,MATCH(FF$29,SSAutCLM!$A$2:$A$500)+$A39-1,1)-1)</f>
        <v>1.5417129923895878E-3</v>
      </c>
      <c r="FG39" s="9">
        <f ca="1">IF(OR(FG12="",FG$28&lt;$A39),"",FG12/OFFSET(SSAutCLM!$A$2,MATCH(FG$29,SSAutCLM!$A$2:$A$500)+$A39-1,1)-1)</f>
        <v>4.8117601952657463E-3</v>
      </c>
      <c r="FH39" s="9">
        <f ca="1">IF(OR(FH12="",FH$28&lt;$A39),"",FH12/OFFSET(SSAutCLM!$A$2,MATCH(FH$29,SSAutCLM!$A$2:$A$500)+$A39-1,1)-1)</f>
        <v>-1.4876244583429399E-3</v>
      </c>
      <c r="FI39" s="9">
        <f ca="1">IF(OR(FI12="",FI$28&lt;$A39),"",FI12/OFFSET(SSAutCLM!$A$2,MATCH(FI$29,SSAutCLM!$A$2:$A$500)+$A39-1,1)-1)</f>
        <v>-1.7960076315429174E-2</v>
      </c>
      <c r="FJ39" s="9">
        <f ca="1">IF(OR(FJ12="",FJ$28&lt;$A39),"",FJ12/OFFSET(SSAutCLM!$A$2,MATCH(FJ$29,SSAutCLM!$A$2:$A$500)+$A39-1,1)-1)</f>
        <v>-2.0583038490855299E-2</v>
      </c>
      <c r="FK39" s="9">
        <f ca="1">IF(OR(FK12="",FK$28&lt;$A39),"",FK12/OFFSET(SSAutCLM!$A$2,MATCH(FK$29,SSAutCLM!$A$2:$A$500)+$A39-1,1)-1)</f>
        <v>-7.724955959160007E-3</v>
      </c>
      <c r="FL39" s="9">
        <f ca="1">IF(OR(FL12="",FL$28&lt;$A39),"",FL12/OFFSET(SSAutCLM!$A$2,MATCH(FL$29,SSAutCLM!$A$2:$A$500)+$A39-1,1)-1)</f>
        <v>-5.6256147464892603E-3</v>
      </c>
      <c r="FM39" s="9">
        <f ca="1">IF(OR(FM12="",FM$28&lt;$A39),"",FM12/OFFSET(SSAutCLM!$A$2,MATCH(FM$29,SSAutCLM!$A$2:$A$500)+$A39-1,1)-1)</f>
        <v>-7.968820071795002E-3</v>
      </c>
      <c r="FN39" s="9">
        <f ca="1">IF(OR(FN12="",FN$28&lt;$A39),"",FN12/OFFSET(SSAutCLM!$A$2,MATCH(FN$29,SSAutCLM!$A$2:$A$500)+$A39-1,1)-1)</f>
        <v>-1.1205014630658594E-2</v>
      </c>
      <c r="FO39" s="9">
        <f ca="1">IF(OR(FO12="",FO$28&lt;$A39),"",FO12/OFFSET(SSAutCLM!$A$2,MATCH(FO$29,SSAutCLM!$A$2:$A$500)+$A39-1,1)-1)</f>
        <v>2.1179081484323792E-3</v>
      </c>
      <c r="FP39" s="9">
        <f ca="1">IF(OR(FP12="",FP$28&lt;$A39),"",FP12/OFFSET(SSAutCLM!$A$2,MATCH(FP$29,SSAutCLM!$A$2:$A$500)+$A39-1,1)-1)</f>
        <v>2.3274091011915798E-2</v>
      </c>
      <c r="FQ39" s="9">
        <f ca="1">IF(OR(FQ12="",FQ$28&lt;$A39),"",FQ12/OFFSET(SSAutCLM!$A$2,MATCH(FQ$29,SSAutCLM!$A$2:$A$500)+$A39-1,1)-1)</f>
        <v>1.2973076449359411E-2</v>
      </c>
      <c r="FR39" s="9">
        <f ca="1">IF(OR(FR12="",FR$28&lt;$A39),"",FR12/OFFSET(SSAutCLM!$A$2,MATCH(FR$29,SSAutCLM!$A$2:$A$500)+$A39-1,1)-1)</f>
        <v>7.5026454811617516E-3</v>
      </c>
      <c r="FS39" s="9">
        <f ca="1">IF(OR(FS12="",FS$28&lt;$A39),"",FS12/OFFSET(SSAutCLM!$A$2,MATCH(FS$29,SSAutCLM!$A$2:$A$500)+$A39-1,1)-1)</f>
        <v>8.7285445109954729E-3</v>
      </c>
      <c r="FT39" s="9">
        <f ca="1">IF(OR(FT12="",FT$28&lt;$A39),"",FT12/OFFSET(SSAutCLM!$A$2,MATCH(FT$29,SSAutCLM!$A$2:$A$500)+$A39-1,1)-1)</f>
        <v>3.9021009044726274E-3</v>
      </c>
      <c r="FU39" s="9">
        <f ca="1">IF(OR(FU12="",FU$28&lt;$A39),"",FU12/OFFSET(SSAutCLM!$A$2,MATCH(FU$29,SSAutCLM!$A$2:$A$500)+$A39-1,1)-1)</f>
        <v>7.2334012027885919E-4</v>
      </c>
      <c r="FV39" s="9">
        <f ca="1">IF(OR(FV12="",FV$28&lt;$A39),"",FV12/OFFSET(SSAutCLM!$A$2,MATCH(FV$29,SSAutCLM!$A$2:$A$500)+$A39-1,1)-1)</f>
        <v>-2.4755240779396059E-3</v>
      </c>
      <c r="FW39" s="9">
        <f ca="1">IF(OR(FW12="",FW$28&lt;$A39),"",FW12/OFFSET(SSAutCLM!$A$2,MATCH(FW$29,SSAutCLM!$A$2:$A$500)+$A39-1,1)-1)</f>
        <v>2.9255321730421446E-3</v>
      </c>
      <c r="FX39" s="9">
        <f ca="1">IF(OR(FX12="",FX$28&lt;$A39),"",FX12/OFFSET(SSAutCLM!$A$2,MATCH(FX$29,SSAutCLM!$A$2:$A$500)+$A39-1,1)-1)</f>
        <v>7.9828489452107299E-3</v>
      </c>
      <c r="FY39" s="9">
        <f ca="1">IF(OR(FY12="",FY$28&lt;$A39),"",FY12/OFFSET(SSAutCLM!$A$2,MATCH(FY$29,SSAutCLM!$A$2:$A$500)+$A39-1,1)-1)</f>
        <v>6.2054099419535103E-3</v>
      </c>
      <c r="FZ39" s="9">
        <f ca="1">IF(OR(FZ12="",FZ$28&lt;$A39),"",FZ12/OFFSET(SSAutCLM!$A$2,MATCH(FZ$29,SSAutCLM!$A$2:$A$500)+$A39-1,1)-1)</f>
        <v>1.2437115881183791E-2</v>
      </c>
      <c r="GA39" s="9">
        <f ca="1">IF(OR(GA12="",GA$28&lt;$A39),"",GA12/OFFSET(SSAutCLM!$A$2,MATCH(GA$29,SSAutCLM!$A$2:$A$500)+$A39-1,1)-1)</f>
        <v>-6.8503290230720326E-3</v>
      </c>
      <c r="GB39" s="9">
        <f ca="1">IF(OR(GB12="",GB$28&lt;$A39),"",GB12/OFFSET(SSAutCLM!$A$2,MATCH(GB$29,SSAutCLM!$A$2:$A$500)+$A39-1,1)-1)</f>
        <v>-7.2787954966591073E-3</v>
      </c>
      <c r="GC39" s="9">
        <f ca="1">IF(OR(GC12="",GC$28&lt;$A39),"",GC12/OFFSET(SSAutCLM!$A$2,MATCH(GC$29,SSAutCLM!$A$2:$A$500)+$A39-1,1)-1)</f>
        <v>-1.0759221051571455E-2</v>
      </c>
      <c r="GD39" s="9">
        <f ca="1">IF(OR(GD12="",GD$28&lt;$A39),"",GD12/OFFSET(SSAutCLM!$A$2,MATCH(GD$29,SSAutCLM!$A$2:$A$500)+$A39-1,1)-1)</f>
        <v>-1.5246490203907448E-2</v>
      </c>
      <c r="GE39" s="9">
        <f ca="1">IF(OR(GE12="",GE$28&lt;$A39),"",GE12/OFFSET(SSAutCLM!$A$2,MATCH(GE$29,SSAutCLM!$A$2:$A$500)+$A39-1,1)-1)</f>
        <v>-7.8153073591563649E-3</v>
      </c>
      <c r="GF39" s="9">
        <f ca="1">IF(OR(GF12="",GF$28&lt;$A39),"",GF12/OFFSET(SSAutCLM!$A$2,MATCH(GF$29,SSAutCLM!$A$2:$A$500)+$A39-1,1)-1)</f>
        <v>2.0807277491971865E-2</v>
      </c>
      <c r="GG39" s="9">
        <f ca="1">IF(OR(GG12="",GG$28&lt;$A39),"",GG12/OFFSET(SSAutCLM!$A$2,MATCH(GG$29,SSAutCLM!$A$2:$A$500)+$A39-1,1)-1)</f>
        <v>2.0530145275983624E-2</v>
      </c>
      <c r="GH39" s="9">
        <f ca="1">IF(OR(GH12="",GH$28&lt;$A39),"",GH12/OFFSET(SSAutCLM!$A$2,MATCH(GH$29,SSAutCLM!$A$2:$A$500)+$A39-1,1)-1)</f>
        <v>1.4023081073498034E-2</v>
      </c>
      <c r="GI39" s="9">
        <f ca="1">IF(OR(GI12="",GI$28&lt;$A39),"",GI12/OFFSET(SSAutCLM!$A$2,MATCH(GI$29,SSAutCLM!$A$2:$A$500)+$A39-1,1)-1)</f>
        <v>8.5630962143283806E-3</v>
      </c>
      <c r="GJ39" s="9">
        <f ca="1">IF(OR(GJ12="",GJ$28&lt;$A39),"",GJ12/OFFSET(SSAutCLM!$A$2,MATCH(GJ$29,SSAutCLM!$A$2:$A$500)+$A39-1,1)-1)</f>
        <v>5.7680174050476207E-3</v>
      </c>
      <c r="GK39" s="9">
        <f ca="1">IF(OR(GK12="",GK$28&lt;$A39),"",GK12/OFFSET(SSAutCLM!$A$2,MATCH(GK$29,SSAutCLM!$A$2:$A$500)+$A39-1,1)-1)</f>
        <v>6.7718784744668081E-3</v>
      </c>
      <c r="GL39" s="9">
        <f ca="1">IF(OR(GL12="",GL$28&lt;$A39),"",GL12/OFFSET(SSAutCLM!$A$2,MATCH(GL$29,SSAutCLM!$A$2:$A$500)+$A39-1,1)-1)</f>
        <v>1.6564439462447345E-2</v>
      </c>
      <c r="GM39" s="9">
        <f ca="1">IF(OR(GM12="",GM$28&lt;$A39),"",GM12/OFFSET(SSAutCLM!$A$2,MATCH(GM$29,SSAutCLM!$A$2:$A$500)+$A39-1,1)-1)</f>
        <v>7.3893224999803664E-3</v>
      </c>
      <c r="GN39" s="9">
        <f ca="1">IF(OR(GN12="",GN$28&lt;$A39),"",GN12/OFFSET(SSAutCLM!$A$2,MATCH(GN$29,SSAutCLM!$A$2:$A$500)+$A39-1,1)-1)</f>
        <v>1.3781513524448785E-2</v>
      </c>
      <c r="GO39" s="9">
        <f ca="1">IF(OR(GO12="",GO$28&lt;$A39),"",GO12/OFFSET(SSAutCLM!$A$2,MATCH(GO$29,SSAutCLM!$A$2:$A$500)+$A39-1,1)-1)</f>
        <v>-1.0753647464965876E-2</v>
      </c>
      <c r="GP39" s="9" t="str">
        <f ca="1">IF(OR(GP12="",GP$28&lt;$A39),"",GP12/OFFSET(SSAutCLM!$A$2,MATCH(GP$29,SSAutCLM!$A$2:$A$500)+$A39-1,1)-1)</f>
        <v/>
      </c>
      <c r="GQ39" s="9" t="str">
        <f ca="1">IF(OR(GQ12="",GQ$28&lt;$A39),"",GQ12/OFFSET(SSAutCLM!$A$2,MATCH(GQ$29,SSAutCLM!$A$2:$A$500)+$A39-1,1)-1)</f>
        <v/>
      </c>
      <c r="GR39" s="9" t="str">
        <f ca="1">IF(OR(GR12="",GR$28&lt;$A39),"",GR12/OFFSET(SSAutCLM!$A$2,MATCH(GR$29,SSAutCLM!$A$2:$A$500)+$A39-1,1)-1)</f>
        <v/>
      </c>
      <c r="GS39" s="9" t="str">
        <f ca="1">IF(OR(GS12="",GS$28&lt;$A39),"",GS12/OFFSET(SSAutCLM!$A$2,MATCH(GS$29,SSAutCLM!$A$2:$A$500)+$A39-1,1)-1)</f>
        <v/>
      </c>
      <c r="GT39" s="9" t="str">
        <f ca="1">IF(OR(GT12="",GT$28&lt;$A39),"",GT12/OFFSET(SSAutCLM!$A$2,MATCH(GT$29,SSAutCLM!$A$2:$A$500)+$A39-1,1)-1)</f>
        <v/>
      </c>
      <c r="GU39" s="9" t="str">
        <f ca="1">IF(OR(GU12="",GU$28&lt;$A39),"",GU12/OFFSET(SSAutCLM!$A$2,MATCH(GU$29,SSAutCLM!$A$2:$A$500)+$A39-1,1)-1)</f>
        <v/>
      </c>
      <c r="GV39" s="9" t="str">
        <f ca="1">IF(OR(GV12="",GV$28&lt;$A39),"",GV12/OFFSET(SSAutCLM!$A$2,MATCH(GV$29,SSAutCLM!$A$2:$A$500)+$A39-1,1)-1)</f>
        <v/>
      </c>
      <c r="GW39" s="9" t="str">
        <f ca="1">IF(OR(GW12="",GW$28&lt;$A39),"",GW12/OFFSET(SSAutCLM!$A$2,MATCH(GW$29,SSAutCLM!$A$2:$A$500)+$A39-1,1)-1)</f>
        <v/>
      </c>
      <c r="GX39" s="9" t="str">
        <f ca="1">IF(OR(GX12="",GX$28&lt;$A39),"",GX12/OFFSET(SSAutCLM!$A$2,MATCH(GX$29,SSAutCLM!$A$2:$A$500)+$A39-1,1)-1)</f>
        <v/>
      </c>
      <c r="GY39" s="9" t="str">
        <f ca="1">IF(OR(GY12="",GY$28&lt;$A39),"",GY12/OFFSET(SSAutCLM!$A$2,MATCH(GY$29,SSAutCLM!$A$2:$A$500)+$A39-1,1)-1)</f>
        <v/>
      </c>
      <c r="GZ39" s="9" t="str">
        <f ca="1">IF(OR(GZ12="",GZ$28&lt;$A39),"",GZ12/OFFSET(SSAutCLM!$A$2,MATCH(GZ$29,SSAutCLM!$A$2:$A$500)+$A39-1,1)-1)</f>
        <v/>
      </c>
      <c r="HA39" s="9" t="str">
        <f ca="1">IF(OR(HA12="",HA$28&lt;$A39),"",HA12/OFFSET(SSAutCLM!$A$2,MATCH(HA$29,SSAutCLM!$A$2:$A$500)+$A39-1,1)-1)</f>
        <v/>
      </c>
      <c r="HB39" s="9" t="str">
        <f ca="1">IF(OR(HB12="",HB$28&lt;$A39),"",HB12/OFFSET(SSAutCLM!$A$2,MATCH(HB$29,SSAutCLM!$A$2:$A$500)+$A39-1,1)-1)</f>
        <v/>
      </c>
      <c r="HC39" s="9" t="str">
        <f ca="1">IF(OR(HC12="",HC$28&lt;$A39),"",HC12/OFFSET(SSAutCLM!$A$2,MATCH(HC$29,SSAutCLM!$A$2:$A$500)+$A39-1,1)-1)</f>
        <v/>
      </c>
      <c r="HD39" s="9" t="str">
        <f ca="1">IF(OR(HD12="",HD$28&lt;$A39),"",HD12/OFFSET(SSAutCLM!$A$2,MATCH(HD$29,SSAutCLM!$A$2:$A$500)+$A39-1,1)-1)</f>
        <v/>
      </c>
      <c r="HE39" s="9" t="str">
        <f ca="1">IF(OR(HE12="",HE$28&lt;$A39),"",HE12/OFFSET(SSAutCLM!$A$2,MATCH(HE$29,SSAutCLM!$A$2:$A$500)+$A39-1,1)-1)</f>
        <v/>
      </c>
      <c r="HF39" s="9" t="str">
        <f ca="1">IF(OR(HF12="",HF$28&lt;$A39),"",HF12/OFFSET(SSAutCLM!$A$2,MATCH(HF$29,SSAutCLM!$A$2:$A$500)+$A39-1,1)-1)</f>
        <v/>
      </c>
      <c r="HG39" s="9" t="str">
        <f ca="1">IF(OR(HG12="",HG$28&lt;$A39),"",HG12/OFFSET(SSAutCLM!$A$2,MATCH(HG$29,SSAutCLM!$A$2:$A$500)+$A39-1,1)-1)</f>
        <v/>
      </c>
      <c r="HH39" s="9" t="str">
        <f ca="1">IF(OR(HH12="",HH$28&lt;$A39),"",HH12/OFFSET(SSAutCLM!$A$2,MATCH(HH$29,SSAutCLM!$A$2:$A$500)+$A39-1,1)-1)</f>
        <v/>
      </c>
      <c r="HI39" s="9" t="str">
        <f ca="1">IF(OR(HI12="",HI$28&lt;$A39),"",HI12/OFFSET(SSAutCLM!$A$2,MATCH(HI$29,SSAutCLM!$A$2:$A$500)+$A39-1,1)-1)</f>
        <v/>
      </c>
      <c r="HJ39" s="9" t="str">
        <f ca="1">IF(OR(HJ12="",HJ$28&lt;$A39),"",HJ12/OFFSET(SSAutCLM!$A$2,MATCH(HJ$29,SSAutCLM!$A$2:$A$500)+$A39-1,1)-1)</f>
        <v/>
      </c>
      <c r="HK39" s="9" t="str">
        <f ca="1">IF(OR(HK12="",HK$28&lt;$A39),"",HK12/OFFSET(SSAutCLM!$A$2,MATCH(HK$29,SSAutCLM!$A$2:$A$500)+$A39-1,1)-1)</f>
        <v/>
      </c>
      <c r="HL39" s="9" t="str">
        <f ca="1">IF(OR(HL12="",HL$28&lt;$A39),"",HL12/OFFSET(SSAutCLM!$A$2,MATCH(HL$29,SSAutCLM!$A$2:$A$500)+$A39-1,1)-1)</f>
        <v/>
      </c>
      <c r="HM39" s="9" t="str">
        <f ca="1">IF(OR(HM12="",HM$28&lt;$A39),"",HM12/OFFSET(SSAutCLM!$A$2,MATCH(HM$29,SSAutCLM!$A$2:$A$500)+$A39-1,1)-1)</f>
        <v/>
      </c>
      <c r="HN39" s="9" t="str">
        <f ca="1">IF(OR(HN12="",HN$28&lt;$A39),"",HN12/OFFSET(SSAutCLM!$A$2,MATCH(HN$29,SSAutCLM!$A$2:$A$500)+$A39-1,1)-1)</f>
        <v/>
      </c>
      <c r="HO39" s="9" t="str">
        <f ca="1">IF(OR(HO12="",HO$28&lt;$A39),"",HO12/OFFSET(SSAutCLM!$A$2,MATCH(HO$29,SSAutCLM!$A$2:$A$500)+$A39-1,1)-1)</f>
        <v/>
      </c>
      <c r="HP39" s="9" t="str">
        <f ca="1">IF(OR(HP12="",HP$28&lt;$A39),"",HP12/OFFSET(SSAutCLM!$A$2,MATCH(HP$29,SSAutCLM!$A$2:$A$500)+$A39-1,1)-1)</f>
        <v/>
      </c>
      <c r="HQ39" s="9" t="str">
        <f ca="1">IF(OR(HQ12="",HQ$28&lt;$A39),"",HQ12/OFFSET(SSAutCLM!$A$2,MATCH(HQ$29,SSAutCLM!$A$2:$A$500)+$A39-1,1)-1)</f>
        <v/>
      </c>
      <c r="HR39" s="9" t="str">
        <f ca="1">IF(OR(HR12="",HR$28&lt;$A39),"",HR12/OFFSET(SSAutCLM!$A$2,MATCH(HR$29,SSAutCLM!$A$2:$A$500)+$A39-1,1)-1)</f>
        <v/>
      </c>
      <c r="HS39" s="9" t="str">
        <f ca="1">IF(OR(HS12="",HS$28&lt;$A39),"",HS12/OFFSET(SSAutCLM!$A$2,MATCH(HS$29,SSAutCLM!$A$2:$A$500)+$A39-1,1)-1)</f>
        <v/>
      </c>
      <c r="HT39" s="9" t="str">
        <f ca="1">IF(OR(HT12="",HT$28&lt;$A39),"",HT12/OFFSET(SSAutCLM!$A$2,MATCH(HT$29,SSAutCLM!$A$2:$A$500)+$A39-1,1)-1)</f>
        <v/>
      </c>
      <c r="HU39" s="9" t="str">
        <f ca="1">IF(OR(HU12="",HU$28&lt;$A39),"",HU12/OFFSET(SSAutCLM!$A$2,MATCH(HU$29,SSAutCLM!$A$2:$A$500)+$A39-1,1)-1)</f>
        <v/>
      </c>
      <c r="HV39" s="9" t="str">
        <f ca="1">IF(OR(HV12="",HV$28&lt;$A39),"",HV12/OFFSET(SSAutCLM!$A$2,MATCH(HV$29,SSAutCLM!$A$2:$A$500)+$A39-1,1)-1)</f>
        <v/>
      </c>
      <c r="HW39" s="9" t="str">
        <f ca="1">IF(OR(HW12="",HW$28&lt;$A39),"",HW12/OFFSET(SSAutCLM!$A$2,MATCH(HW$29,SSAutCLM!$A$2:$A$500)+$A39-1,1)-1)</f>
        <v/>
      </c>
      <c r="HX39" s="9" t="str">
        <f ca="1">IF(OR(HX12="",HX$28&lt;$A39),"",HX12/OFFSET(SSAutCLM!$A$2,MATCH(HX$29,SSAutCLM!$A$2:$A$500)+$A39-1,1)-1)</f>
        <v/>
      </c>
      <c r="HY39" s="9" t="str">
        <f ca="1">IF(OR(HY12="",HY$28&lt;$A39),"",HY12/OFFSET(SSAutCLM!$A$2,MATCH(HY$29,SSAutCLM!$A$2:$A$500)+$A39-1,1)-1)</f>
        <v/>
      </c>
      <c r="HZ39" s="9" t="str">
        <f ca="1">IF(OR(HZ12="",HZ$28&lt;$A39),"",HZ12/OFFSET(SSAutCLM!$A$2,MATCH(HZ$29,SSAutCLM!$A$2:$A$500)+$A39-1,1)-1)</f>
        <v/>
      </c>
      <c r="IA39" s="9" t="str">
        <f ca="1">IF(OR(IA12="",IA$28&lt;$A39),"",IA12/OFFSET(SSAutCLM!$A$2,MATCH(IA$29,SSAutCLM!$A$2:$A$500)+$A39-1,1)-1)</f>
        <v/>
      </c>
      <c r="IB39" s="9" t="str">
        <f ca="1">IF(OR(IB12="",IB$28&lt;$A39),"",IB12/OFFSET(SSAutCLM!$A$2,MATCH(IB$29,SSAutCLM!$A$2:$A$500)+$A39-1,1)-1)</f>
        <v/>
      </c>
      <c r="IC39" s="9" t="str">
        <f ca="1">IF(OR(IC12="",IC$28&lt;$A39),"",IC12/OFFSET(SSAutCLM!$A$2,MATCH(IC$29,SSAutCLM!$A$2:$A$500)+$A39-1,1)-1)</f>
        <v/>
      </c>
      <c r="ID39" s="9" t="str">
        <f ca="1">IF(OR(ID12="",ID$28&lt;$A39),"",ID12/OFFSET(SSAutCLM!$A$2,MATCH(ID$29,SSAutCLM!$A$2:$A$500)+$A39-1,1)-1)</f>
        <v/>
      </c>
      <c r="IE39" s="9" t="str">
        <f ca="1">IF(OR(IE12="",IE$28&lt;$A39),"",IE12/OFFSET(SSAutCLM!$A$2,MATCH(IE$29,SSAutCLM!$A$2:$A$500)+$A39-1,1)-1)</f>
        <v/>
      </c>
      <c r="IF39" s="9" t="str">
        <f ca="1">IF(OR(IF12="",IF$28&lt;$A39),"",IF12/OFFSET(SSAutCLM!$A$2,MATCH(IF$29,SSAutCLM!$A$2:$A$500)+$A39-1,1)-1)</f>
        <v/>
      </c>
      <c r="IG39" s="9" t="str">
        <f ca="1">IF(OR(IG12="",IG$28&lt;$A39),"",IG12/OFFSET(SSAutCLM!$A$2,MATCH(IG$29,SSAutCLM!$A$2:$A$500)+$A39-1,1)-1)</f>
        <v/>
      </c>
      <c r="IH39" s="9" t="str">
        <f ca="1">IF(OR(IH12="",IH$28&lt;$A39),"",IH12/OFFSET(SSAutCLM!$A$2,MATCH(IH$29,SSAutCLM!$A$2:$A$500)+$A39-1,1)-1)</f>
        <v/>
      </c>
      <c r="II39" s="9" t="str">
        <f ca="1">IF(OR(II12="",II$28&lt;$A39),"",II12/OFFSET(SSAutCLM!$A$2,MATCH(II$29,SSAutCLM!$A$2:$A$500)+$A39-1,1)-1)</f>
        <v/>
      </c>
      <c r="IJ39" s="9" t="str">
        <f ca="1">IF(OR(IJ12="",IJ$28&lt;$A39),"",IJ12/OFFSET(SSAutCLM!$A$2,MATCH(IJ$29,SSAutCLM!$A$2:$A$500)+$A39-1,1)-1)</f>
        <v/>
      </c>
      <c r="IK39" s="9" t="str">
        <f ca="1">IF(OR(IK12="",IK$28&lt;$A39),"",IK12/OFFSET(SSAutCLM!$A$2,MATCH(IK$29,SSAutCLM!$A$2:$A$500)+$A39-1,1)-1)</f>
        <v/>
      </c>
      <c r="IL39" s="9" t="str">
        <f ca="1">IF(OR(IL12="",IL$28&lt;$A39),"",IL12/OFFSET(SSAutCLM!$A$2,MATCH(IL$29,SSAutCLM!$A$2:$A$500)+$A39-1,1)-1)</f>
        <v/>
      </c>
      <c r="IM39" s="9" t="str">
        <f ca="1">IF(OR(IM12="",IM$28&lt;$A39),"",IM12/OFFSET(SSAutCLM!$A$2,MATCH(IM$29,SSAutCLM!$A$2:$A$500)+$A39-1,1)-1)</f>
        <v/>
      </c>
      <c r="IN39" s="9" t="str">
        <f ca="1">IF(OR(IN12="",IN$28&lt;$A39),"",IN12/OFFSET(SSAutCLM!$A$2,MATCH(IN$29,SSAutCLM!$A$2:$A$500)+$A39-1,1)-1)</f>
        <v/>
      </c>
      <c r="IO39" s="9" t="str">
        <f ca="1">IF(OR(IO12="",IO$28&lt;$A39),"",IO12/OFFSET(SSAutCLM!$A$2,MATCH(IO$29,SSAutCLM!$A$2:$A$500)+$A39-1,1)-1)</f>
        <v/>
      </c>
      <c r="IP39" s="9" t="str">
        <f ca="1">IF(OR(IP12="",IP$28&lt;$A39),"",IP12/OFFSET(SSAutCLM!$A$2,MATCH(IP$29,SSAutCLM!$A$2:$A$500)+$A39-1,1)-1)</f>
        <v/>
      </c>
      <c r="IQ39" s="9" t="str">
        <f ca="1">IF(OR(IQ12="",IQ$28&lt;$A39),"",IQ12/OFFSET(SSAutCLM!$A$2,MATCH(IQ$29,SSAutCLM!$A$2:$A$500)+$A39-1,1)-1)</f>
        <v/>
      </c>
      <c r="IR39" s="9" t="str">
        <f ca="1">IF(OR(IR12="",IR$28&lt;$A39),"",IR12/OFFSET(SSAutCLM!$A$2,MATCH(IR$29,SSAutCLM!$A$2:$A$500)+$A39-1,1)-1)</f>
        <v/>
      </c>
      <c r="IS39" s="9" t="str">
        <f ca="1">IF(OR(IS12="",IS$28&lt;$A39),"",IS12/OFFSET(SSAutCLM!$A$2,MATCH(IS$29,SSAutCLM!$A$2:$A$500)+$A39-1,1)-1)</f>
        <v/>
      </c>
      <c r="IT39" s="9" t="str">
        <f ca="1">IF(OR(IT12="",IT$28&lt;$A39),"",IT12/OFFSET(SSAutCLM!$A$2,MATCH(IT$29,SSAutCLM!$A$2:$A$500)+$A39-1,1)-1)</f>
        <v/>
      </c>
      <c r="IU39" s="9" t="str">
        <f ca="1">IF(OR(IU12="",IU$28&lt;$A39),"",IU12/OFFSET(SSAutCLM!$A$2,MATCH(IU$29,SSAutCLM!$A$2:$A$500)+$A39-1,1)-1)</f>
        <v/>
      </c>
      <c r="IV39" s="9" t="str">
        <f ca="1">IF(OR(IV12="",IV$28&lt;$A39),"",IV12/OFFSET(SSAutCLM!$A$2,MATCH(IV$29,SSAutCLM!$A$2:$A$500)+$A39-1,1)-1)</f>
        <v/>
      </c>
      <c r="IW39" s="9" t="str">
        <f ca="1">IF(OR(IW12="",IW$28&lt;$A39),"",IW12/OFFSET(SSAutCLM!$A$2,MATCH(IW$29,SSAutCLM!$A$2:$A$500)+$A39-1,1)-1)</f>
        <v/>
      </c>
      <c r="IX39" s="9" t="str">
        <f ca="1">IF(OR(IX12="",IX$28&lt;$A39),"",IX12/OFFSET(SSAutCLM!$A$2,MATCH(IX$29,SSAutCLM!$A$2:$A$500)+$A39-1,1)-1)</f>
        <v/>
      </c>
      <c r="IY39" s="9" t="str">
        <f ca="1">IF(OR(IY12="",IY$28&lt;$A39),"",IY12/OFFSET(SSAutCLM!$A$2,MATCH(IY$29,SSAutCLM!$A$2:$A$500)+$A39-1,1)-1)</f>
        <v/>
      </c>
      <c r="IZ39" s="9" t="str">
        <f ca="1">IF(OR(IZ12="",IZ$28&lt;$A39),"",IZ12/OFFSET(SSAutCLM!$A$2,MATCH(IZ$29,SSAutCLM!$A$2:$A$500)+$A39-1,1)-1)</f>
        <v/>
      </c>
      <c r="JA39" s="9" t="str">
        <f ca="1">IF(OR(JA12="",JA$28&lt;$A39),"",JA12/OFFSET(SSAutCLM!$A$2,MATCH(JA$29,SSAutCLM!$A$2:$A$500)+$A39-1,1)-1)</f>
        <v/>
      </c>
      <c r="JB39" s="9" t="str">
        <f ca="1">IF(OR(JB12="",JB$28&lt;$A39),"",JB12/OFFSET(SSAutCLM!$A$2,MATCH(JB$29,SSAutCLM!$A$2:$A$500)+$A39-1,1)-1)</f>
        <v/>
      </c>
      <c r="JC39" s="9" t="str">
        <f ca="1">IF(OR(JC12="",JC$28&lt;$A39),"",JC12/OFFSET(SSAutCLM!$A$2,MATCH(JC$29,SSAutCLM!$A$2:$A$500)+$A39-1,1)-1)</f>
        <v/>
      </c>
      <c r="JD39" s="9" t="str">
        <f ca="1">IF(OR(JD12="",JD$28&lt;$A39),"",JD12/OFFSET(SSAutCLM!$A$2,MATCH(JD$29,SSAutCLM!$A$2:$A$500)+$A39-1,1)-1)</f>
        <v/>
      </c>
      <c r="JE39" s="9" t="str">
        <f ca="1">IF(OR(JE12="",JE$28&lt;$A39),"",JE12/OFFSET(SSAutCLM!$A$2,MATCH(JE$29,SSAutCLM!$A$2:$A$500)+$A39-1,1)-1)</f>
        <v/>
      </c>
      <c r="JF39" s="9" t="str">
        <f ca="1">IF(OR(JF12="",JF$28&lt;$A39),"",JF12/OFFSET(SSAutCLM!$A$2,MATCH(JF$29,SSAutCLM!$A$2:$A$500)+$A39-1,1)-1)</f>
        <v/>
      </c>
      <c r="JG39" s="9" t="str">
        <f ca="1">IF(OR(JG12="",JG$28&lt;$A39),"",JG12/OFFSET(SSAutCLM!$A$2,MATCH(JG$29,SSAutCLM!$A$2:$A$500)+$A39-1,1)-1)</f>
        <v/>
      </c>
      <c r="JH39" s="9" t="str">
        <f ca="1">IF(OR(JH12="",JH$28&lt;$A39),"",JH12/OFFSET(SSAutCLM!$A$2,MATCH(JH$29,SSAutCLM!$A$2:$A$500)+$A39-1,1)-1)</f>
        <v/>
      </c>
      <c r="JI39" s="13">
        <f t="shared" ca="1" si="13"/>
        <v>5.2515581597373118E-3</v>
      </c>
      <c r="JJ39" s="13">
        <f t="shared" ca="1" si="14"/>
        <v>6.7718784744668081E-3</v>
      </c>
      <c r="JK39" s="14">
        <f t="shared" ca="1" si="15"/>
        <v>1.0136878824994029E-4</v>
      </c>
      <c r="JL39" s="17">
        <f t="shared" ca="1" si="18"/>
        <v>1.0068206804090801E-2</v>
      </c>
      <c r="JM39" s="15" t="str">
        <f t="shared" ca="1" si="16"/>
        <v>[ -1,49% ; 2,54% ]</v>
      </c>
      <c r="JN39" s="17">
        <f t="shared" ca="1" si="17"/>
        <v>1.2887304709236226E-2</v>
      </c>
      <c r="LY39" s="1"/>
    </row>
    <row r="40" spans="1:337" x14ac:dyDescent="0.25">
      <c r="A40" s="4">
        <v>11</v>
      </c>
      <c r="B40" s="9">
        <f ca="1">IF(OR(B13="",B$28&lt;$A40),"",B13/OFFSET(SSAutCLM!$A$2,MATCH(B$29,SSAutCLM!$A$2:$A$500)+$A40-1,1)-1)</f>
        <v>-4.9844676487522666E-3</v>
      </c>
      <c r="C40" s="9">
        <f ca="1">IF(OR(C13="",C$28&lt;$A40),"",C13/OFFSET(SSAutCLM!$A$2,MATCH(C$29,SSAutCLM!$A$2:$A$500)+$A40-1,1)-1)</f>
        <v>-1.5736089846053458E-3</v>
      </c>
      <c r="D40" s="9">
        <f ca="1">IF(OR(D13="",D$28&lt;$A40),"",D13/OFFSET(SSAutCLM!$A$2,MATCH(D$29,SSAutCLM!$A$2:$A$500)+$A40-1,1)-1)</f>
        <v>-8.1674493116458136E-3</v>
      </c>
      <c r="E40" s="9">
        <f ca="1">IF(OR(E13="",E$28&lt;$A40),"",E13/OFFSET(SSAutCLM!$A$2,MATCH(E$29,SSAutCLM!$A$2:$A$500)+$A40-1,1)-1)</f>
        <v>-5.2337879238906204E-3</v>
      </c>
      <c r="F40" s="9">
        <f ca="1">IF(OR(F13="",F$28&lt;$A40),"",F13/OFFSET(SSAutCLM!$A$2,MATCH(F$29,SSAutCLM!$A$2:$A$500)+$A40-1,1)-1)</f>
        <v>-5.6686857568707394E-3</v>
      </c>
      <c r="G40" s="9">
        <f ca="1">IF(OR(G13="",G$28&lt;$A40),"",G13/OFFSET(SSAutCLM!$A$2,MATCH(G$29,SSAutCLM!$A$2:$A$500)+$A40-1,1)-1)</f>
        <v>-2.6229680377711784E-3</v>
      </c>
      <c r="H40" s="9">
        <f ca="1">IF(OR(H13="",H$28&lt;$A40),"",H13/OFFSET(SSAutCLM!$A$2,MATCH(H$29,SSAutCLM!$A$2:$A$500)+$A40-1,1)-1)</f>
        <v>1.3515346959631636E-3</v>
      </c>
      <c r="I40" s="9">
        <f ca="1">IF(OR(I13="",I$28&lt;$A40),"",I13/OFFSET(SSAutCLM!$A$2,MATCH(I$29,SSAutCLM!$A$2:$A$500)+$A40-1,1)-1)</f>
        <v>2.6666325118112066E-3</v>
      </c>
      <c r="J40" s="9">
        <f ca="1">IF(OR(J13="",J$28&lt;$A40),"",J13/OFFSET(SSAutCLM!$A$2,MATCH(J$29,SSAutCLM!$A$2:$A$500)+$A40-1,1)-1)</f>
        <v>2.8103165861690371E-3</v>
      </c>
      <c r="K40" s="9">
        <f ca="1">IF(OR(K13="",K$28&lt;$A40),"",K13/OFFSET(SSAutCLM!$A$2,MATCH(K$29,SSAutCLM!$A$2:$A$500)+$A40-1,1)-1)</f>
        <v>4.4025129716542821E-3</v>
      </c>
      <c r="L40" s="9">
        <f ca="1">IF(OR(L13="",L$28&lt;$A40),"",L13/OFFSET(SSAutCLM!$A$2,MATCH(L$29,SSAutCLM!$A$2:$A$500)+$A40-1,1)-1)</f>
        <v>3.1680502098914154E-3</v>
      </c>
      <c r="M40" s="9">
        <f ca="1">IF(OR(M13="",M$28&lt;$A40),"",M13/OFFSET(SSAutCLM!$A$2,MATCH(M$29,SSAutCLM!$A$2:$A$500)+$A40-1,1)-1)</f>
        <v>2.614902997273294E-3</v>
      </c>
      <c r="N40" s="9">
        <f ca="1">IF(OR(N13="",N$28&lt;$A40),"",N13/OFFSET(SSAutCLM!$A$2,MATCH(N$29,SSAutCLM!$A$2:$A$500)+$A40-1,1)-1)</f>
        <v>6.6688813357231869E-3</v>
      </c>
      <c r="O40" s="9">
        <f ca="1">IF(OR(O13="",O$28&lt;$A40),"",O13/OFFSET(SSAutCLM!$A$2,MATCH(O$29,SSAutCLM!$A$2:$A$500)+$A40-1,1)-1)</f>
        <v>1.2048841386472109E-2</v>
      </c>
      <c r="P40" s="9">
        <f ca="1">IF(OR(P13="",P$28&lt;$A40),"",P13/OFFSET(SSAutCLM!$A$2,MATCH(P$29,SSAutCLM!$A$2:$A$500)+$A40-1,1)-1)</f>
        <v>9.8338202328973612E-3</v>
      </c>
      <c r="Q40" s="9">
        <f ca="1">IF(OR(Q13="",Q$28&lt;$A40),"",Q13/OFFSET(SSAutCLM!$A$2,MATCH(Q$29,SSAutCLM!$A$2:$A$500)+$A40-1,1)-1)</f>
        <v>7.1222240447070817E-3</v>
      </c>
      <c r="R40" s="9">
        <f ca="1">IF(OR(R13="",R$28&lt;$A40),"",R13/OFFSET(SSAutCLM!$A$2,MATCH(R$29,SSAutCLM!$A$2:$A$500)+$A40-1,1)-1)</f>
        <v>6.4590568965661177E-3</v>
      </c>
      <c r="S40" s="9">
        <f ca="1">IF(OR(S13="",S$28&lt;$A40),"",S13/OFFSET(SSAutCLM!$A$2,MATCH(S$29,SSAutCLM!$A$2:$A$500)+$A40-1,1)-1)</f>
        <v>3.3152591717890978E-3</v>
      </c>
      <c r="T40" s="9">
        <f ca="1">IF(OR(T13="",T$28&lt;$A40),"",T13/OFFSET(SSAutCLM!$A$2,MATCH(T$29,SSAutCLM!$A$2:$A$500)+$A40-1,1)-1)</f>
        <v>1.6733993580542172E-3</v>
      </c>
      <c r="U40" s="9">
        <f ca="1">IF(OR(U13="",U$28&lt;$A40),"",U13/OFFSET(SSAutCLM!$A$2,MATCH(U$29,SSAutCLM!$A$2:$A$500)+$A40-1,1)-1)</f>
        <v>7.792054815181082E-5</v>
      </c>
      <c r="V40" s="9">
        <f ca="1">IF(OR(V13="",V$28&lt;$A40),"",V13/OFFSET(SSAutCLM!$A$2,MATCH(V$29,SSAutCLM!$A$2:$A$500)+$A40-1,1)-1)</f>
        <v>-1.9413439586822845E-3</v>
      </c>
      <c r="W40" s="9">
        <f ca="1">IF(OR(W13="",W$28&lt;$A40),"",W13/OFFSET(SSAutCLM!$A$2,MATCH(W$29,SSAutCLM!$A$2:$A$500)+$A40-1,1)-1)</f>
        <v>-1.8978383165821899E-3</v>
      </c>
      <c r="X40" s="9">
        <f ca="1">IF(OR(X13="",X$28&lt;$A40),"",X13/OFFSET(SSAutCLM!$A$2,MATCH(X$29,SSAutCLM!$A$2:$A$500)+$A40-1,1)-1)</f>
        <v>-2.3585208768945876E-3</v>
      </c>
      <c r="Y40" s="9">
        <f ca="1">IF(OR(Y13="",Y$28&lt;$A40),"",Y13/OFFSET(SSAutCLM!$A$2,MATCH(Y$29,SSAutCLM!$A$2:$A$500)+$A40-1,1)-1)</f>
        <v>-6.2340413112299542E-3</v>
      </c>
      <c r="Z40" s="9">
        <f ca="1">IF(OR(Z13="",Z$28&lt;$A40),"",Z13/OFFSET(SSAutCLM!$A$2,MATCH(Z$29,SSAutCLM!$A$2:$A$500)+$A40-1,1)-1)</f>
        <v>-4.6578881558212437E-3</v>
      </c>
      <c r="AA40" s="9">
        <f ca="1">IF(OR(AA13="",AA$28&lt;$A40),"",AA13/OFFSET(SSAutCLM!$A$2,MATCH(AA$29,SSAutCLM!$A$2:$A$500)+$A40-1,1)-1)</f>
        <v>-3.7523860464945269E-3</v>
      </c>
      <c r="AB40" s="9">
        <f ca="1">IF(OR(AB13="",AB$28&lt;$A40),"",AB13/OFFSET(SSAutCLM!$A$2,MATCH(AB$29,SSAutCLM!$A$2:$A$500)+$A40-1,1)-1)</f>
        <v>-2.5314638186132443E-3</v>
      </c>
      <c r="AC40" s="9">
        <f ca="1">IF(OR(AC13="",AC$28&lt;$A40),"",AC13/OFFSET(SSAutCLM!$A$2,MATCH(AC$29,SSAutCLM!$A$2:$A$500)+$A40-1,1)-1)</f>
        <v>-6.8861842635283832E-3</v>
      </c>
      <c r="AD40" s="9">
        <f ca="1">IF(OR(AD13="",AD$28&lt;$A40),"",AD13/OFFSET(SSAutCLM!$A$2,MATCH(AD$29,SSAutCLM!$A$2:$A$500)+$A40-1,1)-1)</f>
        <v>-9.5429465599683461E-3</v>
      </c>
      <c r="AE40" s="9">
        <f ca="1">IF(OR(AE13="",AE$28&lt;$A40),"",AE13/OFFSET(SSAutCLM!$A$2,MATCH(AE$29,SSAutCLM!$A$2:$A$500)+$A40-1,1)-1)</f>
        <v>-9.8537897421649978E-3</v>
      </c>
      <c r="AF40" s="9">
        <f ca="1">IF(OR(AF13="",AF$28&lt;$A40),"",AF13/OFFSET(SSAutCLM!$A$2,MATCH(AF$29,SSAutCLM!$A$2:$A$500)+$A40-1,1)-1)</f>
        <v>-1.0592351206686001E-2</v>
      </c>
      <c r="AG40" s="9">
        <f ca="1">IF(OR(AG13="",AG$28&lt;$A40),"",AG13/OFFSET(SSAutCLM!$A$2,MATCH(AG$29,SSAutCLM!$A$2:$A$500)+$A40-1,1)-1)</f>
        <v>-1.1948195200669587E-2</v>
      </c>
      <c r="AH40" s="9">
        <f ca="1">IF(OR(AH13="",AH$28&lt;$A40),"",AH13/OFFSET(SSAutCLM!$A$2,MATCH(AH$29,SSAutCLM!$A$2:$A$500)+$A40-1,1)-1)</f>
        <v>-1.5525664087979396E-2</v>
      </c>
      <c r="AI40" s="9">
        <f ca="1">IF(OR(AI13="",AI$28&lt;$A40),"",AI13/OFFSET(SSAutCLM!$A$2,MATCH(AI$29,SSAutCLM!$A$2:$A$500)+$A40-1,1)-1)</f>
        <v>-1.5927756756634048E-2</v>
      </c>
      <c r="AJ40" s="9">
        <f ca="1">IF(OR(AJ13="",AJ$28&lt;$A40),"",AJ13/OFFSET(SSAutCLM!$A$2,MATCH(AJ$29,SSAutCLM!$A$2:$A$500)+$A40-1,1)-1)</f>
        <v>-1.617053968254023E-2</v>
      </c>
      <c r="AK40" s="9">
        <f ca="1">IF(OR(AK13="",AK$28&lt;$A40),"",AK13/OFFSET(SSAutCLM!$A$2,MATCH(AK$29,SSAutCLM!$A$2:$A$500)+$A40-1,1)-1)</f>
        <v>-1.7188628389742222E-2</v>
      </c>
      <c r="AL40" s="9">
        <f ca="1">IF(OR(AL13="",AL$28&lt;$A40),"",AL13/OFFSET(SSAutCLM!$A$2,MATCH(AL$29,SSAutCLM!$A$2:$A$500)+$A40-1,1)-1)</f>
        <v>-1.4059514172952148E-2</v>
      </c>
      <c r="AM40" s="9">
        <f ca="1">IF(OR(AM13="",AM$28&lt;$A40),"",AM13/OFFSET(SSAutCLM!$A$2,MATCH(AM$29,SSAutCLM!$A$2:$A$500)+$A40-1,1)-1)</f>
        <v>-1.1469931218208607E-2</v>
      </c>
      <c r="AN40" s="9">
        <f ca="1">IF(OR(AN13="",AN$28&lt;$A40),"",AN13/OFFSET(SSAutCLM!$A$2,MATCH(AN$29,SSAutCLM!$A$2:$A$500)+$A40-1,1)-1)</f>
        <v>-4.0175468788700153E-3</v>
      </c>
      <c r="AO40" s="9">
        <f ca="1">IF(OR(AO13="",AO$28&lt;$A40),"",AO13/OFFSET(SSAutCLM!$A$2,MATCH(AO$29,SSAutCLM!$A$2:$A$500)+$A40-1,1)-1)</f>
        <v>5.1445484645975537E-3</v>
      </c>
      <c r="AP40" s="9">
        <f ca="1">IF(OR(AP13="",AP$28&lt;$A40),"",AP13/OFFSET(SSAutCLM!$A$2,MATCH(AP$29,SSAutCLM!$A$2:$A$500)+$A40-1,1)-1)</f>
        <v>6.5856306693274913E-3</v>
      </c>
      <c r="AQ40" s="9">
        <f ca="1">IF(OR(AQ13="",AQ$28&lt;$A40),"",AQ13/OFFSET(SSAutCLM!$A$2,MATCH(AQ$29,SSAutCLM!$A$2:$A$500)+$A40-1,1)-1)</f>
        <v>1.1683037071944291E-2</v>
      </c>
      <c r="AR40" s="9">
        <f ca="1">IF(OR(AR13="",AR$28&lt;$A40),"",AR13/OFFSET(SSAutCLM!$A$2,MATCH(AR$29,SSAutCLM!$A$2:$A$500)+$A40-1,1)-1)</f>
        <v>2.0926672672474167E-2</v>
      </c>
      <c r="AS40" s="9">
        <f ca="1">IF(OR(AS13="",AS$28&lt;$A40),"",AS13/OFFSET(SSAutCLM!$A$2,MATCH(AS$29,SSAutCLM!$A$2:$A$500)+$A40-1,1)-1)</f>
        <v>3.1381741318111001E-2</v>
      </c>
      <c r="AT40" s="9">
        <f ca="1">IF(OR(AT13="",AT$28&lt;$A40),"",AT13/OFFSET(SSAutCLM!$A$2,MATCH(AT$29,SSAutCLM!$A$2:$A$500)+$A40-1,1)-1)</f>
        <v>3.8610755179521172E-2</v>
      </c>
      <c r="AU40" s="9">
        <f ca="1">IF(OR(AU13="",AU$28&lt;$A40),"",AU13/OFFSET(SSAutCLM!$A$2,MATCH(AU$29,SSAutCLM!$A$2:$A$500)+$A40-1,1)-1)</f>
        <v>4.7289099794764811E-2</v>
      </c>
      <c r="AV40" s="9">
        <f ca="1">IF(OR(AV13="",AV$28&lt;$A40),"",AV13/OFFSET(SSAutCLM!$A$2,MATCH(AV$29,SSAutCLM!$A$2:$A$500)+$A40-1,1)-1)</f>
        <v>5.7351847703181358E-2</v>
      </c>
      <c r="AW40" s="9">
        <f ca="1">IF(OR(AW13="",AW$28&lt;$A40),"",AW13/OFFSET(SSAutCLM!$A$2,MATCH(AW$29,SSAutCLM!$A$2:$A$500)+$A40-1,1)-1)</f>
        <v>6.6064686110212545E-2</v>
      </c>
      <c r="AX40" s="9">
        <f ca="1">IF(OR(AX13="",AX$28&lt;$A40),"",AX13/OFFSET(SSAutCLM!$A$2,MATCH(AX$29,SSAutCLM!$A$2:$A$500)+$A40-1,1)-1)</f>
        <v>6.9642145522418319E-2</v>
      </c>
      <c r="AY40" s="9">
        <f ca="1">IF(OR(AY13="",AY$28&lt;$A40),"",AY13/OFFSET(SSAutCLM!$A$2,MATCH(AY$29,SSAutCLM!$A$2:$A$500)+$A40-1,1)-1)</f>
        <v>6.8498191312050594E-2</v>
      </c>
      <c r="AZ40" s="9">
        <f ca="1">IF(OR(AZ13="",AZ$28&lt;$A40),"",AZ13/OFFSET(SSAutCLM!$A$2,MATCH(AZ$29,SSAutCLM!$A$2:$A$500)+$A40-1,1)-1)</f>
        <v>6.9030303076534016E-2</v>
      </c>
      <c r="BA40" s="9">
        <f ca="1">IF(OR(BA13="",BA$28&lt;$A40),"",BA13/OFFSET(SSAutCLM!$A$2,MATCH(BA$29,SSAutCLM!$A$2:$A$500)+$A40-1,1)-1)</f>
        <v>7.2989392561484179E-2</v>
      </c>
      <c r="BB40" s="9">
        <f ca="1">IF(OR(BB13="",BB$28&lt;$A40),"",BB13/OFFSET(SSAutCLM!$A$2,MATCH(BB$29,SSAutCLM!$A$2:$A$500)+$A40-1,1)-1)</f>
        <v>6.5827522770479652E-2</v>
      </c>
      <c r="BC40" s="9">
        <f ca="1">IF(OR(BC13="",BC$28&lt;$A40),"",BC13/OFFSET(SSAutCLM!$A$2,MATCH(BC$29,SSAutCLM!$A$2:$A$500)+$A40-1,1)-1)</f>
        <v>4.0826904200023773E-2</v>
      </c>
      <c r="BD40" s="9">
        <f ca="1">IF(OR(BD13="",BD$28&lt;$A40),"",BD13/OFFSET(SSAutCLM!$A$2,MATCH(BD$29,SSAutCLM!$A$2:$A$500)+$A40-1,1)-1)</f>
        <v>4.9449667048598878E-2</v>
      </c>
      <c r="BE40" s="9">
        <f ca="1">IF(OR(BE13="",BE$28&lt;$A40),"",BE13/OFFSET(SSAutCLM!$A$2,MATCH(BE$29,SSAutCLM!$A$2:$A$500)+$A40-1,1)-1)</f>
        <v>4.724815403254512E-2</v>
      </c>
      <c r="BF40" s="9">
        <f ca="1">IF(OR(BF13="",BF$28&lt;$A40),"",BF13/OFFSET(SSAutCLM!$A$2,MATCH(BF$29,SSAutCLM!$A$2:$A$500)+$A40-1,1)-1)</f>
        <v>4.2315612254630874E-2</v>
      </c>
      <c r="BG40" s="9">
        <f ca="1">IF(OR(BG13="",BG$28&lt;$A40),"",BG13/OFFSET(SSAutCLM!$A$2,MATCH(BG$29,SSAutCLM!$A$2:$A$500)+$A40-1,1)-1)</f>
        <v>4.0591839170455613E-2</v>
      </c>
      <c r="BH40" s="9">
        <f ca="1">IF(OR(BH13="",BH$28&lt;$A40),"",BH13/OFFSET(SSAutCLM!$A$2,MATCH(BH$29,SSAutCLM!$A$2:$A$500)+$A40-1,1)-1)</f>
        <v>2.2286482851013645E-2</v>
      </c>
      <c r="BI40" s="9">
        <f ca="1">IF(OR(BI13="",BI$28&lt;$A40),"",BI13/OFFSET(SSAutCLM!$A$2,MATCH(BI$29,SSAutCLM!$A$2:$A$500)+$A40-1,1)-1)</f>
        <v>8.7059957201665039E-3</v>
      </c>
      <c r="BJ40" s="9">
        <f ca="1">IF(OR(BJ13="",BJ$28&lt;$A40),"",BJ13/OFFSET(SSAutCLM!$A$2,MATCH(BJ$29,SSAutCLM!$A$2:$A$500)+$A40-1,1)-1)</f>
        <v>-2.0582464752222807E-2</v>
      </c>
      <c r="BK40" s="9">
        <f ca="1">IF(OR(BK13="",BK$28&lt;$A40),"",BK13/OFFSET(SSAutCLM!$A$2,MATCH(BK$29,SSAutCLM!$A$2:$A$500)+$A40-1,1)-1)</f>
        <v>-3.1086282772167295E-2</v>
      </c>
      <c r="BL40" s="9">
        <f ca="1">IF(OR(BL13="",BL$28&lt;$A40),"",BL13/OFFSET(SSAutCLM!$A$2,MATCH(BL$29,SSAutCLM!$A$2:$A$500)+$A40-1,1)-1)</f>
        <v>-5.3757890142421716E-2</v>
      </c>
      <c r="BM40" s="9">
        <f ca="1">IF(OR(BM13="",BM$28&lt;$A40),"",BM13/OFFSET(SSAutCLM!$A$2,MATCH(BM$29,SSAutCLM!$A$2:$A$500)+$A40-1,1)-1)</f>
        <v>-6.4971942257281867E-2</v>
      </c>
      <c r="BN40" s="9">
        <f ca="1">IF(OR(BN13="",BN$28&lt;$A40),"",BN13/OFFSET(SSAutCLM!$A$2,MATCH(BN$29,SSAutCLM!$A$2:$A$500)+$A40-1,1)-1)</f>
        <v>-6.5913184676402281E-2</v>
      </c>
      <c r="BO40" s="9">
        <f ca="1">IF(OR(BO13="",BO$28&lt;$A40),"",BO13/OFFSET(SSAutCLM!$A$2,MATCH(BO$29,SSAutCLM!$A$2:$A$500)+$A40-1,1)-1)</f>
        <v>-4.8131605432079061E-2</v>
      </c>
      <c r="BP40" s="9">
        <f ca="1">IF(OR(BP13="",BP$28&lt;$A40),"",BP13/OFFSET(SSAutCLM!$A$2,MATCH(BP$29,SSAutCLM!$A$2:$A$500)+$A40-1,1)-1)</f>
        <v>-2.6387869290041555E-2</v>
      </c>
      <c r="BQ40" s="9">
        <f ca="1">IF(OR(BQ13="",BQ$28&lt;$A40),"",BQ13/OFFSET(SSAutCLM!$A$2,MATCH(BQ$29,SSAutCLM!$A$2:$A$500)+$A40-1,1)-1)</f>
        <v>-2.6856914798762621E-2</v>
      </c>
      <c r="BR40" s="9">
        <f ca="1">IF(OR(BR13="",BR$28&lt;$A40),"",BR13/OFFSET(SSAutCLM!$A$2,MATCH(BR$29,SSAutCLM!$A$2:$A$500)+$A40-1,1)-1)</f>
        <v>-2.8242155791471601E-2</v>
      </c>
      <c r="BS40" s="9">
        <f ca="1">IF(OR(BS13="",BS$28&lt;$A40),"",BS13/OFFSET(SSAutCLM!$A$2,MATCH(BS$29,SSAutCLM!$A$2:$A$500)+$A40-1,1)-1)</f>
        <v>-3.3619975223409093E-2</v>
      </c>
      <c r="BT40" s="9">
        <f ca="1">IF(OR(BT13="",BT$28&lt;$A40),"",BT13/OFFSET(SSAutCLM!$A$2,MATCH(BT$29,SSAutCLM!$A$2:$A$500)+$A40-1,1)-1)</f>
        <v>-3.7877283189359123E-2</v>
      </c>
      <c r="BU40" s="9">
        <f ca="1">IF(OR(BU13="",BU$28&lt;$A40),"",BU13/OFFSET(SSAutCLM!$A$2,MATCH(BU$29,SSAutCLM!$A$2:$A$500)+$A40-1,1)-1)</f>
        <v>-2.4800125805049311E-2</v>
      </c>
      <c r="BV40" s="9">
        <f ca="1">IF(OR(BV13="",BV$28&lt;$A40),"",BV13/OFFSET(SSAutCLM!$A$2,MATCH(BV$29,SSAutCLM!$A$2:$A$500)+$A40-1,1)-1)</f>
        <v>-8.2527969952822522E-3</v>
      </c>
      <c r="BW40" s="9">
        <f ca="1">IF(OR(BW13="",BW$28&lt;$A40),"",BW13/OFFSET(SSAutCLM!$A$2,MATCH(BW$29,SSAutCLM!$A$2:$A$500)+$A40-1,1)-1)</f>
        <v>-1.1207616051569058E-2</v>
      </c>
      <c r="BX40" s="9">
        <f ca="1">IF(OR(BX13="",BX$28&lt;$A40),"",BX13/OFFSET(SSAutCLM!$A$2,MATCH(BX$29,SSAutCLM!$A$2:$A$500)+$A40-1,1)-1)</f>
        <v>-2.3160071537173699E-2</v>
      </c>
      <c r="BY40" s="9">
        <f ca="1">IF(OR(BY13="",BY$28&lt;$A40),"",BY13/OFFSET(SSAutCLM!$A$2,MATCH(BY$29,SSAutCLM!$A$2:$A$500)+$A40-1,1)-1)</f>
        <v>-5.1220347811572475E-3</v>
      </c>
      <c r="BZ40" s="9">
        <f ca="1">IF(OR(BZ13="",BZ$28&lt;$A40),"",BZ13/OFFSET(SSAutCLM!$A$2,MATCH(BZ$29,SSAutCLM!$A$2:$A$500)+$A40-1,1)-1)</f>
        <v>1.2430770204046704E-2</v>
      </c>
      <c r="CA40" s="9">
        <f ca="1">IF(OR(CA13="",CA$28&lt;$A40),"",CA13/OFFSET(SSAutCLM!$A$2,MATCH(CA$29,SSAutCLM!$A$2:$A$500)+$A40-1,1)-1)</f>
        <v>1.9097432602902087E-2</v>
      </c>
      <c r="CB40" s="9">
        <f ca="1">IF(OR(CB13="",CB$28&lt;$A40),"",CB13/OFFSET(SSAutCLM!$A$2,MATCH(CB$29,SSAutCLM!$A$2:$A$500)+$A40-1,1)-1)</f>
        <v>1.8496794051598986E-2</v>
      </c>
      <c r="CC40" s="9">
        <f ca="1">IF(OR(CC13="",CC$28&lt;$A40),"",CC13/OFFSET(SSAutCLM!$A$2,MATCH(CC$29,SSAutCLM!$A$2:$A$500)+$A40-1,1)-1)</f>
        <v>6.3241480174043296E-3</v>
      </c>
      <c r="CD40" s="9">
        <f ca="1">IF(OR(CD13="",CD$28&lt;$A40),"",CD13/OFFSET(SSAutCLM!$A$2,MATCH(CD$29,SSAutCLM!$A$2:$A$500)+$A40-1,1)-1)</f>
        <v>-2.8364921647237029E-3</v>
      </c>
      <c r="CE40" s="9">
        <f ca="1">IF(OR(CE13="",CE$28&lt;$A40),"",CE13/OFFSET(SSAutCLM!$A$2,MATCH(CE$29,SSAutCLM!$A$2:$A$500)+$A40-1,1)-1)</f>
        <v>-2.5532821243073878E-3</v>
      </c>
      <c r="CF40" s="9">
        <f ca="1">IF(OR(CF13="",CF$28&lt;$A40),"",CF13/OFFSET(SSAutCLM!$A$2,MATCH(CF$29,SSAutCLM!$A$2:$A$500)+$A40-1,1)-1)</f>
        <v>1.7452612550199476E-3</v>
      </c>
      <c r="CG40" s="9">
        <f ca="1">IF(OR(CG13="",CG$28&lt;$A40),"",CG13/OFFSET(SSAutCLM!$A$2,MATCH(CG$29,SSAutCLM!$A$2:$A$500)+$A40-1,1)-1)</f>
        <v>-1.9422450206455499E-3</v>
      </c>
      <c r="CH40" s="9">
        <f ca="1">IF(OR(CH13="",CH$28&lt;$A40),"",CH13/OFFSET(SSAutCLM!$A$2,MATCH(CH$29,SSAutCLM!$A$2:$A$500)+$A40-1,1)-1)</f>
        <v>-6.9190768043605466E-3</v>
      </c>
      <c r="CI40" s="9">
        <f ca="1">IF(OR(CI13="",CI$28&lt;$A40),"",CI13/OFFSET(SSAutCLM!$A$2,MATCH(CI$29,SSAutCLM!$A$2:$A$500)+$A40-1,1)-1)</f>
        <v>1.4061362520705334E-3</v>
      </c>
      <c r="CJ40" s="9">
        <f ca="1">IF(OR(CJ13="",CJ$28&lt;$A40),"",CJ13/OFFSET(SSAutCLM!$A$2,MATCH(CJ$29,SSAutCLM!$A$2:$A$500)+$A40-1,1)-1)</f>
        <v>-4.7842563243233327E-3</v>
      </c>
      <c r="CK40" s="9">
        <f ca="1">IF(OR(CK13="",CK$28&lt;$A40),"",CK13/OFFSET(SSAutCLM!$A$2,MATCH(CK$29,SSAutCLM!$A$2:$A$500)+$A40-1,1)-1)</f>
        <v>1.7998378096677925E-2</v>
      </c>
      <c r="CL40" s="9">
        <f ca="1">IF(OR(CL13="",CL$28&lt;$A40),"",CL13/OFFSET(SSAutCLM!$A$2,MATCH(CL$29,SSAutCLM!$A$2:$A$500)+$A40-1,1)-1)</f>
        <v>2.1699242163076171E-2</v>
      </c>
      <c r="CM40" s="9">
        <f ca="1">IF(OR(CM13="",CM$28&lt;$A40),"",CM13/OFFSET(SSAutCLM!$A$2,MATCH(CM$29,SSAutCLM!$A$2:$A$500)+$A40-1,1)-1)</f>
        <v>3.2586392652230955E-2</v>
      </c>
      <c r="CN40" s="9">
        <f ca="1">IF(OR(CN13="",CN$28&lt;$A40),"",CN13/OFFSET(SSAutCLM!$A$2,MATCH(CN$29,SSAutCLM!$A$2:$A$500)+$A40-1,1)-1)</f>
        <v>2.4359475351079407E-2</v>
      </c>
      <c r="CO40" s="9">
        <f ca="1">IF(OR(CO13="",CO$28&lt;$A40),"",CO13/OFFSET(SSAutCLM!$A$2,MATCH(CO$29,SSAutCLM!$A$2:$A$500)+$A40-1,1)-1)</f>
        <v>9.6137448590847274E-3</v>
      </c>
      <c r="CP40" s="9">
        <f ca="1">IF(OR(CP13="",CP$28&lt;$A40),"",CP13/OFFSET(SSAutCLM!$A$2,MATCH(CP$29,SSAutCLM!$A$2:$A$500)+$A40-1,1)-1)</f>
        <v>-2.4170964800992456E-3</v>
      </c>
      <c r="CQ40" s="9">
        <f ca="1">IF(OR(CQ13="",CQ$28&lt;$A40),"",CQ13/OFFSET(SSAutCLM!$A$2,MATCH(CQ$29,SSAutCLM!$A$2:$A$500)+$A40-1,1)-1)</f>
        <v>5.5273737040837378E-3</v>
      </c>
      <c r="CR40" s="9">
        <f ca="1">IF(OR(CR13="",CR$28&lt;$A40),"",CR13/OFFSET(SSAutCLM!$A$2,MATCH(CR$29,SSAutCLM!$A$2:$A$500)+$A40-1,1)-1)</f>
        <v>4.2622961507725599E-3</v>
      </c>
      <c r="CS40" s="9">
        <f ca="1">IF(OR(CS13="",CS$28&lt;$A40),"",CS13/OFFSET(SSAutCLM!$A$2,MATCH(CS$29,SSAutCLM!$A$2:$A$500)+$A40-1,1)-1)</f>
        <v>-1.601988213469685E-3</v>
      </c>
      <c r="CT40" s="9">
        <f ca="1">IF(OR(CT13="",CT$28&lt;$A40),"",CT13/OFFSET(SSAutCLM!$A$2,MATCH(CT$29,SSAutCLM!$A$2:$A$500)+$A40-1,1)-1)</f>
        <v>-6.5465606658431374E-3</v>
      </c>
      <c r="CU40" s="9">
        <f ca="1">IF(OR(CU13="",CU$28&lt;$A40),"",CU13/OFFSET(SSAutCLM!$A$2,MATCH(CU$29,SSAutCLM!$A$2:$A$500)+$A40-1,1)-1)</f>
        <v>-4.536503244295953E-2</v>
      </c>
      <c r="CV40" s="9">
        <f ca="1">IF(OR(CV13="",CV$28&lt;$A40),"",CV13/OFFSET(SSAutCLM!$A$2,MATCH(CV$29,SSAutCLM!$A$2:$A$500)+$A40-1,1)-1)</f>
        <v>-1.0563417863522995E-2</v>
      </c>
      <c r="CW40" s="9">
        <f ca="1">IF(OR(CW13="",CW$28&lt;$A40),"",CW13/OFFSET(SSAutCLM!$A$2,MATCH(CW$29,SSAutCLM!$A$2:$A$500)+$A40-1,1)-1)</f>
        <v>1.5236551070683113E-3</v>
      </c>
      <c r="CX40" s="9">
        <f ca="1">IF(OR(CX13="",CX$28&lt;$A40),"",CX13/OFFSET(SSAutCLM!$A$2,MATCH(CX$29,SSAutCLM!$A$2:$A$500)+$A40-1,1)-1)</f>
        <v>5.5883102181824018E-3</v>
      </c>
      <c r="CY40" s="9">
        <f ca="1">IF(OR(CY13="",CY$28&lt;$A40),"",CY13/OFFSET(SSAutCLM!$A$2,MATCH(CY$29,SSAutCLM!$A$2:$A$500)+$A40-1,1)-1)</f>
        <v>2.6491490463294021E-3</v>
      </c>
      <c r="CZ40" s="9">
        <f ca="1">IF(OR(CZ13="",CZ$28&lt;$A40),"",CZ13/OFFSET(SSAutCLM!$A$2,MATCH(CZ$29,SSAutCLM!$A$2:$A$500)+$A40-1,1)-1)</f>
        <v>-1.6934282646877685E-3</v>
      </c>
      <c r="DA40" s="9">
        <f ca="1">IF(OR(DA13="",DA$28&lt;$A40),"",DA13/OFFSET(SSAutCLM!$A$2,MATCH(DA$29,SSAutCLM!$A$2:$A$500)+$A40-1,1)-1)</f>
        <v>-2.3646076124259618E-3</v>
      </c>
      <c r="DB40" s="9">
        <f ca="1">IF(OR(DB13="",DB$28&lt;$A40),"",DB13/OFFSET(SSAutCLM!$A$2,MATCH(DB$29,SSAutCLM!$A$2:$A$500)+$A40-1,1)-1)</f>
        <v>-1.8938789756839935E-2</v>
      </c>
      <c r="DC40" s="9">
        <f ca="1">IF(OR(DC13="",DC$28&lt;$A40),"",DC13/OFFSET(SSAutCLM!$A$2,MATCH(DC$29,SSAutCLM!$A$2:$A$500)+$A40-1,1)-1)</f>
        <v>-2.4205182933819236E-2</v>
      </c>
      <c r="DD40" s="9">
        <f ca="1">IF(OR(DD13="",DD$28&lt;$A40),"",DD13/OFFSET(SSAutCLM!$A$2,MATCH(DD$29,SSAutCLM!$A$2:$A$500)+$A40-1,1)-1)</f>
        <v>-1.4622164163875073E-2</v>
      </c>
      <c r="DE40" s="9">
        <f ca="1">IF(OR(DE13="",DE$28&lt;$A40),"",DE13/OFFSET(SSAutCLM!$A$2,MATCH(DE$29,SSAutCLM!$A$2:$A$500)+$A40-1,1)-1)</f>
        <v>-2.1064598008891045E-2</v>
      </c>
      <c r="DF40" s="9">
        <f ca="1">IF(OR(DF13="",DF$28&lt;$A40),"",DF13/OFFSET(SSAutCLM!$A$2,MATCH(DF$29,SSAutCLM!$A$2:$A$500)+$A40-1,1)-1)</f>
        <v>-2.1634566589871396E-2</v>
      </c>
      <c r="DG40" s="9">
        <f ca="1">IF(OR(DG13="",DG$28&lt;$A40),"",DG13/OFFSET(SSAutCLM!$A$2,MATCH(DG$29,SSAutCLM!$A$2:$A$500)+$A40-1,1)-1)</f>
        <v>-3.0954562877008929E-2</v>
      </c>
      <c r="DH40" s="9">
        <f ca="1">IF(OR(DH13="",DH$28&lt;$A40),"",DH13/OFFSET(SSAutCLM!$A$2,MATCH(DH$29,SSAutCLM!$A$2:$A$500)+$A40-1,1)-1)</f>
        <v>-3.9188773144138378E-2</v>
      </c>
      <c r="DI40" s="9">
        <f ca="1">IF(OR(DI13="",DI$28&lt;$A40),"",DI13/OFFSET(SSAutCLM!$A$2,MATCH(DI$29,SSAutCLM!$A$2:$A$500)+$A40-1,1)-1)</f>
        <v>-2.8927200979739442E-2</v>
      </c>
      <c r="DJ40" s="9">
        <f ca="1">IF(OR(DJ13="",DJ$28&lt;$A40),"",DJ13/OFFSET(SSAutCLM!$A$2,MATCH(DJ$29,SSAutCLM!$A$2:$A$500)+$A40-1,1)-1)</f>
        <v>-1.5814590879835611E-2</v>
      </c>
      <c r="DK40" s="9">
        <f ca="1">IF(OR(DK13="",DK$28&lt;$A40),"",DK13/OFFSET(SSAutCLM!$A$2,MATCH(DK$29,SSAutCLM!$A$2:$A$500)+$A40-1,1)-1)</f>
        <v>-2.1412787743031458E-3</v>
      </c>
      <c r="DL40" s="9">
        <f ca="1">IF(OR(DL13="",DL$28&lt;$A40),"",DL13/OFFSET(SSAutCLM!$A$2,MATCH(DL$29,SSAutCLM!$A$2:$A$500)+$A40-1,1)-1)</f>
        <v>3.1317076478760697E-3</v>
      </c>
      <c r="DM40" s="9">
        <f ca="1">IF(OR(DM13="",DM$28&lt;$A40),"",DM13/OFFSET(SSAutCLM!$A$2,MATCH(DM$29,SSAutCLM!$A$2:$A$500)+$A40-1,1)-1)</f>
        <v>9.8890833605231876E-3</v>
      </c>
      <c r="DN40" s="9">
        <f ca="1">IF(OR(DN13="",DN$28&lt;$A40),"",DN13/OFFSET(SSAutCLM!$A$2,MATCH(DN$29,SSAutCLM!$A$2:$A$500)+$A40-1,1)-1)</f>
        <v>-1.1211652530170424E-2</v>
      </c>
      <c r="DO40" s="9">
        <f ca="1">IF(OR(DO13="",DO$28&lt;$A40),"",DO13/OFFSET(SSAutCLM!$A$2,MATCH(DO$29,SSAutCLM!$A$2:$A$500)+$A40-1,1)-1)</f>
        <v>-5.8111888648083587E-3</v>
      </c>
      <c r="DP40" s="9">
        <f ca="1">IF(OR(DP13="",DP$28&lt;$A40),"",DP13/OFFSET(SSAutCLM!$A$2,MATCH(DP$29,SSAutCLM!$A$2:$A$500)+$A40-1,1)-1)</f>
        <v>3.9120839482622571E-3</v>
      </c>
      <c r="DQ40" s="9">
        <f ca="1">IF(OR(DQ13="",DQ$28&lt;$A40),"",DQ13/OFFSET(SSAutCLM!$A$2,MATCH(DQ$29,SSAutCLM!$A$2:$A$500)+$A40-1,1)-1)</f>
        <v>1.381404314112511E-2</v>
      </c>
      <c r="DR40" s="9" t="str">
        <f ca="1">IF(OR(DR13="",DR$28&lt;$A40),"",DR13/OFFSET(SSAutCLM!$A$2,MATCH(DR$29,SSAutCLM!$A$2:$A$500)+$A40-1,1)-1)</f>
        <v/>
      </c>
      <c r="DS40" s="9" t="str">
        <f ca="1">IF(OR(DS13="",DS$28&lt;$A40),"",DS13/OFFSET(SSAutCLM!$A$2,MATCH(DS$29,SSAutCLM!$A$2:$A$500)+$A40-1,1)-1)</f>
        <v/>
      </c>
      <c r="DT40" s="9" t="str">
        <f ca="1">IF(OR(DT13="",DT$28&lt;$A40),"",DT13/OFFSET(SSAutCLM!$A$2,MATCH(DT$29,SSAutCLM!$A$2:$A$500)+$A40-1,1)-1)</f>
        <v/>
      </c>
      <c r="DU40" s="9" t="str">
        <f ca="1">IF(OR(DU13="",DU$28&lt;$A40),"",DU13/OFFSET(SSAutCLM!$A$2,MATCH(DU$29,SSAutCLM!$A$2:$A$500)+$A40-1,1)-1)</f>
        <v/>
      </c>
      <c r="DV40" s="9" t="str">
        <f ca="1">IF(OR(DV13="",DV$28&lt;$A40),"",DV13/OFFSET(SSAutCLM!$A$2,MATCH(DV$29,SSAutCLM!$A$2:$A$500)+$A40-1,1)-1)</f>
        <v/>
      </c>
      <c r="DW40" s="9" t="str">
        <f ca="1">IF(OR(DW13="",DW$28&lt;$A40),"",DW13/OFFSET(SSAutCLM!$A$2,MATCH(DW$29,SSAutCLM!$A$2:$A$500)+$A40-1,1)-1)</f>
        <v/>
      </c>
      <c r="DX40" s="9" t="str">
        <f ca="1">IF(OR(DX13="",DX$28&lt;$A40),"",DX13/OFFSET(SSAutCLM!$A$2,MATCH(DX$29,SSAutCLM!$A$2:$A$500)+$A40-1,1)-1)</f>
        <v/>
      </c>
      <c r="DY40" s="9" t="str">
        <f ca="1">IF(OR(DY13="",DY$28&lt;$A40),"",DY13/OFFSET(SSAutCLM!$A$2,MATCH(DY$29,SSAutCLM!$A$2:$A$500)+$A40-1,1)-1)</f>
        <v/>
      </c>
      <c r="DZ40" s="9" t="str">
        <f ca="1">IF(OR(DZ13="",DZ$28&lt;$A40),"",DZ13/OFFSET(SSAutCLM!$A$2,MATCH(DZ$29,SSAutCLM!$A$2:$A$500)+$A40-1,1)-1)</f>
        <v/>
      </c>
      <c r="EA40" s="9" t="str">
        <f ca="1">IF(OR(EA13="",EA$28&lt;$A40),"",EA13/OFFSET(SSAutCLM!$A$2,MATCH(EA$29,SSAutCLM!$A$2:$A$500)+$A40-1,1)-1)</f>
        <v/>
      </c>
      <c r="EB40" s="9" t="str">
        <f ca="1">IF(OR(EB13="",EB$28&lt;$A40),"",EB13/OFFSET(SSAutCLM!$A$2,MATCH(EB$29,SSAutCLM!$A$2:$A$500)+$A40-1,1)-1)</f>
        <v/>
      </c>
      <c r="EC40" s="9" t="str">
        <f ca="1">IF(OR(EC13="",EC$28&lt;$A40),"",EC13/OFFSET(SSAutCLM!$A$2,MATCH(EC$29,SSAutCLM!$A$2:$A$500)+$A40-1,1)-1)</f>
        <v/>
      </c>
      <c r="ED40" s="9" t="str">
        <f ca="1">IF(OR(ED13="",ED$28&lt;$A40),"",ED13/OFFSET(SSAutCLM!$A$2,MATCH(ED$29,SSAutCLM!$A$2:$A$500)+$A40-1,1)-1)</f>
        <v/>
      </c>
      <c r="EE40" s="9" t="str">
        <f ca="1">IF(OR(EE13="",EE$28&lt;$A40),"",EE13/OFFSET(SSAutCLM!$A$2,MATCH(EE$29,SSAutCLM!$A$2:$A$500)+$A40-1,1)-1)</f>
        <v/>
      </c>
      <c r="EF40" s="9" t="str">
        <f ca="1">IF(OR(EF13="",EF$28&lt;$A40),"",EF13/OFFSET(SSAutCLM!$A$2,MATCH(EF$29,SSAutCLM!$A$2:$A$500)+$A40-1,1)-1)</f>
        <v/>
      </c>
      <c r="EG40" s="9">
        <f ca="1">IF(OR(EG13="",EG$28&lt;$A40),"",EG13/OFFSET(SSAutCLM!$A$2,MATCH(EG$29,SSAutCLM!$A$2:$A$500)+$A40-1,1)-1)</f>
        <v>3.9391254056608815E-3</v>
      </c>
      <c r="EH40" s="9">
        <f ca="1">IF(OR(EH13="",EH$28&lt;$A40),"",EH13/OFFSET(SSAutCLM!$A$2,MATCH(EH$29,SSAutCLM!$A$2:$A$500)+$A40-1,1)-1)</f>
        <v>1.2771058395378176E-2</v>
      </c>
      <c r="EI40" s="9">
        <f ca="1">IF(OR(EI13="",EI$28&lt;$A40),"",EI13/OFFSET(SSAutCLM!$A$2,MATCH(EI$29,SSAutCLM!$A$2:$A$500)+$A40-1,1)-1)</f>
        <v>1.5541145465610029E-2</v>
      </c>
      <c r="EJ40" s="9">
        <f ca="1">IF(OR(EJ13="",EJ$28&lt;$A40),"",EJ13/OFFSET(SSAutCLM!$A$2,MATCH(EJ$29,SSAutCLM!$A$2:$A$500)+$A40-1,1)-1)</f>
        <v>1.5094927449716966E-2</v>
      </c>
      <c r="EK40" s="9">
        <f ca="1">IF(OR(EK13="",EK$28&lt;$A40),"",EK13/OFFSET(SSAutCLM!$A$2,MATCH(EK$29,SSAutCLM!$A$2:$A$500)+$A40-1,1)-1)</f>
        <v>7.0914635201826393E-3</v>
      </c>
      <c r="EL40" s="9">
        <f ca="1">IF(OR(EL13="",EL$28&lt;$A40),"",EL13/OFFSET(SSAutCLM!$A$2,MATCH(EL$29,SSAutCLM!$A$2:$A$500)+$A40-1,1)-1)</f>
        <v>3.5662832015190826E-3</v>
      </c>
      <c r="EM40" s="9">
        <f ca="1">IF(OR(EM13="",EM$28&lt;$A40),"",EM13/OFFSET(SSAutCLM!$A$2,MATCH(EM$29,SSAutCLM!$A$2:$A$500)+$A40-1,1)-1)</f>
        <v>5.3770152502339297E-3</v>
      </c>
      <c r="EN40" s="9">
        <f ca="1">IF(OR(EN13="",EN$28&lt;$A40),"",EN13/OFFSET(SSAutCLM!$A$2,MATCH(EN$29,SSAutCLM!$A$2:$A$500)+$A40-1,1)-1)</f>
        <v>4.8739728739701782E-3</v>
      </c>
      <c r="EO40" s="9">
        <f ca="1">IF(OR(EO13="",EO$28&lt;$A40),"",EO13/OFFSET(SSAutCLM!$A$2,MATCH(EO$29,SSAutCLM!$A$2:$A$500)+$A40-1,1)-1)</f>
        <v>5.7703620177294024E-3</v>
      </c>
      <c r="EP40" s="9">
        <f ca="1">IF(OR(EP13="",EP$28&lt;$A40),"",EP13/OFFSET(SSAutCLM!$A$2,MATCH(EP$29,SSAutCLM!$A$2:$A$500)+$A40-1,1)-1)</f>
        <v>-2.1687219670322389E-2</v>
      </c>
      <c r="EQ40" s="9">
        <f ca="1">IF(OR(EQ13="",EQ$28&lt;$A40),"",EQ13/OFFSET(SSAutCLM!$A$2,MATCH(EQ$29,SSAutCLM!$A$2:$A$500)+$A40-1,1)-1)</f>
        <v>-1.6419043070379225E-3</v>
      </c>
      <c r="ER40" s="9">
        <f ca="1">IF(OR(ER13="",ER$28&lt;$A40),"",ER13/OFFSET(SSAutCLM!$A$2,MATCH(ER$29,SSAutCLM!$A$2:$A$500)+$A40-1,1)-1)</f>
        <v>1.7383758435943975E-2</v>
      </c>
      <c r="ES40" s="9">
        <f ca="1">IF(OR(ES13="",ES$28&lt;$A40),"",ES13/OFFSET(SSAutCLM!$A$2,MATCH(ES$29,SSAutCLM!$A$2:$A$500)+$A40-1,1)-1)</f>
        <v>8.6505841918718129E-3</v>
      </c>
      <c r="ET40" s="9">
        <f ca="1">IF(OR(ET13="",ET$28&lt;$A40),"",ET13/OFFSET(SSAutCLM!$A$2,MATCH(ET$29,SSAutCLM!$A$2:$A$500)+$A40-1,1)-1)</f>
        <v>7.3870035187928451E-3</v>
      </c>
      <c r="EU40" s="9">
        <f ca="1">IF(OR(EU13="",EU$28&lt;$A40),"",EU13/OFFSET(SSAutCLM!$A$2,MATCH(EU$29,SSAutCLM!$A$2:$A$500)+$A40-1,1)-1)</f>
        <v>5.3966428590579429E-3</v>
      </c>
      <c r="EV40" s="9">
        <f ca="1">IF(OR(EV13="",EV$28&lt;$A40),"",EV13/OFFSET(SSAutCLM!$A$2,MATCH(EV$29,SSAutCLM!$A$2:$A$500)+$A40-1,1)-1)</f>
        <v>-2.1277150162017922E-3</v>
      </c>
      <c r="EW40" s="9">
        <f ca="1">IF(OR(EW13="",EW$28&lt;$A40),"",EW13/OFFSET(SSAutCLM!$A$2,MATCH(EW$29,SSAutCLM!$A$2:$A$500)+$A40-1,1)-1)</f>
        <v>-4.4643870824404575E-3</v>
      </c>
      <c r="EX40" s="9">
        <f ca="1">IF(OR(EX13="",EX$28&lt;$A40),"",EX13/OFFSET(SSAutCLM!$A$2,MATCH(EX$29,SSAutCLM!$A$2:$A$500)+$A40-1,1)-1)</f>
        <v>8.8324905300596335E-4</v>
      </c>
      <c r="EY40" s="9">
        <f ca="1">IF(OR(EY13="",EY$28&lt;$A40),"",EY13/OFFSET(SSAutCLM!$A$2,MATCH(EY$29,SSAutCLM!$A$2:$A$500)+$A40-1,1)-1)</f>
        <v>-4.9100110569417765E-3</v>
      </c>
      <c r="EZ40" s="9">
        <f ca="1">IF(OR(EZ13="",EZ$28&lt;$A40),"",EZ13/OFFSET(SSAutCLM!$A$2,MATCH(EZ$29,SSAutCLM!$A$2:$A$500)+$A40-1,1)-1)</f>
        <v>1.9275090230181924E-3</v>
      </c>
      <c r="FA40" s="9">
        <f ca="1">IF(OR(FA13="",FA$28&lt;$A40),"",FA13/OFFSET(SSAutCLM!$A$2,MATCH(FA$29,SSAutCLM!$A$2:$A$500)+$A40-1,1)-1)</f>
        <v>9.2184348055994736E-3</v>
      </c>
      <c r="FB40" s="9">
        <f ca="1">IF(OR(FB13="",FB$28&lt;$A40),"",FB13/OFFSET(SSAutCLM!$A$2,MATCH(FB$29,SSAutCLM!$A$2:$A$500)+$A40-1,1)-1)</f>
        <v>3.3952408592787808E-3</v>
      </c>
      <c r="FC40" s="9">
        <f ca="1">IF(OR(FC13="",FC$28&lt;$A40),"",FC13/OFFSET(SSAutCLM!$A$2,MATCH(FC$29,SSAutCLM!$A$2:$A$500)+$A40-1,1)-1)</f>
        <v>-2.0879989407798227E-3</v>
      </c>
      <c r="FD40" s="9">
        <f ca="1">IF(OR(FD13="",FD$28&lt;$A40),"",FD13/OFFSET(SSAutCLM!$A$2,MATCH(FD$29,SSAutCLM!$A$2:$A$500)+$A40-1,1)-1)</f>
        <v>5.683471288006503E-3</v>
      </c>
      <c r="FE40" s="9">
        <f ca="1">IF(OR(FE13="",FE$28&lt;$A40),"",FE13/OFFSET(SSAutCLM!$A$2,MATCH(FE$29,SSAutCLM!$A$2:$A$500)+$A40-1,1)-1)</f>
        <v>9.5600967049591645E-4</v>
      </c>
      <c r="FF40" s="9">
        <f ca="1">IF(OR(FF13="",FF$28&lt;$A40),"",FF13/OFFSET(SSAutCLM!$A$2,MATCH(FF$29,SSAutCLM!$A$2:$A$500)+$A40-1,1)-1)</f>
        <v>-4.8951472897362791E-4</v>
      </c>
      <c r="FG40" s="9">
        <f ca="1">IF(OR(FG13="",FG$28&lt;$A40),"",FG13/OFFSET(SSAutCLM!$A$2,MATCH(FG$29,SSAutCLM!$A$2:$A$500)+$A40-1,1)-1)</f>
        <v>4.7478667719167422E-3</v>
      </c>
      <c r="FH40" s="9">
        <f ca="1">IF(OR(FH13="",FH$28&lt;$A40),"",FH13/OFFSET(SSAutCLM!$A$2,MATCH(FH$29,SSAutCLM!$A$2:$A$500)+$A40-1,1)-1)</f>
        <v>-1.7145513916339006E-3</v>
      </c>
      <c r="FI40" s="9">
        <f ca="1">IF(OR(FI13="",FI$28&lt;$A40),"",FI13/OFFSET(SSAutCLM!$A$2,MATCH(FI$29,SSAutCLM!$A$2:$A$500)+$A40-1,1)-1)</f>
        <v>-1.8326397594983335E-2</v>
      </c>
      <c r="FJ40" s="9">
        <f ca="1">IF(OR(FJ13="",FJ$28&lt;$A40),"",FJ13/OFFSET(SSAutCLM!$A$2,MATCH(FJ$29,SSAutCLM!$A$2:$A$500)+$A40-1,1)-1)</f>
        <v>-2.0763082668608379E-2</v>
      </c>
      <c r="FK40" s="9">
        <f ca="1">IF(OR(FK13="",FK$28&lt;$A40),"",FK13/OFFSET(SSAutCLM!$A$2,MATCH(FK$29,SSAutCLM!$A$2:$A$500)+$A40-1,1)-1)</f>
        <v>-6.5104929718139415E-3</v>
      </c>
      <c r="FL40" s="9">
        <f ca="1">IF(OR(FL13="",FL$28&lt;$A40),"",FL13/OFFSET(SSAutCLM!$A$2,MATCH(FL$29,SSAutCLM!$A$2:$A$500)+$A40-1,1)-1)</f>
        <v>-6.2965941760212418E-3</v>
      </c>
      <c r="FM40" s="9">
        <f ca="1">IF(OR(FM13="",FM$28&lt;$A40),"",FM13/OFFSET(SSAutCLM!$A$2,MATCH(FM$29,SSAutCLM!$A$2:$A$500)+$A40-1,1)-1)</f>
        <v>-9.4178327980376508E-3</v>
      </c>
      <c r="FN40" s="9">
        <f ca="1">IF(OR(FN13="",FN$28&lt;$A40),"",FN13/OFFSET(SSAutCLM!$A$2,MATCH(FN$29,SSAutCLM!$A$2:$A$500)+$A40-1,1)-1)</f>
        <v>-1.1483430015742813E-2</v>
      </c>
      <c r="FO40" s="9">
        <f ca="1">IF(OR(FO13="",FO$28&lt;$A40),"",FO13/OFFSET(SSAutCLM!$A$2,MATCH(FO$29,SSAutCLM!$A$2:$A$500)+$A40-1,1)-1)</f>
        <v>1.143471299980936E-3</v>
      </c>
      <c r="FP40" s="9">
        <f ca="1">IF(OR(FP13="",FP$28&lt;$A40),"",FP13/OFFSET(SSAutCLM!$A$2,MATCH(FP$29,SSAutCLM!$A$2:$A$500)+$A40-1,1)-1)</f>
        <v>2.8177556412415372E-2</v>
      </c>
      <c r="FQ40" s="9">
        <f ca="1">IF(OR(FQ13="",FQ$28&lt;$A40),"",FQ13/OFFSET(SSAutCLM!$A$2,MATCH(FQ$29,SSAutCLM!$A$2:$A$500)+$A40-1,1)-1)</f>
        <v>1.6002190316115161E-2</v>
      </c>
      <c r="FR40" s="9">
        <f ca="1">IF(OR(FR13="",FR$28&lt;$A40),"",FR13/OFFSET(SSAutCLM!$A$2,MATCH(FR$29,SSAutCLM!$A$2:$A$500)+$A40-1,1)-1)</f>
        <v>9.810390494618737E-3</v>
      </c>
      <c r="FS40" s="9">
        <f ca="1">IF(OR(FS13="",FS$28&lt;$A40),"",FS13/OFFSET(SSAutCLM!$A$2,MATCH(FS$29,SSAutCLM!$A$2:$A$500)+$A40-1,1)-1)</f>
        <v>1.0373588163876901E-2</v>
      </c>
      <c r="FT40" s="9">
        <f ca="1">IF(OR(FT13="",FT$28&lt;$A40),"",FT13/OFFSET(SSAutCLM!$A$2,MATCH(FT$29,SSAutCLM!$A$2:$A$500)+$A40-1,1)-1)</f>
        <v>4.4008759444607026E-3</v>
      </c>
      <c r="FU40" s="9">
        <f ca="1">IF(OR(FU13="",FU$28&lt;$A40),"",FU13/OFFSET(SSAutCLM!$A$2,MATCH(FU$29,SSAutCLM!$A$2:$A$500)+$A40-1,1)-1)</f>
        <v>-8.2319739512715095E-4</v>
      </c>
      <c r="FV40" s="9">
        <f ca="1">IF(OR(FV13="",FV$28&lt;$A40),"",FV13/OFFSET(SSAutCLM!$A$2,MATCH(FV$29,SSAutCLM!$A$2:$A$500)+$A40-1,1)-1)</f>
        <v>-2.3798681251060438E-3</v>
      </c>
      <c r="FW40" s="9">
        <f ca="1">IF(OR(FW13="",FW$28&lt;$A40),"",FW13/OFFSET(SSAutCLM!$A$2,MATCH(FW$29,SSAutCLM!$A$2:$A$500)+$A40-1,1)-1)</f>
        <v>3.6007513045186457E-3</v>
      </c>
      <c r="FX40" s="9">
        <f ca="1">IF(OR(FX13="",FX$28&lt;$A40),"",FX13/OFFSET(SSAutCLM!$A$2,MATCH(FX$29,SSAutCLM!$A$2:$A$500)+$A40-1,1)-1)</f>
        <v>8.0676358836975215E-3</v>
      </c>
      <c r="FY40" s="9">
        <f ca="1">IF(OR(FY13="",FY$28&lt;$A40),"",FY13/OFFSET(SSAutCLM!$A$2,MATCH(FY$29,SSAutCLM!$A$2:$A$500)+$A40-1,1)-1)</f>
        <v>5.7023016509041291E-3</v>
      </c>
      <c r="FZ40" s="9">
        <f ca="1">IF(OR(FZ13="",FZ$28&lt;$A40),"",FZ13/OFFSET(SSAutCLM!$A$2,MATCH(FZ$29,SSAutCLM!$A$2:$A$500)+$A40-1,1)-1)</f>
        <v>1.2353689338211238E-2</v>
      </c>
      <c r="GA40" s="9">
        <f ca="1">IF(OR(GA13="",GA$28&lt;$A40),"",GA13/OFFSET(SSAutCLM!$A$2,MATCH(GA$29,SSAutCLM!$A$2:$A$500)+$A40-1,1)-1)</f>
        <v>-9.8642981061056734E-3</v>
      </c>
      <c r="GB40" s="9">
        <f ca="1">IF(OR(GB13="",GB$28&lt;$A40),"",GB13/OFFSET(SSAutCLM!$A$2,MATCH(GB$29,SSAutCLM!$A$2:$A$500)+$A40-1,1)-1)</f>
        <v>-4.6861042699893884E-3</v>
      </c>
      <c r="GC40" s="9">
        <f ca="1">IF(OR(GC13="",GC$28&lt;$A40),"",GC13/OFFSET(SSAutCLM!$A$2,MATCH(GC$29,SSAutCLM!$A$2:$A$500)+$A40-1,1)-1)</f>
        <v>-1.3746926689478745E-2</v>
      </c>
      <c r="GD40" s="9">
        <f ca="1">IF(OR(GD13="",GD$28&lt;$A40),"",GD13/OFFSET(SSAutCLM!$A$2,MATCH(GD$29,SSAutCLM!$A$2:$A$500)+$A40-1,1)-1)</f>
        <v>-1.0006243270603399E-2</v>
      </c>
      <c r="GE40" s="9">
        <f ca="1">IF(OR(GE13="",GE$28&lt;$A40),"",GE13/OFFSET(SSAutCLM!$A$2,MATCH(GE$29,SSAutCLM!$A$2:$A$500)+$A40-1,1)-1)</f>
        <v>1.0347595465834747E-2</v>
      </c>
      <c r="GF40" s="9">
        <f ca="1">IF(OR(GF13="",GF$28&lt;$A40),"",GF13/OFFSET(SSAutCLM!$A$2,MATCH(GF$29,SSAutCLM!$A$2:$A$500)+$A40-1,1)-1)</f>
        <v>1.9566198167840998E-2</v>
      </c>
      <c r="GG40" s="9">
        <f ca="1">IF(OR(GG13="",GG$28&lt;$A40),"",GG13/OFFSET(SSAutCLM!$A$2,MATCH(GG$29,SSAutCLM!$A$2:$A$500)+$A40-1,1)-1)</f>
        <v>1.3311468197605203E-2</v>
      </c>
      <c r="GH40" s="9">
        <f ca="1">IF(OR(GH13="",GH$28&lt;$A40),"",GH13/OFFSET(SSAutCLM!$A$2,MATCH(GH$29,SSAutCLM!$A$2:$A$500)+$A40-1,1)-1)</f>
        <v>8.144812398278134E-3</v>
      </c>
      <c r="GI40" s="9">
        <f ca="1">IF(OR(GI13="",GI$28&lt;$A40),"",GI13/OFFSET(SSAutCLM!$A$2,MATCH(GI$29,SSAutCLM!$A$2:$A$500)+$A40-1,1)-1)</f>
        <v>5.0708785035886716E-3</v>
      </c>
      <c r="GJ40" s="9">
        <f ca="1">IF(OR(GJ13="",GJ$28&lt;$A40),"",GJ13/OFFSET(SSAutCLM!$A$2,MATCH(GJ$29,SSAutCLM!$A$2:$A$500)+$A40-1,1)-1)</f>
        <v>4.6329404539935393E-3</v>
      </c>
      <c r="GK40" s="9">
        <f ca="1">IF(OR(GK13="",GK$28&lt;$A40),"",GK13/OFFSET(SSAutCLM!$A$2,MATCH(GK$29,SSAutCLM!$A$2:$A$500)+$A40-1,1)-1)</f>
        <v>6.8354567876498518E-3</v>
      </c>
      <c r="GL40" s="9">
        <f ca="1">IF(OR(GL13="",GL$28&lt;$A40),"",GL13/OFFSET(SSAutCLM!$A$2,MATCH(GL$29,SSAutCLM!$A$2:$A$500)+$A40-1,1)-1)</f>
        <v>1.7016901650919625E-2</v>
      </c>
      <c r="GM40" s="9">
        <f ca="1">IF(OR(GM13="",GM$28&lt;$A40),"",GM13/OFFSET(SSAutCLM!$A$2,MATCH(GM$29,SSAutCLM!$A$2:$A$500)+$A40-1,1)-1)</f>
        <v>6.1132058361157426E-3</v>
      </c>
      <c r="GN40" s="9">
        <f ca="1">IF(OR(GN13="",GN$28&lt;$A40),"",GN13/OFFSET(SSAutCLM!$A$2,MATCH(GN$29,SSAutCLM!$A$2:$A$500)+$A40-1,1)-1)</f>
        <v>1.4370665769315449E-2</v>
      </c>
      <c r="GO40" s="9" t="str">
        <f ca="1">IF(OR(GO13="",GO$28&lt;$A40),"",GO13/OFFSET(SSAutCLM!$A$2,MATCH(GO$29,SSAutCLM!$A$2:$A$500)+$A40-1,1)-1)</f>
        <v/>
      </c>
      <c r="GP40" s="9" t="str">
        <f ca="1">IF(OR(GP13="",GP$28&lt;$A40),"",GP13/OFFSET(SSAutCLM!$A$2,MATCH(GP$29,SSAutCLM!$A$2:$A$500)+$A40-1,1)-1)</f>
        <v/>
      </c>
      <c r="GQ40" s="9" t="str">
        <f ca="1">IF(OR(GQ13="",GQ$28&lt;$A40),"",GQ13/OFFSET(SSAutCLM!$A$2,MATCH(GQ$29,SSAutCLM!$A$2:$A$500)+$A40-1,1)-1)</f>
        <v/>
      </c>
      <c r="GR40" s="9" t="str">
        <f ca="1">IF(OR(GR13="",GR$28&lt;$A40),"",GR13/OFFSET(SSAutCLM!$A$2,MATCH(GR$29,SSAutCLM!$A$2:$A$500)+$A40-1,1)-1)</f>
        <v/>
      </c>
      <c r="GS40" s="9" t="str">
        <f ca="1">IF(OR(GS13="",GS$28&lt;$A40),"",GS13/OFFSET(SSAutCLM!$A$2,MATCH(GS$29,SSAutCLM!$A$2:$A$500)+$A40-1,1)-1)</f>
        <v/>
      </c>
      <c r="GT40" s="9" t="str">
        <f ca="1">IF(OR(GT13="",GT$28&lt;$A40),"",GT13/OFFSET(SSAutCLM!$A$2,MATCH(GT$29,SSAutCLM!$A$2:$A$500)+$A40-1,1)-1)</f>
        <v/>
      </c>
      <c r="GU40" s="9" t="str">
        <f ca="1">IF(OR(GU13="",GU$28&lt;$A40),"",GU13/OFFSET(SSAutCLM!$A$2,MATCH(GU$29,SSAutCLM!$A$2:$A$500)+$A40-1,1)-1)</f>
        <v/>
      </c>
      <c r="GV40" s="9" t="str">
        <f ca="1">IF(OR(GV13="",GV$28&lt;$A40),"",GV13/OFFSET(SSAutCLM!$A$2,MATCH(GV$29,SSAutCLM!$A$2:$A$500)+$A40-1,1)-1)</f>
        <v/>
      </c>
      <c r="GW40" s="9" t="str">
        <f ca="1">IF(OR(GW13="",GW$28&lt;$A40),"",GW13/OFFSET(SSAutCLM!$A$2,MATCH(GW$29,SSAutCLM!$A$2:$A$500)+$A40-1,1)-1)</f>
        <v/>
      </c>
      <c r="GX40" s="9" t="str">
        <f ca="1">IF(OR(GX13="",GX$28&lt;$A40),"",GX13/OFFSET(SSAutCLM!$A$2,MATCH(GX$29,SSAutCLM!$A$2:$A$500)+$A40-1,1)-1)</f>
        <v/>
      </c>
      <c r="GY40" s="9" t="str">
        <f ca="1">IF(OR(GY13="",GY$28&lt;$A40),"",GY13/OFFSET(SSAutCLM!$A$2,MATCH(GY$29,SSAutCLM!$A$2:$A$500)+$A40-1,1)-1)</f>
        <v/>
      </c>
      <c r="GZ40" s="9" t="str">
        <f ca="1">IF(OR(GZ13="",GZ$28&lt;$A40),"",GZ13/OFFSET(SSAutCLM!$A$2,MATCH(GZ$29,SSAutCLM!$A$2:$A$500)+$A40-1,1)-1)</f>
        <v/>
      </c>
      <c r="HA40" s="9" t="str">
        <f ca="1">IF(OR(HA13="",HA$28&lt;$A40),"",HA13/OFFSET(SSAutCLM!$A$2,MATCH(HA$29,SSAutCLM!$A$2:$A$500)+$A40-1,1)-1)</f>
        <v/>
      </c>
      <c r="HB40" s="9" t="str">
        <f ca="1">IF(OR(HB13="",HB$28&lt;$A40),"",HB13/OFFSET(SSAutCLM!$A$2,MATCH(HB$29,SSAutCLM!$A$2:$A$500)+$A40-1,1)-1)</f>
        <v/>
      </c>
      <c r="HC40" s="9" t="str">
        <f ca="1">IF(OR(HC13="",HC$28&lt;$A40),"",HC13/OFFSET(SSAutCLM!$A$2,MATCH(HC$29,SSAutCLM!$A$2:$A$500)+$A40-1,1)-1)</f>
        <v/>
      </c>
      <c r="HD40" s="9" t="str">
        <f ca="1">IF(OR(HD13="",HD$28&lt;$A40),"",HD13/OFFSET(SSAutCLM!$A$2,MATCH(HD$29,SSAutCLM!$A$2:$A$500)+$A40-1,1)-1)</f>
        <v/>
      </c>
      <c r="HE40" s="9" t="str">
        <f ca="1">IF(OR(HE13="",HE$28&lt;$A40),"",HE13/OFFSET(SSAutCLM!$A$2,MATCH(HE$29,SSAutCLM!$A$2:$A$500)+$A40-1,1)-1)</f>
        <v/>
      </c>
      <c r="HF40" s="9" t="str">
        <f ca="1">IF(OR(HF13="",HF$28&lt;$A40),"",HF13/OFFSET(SSAutCLM!$A$2,MATCH(HF$29,SSAutCLM!$A$2:$A$500)+$A40-1,1)-1)</f>
        <v/>
      </c>
      <c r="HG40" s="9" t="str">
        <f ca="1">IF(OR(HG13="",HG$28&lt;$A40),"",HG13/OFFSET(SSAutCLM!$A$2,MATCH(HG$29,SSAutCLM!$A$2:$A$500)+$A40-1,1)-1)</f>
        <v/>
      </c>
      <c r="HH40" s="9" t="str">
        <f ca="1">IF(OR(HH13="",HH$28&lt;$A40),"",HH13/OFFSET(SSAutCLM!$A$2,MATCH(HH$29,SSAutCLM!$A$2:$A$500)+$A40-1,1)-1)</f>
        <v/>
      </c>
      <c r="HI40" s="9" t="str">
        <f ca="1">IF(OR(HI13="",HI$28&lt;$A40),"",HI13/OFFSET(SSAutCLM!$A$2,MATCH(HI$29,SSAutCLM!$A$2:$A$500)+$A40-1,1)-1)</f>
        <v/>
      </c>
      <c r="HJ40" s="9" t="str">
        <f ca="1">IF(OR(HJ13="",HJ$28&lt;$A40),"",HJ13/OFFSET(SSAutCLM!$A$2,MATCH(HJ$29,SSAutCLM!$A$2:$A$500)+$A40-1,1)-1)</f>
        <v/>
      </c>
      <c r="HK40" s="9" t="str">
        <f ca="1">IF(OR(HK13="",HK$28&lt;$A40),"",HK13/OFFSET(SSAutCLM!$A$2,MATCH(HK$29,SSAutCLM!$A$2:$A$500)+$A40-1,1)-1)</f>
        <v/>
      </c>
      <c r="HL40" s="9" t="str">
        <f ca="1">IF(OR(HL13="",HL$28&lt;$A40),"",HL13/OFFSET(SSAutCLM!$A$2,MATCH(HL$29,SSAutCLM!$A$2:$A$500)+$A40-1,1)-1)</f>
        <v/>
      </c>
      <c r="HM40" s="9" t="str">
        <f ca="1">IF(OR(HM13="",HM$28&lt;$A40),"",HM13/OFFSET(SSAutCLM!$A$2,MATCH(HM$29,SSAutCLM!$A$2:$A$500)+$A40-1,1)-1)</f>
        <v/>
      </c>
      <c r="HN40" s="9" t="str">
        <f ca="1">IF(OR(HN13="",HN$28&lt;$A40),"",HN13/OFFSET(SSAutCLM!$A$2,MATCH(HN$29,SSAutCLM!$A$2:$A$500)+$A40-1,1)-1)</f>
        <v/>
      </c>
      <c r="HO40" s="9" t="str">
        <f ca="1">IF(OR(HO13="",HO$28&lt;$A40),"",HO13/OFFSET(SSAutCLM!$A$2,MATCH(HO$29,SSAutCLM!$A$2:$A$500)+$A40-1,1)-1)</f>
        <v/>
      </c>
      <c r="HP40" s="9" t="str">
        <f ca="1">IF(OR(HP13="",HP$28&lt;$A40),"",HP13/OFFSET(SSAutCLM!$A$2,MATCH(HP$29,SSAutCLM!$A$2:$A$500)+$A40-1,1)-1)</f>
        <v/>
      </c>
      <c r="HQ40" s="9" t="str">
        <f ca="1">IF(OR(HQ13="",HQ$28&lt;$A40),"",HQ13/OFFSET(SSAutCLM!$A$2,MATCH(HQ$29,SSAutCLM!$A$2:$A$500)+$A40-1,1)-1)</f>
        <v/>
      </c>
      <c r="HR40" s="9" t="str">
        <f ca="1">IF(OR(HR13="",HR$28&lt;$A40),"",HR13/OFFSET(SSAutCLM!$A$2,MATCH(HR$29,SSAutCLM!$A$2:$A$500)+$A40-1,1)-1)</f>
        <v/>
      </c>
      <c r="HS40" s="9" t="str">
        <f ca="1">IF(OR(HS13="",HS$28&lt;$A40),"",HS13/OFFSET(SSAutCLM!$A$2,MATCH(HS$29,SSAutCLM!$A$2:$A$500)+$A40-1,1)-1)</f>
        <v/>
      </c>
      <c r="HT40" s="9" t="str">
        <f ca="1">IF(OR(HT13="",HT$28&lt;$A40),"",HT13/OFFSET(SSAutCLM!$A$2,MATCH(HT$29,SSAutCLM!$A$2:$A$500)+$A40-1,1)-1)</f>
        <v/>
      </c>
      <c r="HU40" s="9" t="str">
        <f ca="1">IF(OR(HU13="",HU$28&lt;$A40),"",HU13/OFFSET(SSAutCLM!$A$2,MATCH(HU$29,SSAutCLM!$A$2:$A$500)+$A40-1,1)-1)</f>
        <v/>
      </c>
      <c r="HV40" s="9" t="str">
        <f ca="1">IF(OR(HV13="",HV$28&lt;$A40),"",HV13/OFFSET(SSAutCLM!$A$2,MATCH(HV$29,SSAutCLM!$A$2:$A$500)+$A40-1,1)-1)</f>
        <v/>
      </c>
      <c r="HW40" s="9" t="str">
        <f ca="1">IF(OR(HW13="",HW$28&lt;$A40),"",HW13/OFFSET(SSAutCLM!$A$2,MATCH(HW$29,SSAutCLM!$A$2:$A$500)+$A40-1,1)-1)</f>
        <v/>
      </c>
      <c r="HX40" s="9" t="str">
        <f ca="1">IF(OR(HX13="",HX$28&lt;$A40),"",HX13/OFFSET(SSAutCLM!$A$2,MATCH(HX$29,SSAutCLM!$A$2:$A$500)+$A40-1,1)-1)</f>
        <v/>
      </c>
      <c r="HY40" s="9" t="str">
        <f ca="1">IF(OR(HY13="",HY$28&lt;$A40),"",HY13/OFFSET(SSAutCLM!$A$2,MATCH(HY$29,SSAutCLM!$A$2:$A$500)+$A40-1,1)-1)</f>
        <v/>
      </c>
      <c r="HZ40" s="9" t="str">
        <f ca="1">IF(OR(HZ13="",HZ$28&lt;$A40),"",HZ13/OFFSET(SSAutCLM!$A$2,MATCH(HZ$29,SSAutCLM!$A$2:$A$500)+$A40-1,1)-1)</f>
        <v/>
      </c>
      <c r="IA40" s="9" t="str">
        <f ca="1">IF(OR(IA13="",IA$28&lt;$A40),"",IA13/OFFSET(SSAutCLM!$A$2,MATCH(IA$29,SSAutCLM!$A$2:$A$500)+$A40-1,1)-1)</f>
        <v/>
      </c>
      <c r="IB40" s="9" t="str">
        <f ca="1">IF(OR(IB13="",IB$28&lt;$A40),"",IB13/OFFSET(SSAutCLM!$A$2,MATCH(IB$29,SSAutCLM!$A$2:$A$500)+$A40-1,1)-1)</f>
        <v/>
      </c>
      <c r="IC40" s="9" t="str">
        <f ca="1">IF(OR(IC13="",IC$28&lt;$A40),"",IC13/OFFSET(SSAutCLM!$A$2,MATCH(IC$29,SSAutCLM!$A$2:$A$500)+$A40-1,1)-1)</f>
        <v/>
      </c>
      <c r="ID40" s="9" t="str">
        <f ca="1">IF(OR(ID13="",ID$28&lt;$A40),"",ID13/OFFSET(SSAutCLM!$A$2,MATCH(ID$29,SSAutCLM!$A$2:$A$500)+$A40-1,1)-1)</f>
        <v/>
      </c>
      <c r="IE40" s="9" t="str">
        <f ca="1">IF(OR(IE13="",IE$28&lt;$A40),"",IE13/OFFSET(SSAutCLM!$A$2,MATCH(IE$29,SSAutCLM!$A$2:$A$500)+$A40-1,1)-1)</f>
        <v/>
      </c>
      <c r="IF40" s="9" t="str">
        <f ca="1">IF(OR(IF13="",IF$28&lt;$A40),"",IF13/OFFSET(SSAutCLM!$A$2,MATCH(IF$29,SSAutCLM!$A$2:$A$500)+$A40-1,1)-1)</f>
        <v/>
      </c>
      <c r="IG40" s="9" t="str">
        <f ca="1">IF(OR(IG13="",IG$28&lt;$A40),"",IG13/OFFSET(SSAutCLM!$A$2,MATCH(IG$29,SSAutCLM!$A$2:$A$500)+$A40-1,1)-1)</f>
        <v/>
      </c>
      <c r="IH40" s="9" t="str">
        <f ca="1">IF(OR(IH13="",IH$28&lt;$A40),"",IH13/OFFSET(SSAutCLM!$A$2,MATCH(IH$29,SSAutCLM!$A$2:$A$500)+$A40-1,1)-1)</f>
        <v/>
      </c>
      <c r="II40" s="9" t="str">
        <f ca="1">IF(OR(II13="",II$28&lt;$A40),"",II13/OFFSET(SSAutCLM!$A$2,MATCH(II$29,SSAutCLM!$A$2:$A$500)+$A40-1,1)-1)</f>
        <v/>
      </c>
      <c r="IJ40" s="9" t="str">
        <f ca="1">IF(OR(IJ13="",IJ$28&lt;$A40),"",IJ13/OFFSET(SSAutCLM!$A$2,MATCH(IJ$29,SSAutCLM!$A$2:$A$500)+$A40-1,1)-1)</f>
        <v/>
      </c>
      <c r="IK40" s="9" t="str">
        <f ca="1">IF(OR(IK13="",IK$28&lt;$A40),"",IK13/OFFSET(SSAutCLM!$A$2,MATCH(IK$29,SSAutCLM!$A$2:$A$500)+$A40-1,1)-1)</f>
        <v/>
      </c>
      <c r="IL40" s="9" t="str">
        <f ca="1">IF(OR(IL13="",IL$28&lt;$A40),"",IL13/OFFSET(SSAutCLM!$A$2,MATCH(IL$29,SSAutCLM!$A$2:$A$500)+$A40-1,1)-1)</f>
        <v/>
      </c>
      <c r="IM40" s="9" t="str">
        <f ca="1">IF(OR(IM13="",IM$28&lt;$A40),"",IM13/OFFSET(SSAutCLM!$A$2,MATCH(IM$29,SSAutCLM!$A$2:$A$500)+$A40-1,1)-1)</f>
        <v/>
      </c>
      <c r="IN40" s="9" t="str">
        <f ca="1">IF(OR(IN13="",IN$28&lt;$A40),"",IN13/OFFSET(SSAutCLM!$A$2,MATCH(IN$29,SSAutCLM!$A$2:$A$500)+$A40-1,1)-1)</f>
        <v/>
      </c>
      <c r="IO40" s="9" t="str">
        <f ca="1">IF(OR(IO13="",IO$28&lt;$A40),"",IO13/OFFSET(SSAutCLM!$A$2,MATCH(IO$29,SSAutCLM!$A$2:$A$500)+$A40-1,1)-1)</f>
        <v/>
      </c>
      <c r="IP40" s="9" t="str">
        <f ca="1">IF(OR(IP13="",IP$28&lt;$A40),"",IP13/OFFSET(SSAutCLM!$A$2,MATCH(IP$29,SSAutCLM!$A$2:$A$500)+$A40-1,1)-1)</f>
        <v/>
      </c>
      <c r="IQ40" s="9" t="str">
        <f ca="1">IF(OR(IQ13="",IQ$28&lt;$A40),"",IQ13/OFFSET(SSAutCLM!$A$2,MATCH(IQ$29,SSAutCLM!$A$2:$A$500)+$A40-1,1)-1)</f>
        <v/>
      </c>
      <c r="IR40" s="9" t="str">
        <f ca="1">IF(OR(IR13="",IR$28&lt;$A40),"",IR13/OFFSET(SSAutCLM!$A$2,MATCH(IR$29,SSAutCLM!$A$2:$A$500)+$A40-1,1)-1)</f>
        <v/>
      </c>
      <c r="IS40" s="9" t="str">
        <f ca="1">IF(OR(IS13="",IS$28&lt;$A40),"",IS13/OFFSET(SSAutCLM!$A$2,MATCH(IS$29,SSAutCLM!$A$2:$A$500)+$A40-1,1)-1)</f>
        <v/>
      </c>
      <c r="IT40" s="9" t="str">
        <f ca="1">IF(OR(IT13="",IT$28&lt;$A40),"",IT13/OFFSET(SSAutCLM!$A$2,MATCH(IT$29,SSAutCLM!$A$2:$A$500)+$A40-1,1)-1)</f>
        <v/>
      </c>
      <c r="IU40" s="9" t="str">
        <f ca="1">IF(OR(IU13="",IU$28&lt;$A40),"",IU13/OFFSET(SSAutCLM!$A$2,MATCH(IU$29,SSAutCLM!$A$2:$A$500)+$A40-1,1)-1)</f>
        <v/>
      </c>
      <c r="IV40" s="9" t="str">
        <f ca="1">IF(OR(IV13="",IV$28&lt;$A40),"",IV13/OFFSET(SSAutCLM!$A$2,MATCH(IV$29,SSAutCLM!$A$2:$A$500)+$A40-1,1)-1)</f>
        <v/>
      </c>
      <c r="IW40" s="9" t="str">
        <f ca="1">IF(OR(IW13="",IW$28&lt;$A40),"",IW13/OFFSET(SSAutCLM!$A$2,MATCH(IW$29,SSAutCLM!$A$2:$A$500)+$A40-1,1)-1)</f>
        <v/>
      </c>
      <c r="IX40" s="9" t="str">
        <f ca="1">IF(OR(IX13="",IX$28&lt;$A40),"",IX13/OFFSET(SSAutCLM!$A$2,MATCH(IX$29,SSAutCLM!$A$2:$A$500)+$A40-1,1)-1)</f>
        <v/>
      </c>
      <c r="IY40" s="9" t="str">
        <f ca="1">IF(OR(IY13="",IY$28&lt;$A40),"",IY13/OFFSET(SSAutCLM!$A$2,MATCH(IY$29,SSAutCLM!$A$2:$A$500)+$A40-1,1)-1)</f>
        <v/>
      </c>
      <c r="IZ40" s="9" t="str">
        <f ca="1">IF(OR(IZ13="",IZ$28&lt;$A40),"",IZ13/OFFSET(SSAutCLM!$A$2,MATCH(IZ$29,SSAutCLM!$A$2:$A$500)+$A40-1,1)-1)</f>
        <v/>
      </c>
      <c r="JA40" s="9" t="str">
        <f ca="1">IF(OR(JA13="",JA$28&lt;$A40),"",JA13/OFFSET(SSAutCLM!$A$2,MATCH(JA$29,SSAutCLM!$A$2:$A$500)+$A40-1,1)-1)</f>
        <v/>
      </c>
      <c r="JB40" s="9" t="str">
        <f ca="1">IF(OR(JB13="",JB$28&lt;$A40),"",JB13/OFFSET(SSAutCLM!$A$2,MATCH(JB$29,SSAutCLM!$A$2:$A$500)+$A40-1,1)-1)</f>
        <v/>
      </c>
      <c r="JC40" s="9" t="str">
        <f ca="1">IF(OR(JC13="",JC$28&lt;$A40),"",JC13/OFFSET(SSAutCLM!$A$2,MATCH(JC$29,SSAutCLM!$A$2:$A$500)+$A40-1,1)-1)</f>
        <v/>
      </c>
      <c r="JD40" s="9" t="str">
        <f ca="1">IF(OR(JD13="",JD$28&lt;$A40),"",JD13/OFFSET(SSAutCLM!$A$2,MATCH(JD$29,SSAutCLM!$A$2:$A$500)+$A40-1,1)-1)</f>
        <v/>
      </c>
      <c r="JE40" s="9" t="str">
        <f ca="1">IF(OR(JE13="",JE$28&lt;$A40),"",JE13/OFFSET(SSAutCLM!$A$2,MATCH(JE$29,SSAutCLM!$A$2:$A$500)+$A40-1,1)-1)</f>
        <v/>
      </c>
      <c r="JF40" s="9" t="str">
        <f ca="1">IF(OR(JF13="",JF$28&lt;$A40),"",JF13/OFFSET(SSAutCLM!$A$2,MATCH(JF$29,SSAutCLM!$A$2:$A$500)+$A40-1,1)-1)</f>
        <v/>
      </c>
      <c r="JG40" s="9" t="str">
        <f ca="1">IF(OR(JG13="",JG$28&lt;$A40),"",JG13/OFFSET(SSAutCLM!$A$2,MATCH(JG$29,SSAutCLM!$A$2:$A$500)+$A40-1,1)-1)</f>
        <v/>
      </c>
      <c r="JH40" s="9" t="str">
        <f ca="1">IF(OR(JH13="",JH$28&lt;$A40),"",JH13/OFFSET(SSAutCLM!$A$2,MATCH(JH$29,SSAutCLM!$A$2:$A$500)+$A40-1,1)-1)</f>
        <v/>
      </c>
      <c r="JI40" s="13">
        <f t="shared" ca="1" si="13"/>
        <v>6.2898436993665732E-3</v>
      </c>
      <c r="JJ40" s="13">
        <f t="shared" ca="1" si="14"/>
        <v>6.4743313118827972E-3</v>
      </c>
      <c r="JK40" s="14">
        <f t="shared" ca="1" si="15"/>
        <v>8.7871370135810998E-5</v>
      </c>
      <c r="JL40" s="17">
        <f t="shared" ca="1" si="18"/>
        <v>9.3739730176596418E-3</v>
      </c>
      <c r="JM40" s="15" t="str">
        <f t="shared" ca="1" si="16"/>
        <v>[ -1,25% ; 2,50% ]</v>
      </c>
      <c r="JN40" s="17">
        <f t="shared" ca="1" si="17"/>
        <v>1.1998685462604342E-2</v>
      </c>
      <c r="LY40" s="1"/>
    </row>
    <row r="41" spans="1:337" x14ac:dyDescent="0.25">
      <c r="A41" s="4">
        <v>12</v>
      </c>
      <c r="B41" s="9">
        <f ca="1">IF(OR(B14="",B$28&lt;$A41),"",B14/OFFSET(SSAutCLM!$A$2,MATCH(B$29,SSAutCLM!$A$2:$A$500)+$A41-1,1)-1)</f>
        <v>-6.6775654573747456E-3</v>
      </c>
      <c r="C41" s="9">
        <f ca="1">IF(OR(C14="",C$28&lt;$A41),"",C14/OFFSET(SSAutCLM!$A$2,MATCH(C$29,SSAutCLM!$A$2:$A$500)+$A41-1,1)-1)</f>
        <v>-3.9723654839645128E-3</v>
      </c>
      <c r="D41" s="9">
        <f ca="1">IF(OR(D14="",D$28&lt;$A41),"",D14/OFFSET(SSAutCLM!$A$2,MATCH(D$29,SSAutCLM!$A$2:$A$500)+$A41-1,1)-1)</f>
        <v>-7.4314848085508256E-3</v>
      </c>
      <c r="E41" s="9">
        <f ca="1">IF(OR(E14="",E$28&lt;$A41),"",E14/OFFSET(SSAutCLM!$A$2,MATCH(E$29,SSAutCLM!$A$2:$A$500)+$A41-1,1)-1)</f>
        <v>-4.7842196329106468E-3</v>
      </c>
      <c r="F41" s="9">
        <f ca="1">IF(OR(F14="",F$28&lt;$A41),"",F14/OFFSET(SSAutCLM!$A$2,MATCH(F$29,SSAutCLM!$A$2:$A$500)+$A41-1,1)-1)</f>
        <v>-4.6021353936368525E-3</v>
      </c>
      <c r="G41" s="9">
        <f ca="1">IF(OR(G14="",G$28&lt;$A41),"",G14/OFFSET(SSAutCLM!$A$2,MATCH(G$29,SSAutCLM!$A$2:$A$500)+$A41-1,1)-1)</f>
        <v>-1.4289212979446964E-3</v>
      </c>
      <c r="H41" s="9">
        <f ca="1">IF(OR(H14="",H$28&lt;$A41),"",H14/OFFSET(SSAutCLM!$A$2,MATCH(H$29,SSAutCLM!$A$2:$A$500)+$A41-1,1)-1)</f>
        <v>1.5455988481472005E-3</v>
      </c>
      <c r="I41" s="9">
        <f ca="1">IF(OR(I14="",I$28&lt;$A41),"",I14/OFFSET(SSAutCLM!$A$2,MATCH(I$29,SSAutCLM!$A$2:$A$500)+$A41-1,1)-1)</f>
        <v>3.7304492319405469E-3</v>
      </c>
      <c r="J41" s="9">
        <f ca="1">IF(OR(J14="",J$28&lt;$A41),"",J14/OFFSET(SSAutCLM!$A$2,MATCH(J$29,SSAutCLM!$A$2:$A$500)+$A41-1,1)-1)</f>
        <v>3.685385787897566E-3</v>
      </c>
      <c r="K41" s="9">
        <f ca="1">IF(OR(K14="",K$28&lt;$A41),"",K14/OFFSET(SSAutCLM!$A$2,MATCH(K$29,SSAutCLM!$A$2:$A$500)+$A41-1,1)-1)</f>
        <v>4.8414395392466503E-3</v>
      </c>
      <c r="L41" s="9">
        <f ca="1">IF(OR(L14="",L$28&lt;$A41),"",L14/OFFSET(SSAutCLM!$A$2,MATCH(L$29,SSAutCLM!$A$2:$A$500)+$A41-1,1)-1)</f>
        <v>3.5104095344544728E-3</v>
      </c>
      <c r="M41" s="9">
        <f ca="1">IF(OR(M14="",M$28&lt;$A41),"",M14/OFFSET(SSAutCLM!$A$2,MATCH(M$29,SSAutCLM!$A$2:$A$500)+$A41-1,1)-1)</f>
        <v>3.7709168992337005E-3</v>
      </c>
      <c r="N41" s="9">
        <f ca="1">IF(OR(N14="",N$28&lt;$A41),"",N14/OFFSET(SSAutCLM!$A$2,MATCH(N$29,SSAutCLM!$A$2:$A$500)+$A41-1,1)-1)</f>
        <v>6.3531294973315777E-3</v>
      </c>
      <c r="O41" s="9">
        <f ca="1">IF(OR(O14="",O$28&lt;$A41),"",O14/OFFSET(SSAutCLM!$A$2,MATCH(O$29,SSAutCLM!$A$2:$A$500)+$A41-1,1)-1)</f>
        <v>1.1273642404350026E-2</v>
      </c>
      <c r="P41" s="9">
        <f ca="1">IF(OR(P14="",P$28&lt;$A41),"",P14/OFFSET(SSAutCLM!$A$2,MATCH(P$29,SSAutCLM!$A$2:$A$500)+$A41-1,1)-1)</f>
        <v>1.0436869492361556E-2</v>
      </c>
      <c r="Q41" s="9">
        <f ca="1">IF(OR(Q14="",Q$28&lt;$A41),"",Q14/OFFSET(SSAutCLM!$A$2,MATCH(Q$29,SSAutCLM!$A$2:$A$500)+$A41-1,1)-1)</f>
        <v>8.2983400078382452E-3</v>
      </c>
      <c r="R41" s="9">
        <f ca="1">IF(OR(R14="",R$28&lt;$A41),"",R14/OFFSET(SSAutCLM!$A$2,MATCH(R$29,SSAutCLM!$A$2:$A$500)+$A41-1,1)-1)</f>
        <v>6.5669060206621221E-3</v>
      </c>
      <c r="S41" s="9">
        <f ca="1">IF(OR(S14="",S$28&lt;$A41),"",S14/OFFSET(SSAutCLM!$A$2,MATCH(S$29,SSAutCLM!$A$2:$A$500)+$A41-1,1)-1)</f>
        <v>3.4617887676495762E-3</v>
      </c>
      <c r="T41" s="9">
        <f ca="1">IF(OR(T14="",T$28&lt;$A41),"",T14/OFFSET(SSAutCLM!$A$2,MATCH(T$29,SSAutCLM!$A$2:$A$500)+$A41-1,1)-1)</f>
        <v>1.683969098547955E-3</v>
      </c>
      <c r="U41" s="9">
        <f ca="1">IF(OR(U14="",U$28&lt;$A41),"",U14/OFFSET(SSAutCLM!$A$2,MATCH(U$29,SSAutCLM!$A$2:$A$500)+$A41-1,1)-1)</f>
        <v>-5.7916087420639695E-4</v>
      </c>
      <c r="V41" s="9">
        <f ca="1">IF(OR(V14="",V$28&lt;$A41),"",V14/OFFSET(SSAutCLM!$A$2,MATCH(V$29,SSAutCLM!$A$2:$A$500)+$A41-1,1)-1)</f>
        <v>-9.7694385720703547E-4</v>
      </c>
      <c r="W41" s="9">
        <f ca="1">IF(OR(W14="",W$28&lt;$A41),"",W14/OFFSET(SSAutCLM!$A$2,MATCH(W$29,SSAutCLM!$A$2:$A$500)+$A41-1,1)-1)</f>
        <v>-2.4732365066787443E-3</v>
      </c>
      <c r="X41" s="9">
        <f ca="1">IF(OR(X14="",X$28&lt;$A41),"",X14/OFFSET(SSAutCLM!$A$2,MATCH(X$29,SSAutCLM!$A$2:$A$500)+$A41-1,1)-1)</f>
        <v>-3.2704670900566279E-3</v>
      </c>
      <c r="Y41" s="9">
        <f ca="1">IF(OR(Y14="",Y$28&lt;$A41),"",Y14/OFFSET(SSAutCLM!$A$2,MATCH(Y$29,SSAutCLM!$A$2:$A$500)+$A41-1,1)-1)</f>
        <v>-6.977189338029377E-3</v>
      </c>
      <c r="Z41" s="9">
        <f ca="1">IF(OR(Z14="",Z$28&lt;$A41),"",Z14/OFFSET(SSAutCLM!$A$2,MATCH(Z$29,SSAutCLM!$A$2:$A$500)+$A41-1,1)-1)</f>
        <v>-6.1030233299882442E-3</v>
      </c>
      <c r="AA41" s="9">
        <f ca="1">IF(OR(AA14="",AA$28&lt;$A41),"",AA14/OFFSET(SSAutCLM!$A$2,MATCH(AA$29,SSAutCLM!$A$2:$A$500)+$A41-1,1)-1)</f>
        <v>-4.6104876987705934E-3</v>
      </c>
      <c r="AB41" s="9">
        <f ca="1">IF(OR(AB14="",AB$28&lt;$A41),"",AB14/OFFSET(SSAutCLM!$A$2,MATCH(AB$29,SSAutCLM!$A$2:$A$500)+$A41-1,1)-1)</f>
        <v>-4.7842897652924377E-3</v>
      </c>
      <c r="AC41" s="9">
        <f ca="1">IF(OR(AC14="",AC$28&lt;$A41),"",AC14/OFFSET(SSAutCLM!$A$2,MATCH(AC$29,SSAutCLM!$A$2:$A$500)+$A41-1,1)-1)</f>
        <v>-9.4007727286341547E-3</v>
      </c>
      <c r="AD41" s="9">
        <f ca="1">IF(OR(AD14="",AD$28&lt;$A41),"",AD14/OFFSET(SSAutCLM!$A$2,MATCH(AD$29,SSAutCLM!$A$2:$A$500)+$A41-1,1)-1)</f>
        <v>-1.0646532318868474E-2</v>
      </c>
      <c r="AE41" s="9">
        <f ca="1">IF(OR(AE14="",AE$28&lt;$A41),"",AE14/OFFSET(SSAutCLM!$A$2,MATCH(AE$29,SSAutCLM!$A$2:$A$500)+$A41-1,1)-1)</f>
        <v>-1.1026090391664689E-2</v>
      </c>
      <c r="AF41" s="9">
        <f ca="1">IF(OR(AF14="",AF$28&lt;$A41),"",AF14/OFFSET(SSAutCLM!$A$2,MATCH(AF$29,SSAutCLM!$A$2:$A$500)+$A41-1,1)-1)</f>
        <v>-1.3088213144510474E-2</v>
      </c>
      <c r="AG41" s="9">
        <f ca="1">IF(OR(AG14="",AG$28&lt;$A41),"",AG14/OFFSET(SSAutCLM!$A$2,MATCH(AG$29,SSAutCLM!$A$2:$A$500)+$A41-1,1)-1)</f>
        <v>-1.3484880813982691E-2</v>
      </c>
      <c r="AH41" s="9">
        <f ca="1">IF(OR(AH14="",AH$28&lt;$A41),"",AH14/OFFSET(SSAutCLM!$A$2,MATCH(AH$29,SSAutCLM!$A$2:$A$500)+$A41-1,1)-1)</f>
        <v>-1.7108110999454529E-2</v>
      </c>
      <c r="AI41" s="9">
        <f ca="1">IF(OR(AI14="",AI$28&lt;$A41),"",AI14/OFFSET(SSAutCLM!$A$2,MATCH(AI$29,SSAutCLM!$A$2:$A$500)+$A41-1,1)-1)</f>
        <v>-1.8022269386752221E-2</v>
      </c>
      <c r="AJ41" s="9">
        <f ca="1">IF(OR(AJ14="",AJ$28&lt;$A41),"",AJ14/OFFSET(SSAutCLM!$A$2,MATCH(AJ$29,SSAutCLM!$A$2:$A$500)+$A41-1,1)-1)</f>
        <v>-1.8178979010050278E-2</v>
      </c>
      <c r="AK41" s="9">
        <f ca="1">IF(OR(AK14="",AK$28&lt;$A41),"",AK14/OFFSET(SSAutCLM!$A$2,MATCH(AK$29,SSAutCLM!$A$2:$A$500)+$A41-1,1)-1)</f>
        <v>-1.7847765625835232E-2</v>
      </c>
      <c r="AL41" s="9">
        <f ca="1">IF(OR(AL14="",AL$28&lt;$A41),"",AL14/OFFSET(SSAutCLM!$A$2,MATCH(AL$29,SSAutCLM!$A$2:$A$500)+$A41-1,1)-1)</f>
        <v>-1.318564286482149E-2</v>
      </c>
      <c r="AM41" s="9">
        <f ca="1">IF(OR(AM14="",AM$28&lt;$A41),"",AM14/OFFSET(SSAutCLM!$A$2,MATCH(AM$29,SSAutCLM!$A$2:$A$500)+$A41-1,1)-1)</f>
        <v>-9.6827796569358693E-3</v>
      </c>
      <c r="AN41" s="9">
        <f ca="1">IF(OR(AN14="",AN$28&lt;$A41),"",AN14/OFFSET(SSAutCLM!$A$2,MATCH(AN$29,SSAutCLM!$A$2:$A$500)+$A41-1,1)-1)</f>
        <v>2.6272780675129503E-4</v>
      </c>
      <c r="AO41" s="9">
        <f ca="1">IF(OR(AO14="",AO$28&lt;$A41),"",AO14/OFFSET(SSAutCLM!$A$2,MATCH(AO$29,SSAutCLM!$A$2:$A$500)+$A41-1,1)-1)</f>
        <v>8.0601034374570002E-3</v>
      </c>
      <c r="AP41" s="9">
        <f ca="1">IF(OR(AP14="",AP$28&lt;$A41),"",AP14/OFFSET(SSAutCLM!$A$2,MATCH(AP$29,SSAutCLM!$A$2:$A$500)+$A41-1,1)-1)</f>
        <v>1.2380552658108668E-2</v>
      </c>
      <c r="AQ41" s="9">
        <f ca="1">IF(OR(AQ14="",AQ$28&lt;$A41),"",AQ14/OFFSET(SSAutCLM!$A$2,MATCH(AQ$29,SSAutCLM!$A$2:$A$500)+$A41-1,1)-1)</f>
        <v>1.7701768717738986E-2</v>
      </c>
      <c r="AR41" s="9">
        <f ca="1">IF(OR(AR14="",AR$28&lt;$A41),"",AR14/OFFSET(SSAutCLM!$A$2,MATCH(AR$29,SSAutCLM!$A$2:$A$500)+$A41-1,1)-1)</f>
        <v>2.7387199597098011E-2</v>
      </c>
      <c r="AS41" s="9">
        <f ca="1">IF(OR(AS14="",AS$28&lt;$A41),"",AS14/OFFSET(SSAutCLM!$A$2,MATCH(AS$29,SSAutCLM!$A$2:$A$500)+$A41-1,1)-1)</f>
        <v>3.8413414795308354E-2</v>
      </c>
      <c r="AT41" s="9">
        <f ca="1">IF(OR(AT14="",AT$28&lt;$A41),"",AT14/OFFSET(SSAutCLM!$A$2,MATCH(AT$29,SSAutCLM!$A$2:$A$500)+$A41-1,1)-1)</f>
        <v>4.60869478525745E-2</v>
      </c>
      <c r="AU41" s="9">
        <f ca="1">IF(OR(AU14="",AU$28&lt;$A41),"",AU14/OFFSET(SSAutCLM!$A$2,MATCH(AU$29,SSAutCLM!$A$2:$A$500)+$A41-1,1)-1)</f>
        <v>5.4426345648857621E-2</v>
      </c>
      <c r="AV41" s="9">
        <f ca="1">IF(OR(AV14="",AV$28&lt;$A41),"",AV14/OFFSET(SSAutCLM!$A$2,MATCH(AV$29,SSAutCLM!$A$2:$A$500)+$A41-1,1)-1)</f>
        <v>6.6905239835103103E-2</v>
      </c>
      <c r="AW41" s="9">
        <f ca="1">IF(OR(AW14="",AW$28&lt;$A41),"",AW14/OFFSET(SSAutCLM!$A$2,MATCH(AW$29,SSAutCLM!$A$2:$A$500)+$A41-1,1)-1)</f>
        <v>7.7642089102258005E-2</v>
      </c>
      <c r="AX41" s="9">
        <f ca="1">IF(OR(AX14="",AX$28&lt;$A41),"",AX14/OFFSET(SSAutCLM!$A$2,MATCH(AX$29,SSAutCLM!$A$2:$A$500)+$A41-1,1)-1)</f>
        <v>7.9771715404981292E-2</v>
      </c>
      <c r="AY41" s="9">
        <f ca="1">IF(OR(AY14="",AY$28&lt;$A41),"",AY14/OFFSET(SSAutCLM!$A$2,MATCH(AY$29,SSAutCLM!$A$2:$A$500)+$A41-1,1)-1)</f>
        <v>7.9868771079549372E-2</v>
      </c>
      <c r="AZ41" s="9">
        <f ca="1">IF(OR(AZ14="",AZ$28&lt;$A41),"",AZ14/OFFSET(SSAutCLM!$A$2,MATCH(AZ$29,SSAutCLM!$A$2:$A$500)+$A41-1,1)-1)</f>
        <v>7.9516534382505943E-2</v>
      </c>
      <c r="BA41" s="9">
        <f ca="1">IF(OR(BA14="",BA$28&lt;$A41),"",BA14/OFFSET(SSAutCLM!$A$2,MATCH(BA$29,SSAutCLM!$A$2:$A$500)+$A41-1,1)-1)</f>
        <v>8.314934366908977E-2</v>
      </c>
      <c r="BB41" s="9">
        <f ca="1">IF(OR(BB14="",BB$28&lt;$A41),"",BB14/OFFSET(SSAutCLM!$A$2,MATCH(BB$29,SSAutCLM!$A$2:$A$500)+$A41-1,1)-1)</f>
        <v>7.3643489060581935E-2</v>
      </c>
      <c r="BC41" s="9">
        <f ca="1">IF(OR(BC14="",BC$28&lt;$A41),"",BC14/OFFSET(SSAutCLM!$A$2,MATCH(BC$29,SSAutCLM!$A$2:$A$500)+$A41-1,1)-1)</f>
        <v>4.2997919890447545E-2</v>
      </c>
      <c r="BD41" s="9">
        <f ca="1">IF(OR(BD14="",BD$28&lt;$A41),"",BD14/OFFSET(SSAutCLM!$A$2,MATCH(BD$29,SSAutCLM!$A$2:$A$500)+$A41-1,1)-1)</f>
        <v>5.073673510072485E-2</v>
      </c>
      <c r="BE41" s="9">
        <f ca="1">IF(OR(BE14="",BE$28&lt;$A41),"",BE14/OFFSET(SSAutCLM!$A$2,MATCH(BE$29,SSAutCLM!$A$2:$A$500)+$A41-1,1)-1)</f>
        <v>4.8958226103364089E-2</v>
      </c>
      <c r="BF41" s="9">
        <f ca="1">IF(OR(BF14="",BF$28&lt;$A41),"",BF14/OFFSET(SSAutCLM!$A$2,MATCH(BF$29,SSAutCLM!$A$2:$A$500)+$A41-1,1)-1)</f>
        <v>4.3509369325039016E-2</v>
      </c>
      <c r="BG41" s="9">
        <f ca="1">IF(OR(BG14="",BG$28&lt;$A41),"",BG14/OFFSET(SSAutCLM!$A$2,MATCH(BG$29,SSAutCLM!$A$2:$A$500)+$A41-1,1)-1)</f>
        <v>4.1454401174704669E-2</v>
      </c>
      <c r="BH41" s="9">
        <f ca="1">IF(OR(BH14="",BH$28&lt;$A41),"",BH14/OFFSET(SSAutCLM!$A$2,MATCH(BH$29,SSAutCLM!$A$2:$A$500)+$A41-1,1)-1)</f>
        <v>2.3245996656366064E-2</v>
      </c>
      <c r="BI41" s="9">
        <f ca="1">IF(OR(BI14="",BI$28&lt;$A41),"",BI14/OFFSET(SSAutCLM!$A$2,MATCH(BI$29,SSAutCLM!$A$2:$A$500)+$A41-1,1)-1)</f>
        <v>5.8613407847585286E-3</v>
      </c>
      <c r="BJ41" s="9">
        <f ca="1">IF(OR(BJ14="",BJ$28&lt;$A41),"",BJ14/OFFSET(SSAutCLM!$A$2,MATCH(BJ$29,SSAutCLM!$A$2:$A$500)+$A41-1,1)-1)</f>
        <v>-2.7391275001166671E-2</v>
      </c>
      <c r="BK41" s="9">
        <f ca="1">IF(OR(BK14="",BK$28&lt;$A41),"",BK14/OFFSET(SSAutCLM!$A$2,MATCH(BK$29,SSAutCLM!$A$2:$A$500)+$A41-1,1)-1)</f>
        <v>-3.7848163562236525E-2</v>
      </c>
      <c r="BL41" s="9">
        <f ca="1">IF(OR(BL14="",BL$28&lt;$A41),"",BL14/OFFSET(SSAutCLM!$A$2,MATCH(BL$29,SSAutCLM!$A$2:$A$500)+$A41-1,1)-1)</f>
        <v>-6.0084858831812138E-2</v>
      </c>
      <c r="BM41" s="9">
        <f ca="1">IF(OR(BM14="",BM$28&lt;$A41),"",BM14/OFFSET(SSAutCLM!$A$2,MATCH(BM$29,SSAutCLM!$A$2:$A$500)+$A41-1,1)-1)</f>
        <v>-7.3429695810820483E-2</v>
      </c>
      <c r="BN41" s="9">
        <f ca="1">IF(OR(BN14="",BN$28&lt;$A41),"",BN14/OFFSET(SSAutCLM!$A$2,MATCH(BN$29,SSAutCLM!$A$2:$A$500)+$A41-1,1)-1)</f>
        <v>-7.5774294420645649E-2</v>
      </c>
      <c r="BO41" s="9">
        <f ca="1">IF(OR(BO14="",BO$28&lt;$A41),"",BO14/OFFSET(SSAutCLM!$A$2,MATCH(BO$29,SSAutCLM!$A$2:$A$500)+$A41-1,1)-1)</f>
        <v>-5.5881130481505559E-2</v>
      </c>
      <c r="BP41" s="9">
        <f ca="1">IF(OR(BP14="",BP$28&lt;$A41),"",BP14/OFFSET(SSAutCLM!$A$2,MATCH(BP$29,SSAutCLM!$A$2:$A$500)+$A41-1,1)-1)</f>
        <v>-3.1230424769660425E-2</v>
      </c>
      <c r="BQ41" s="9">
        <f ca="1">IF(OR(BQ14="",BQ$28&lt;$A41),"",BQ14/OFFSET(SSAutCLM!$A$2,MATCH(BQ$29,SSAutCLM!$A$2:$A$500)+$A41-1,1)-1)</f>
        <v>-3.1144509565900091E-2</v>
      </c>
      <c r="BR41" s="9">
        <f ca="1">IF(OR(BR14="",BR$28&lt;$A41),"",BR14/OFFSET(SSAutCLM!$A$2,MATCH(BR$29,SSAutCLM!$A$2:$A$500)+$A41-1,1)-1)</f>
        <v>-3.0041781687135671E-2</v>
      </c>
      <c r="BS41" s="9">
        <f ca="1">IF(OR(BS14="",BS$28&lt;$A41),"",BS14/OFFSET(SSAutCLM!$A$2,MATCH(BS$29,SSAutCLM!$A$2:$A$500)+$A41-1,1)-1)</f>
        <v>-3.6522903847287735E-2</v>
      </c>
      <c r="BT41" s="9">
        <f ca="1">IF(OR(BT14="",BT$28&lt;$A41),"",BT14/OFFSET(SSAutCLM!$A$2,MATCH(BT$29,SSAutCLM!$A$2:$A$500)+$A41-1,1)-1)</f>
        <v>-4.0842266886539025E-2</v>
      </c>
      <c r="BU41" s="9">
        <f ca="1">IF(OR(BU14="",BU$28&lt;$A41),"",BU14/OFFSET(SSAutCLM!$A$2,MATCH(BU$29,SSAutCLM!$A$2:$A$500)+$A41-1,1)-1)</f>
        <v>-2.5989589501118071E-2</v>
      </c>
      <c r="BV41" s="9">
        <f ca="1">IF(OR(BV14="",BV$28&lt;$A41),"",BV14/OFFSET(SSAutCLM!$A$2,MATCH(BV$29,SSAutCLM!$A$2:$A$500)+$A41-1,1)-1)</f>
        <v>-7.889194532214483E-3</v>
      </c>
      <c r="BW41" s="9">
        <f ca="1">IF(OR(BW14="",BW$28&lt;$A41),"",BW14/OFFSET(SSAutCLM!$A$2,MATCH(BW$29,SSAutCLM!$A$2:$A$500)+$A41-1,1)-1)</f>
        <v>-1.1206264545233435E-2</v>
      </c>
      <c r="BX41" s="9">
        <f ca="1">IF(OR(BX14="",BX$28&lt;$A41),"",BX14/OFFSET(SSAutCLM!$A$2,MATCH(BX$29,SSAutCLM!$A$2:$A$500)+$A41-1,1)-1)</f>
        <v>-2.356629993241588E-2</v>
      </c>
      <c r="BY41" s="9">
        <f ca="1">IF(OR(BY14="",BY$28&lt;$A41),"",BY14/OFFSET(SSAutCLM!$A$2,MATCH(BY$29,SSAutCLM!$A$2:$A$500)+$A41-1,1)-1)</f>
        <v>-7.7066083824758325E-3</v>
      </c>
      <c r="BZ41" s="9">
        <f ca="1">IF(OR(BZ14="",BZ$28&lt;$A41),"",BZ14/OFFSET(SSAutCLM!$A$2,MATCH(BZ$29,SSAutCLM!$A$2:$A$500)+$A41-1,1)-1)</f>
        <v>1.1985312245392787E-2</v>
      </c>
      <c r="CA41" s="9">
        <f ca="1">IF(OR(CA14="",CA$28&lt;$A41),"",CA14/OFFSET(SSAutCLM!$A$2,MATCH(CA$29,SSAutCLM!$A$2:$A$500)+$A41-1,1)-1)</f>
        <v>1.7197179240957317E-2</v>
      </c>
      <c r="CB41" s="9">
        <f ca="1">IF(OR(CB14="",CB$28&lt;$A41),"",CB14/OFFSET(SSAutCLM!$A$2,MATCH(CB$29,SSAutCLM!$A$2:$A$500)+$A41-1,1)-1)</f>
        <v>1.8599959802538812E-2</v>
      </c>
      <c r="CC41" s="9">
        <f ca="1">IF(OR(CC14="",CC$28&lt;$A41),"",CC14/OFFSET(SSAutCLM!$A$2,MATCH(CC$29,SSAutCLM!$A$2:$A$500)+$A41-1,1)-1)</f>
        <v>7.6600128902803988E-3</v>
      </c>
      <c r="CD41" s="9">
        <f ca="1">IF(OR(CD14="",CD$28&lt;$A41),"",CD14/OFFSET(SSAutCLM!$A$2,MATCH(CD$29,SSAutCLM!$A$2:$A$500)+$A41-1,1)-1)</f>
        <v>-8.2448522594347207E-4</v>
      </c>
      <c r="CE41" s="9">
        <f ca="1">IF(OR(CE14="",CE$28&lt;$A41),"",CE14/OFFSET(SSAutCLM!$A$2,MATCH(CE$29,SSAutCLM!$A$2:$A$500)+$A41-1,1)-1)</f>
        <v>-2.2281815341990141E-3</v>
      </c>
      <c r="CF41" s="9">
        <f ca="1">IF(OR(CF14="",CF$28&lt;$A41),"",CF14/OFFSET(SSAutCLM!$A$2,MATCH(CF$29,SSAutCLM!$A$2:$A$500)+$A41-1,1)-1)</f>
        <v>3.2842464090923063E-3</v>
      </c>
      <c r="CG41" s="9">
        <f ca="1">IF(OR(CG14="",CG$28&lt;$A41),"",CG14/OFFSET(SSAutCLM!$A$2,MATCH(CG$29,SSAutCLM!$A$2:$A$500)+$A41-1,1)-1)</f>
        <v>-4.8650910056102781E-4</v>
      </c>
      <c r="CH41" s="9">
        <f ca="1">IF(OR(CH14="",CH$28&lt;$A41),"",CH14/OFFSET(SSAutCLM!$A$2,MATCH(CH$29,SSAutCLM!$A$2:$A$500)+$A41-1,1)-1)</f>
        <v>-5.514548577324585E-3</v>
      </c>
      <c r="CI41" s="9">
        <f ca="1">IF(OR(CI14="",CI$28&lt;$A41),"",CI14/OFFSET(SSAutCLM!$A$2,MATCH(CI$29,SSAutCLM!$A$2:$A$500)+$A41-1,1)-1)</f>
        <v>7.315550198919496E-3</v>
      </c>
      <c r="CJ41" s="9">
        <f ca="1">IF(OR(CJ14="",CJ$28&lt;$A41),"",CJ14/OFFSET(SSAutCLM!$A$2,MATCH(CJ$29,SSAutCLM!$A$2:$A$500)+$A41-1,1)-1)</f>
        <v>-6.8771014547963638E-3</v>
      </c>
      <c r="CK41" s="9">
        <f ca="1">IF(OR(CK14="",CK$28&lt;$A41),"",CK14/OFFSET(SSAutCLM!$A$2,MATCH(CK$29,SSAutCLM!$A$2:$A$500)+$A41-1,1)-1)</f>
        <v>1.8135621993261797E-2</v>
      </c>
      <c r="CL41" s="9">
        <f ca="1">IF(OR(CL14="",CL$28&lt;$A41),"",CL14/OFFSET(SSAutCLM!$A$2,MATCH(CL$29,SSAutCLM!$A$2:$A$500)+$A41-1,1)-1)</f>
        <v>2.1151529361792987E-2</v>
      </c>
      <c r="CM41" s="9">
        <f ca="1">IF(OR(CM14="",CM$28&lt;$A41),"",CM14/OFFSET(SSAutCLM!$A$2,MATCH(CM$29,SSAutCLM!$A$2:$A$500)+$A41-1,1)-1)</f>
        <v>3.2928449082691547E-2</v>
      </c>
      <c r="CN41" s="9">
        <f ca="1">IF(OR(CN14="",CN$28&lt;$A41),"",CN14/OFFSET(SSAutCLM!$A$2,MATCH(CN$29,SSAutCLM!$A$2:$A$500)+$A41-1,1)-1)</f>
        <v>2.5720808376622273E-2</v>
      </c>
      <c r="CO41" s="9">
        <f ca="1">IF(OR(CO14="",CO$28&lt;$A41),"",CO14/OFFSET(SSAutCLM!$A$2,MATCH(CO$29,SSAutCLM!$A$2:$A$500)+$A41-1,1)-1)</f>
        <v>9.4290659429285828E-3</v>
      </c>
      <c r="CP41" s="9">
        <f ca="1">IF(OR(CP14="",CP$28&lt;$A41),"",CP14/OFFSET(SSAutCLM!$A$2,MATCH(CP$29,SSAutCLM!$A$2:$A$500)+$A41-1,1)-1)</f>
        <v>-1.9835762511315469E-3</v>
      </c>
      <c r="CQ41" s="9">
        <f ca="1">IF(OR(CQ14="",CQ$28&lt;$A41),"",CQ14/OFFSET(SSAutCLM!$A$2,MATCH(CQ$29,SSAutCLM!$A$2:$A$500)+$A41-1,1)-1)</f>
        <v>7.1142443382992138E-3</v>
      </c>
      <c r="CR41" s="9">
        <f ca="1">IF(OR(CR14="",CR$28&lt;$A41),"",CR14/OFFSET(SSAutCLM!$A$2,MATCH(CR$29,SSAutCLM!$A$2:$A$500)+$A41-1,1)-1)</f>
        <v>4.3900097134519367E-3</v>
      </c>
      <c r="CS41" s="9">
        <f ca="1">IF(OR(CS14="",CS$28&lt;$A41),"",CS14/OFFSET(SSAutCLM!$A$2,MATCH(CS$29,SSAutCLM!$A$2:$A$500)+$A41-1,1)-1)</f>
        <v>-1.8305498003859944E-3</v>
      </c>
      <c r="CT41" s="9">
        <f ca="1">IF(OR(CT14="",CT$28&lt;$A41),"",CT14/OFFSET(SSAutCLM!$A$2,MATCH(CT$29,SSAutCLM!$A$2:$A$500)+$A41-1,1)-1)</f>
        <v>-7.8101545043193221E-3</v>
      </c>
      <c r="CU41" s="9">
        <f ca="1">IF(OR(CU14="",CU$28&lt;$A41),"",CU14/OFFSET(SSAutCLM!$A$2,MATCH(CU$29,SSAutCLM!$A$2:$A$500)+$A41-1,1)-1)</f>
        <v>-4.6245749413406867E-2</v>
      </c>
      <c r="CV41" s="9">
        <f ca="1">IF(OR(CV14="",CV$28&lt;$A41),"",CV14/OFFSET(SSAutCLM!$A$2,MATCH(CV$29,SSAutCLM!$A$2:$A$500)+$A41-1,1)-1)</f>
        <v>-8.9878818392808979E-3</v>
      </c>
      <c r="CW41" s="9">
        <f ca="1">IF(OR(CW14="",CW$28&lt;$A41),"",CW14/OFFSET(SSAutCLM!$A$2,MATCH(CW$29,SSAutCLM!$A$2:$A$500)+$A41-1,1)-1)</f>
        <v>9.1200208265163063E-4</v>
      </c>
      <c r="CX41" s="9">
        <f ca="1">IF(OR(CX14="",CX$28&lt;$A41),"",CX14/OFFSET(SSAutCLM!$A$2,MATCH(CX$29,SSAutCLM!$A$2:$A$500)+$A41-1,1)-1)</f>
        <v>3.7143870854723371E-3</v>
      </c>
      <c r="CY41" s="9">
        <f ca="1">IF(OR(CY14="",CY$28&lt;$A41),"",CY14/OFFSET(SSAutCLM!$A$2,MATCH(CY$29,SSAutCLM!$A$2:$A$500)+$A41-1,1)-1)</f>
        <v>-9.1026557060902569E-4</v>
      </c>
      <c r="CZ41" s="9">
        <f ca="1">IF(OR(CZ14="",CZ$28&lt;$A41),"",CZ14/OFFSET(SSAutCLM!$A$2,MATCH(CZ$29,SSAutCLM!$A$2:$A$500)+$A41-1,1)-1)</f>
        <v>-5.3202555434523902E-3</v>
      </c>
      <c r="DA41" s="9">
        <f ca="1">IF(OR(DA14="",DA$28&lt;$A41),"",DA14/OFFSET(SSAutCLM!$A$2,MATCH(DA$29,SSAutCLM!$A$2:$A$500)+$A41-1,1)-1)</f>
        <v>-6.2601434139700762E-3</v>
      </c>
      <c r="DB41" s="9">
        <f ca="1">IF(OR(DB14="",DB$28&lt;$A41),"",DB14/OFFSET(SSAutCLM!$A$2,MATCH(DB$29,SSAutCLM!$A$2:$A$500)+$A41-1,1)-1)</f>
        <v>-1.9864529102440076E-2</v>
      </c>
      <c r="DC41" s="9">
        <f ca="1">IF(OR(DC14="",DC$28&lt;$A41),"",DC14/OFFSET(SSAutCLM!$A$2,MATCH(DC$29,SSAutCLM!$A$2:$A$500)+$A41-1,1)-1)</f>
        <v>-2.6322095513942934E-2</v>
      </c>
      <c r="DD41" s="9">
        <f ca="1">IF(OR(DD14="",DD$28&lt;$A41),"",DD14/OFFSET(SSAutCLM!$A$2,MATCH(DD$29,SSAutCLM!$A$2:$A$500)+$A41-1,1)-1)</f>
        <v>-1.7761002380078494E-2</v>
      </c>
      <c r="DE41" s="9">
        <f ca="1">IF(OR(DE14="",DE$28&lt;$A41),"",DE14/OFFSET(SSAutCLM!$A$2,MATCH(DE$29,SSAutCLM!$A$2:$A$500)+$A41-1,1)-1)</f>
        <v>-2.5314989885225958E-2</v>
      </c>
      <c r="DF41" s="9">
        <f ca="1">IF(OR(DF14="",DF$28&lt;$A41),"",DF14/OFFSET(SSAutCLM!$A$2,MATCH(DF$29,SSAutCLM!$A$2:$A$500)+$A41-1,1)-1)</f>
        <v>-2.5032212670718867E-2</v>
      </c>
      <c r="DG41" s="9">
        <f ca="1">IF(OR(DG14="",DG$28&lt;$A41),"",DG14/OFFSET(SSAutCLM!$A$2,MATCH(DG$29,SSAutCLM!$A$2:$A$500)+$A41-1,1)-1)</f>
        <v>-3.3442161766085166E-2</v>
      </c>
      <c r="DH41" s="9">
        <f ca="1">IF(OR(DH14="",DH$28&lt;$A41),"",DH14/OFFSET(SSAutCLM!$A$2,MATCH(DH$29,SSAutCLM!$A$2:$A$500)+$A41-1,1)-1)</f>
        <v>-4.2695401154413726E-2</v>
      </c>
      <c r="DI41" s="9">
        <f ca="1">IF(OR(DI14="",DI$28&lt;$A41),"",DI14/OFFSET(SSAutCLM!$A$2,MATCH(DI$29,SSAutCLM!$A$2:$A$500)+$A41-1,1)-1)</f>
        <v>-3.0683627929958601E-2</v>
      </c>
      <c r="DJ41" s="9">
        <f ca="1">IF(OR(DJ14="",DJ$28&lt;$A41),"",DJ14/OFFSET(SSAutCLM!$A$2,MATCH(DJ$29,SSAutCLM!$A$2:$A$500)+$A41-1,1)-1)</f>
        <v>-1.8092980759481181E-2</v>
      </c>
      <c r="DK41" s="9">
        <f ca="1">IF(OR(DK14="",DK$28&lt;$A41),"",DK14/OFFSET(SSAutCLM!$A$2,MATCH(DK$29,SSAutCLM!$A$2:$A$500)+$A41-1,1)-1)</f>
        <v>-2.0188799943179347E-3</v>
      </c>
      <c r="DL41" s="9">
        <f ca="1">IF(OR(DL14="",DL$28&lt;$A41),"",DL14/OFFSET(SSAutCLM!$A$2,MATCH(DL$29,SSAutCLM!$A$2:$A$500)+$A41-1,1)-1)</f>
        <v>4.7607722226519211E-3</v>
      </c>
      <c r="DM41" s="9">
        <f ca="1">IF(OR(DM14="",DM$28&lt;$A41),"",DM14/OFFSET(SSAutCLM!$A$2,MATCH(DM$29,SSAutCLM!$A$2:$A$500)+$A41-1,1)-1)</f>
        <v>1.263608027487062E-2</v>
      </c>
      <c r="DN41" s="9">
        <f ca="1">IF(OR(DN14="",DN$28&lt;$A41),"",DN14/OFFSET(SSAutCLM!$A$2,MATCH(DN$29,SSAutCLM!$A$2:$A$500)+$A41-1,1)-1)</f>
        <v>-9.9249755312776911E-3</v>
      </c>
      <c r="DO41" s="9">
        <f ca="1">IF(OR(DO14="",DO$28&lt;$A41),"",DO14/OFFSET(SSAutCLM!$A$2,MATCH(DO$29,SSAutCLM!$A$2:$A$500)+$A41-1,1)-1)</f>
        <v>-5.9990869947719183E-3</v>
      </c>
      <c r="DP41" s="9">
        <f ca="1">IF(OR(DP14="",DP$28&lt;$A41),"",DP14/OFFSET(SSAutCLM!$A$2,MATCH(DP$29,SSAutCLM!$A$2:$A$500)+$A41-1,1)-1)</f>
        <v>4.4245413279691004E-3</v>
      </c>
      <c r="DQ41" s="9" t="str">
        <f ca="1">IF(OR(DQ14="",DQ$28&lt;$A41),"",DQ14/OFFSET(SSAutCLM!$A$2,MATCH(DQ$29,SSAutCLM!$A$2:$A$500)+$A41-1,1)-1)</f>
        <v/>
      </c>
      <c r="DR41" s="9" t="str">
        <f ca="1">IF(OR(DR14="",DR$28&lt;$A41),"",DR14/OFFSET(SSAutCLM!$A$2,MATCH(DR$29,SSAutCLM!$A$2:$A$500)+$A41-1,1)-1)</f>
        <v/>
      </c>
      <c r="DS41" s="9" t="str">
        <f ca="1">IF(OR(DS14="",DS$28&lt;$A41),"",DS14/OFFSET(SSAutCLM!$A$2,MATCH(DS$29,SSAutCLM!$A$2:$A$500)+$A41-1,1)-1)</f>
        <v/>
      </c>
      <c r="DT41" s="9" t="str">
        <f ca="1">IF(OR(DT14="",DT$28&lt;$A41),"",DT14/OFFSET(SSAutCLM!$A$2,MATCH(DT$29,SSAutCLM!$A$2:$A$500)+$A41-1,1)-1)</f>
        <v/>
      </c>
      <c r="DU41" s="9" t="str">
        <f ca="1">IF(OR(DU14="",DU$28&lt;$A41),"",DU14/OFFSET(SSAutCLM!$A$2,MATCH(DU$29,SSAutCLM!$A$2:$A$500)+$A41-1,1)-1)</f>
        <v/>
      </c>
      <c r="DV41" s="9" t="str">
        <f ca="1">IF(OR(DV14="",DV$28&lt;$A41),"",DV14/OFFSET(SSAutCLM!$A$2,MATCH(DV$29,SSAutCLM!$A$2:$A$500)+$A41-1,1)-1)</f>
        <v/>
      </c>
      <c r="DW41" s="9" t="str">
        <f ca="1">IF(OR(DW14="",DW$28&lt;$A41),"",DW14/OFFSET(SSAutCLM!$A$2,MATCH(DW$29,SSAutCLM!$A$2:$A$500)+$A41-1,1)-1)</f>
        <v/>
      </c>
      <c r="DX41" s="9" t="str">
        <f ca="1">IF(OR(DX14="",DX$28&lt;$A41),"",DX14/OFFSET(SSAutCLM!$A$2,MATCH(DX$29,SSAutCLM!$A$2:$A$500)+$A41-1,1)-1)</f>
        <v/>
      </c>
      <c r="DY41" s="9" t="str">
        <f ca="1">IF(OR(DY14="",DY$28&lt;$A41),"",DY14/OFFSET(SSAutCLM!$A$2,MATCH(DY$29,SSAutCLM!$A$2:$A$500)+$A41-1,1)-1)</f>
        <v/>
      </c>
      <c r="DZ41" s="9" t="str">
        <f ca="1">IF(OR(DZ14="",DZ$28&lt;$A41),"",DZ14/OFFSET(SSAutCLM!$A$2,MATCH(DZ$29,SSAutCLM!$A$2:$A$500)+$A41-1,1)-1)</f>
        <v/>
      </c>
      <c r="EA41" s="9" t="str">
        <f ca="1">IF(OR(EA14="",EA$28&lt;$A41),"",EA14/OFFSET(SSAutCLM!$A$2,MATCH(EA$29,SSAutCLM!$A$2:$A$500)+$A41-1,1)-1)</f>
        <v/>
      </c>
      <c r="EB41" s="9" t="str">
        <f ca="1">IF(OR(EB14="",EB$28&lt;$A41),"",EB14/OFFSET(SSAutCLM!$A$2,MATCH(EB$29,SSAutCLM!$A$2:$A$500)+$A41-1,1)-1)</f>
        <v/>
      </c>
      <c r="EC41" s="9" t="str">
        <f ca="1">IF(OR(EC14="",EC$28&lt;$A41),"",EC14/OFFSET(SSAutCLM!$A$2,MATCH(EC$29,SSAutCLM!$A$2:$A$500)+$A41-1,1)-1)</f>
        <v/>
      </c>
      <c r="ED41" s="9" t="str">
        <f ca="1">IF(OR(ED14="",ED$28&lt;$A41),"",ED14/OFFSET(SSAutCLM!$A$2,MATCH(ED$29,SSAutCLM!$A$2:$A$500)+$A41-1,1)-1)</f>
        <v/>
      </c>
      <c r="EE41" s="9" t="str">
        <f ca="1">IF(OR(EE14="",EE$28&lt;$A41),"",EE14/OFFSET(SSAutCLM!$A$2,MATCH(EE$29,SSAutCLM!$A$2:$A$500)+$A41-1,1)-1)</f>
        <v/>
      </c>
      <c r="EF41" s="9" t="str">
        <f ca="1">IF(OR(EF14="",EF$28&lt;$A41),"",EF14/OFFSET(SSAutCLM!$A$2,MATCH(EF$29,SSAutCLM!$A$2:$A$500)+$A41-1,1)-1)</f>
        <v/>
      </c>
      <c r="EG41" s="9">
        <f ca="1">IF(OR(EG14="",EG$28&lt;$A41),"",EG14/OFFSET(SSAutCLM!$A$2,MATCH(EG$29,SSAutCLM!$A$2:$A$500)+$A41-1,1)-1)</f>
        <v>4.055556594584564E-3</v>
      </c>
      <c r="EH41" s="9">
        <f ca="1">IF(OR(EH14="",EH$28&lt;$A41),"",EH14/OFFSET(SSAutCLM!$A$2,MATCH(EH$29,SSAutCLM!$A$2:$A$500)+$A41-1,1)-1)</f>
        <v>1.2508704955096928E-2</v>
      </c>
      <c r="EI41" s="9">
        <f ca="1">IF(OR(EI14="",EI$28&lt;$A41),"",EI14/OFFSET(SSAutCLM!$A$2,MATCH(EI$29,SSAutCLM!$A$2:$A$500)+$A41-1,1)-1)</f>
        <v>1.7147679670573623E-2</v>
      </c>
      <c r="EJ41" s="9">
        <f ca="1">IF(OR(EJ14="",EJ$28&lt;$A41),"",EJ14/OFFSET(SSAutCLM!$A$2,MATCH(EJ$29,SSAutCLM!$A$2:$A$500)+$A41-1,1)-1)</f>
        <v>1.7321772578730243E-2</v>
      </c>
      <c r="EK41" s="9">
        <f ca="1">IF(OR(EK14="",EK$28&lt;$A41),"",EK14/OFFSET(SSAutCLM!$A$2,MATCH(EK$29,SSAutCLM!$A$2:$A$500)+$A41-1,1)-1)</f>
        <v>7.8183892507848185E-3</v>
      </c>
      <c r="EL41" s="9">
        <f ca="1">IF(OR(EL14="",EL$28&lt;$A41),"",EL14/OFFSET(SSAutCLM!$A$2,MATCH(EL$29,SSAutCLM!$A$2:$A$500)+$A41-1,1)-1)</f>
        <v>3.7273950017524538E-3</v>
      </c>
      <c r="EM41" s="9">
        <f ca="1">IF(OR(EM14="",EM$28&lt;$A41),"",EM14/OFFSET(SSAutCLM!$A$2,MATCH(EM$29,SSAutCLM!$A$2:$A$500)+$A41-1,1)-1)</f>
        <v>7.050448708876722E-3</v>
      </c>
      <c r="EN41" s="9">
        <f ca="1">IF(OR(EN14="",EN$28&lt;$A41),"",EN14/OFFSET(SSAutCLM!$A$2,MATCH(EN$29,SSAutCLM!$A$2:$A$500)+$A41-1,1)-1)</f>
        <v>4.6563378945223555E-3</v>
      </c>
      <c r="EO41" s="9">
        <f ca="1">IF(OR(EO14="",EO$28&lt;$A41),"",EO14/OFFSET(SSAutCLM!$A$2,MATCH(EO$29,SSAutCLM!$A$2:$A$500)+$A41-1,1)-1)</f>
        <v>5.4969463151965936E-3</v>
      </c>
      <c r="EP41" s="9">
        <f ca="1">IF(OR(EP14="",EP$28&lt;$A41),"",EP14/OFFSET(SSAutCLM!$A$2,MATCH(EP$29,SSAutCLM!$A$2:$A$500)+$A41-1,1)-1)</f>
        <v>-2.2108831949744001E-2</v>
      </c>
      <c r="EQ41" s="9">
        <f ca="1">IF(OR(EQ14="",EQ$28&lt;$A41),"",EQ14/OFFSET(SSAutCLM!$A$2,MATCH(EQ$29,SSAutCLM!$A$2:$A$500)+$A41-1,1)-1)</f>
        <v>2.3303804967218511E-3</v>
      </c>
      <c r="ER41" s="9">
        <f ca="1">IF(OR(ER14="",ER$28&lt;$A41),"",ER14/OFFSET(SSAutCLM!$A$2,MATCH(ER$29,SSAutCLM!$A$2:$A$500)+$A41-1,1)-1)</f>
        <v>1.7382230538434351E-2</v>
      </c>
      <c r="ES41" s="9">
        <f ca="1">IF(OR(ES14="",ES$28&lt;$A41),"",ES14/OFFSET(SSAutCLM!$A$2,MATCH(ES$29,SSAutCLM!$A$2:$A$500)+$A41-1,1)-1)</f>
        <v>8.9199845763219265E-3</v>
      </c>
      <c r="ET41" s="9">
        <f ca="1">IF(OR(ET14="",ET$28&lt;$A41),"",ET14/OFFSET(SSAutCLM!$A$2,MATCH(ET$29,SSAutCLM!$A$2:$A$500)+$A41-1,1)-1)</f>
        <v>6.9308446508185018E-3</v>
      </c>
      <c r="EU41" s="9">
        <f ca="1">IF(OR(EU14="",EU$28&lt;$A41),"",EU14/OFFSET(SSAutCLM!$A$2,MATCH(EU$29,SSAutCLM!$A$2:$A$500)+$A41-1,1)-1)</f>
        <v>4.3167178622458557E-3</v>
      </c>
      <c r="EV41" s="9">
        <f ca="1">IF(OR(EV14="",EV$28&lt;$A41),"",EV14/OFFSET(SSAutCLM!$A$2,MATCH(EV$29,SSAutCLM!$A$2:$A$500)+$A41-1,1)-1)</f>
        <v>-1.2996815496832959E-3</v>
      </c>
      <c r="EW41" s="9">
        <f ca="1">IF(OR(EW14="",EW$28&lt;$A41),"",EW14/OFFSET(SSAutCLM!$A$2,MATCH(EW$29,SSAutCLM!$A$2:$A$500)+$A41-1,1)-1)</f>
        <v>-1.451636880392404E-3</v>
      </c>
      <c r="EX41" s="9">
        <f ca="1">IF(OR(EX14="",EX$28&lt;$A41),"",EX14/OFFSET(SSAutCLM!$A$2,MATCH(EX$29,SSAutCLM!$A$2:$A$500)+$A41-1,1)-1)</f>
        <v>2.341708365248385E-3</v>
      </c>
      <c r="EY41" s="9">
        <f ca="1">IF(OR(EY14="",EY$28&lt;$A41),"",EY14/OFFSET(SSAutCLM!$A$2,MATCH(EY$29,SSAutCLM!$A$2:$A$500)+$A41-1,1)-1)</f>
        <v>-5.112233739540506E-3</v>
      </c>
      <c r="EZ41" s="9">
        <f ca="1">IF(OR(EZ14="",EZ$28&lt;$A41),"",EZ14/OFFSET(SSAutCLM!$A$2,MATCH(EZ$29,SSAutCLM!$A$2:$A$500)+$A41-1,1)-1)</f>
        <v>2.0611942980368614E-3</v>
      </c>
      <c r="FA41" s="9">
        <f ca="1">IF(OR(FA14="",FA$28&lt;$A41),"",FA14/OFFSET(SSAutCLM!$A$2,MATCH(FA$29,SSAutCLM!$A$2:$A$500)+$A41-1,1)-1)</f>
        <v>1.0490696648457476E-2</v>
      </c>
      <c r="FB41" s="9">
        <f ca="1">IF(OR(FB14="",FB$28&lt;$A41),"",FB14/OFFSET(SSAutCLM!$A$2,MATCH(FB$29,SSAutCLM!$A$2:$A$500)+$A41-1,1)-1)</f>
        <v>3.9483901626098383E-3</v>
      </c>
      <c r="FC41" s="9">
        <f ca="1">IF(OR(FC14="",FC$28&lt;$A41),"",FC14/OFFSET(SSAutCLM!$A$2,MATCH(FC$29,SSAutCLM!$A$2:$A$500)+$A41-1,1)-1)</f>
        <v>-4.9939711976980661E-3</v>
      </c>
      <c r="FD41" s="9">
        <f ca="1">IF(OR(FD14="",FD$28&lt;$A41),"",FD14/OFFSET(SSAutCLM!$A$2,MATCH(FD$29,SSAutCLM!$A$2:$A$500)+$A41-1,1)-1)</f>
        <v>1.2723082292982468E-3</v>
      </c>
      <c r="FE41" s="9">
        <f ca="1">IF(OR(FE14="",FE$28&lt;$A41),"",FE14/OFFSET(SSAutCLM!$A$2,MATCH(FE$29,SSAutCLM!$A$2:$A$500)+$A41-1,1)-1)</f>
        <v>-5.7446627036972231E-4</v>
      </c>
      <c r="FF41" s="9">
        <f ca="1">IF(OR(FF14="",FF$28&lt;$A41),"",FF14/OFFSET(SSAutCLM!$A$2,MATCH(FF$29,SSAutCLM!$A$2:$A$500)+$A41-1,1)-1)</f>
        <v>-8.8679131431523839E-4</v>
      </c>
      <c r="FG41" s="9">
        <f ca="1">IF(OR(FG14="",FG$28&lt;$A41),"",FG14/OFFSET(SSAutCLM!$A$2,MATCH(FG$29,SSAutCLM!$A$2:$A$500)+$A41-1,1)-1)</f>
        <v>4.5729957653206643E-3</v>
      </c>
      <c r="FH41" s="9">
        <f ca="1">IF(OR(FH14="",FH$28&lt;$A41),"",FH14/OFFSET(SSAutCLM!$A$2,MATCH(FH$29,SSAutCLM!$A$2:$A$500)+$A41-1,1)-1)</f>
        <v>-1.0324430968315923E-3</v>
      </c>
      <c r="FI41" s="9">
        <f ca="1">IF(OR(FI14="",FI$28&lt;$A41),"",FI14/OFFSET(SSAutCLM!$A$2,MATCH(FI$29,SSAutCLM!$A$2:$A$500)+$A41-1,1)-1)</f>
        <v>-1.757312526453858E-2</v>
      </c>
      <c r="FJ41" s="9">
        <f ca="1">IF(OR(FJ14="",FJ$28&lt;$A41),"",FJ14/OFFSET(SSAutCLM!$A$2,MATCH(FJ$29,SSAutCLM!$A$2:$A$500)+$A41-1,1)-1)</f>
        <v>-2.1123414756410441E-2</v>
      </c>
      <c r="FK41" s="9">
        <f ca="1">IF(OR(FK14="",FK$28&lt;$A41),"",FK14/OFFSET(SSAutCLM!$A$2,MATCH(FK$29,SSAutCLM!$A$2:$A$500)+$A41-1,1)-1)</f>
        <v>-7.3533620328994909E-3</v>
      </c>
      <c r="FL41" s="9">
        <f ca="1">IF(OR(FL14="",FL$28&lt;$A41),"",FL14/OFFSET(SSAutCLM!$A$2,MATCH(FL$29,SSAutCLM!$A$2:$A$500)+$A41-1,1)-1)</f>
        <v>-7.6488608612539366E-3</v>
      </c>
      <c r="FM41" s="9">
        <f ca="1">IF(OR(FM14="",FM$28&lt;$A41),"",FM14/OFFSET(SSAutCLM!$A$2,MATCH(FM$29,SSAutCLM!$A$2:$A$500)+$A41-1,1)-1)</f>
        <v>-9.3240686176234711E-3</v>
      </c>
      <c r="FN41" s="9">
        <f ca="1">IF(OR(FN14="",FN$28&lt;$A41),"",FN14/OFFSET(SSAutCLM!$A$2,MATCH(FN$29,SSAutCLM!$A$2:$A$500)+$A41-1,1)-1)</f>
        <v>-1.2807762046268212E-2</v>
      </c>
      <c r="FO41" s="9">
        <f ca="1">IF(OR(FO14="",FO$28&lt;$A41),"",FO14/OFFSET(SSAutCLM!$A$2,MATCH(FO$29,SSAutCLM!$A$2:$A$500)+$A41-1,1)-1)</f>
        <v>4.1747469344570742E-3</v>
      </c>
      <c r="FP41" s="9">
        <f ca="1">IF(OR(FP14="",FP$28&lt;$A41),"",FP14/OFFSET(SSAutCLM!$A$2,MATCH(FP$29,SSAutCLM!$A$2:$A$500)+$A41-1,1)-1)</f>
        <v>3.0688389340609579E-2</v>
      </c>
      <c r="FQ41" s="9">
        <f ca="1">IF(OR(FQ14="",FQ$28&lt;$A41),"",FQ14/OFFSET(SSAutCLM!$A$2,MATCH(FQ$29,SSAutCLM!$A$2:$A$500)+$A41-1,1)-1)</f>
        <v>1.9115645960543715E-2</v>
      </c>
      <c r="FR41" s="9">
        <f ca="1">IF(OR(FR14="",FR$28&lt;$A41),"",FR14/OFFSET(SSAutCLM!$A$2,MATCH(FR$29,SSAutCLM!$A$2:$A$500)+$A41-1,1)-1)</f>
        <v>1.1550428560278991E-2</v>
      </c>
      <c r="FS41" s="9">
        <f ca="1">IF(OR(FS14="",FS$28&lt;$A41),"",FS14/OFFSET(SSAutCLM!$A$2,MATCH(FS$29,SSAutCLM!$A$2:$A$500)+$A41-1,1)-1)</f>
        <v>1.0725631982797523E-2</v>
      </c>
      <c r="FT41" s="9">
        <f ca="1">IF(OR(FT14="",FT$28&lt;$A41),"",FT14/OFFSET(SSAutCLM!$A$2,MATCH(FT$29,SSAutCLM!$A$2:$A$500)+$A41-1,1)-1)</f>
        <v>3.5966776918863186E-3</v>
      </c>
      <c r="FU41" s="9">
        <f ca="1">IF(OR(FU14="",FU$28&lt;$A41),"",FU14/OFFSET(SSAutCLM!$A$2,MATCH(FU$29,SSAutCLM!$A$2:$A$500)+$A41-1,1)-1)</f>
        <v>-2.184888700715315E-3</v>
      </c>
      <c r="FV41" s="9">
        <f ca="1">IF(OR(FV14="",FV$28&lt;$A41),"",FV14/OFFSET(SSAutCLM!$A$2,MATCH(FV$29,SSAutCLM!$A$2:$A$500)+$A41-1,1)-1)</f>
        <v>-2.7085263155126604E-3</v>
      </c>
      <c r="FW41" s="9">
        <f ca="1">IF(OR(FW14="",FW$28&lt;$A41),"",FW14/OFFSET(SSAutCLM!$A$2,MATCH(FW$29,SSAutCLM!$A$2:$A$500)+$A41-1,1)-1)</f>
        <v>3.3134863671511194E-3</v>
      </c>
      <c r="FX41" s="9">
        <f ca="1">IF(OR(FX14="",FX$28&lt;$A41),"",FX14/OFFSET(SSAutCLM!$A$2,MATCH(FX$29,SSAutCLM!$A$2:$A$500)+$A41-1,1)-1)</f>
        <v>7.6815428163823363E-3</v>
      </c>
      <c r="FY41" s="9">
        <f ca="1">IF(OR(FY14="",FY$28&lt;$A41),"",FY14/OFFSET(SSAutCLM!$A$2,MATCH(FY$29,SSAutCLM!$A$2:$A$500)+$A41-1,1)-1)</f>
        <v>5.1944711194231719E-3</v>
      </c>
      <c r="FZ41" s="9">
        <f ca="1">IF(OR(FZ14="",FZ$28&lt;$A41),"",FZ14/OFFSET(SSAutCLM!$A$2,MATCH(FZ$29,SSAutCLM!$A$2:$A$500)+$A41-1,1)-1)</f>
        <v>1.0343540419792907E-2</v>
      </c>
      <c r="GA41" s="9">
        <f ca="1">IF(OR(GA14="",GA$28&lt;$A41),"",GA14/OFFSET(SSAutCLM!$A$2,MATCH(GA$29,SSAutCLM!$A$2:$A$500)+$A41-1,1)-1)</f>
        <v>-1.0472864624960443E-2</v>
      </c>
      <c r="GB41" s="9">
        <f ca="1">IF(OR(GB14="",GB$28&lt;$A41),"",GB14/OFFSET(SSAutCLM!$A$2,MATCH(GB$29,SSAutCLM!$A$2:$A$500)+$A41-1,1)-1)</f>
        <v>-7.0346557663656384E-3</v>
      </c>
      <c r="GC41" s="9">
        <f ca="1">IF(OR(GC14="",GC$28&lt;$A41),"",GC14/OFFSET(SSAutCLM!$A$2,MATCH(GC$29,SSAutCLM!$A$2:$A$500)+$A41-1,1)-1)</f>
        <v>-8.4095659183267557E-3</v>
      </c>
      <c r="GD41" s="9">
        <f ca="1">IF(OR(GD14="",GD$28&lt;$A41),"",GD14/OFFSET(SSAutCLM!$A$2,MATCH(GD$29,SSAutCLM!$A$2:$A$500)+$A41-1,1)-1)</f>
        <v>7.9826481930027615E-3</v>
      </c>
      <c r="GE41" s="9">
        <f ca="1">IF(OR(GE14="",GE$28&lt;$A41),"",GE14/OFFSET(SSAutCLM!$A$2,MATCH(GE$29,SSAutCLM!$A$2:$A$500)+$A41-1,1)-1)</f>
        <v>9.2028147141638428E-3</v>
      </c>
      <c r="GF41" s="9">
        <f ca="1">IF(OR(GF14="",GF$28&lt;$A41),"",GF14/OFFSET(SSAutCLM!$A$2,MATCH(GF$29,SSAutCLM!$A$2:$A$500)+$A41-1,1)-1)</f>
        <v>1.3571479855154278E-2</v>
      </c>
      <c r="GG41" s="9">
        <f ca="1">IF(OR(GG14="",GG$28&lt;$A41),"",GG14/OFFSET(SSAutCLM!$A$2,MATCH(GG$29,SSAutCLM!$A$2:$A$500)+$A41-1,1)-1)</f>
        <v>7.4842032699493632E-3</v>
      </c>
      <c r="GH41" s="9">
        <f ca="1">IF(OR(GH14="",GH$28&lt;$A41),"",GH14/OFFSET(SSAutCLM!$A$2,MATCH(GH$29,SSAutCLM!$A$2:$A$500)+$A41-1,1)-1)</f>
        <v>4.6235328033448209E-3</v>
      </c>
      <c r="GI41" s="9">
        <f ca="1">IF(OR(GI14="",GI$28&lt;$A41),"",GI14/OFFSET(SSAutCLM!$A$2,MATCH(GI$29,SSAutCLM!$A$2:$A$500)+$A41-1,1)-1)</f>
        <v>3.6181571293181225E-3</v>
      </c>
      <c r="GJ41" s="9">
        <f ca="1">IF(OR(GJ14="",GJ$28&lt;$A41),"",GJ14/OFFSET(SSAutCLM!$A$2,MATCH(GJ$29,SSAutCLM!$A$2:$A$500)+$A41-1,1)-1)</f>
        <v>5.0792996514357203E-3</v>
      </c>
      <c r="GK41" s="9">
        <f ca="1">IF(OR(GK14="",GK$28&lt;$A41),"",GK14/OFFSET(SSAutCLM!$A$2,MATCH(GK$29,SSAutCLM!$A$2:$A$500)+$A41-1,1)-1)</f>
        <v>6.709978637890357E-3</v>
      </c>
      <c r="GL41" s="9">
        <f ca="1">IF(OR(GL14="",GL$28&lt;$A41),"",GL14/OFFSET(SSAutCLM!$A$2,MATCH(GL$29,SSAutCLM!$A$2:$A$500)+$A41-1,1)-1)</f>
        <v>1.6322342466794204E-2</v>
      </c>
      <c r="GM41" s="9">
        <f ca="1">IF(OR(GM14="",GM$28&lt;$A41),"",GM14/OFFSET(SSAutCLM!$A$2,MATCH(GM$29,SSAutCLM!$A$2:$A$500)+$A41-1,1)-1)</f>
        <v>6.2154170798820463E-3</v>
      </c>
      <c r="GN41" s="9" t="str">
        <f ca="1">IF(OR(GN14="",GN$28&lt;$A41),"",GN14/OFFSET(SSAutCLM!$A$2,MATCH(GN$29,SSAutCLM!$A$2:$A$500)+$A41-1,1)-1)</f>
        <v/>
      </c>
      <c r="GO41" s="9" t="str">
        <f ca="1">IF(OR(GO14="",GO$28&lt;$A41),"",GO14/OFFSET(SSAutCLM!$A$2,MATCH(GO$29,SSAutCLM!$A$2:$A$500)+$A41-1,1)-1)</f>
        <v/>
      </c>
      <c r="GP41" s="9" t="str">
        <f ca="1">IF(OR(GP14="",GP$28&lt;$A41),"",GP14/OFFSET(SSAutCLM!$A$2,MATCH(GP$29,SSAutCLM!$A$2:$A$500)+$A41-1,1)-1)</f>
        <v/>
      </c>
      <c r="GQ41" s="9" t="str">
        <f ca="1">IF(OR(GQ14="",GQ$28&lt;$A41),"",GQ14/OFFSET(SSAutCLM!$A$2,MATCH(GQ$29,SSAutCLM!$A$2:$A$500)+$A41-1,1)-1)</f>
        <v/>
      </c>
      <c r="GR41" s="9" t="str">
        <f ca="1">IF(OR(GR14="",GR$28&lt;$A41),"",GR14/OFFSET(SSAutCLM!$A$2,MATCH(GR$29,SSAutCLM!$A$2:$A$500)+$A41-1,1)-1)</f>
        <v/>
      </c>
      <c r="GS41" s="9" t="str">
        <f ca="1">IF(OR(GS14="",GS$28&lt;$A41),"",GS14/OFFSET(SSAutCLM!$A$2,MATCH(GS$29,SSAutCLM!$A$2:$A$500)+$A41-1,1)-1)</f>
        <v/>
      </c>
      <c r="GT41" s="9" t="str">
        <f ca="1">IF(OR(GT14="",GT$28&lt;$A41),"",GT14/OFFSET(SSAutCLM!$A$2,MATCH(GT$29,SSAutCLM!$A$2:$A$500)+$A41-1,1)-1)</f>
        <v/>
      </c>
      <c r="GU41" s="9" t="str">
        <f ca="1">IF(OR(GU14="",GU$28&lt;$A41),"",GU14/OFFSET(SSAutCLM!$A$2,MATCH(GU$29,SSAutCLM!$A$2:$A$500)+$A41-1,1)-1)</f>
        <v/>
      </c>
      <c r="GV41" s="9" t="str">
        <f ca="1">IF(OR(GV14="",GV$28&lt;$A41),"",GV14/OFFSET(SSAutCLM!$A$2,MATCH(GV$29,SSAutCLM!$A$2:$A$500)+$A41-1,1)-1)</f>
        <v/>
      </c>
      <c r="GW41" s="9" t="str">
        <f ca="1">IF(OR(GW14="",GW$28&lt;$A41),"",GW14/OFFSET(SSAutCLM!$A$2,MATCH(GW$29,SSAutCLM!$A$2:$A$500)+$A41-1,1)-1)</f>
        <v/>
      </c>
      <c r="GX41" s="9" t="str">
        <f ca="1">IF(OR(GX14="",GX$28&lt;$A41),"",GX14/OFFSET(SSAutCLM!$A$2,MATCH(GX$29,SSAutCLM!$A$2:$A$500)+$A41-1,1)-1)</f>
        <v/>
      </c>
      <c r="GY41" s="9" t="str">
        <f ca="1">IF(OR(GY14="",GY$28&lt;$A41),"",GY14/OFFSET(SSAutCLM!$A$2,MATCH(GY$29,SSAutCLM!$A$2:$A$500)+$A41-1,1)-1)</f>
        <v/>
      </c>
      <c r="GZ41" s="9" t="str">
        <f ca="1">IF(OR(GZ14="",GZ$28&lt;$A41),"",GZ14/OFFSET(SSAutCLM!$A$2,MATCH(GZ$29,SSAutCLM!$A$2:$A$500)+$A41-1,1)-1)</f>
        <v/>
      </c>
      <c r="HA41" s="9" t="str">
        <f ca="1">IF(OR(HA14="",HA$28&lt;$A41),"",HA14/OFFSET(SSAutCLM!$A$2,MATCH(HA$29,SSAutCLM!$A$2:$A$500)+$A41-1,1)-1)</f>
        <v/>
      </c>
      <c r="HB41" s="9" t="str">
        <f ca="1">IF(OR(HB14="",HB$28&lt;$A41),"",HB14/OFFSET(SSAutCLM!$A$2,MATCH(HB$29,SSAutCLM!$A$2:$A$500)+$A41-1,1)-1)</f>
        <v/>
      </c>
      <c r="HC41" s="9" t="str">
        <f ca="1">IF(OR(HC14="",HC$28&lt;$A41),"",HC14/OFFSET(SSAutCLM!$A$2,MATCH(HC$29,SSAutCLM!$A$2:$A$500)+$A41-1,1)-1)</f>
        <v/>
      </c>
      <c r="HD41" s="9" t="str">
        <f ca="1">IF(OR(HD14="",HD$28&lt;$A41),"",HD14/OFFSET(SSAutCLM!$A$2,MATCH(HD$29,SSAutCLM!$A$2:$A$500)+$A41-1,1)-1)</f>
        <v/>
      </c>
      <c r="HE41" s="9" t="str">
        <f ca="1">IF(OR(HE14="",HE$28&lt;$A41),"",HE14/OFFSET(SSAutCLM!$A$2,MATCH(HE$29,SSAutCLM!$A$2:$A$500)+$A41-1,1)-1)</f>
        <v/>
      </c>
      <c r="HF41" s="9" t="str">
        <f ca="1">IF(OR(HF14="",HF$28&lt;$A41),"",HF14/OFFSET(SSAutCLM!$A$2,MATCH(HF$29,SSAutCLM!$A$2:$A$500)+$A41-1,1)-1)</f>
        <v/>
      </c>
      <c r="HG41" s="9" t="str">
        <f ca="1">IF(OR(HG14="",HG$28&lt;$A41),"",HG14/OFFSET(SSAutCLM!$A$2,MATCH(HG$29,SSAutCLM!$A$2:$A$500)+$A41-1,1)-1)</f>
        <v/>
      </c>
      <c r="HH41" s="9" t="str">
        <f ca="1">IF(OR(HH14="",HH$28&lt;$A41),"",HH14/OFFSET(SSAutCLM!$A$2,MATCH(HH$29,SSAutCLM!$A$2:$A$500)+$A41-1,1)-1)</f>
        <v/>
      </c>
      <c r="HI41" s="9" t="str">
        <f ca="1">IF(OR(HI14="",HI$28&lt;$A41),"",HI14/OFFSET(SSAutCLM!$A$2,MATCH(HI$29,SSAutCLM!$A$2:$A$500)+$A41-1,1)-1)</f>
        <v/>
      </c>
      <c r="HJ41" s="9" t="str">
        <f ca="1">IF(OR(HJ14="",HJ$28&lt;$A41),"",HJ14/OFFSET(SSAutCLM!$A$2,MATCH(HJ$29,SSAutCLM!$A$2:$A$500)+$A41-1,1)-1)</f>
        <v/>
      </c>
      <c r="HK41" s="9" t="str">
        <f ca="1">IF(OR(HK14="",HK$28&lt;$A41),"",HK14/OFFSET(SSAutCLM!$A$2,MATCH(HK$29,SSAutCLM!$A$2:$A$500)+$A41-1,1)-1)</f>
        <v/>
      </c>
      <c r="HL41" s="9" t="str">
        <f ca="1">IF(OR(HL14="",HL$28&lt;$A41),"",HL14/OFFSET(SSAutCLM!$A$2,MATCH(HL$29,SSAutCLM!$A$2:$A$500)+$A41-1,1)-1)</f>
        <v/>
      </c>
      <c r="HM41" s="9" t="str">
        <f ca="1">IF(OR(HM14="",HM$28&lt;$A41),"",HM14/OFFSET(SSAutCLM!$A$2,MATCH(HM$29,SSAutCLM!$A$2:$A$500)+$A41-1,1)-1)</f>
        <v/>
      </c>
      <c r="HN41" s="9" t="str">
        <f ca="1">IF(OR(HN14="",HN$28&lt;$A41),"",HN14/OFFSET(SSAutCLM!$A$2,MATCH(HN$29,SSAutCLM!$A$2:$A$500)+$A41-1,1)-1)</f>
        <v/>
      </c>
      <c r="HO41" s="9" t="str">
        <f ca="1">IF(OR(HO14="",HO$28&lt;$A41),"",HO14/OFFSET(SSAutCLM!$A$2,MATCH(HO$29,SSAutCLM!$A$2:$A$500)+$A41-1,1)-1)</f>
        <v/>
      </c>
      <c r="HP41" s="9" t="str">
        <f ca="1">IF(OR(HP14="",HP$28&lt;$A41),"",HP14/OFFSET(SSAutCLM!$A$2,MATCH(HP$29,SSAutCLM!$A$2:$A$500)+$A41-1,1)-1)</f>
        <v/>
      </c>
      <c r="HQ41" s="9" t="str">
        <f ca="1">IF(OR(HQ14="",HQ$28&lt;$A41),"",HQ14/OFFSET(SSAutCLM!$A$2,MATCH(HQ$29,SSAutCLM!$A$2:$A$500)+$A41-1,1)-1)</f>
        <v/>
      </c>
      <c r="HR41" s="9" t="str">
        <f ca="1">IF(OR(HR14="",HR$28&lt;$A41),"",HR14/OFFSET(SSAutCLM!$A$2,MATCH(HR$29,SSAutCLM!$A$2:$A$500)+$A41-1,1)-1)</f>
        <v/>
      </c>
      <c r="HS41" s="9" t="str">
        <f ca="1">IF(OR(HS14="",HS$28&lt;$A41),"",HS14/OFFSET(SSAutCLM!$A$2,MATCH(HS$29,SSAutCLM!$A$2:$A$500)+$A41-1,1)-1)</f>
        <v/>
      </c>
      <c r="HT41" s="9" t="str">
        <f ca="1">IF(OR(HT14="",HT$28&lt;$A41),"",HT14/OFFSET(SSAutCLM!$A$2,MATCH(HT$29,SSAutCLM!$A$2:$A$500)+$A41-1,1)-1)</f>
        <v/>
      </c>
      <c r="HU41" s="9" t="str">
        <f ca="1">IF(OR(HU14="",HU$28&lt;$A41),"",HU14/OFFSET(SSAutCLM!$A$2,MATCH(HU$29,SSAutCLM!$A$2:$A$500)+$A41-1,1)-1)</f>
        <v/>
      </c>
      <c r="HV41" s="9" t="str">
        <f ca="1">IF(OR(HV14="",HV$28&lt;$A41),"",HV14/OFFSET(SSAutCLM!$A$2,MATCH(HV$29,SSAutCLM!$A$2:$A$500)+$A41-1,1)-1)</f>
        <v/>
      </c>
      <c r="HW41" s="9" t="str">
        <f ca="1">IF(OR(HW14="",HW$28&lt;$A41),"",HW14/OFFSET(SSAutCLM!$A$2,MATCH(HW$29,SSAutCLM!$A$2:$A$500)+$A41-1,1)-1)</f>
        <v/>
      </c>
      <c r="HX41" s="9" t="str">
        <f ca="1">IF(OR(HX14="",HX$28&lt;$A41),"",HX14/OFFSET(SSAutCLM!$A$2,MATCH(HX$29,SSAutCLM!$A$2:$A$500)+$A41-1,1)-1)</f>
        <v/>
      </c>
      <c r="HY41" s="9" t="str">
        <f ca="1">IF(OR(HY14="",HY$28&lt;$A41),"",HY14/OFFSET(SSAutCLM!$A$2,MATCH(HY$29,SSAutCLM!$A$2:$A$500)+$A41-1,1)-1)</f>
        <v/>
      </c>
      <c r="HZ41" s="9" t="str">
        <f ca="1">IF(OR(HZ14="",HZ$28&lt;$A41),"",HZ14/OFFSET(SSAutCLM!$A$2,MATCH(HZ$29,SSAutCLM!$A$2:$A$500)+$A41-1,1)-1)</f>
        <v/>
      </c>
      <c r="IA41" s="9" t="str">
        <f ca="1">IF(OR(IA14="",IA$28&lt;$A41),"",IA14/OFFSET(SSAutCLM!$A$2,MATCH(IA$29,SSAutCLM!$A$2:$A$500)+$A41-1,1)-1)</f>
        <v/>
      </c>
      <c r="IB41" s="9" t="str">
        <f ca="1">IF(OR(IB14="",IB$28&lt;$A41),"",IB14/OFFSET(SSAutCLM!$A$2,MATCH(IB$29,SSAutCLM!$A$2:$A$500)+$A41-1,1)-1)</f>
        <v/>
      </c>
      <c r="IC41" s="9" t="str">
        <f ca="1">IF(OR(IC14="",IC$28&lt;$A41),"",IC14/OFFSET(SSAutCLM!$A$2,MATCH(IC$29,SSAutCLM!$A$2:$A$500)+$A41-1,1)-1)</f>
        <v/>
      </c>
      <c r="ID41" s="9" t="str">
        <f ca="1">IF(OR(ID14="",ID$28&lt;$A41),"",ID14/OFFSET(SSAutCLM!$A$2,MATCH(ID$29,SSAutCLM!$A$2:$A$500)+$A41-1,1)-1)</f>
        <v/>
      </c>
      <c r="IE41" s="9" t="str">
        <f ca="1">IF(OR(IE14="",IE$28&lt;$A41),"",IE14/OFFSET(SSAutCLM!$A$2,MATCH(IE$29,SSAutCLM!$A$2:$A$500)+$A41-1,1)-1)</f>
        <v/>
      </c>
      <c r="IF41" s="9" t="str">
        <f ca="1">IF(OR(IF14="",IF$28&lt;$A41),"",IF14/OFFSET(SSAutCLM!$A$2,MATCH(IF$29,SSAutCLM!$A$2:$A$500)+$A41-1,1)-1)</f>
        <v/>
      </c>
      <c r="IG41" s="9" t="str">
        <f ca="1">IF(OR(IG14="",IG$28&lt;$A41),"",IG14/OFFSET(SSAutCLM!$A$2,MATCH(IG$29,SSAutCLM!$A$2:$A$500)+$A41-1,1)-1)</f>
        <v/>
      </c>
      <c r="IH41" s="9" t="str">
        <f ca="1">IF(OR(IH14="",IH$28&lt;$A41),"",IH14/OFFSET(SSAutCLM!$A$2,MATCH(IH$29,SSAutCLM!$A$2:$A$500)+$A41-1,1)-1)</f>
        <v/>
      </c>
      <c r="II41" s="9" t="str">
        <f ca="1">IF(OR(II14="",II$28&lt;$A41),"",II14/OFFSET(SSAutCLM!$A$2,MATCH(II$29,SSAutCLM!$A$2:$A$500)+$A41-1,1)-1)</f>
        <v/>
      </c>
      <c r="IJ41" s="9" t="str">
        <f ca="1">IF(OR(IJ14="",IJ$28&lt;$A41),"",IJ14/OFFSET(SSAutCLM!$A$2,MATCH(IJ$29,SSAutCLM!$A$2:$A$500)+$A41-1,1)-1)</f>
        <v/>
      </c>
      <c r="IK41" s="9" t="str">
        <f ca="1">IF(OR(IK14="",IK$28&lt;$A41),"",IK14/OFFSET(SSAutCLM!$A$2,MATCH(IK$29,SSAutCLM!$A$2:$A$500)+$A41-1,1)-1)</f>
        <v/>
      </c>
      <c r="IL41" s="9" t="str">
        <f ca="1">IF(OR(IL14="",IL$28&lt;$A41),"",IL14/OFFSET(SSAutCLM!$A$2,MATCH(IL$29,SSAutCLM!$A$2:$A$500)+$A41-1,1)-1)</f>
        <v/>
      </c>
      <c r="IM41" s="9" t="str">
        <f ca="1">IF(OR(IM14="",IM$28&lt;$A41),"",IM14/OFFSET(SSAutCLM!$A$2,MATCH(IM$29,SSAutCLM!$A$2:$A$500)+$A41-1,1)-1)</f>
        <v/>
      </c>
      <c r="IN41" s="9" t="str">
        <f ca="1">IF(OR(IN14="",IN$28&lt;$A41),"",IN14/OFFSET(SSAutCLM!$A$2,MATCH(IN$29,SSAutCLM!$A$2:$A$500)+$A41-1,1)-1)</f>
        <v/>
      </c>
      <c r="IO41" s="9" t="str">
        <f ca="1">IF(OR(IO14="",IO$28&lt;$A41),"",IO14/OFFSET(SSAutCLM!$A$2,MATCH(IO$29,SSAutCLM!$A$2:$A$500)+$A41-1,1)-1)</f>
        <v/>
      </c>
      <c r="IP41" s="9" t="str">
        <f ca="1">IF(OR(IP14="",IP$28&lt;$A41),"",IP14/OFFSET(SSAutCLM!$A$2,MATCH(IP$29,SSAutCLM!$A$2:$A$500)+$A41-1,1)-1)</f>
        <v/>
      </c>
      <c r="IQ41" s="9" t="str">
        <f ca="1">IF(OR(IQ14="",IQ$28&lt;$A41),"",IQ14/OFFSET(SSAutCLM!$A$2,MATCH(IQ$29,SSAutCLM!$A$2:$A$500)+$A41-1,1)-1)</f>
        <v/>
      </c>
      <c r="IR41" s="9" t="str">
        <f ca="1">IF(OR(IR14="",IR$28&lt;$A41),"",IR14/OFFSET(SSAutCLM!$A$2,MATCH(IR$29,SSAutCLM!$A$2:$A$500)+$A41-1,1)-1)</f>
        <v/>
      </c>
      <c r="IS41" s="9" t="str">
        <f ca="1">IF(OR(IS14="",IS$28&lt;$A41),"",IS14/OFFSET(SSAutCLM!$A$2,MATCH(IS$29,SSAutCLM!$A$2:$A$500)+$A41-1,1)-1)</f>
        <v/>
      </c>
      <c r="IT41" s="9" t="str">
        <f ca="1">IF(OR(IT14="",IT$28&lt;$A41),"",IT14/OFFSET(SSAutCLM!$A$2,MATCH(IT$29,SSAutCLM!$A$2:$A$500)+$A41-1,1)-1)</f>
        <v/>
      </c>
      <c r="IU41" s="9" t="str">
        <f ca="1">IF(OR(IU14="",IU$28&lt;$A41),"",IU14/OFFSET(SSAutCLM!$A$2,MATCH(IU$29,SSAutCLM!$A$2:$A$500)+$A41-1,1)-1)</f>
        <v/>
      </c>
      <c r="IV41" s="9" t="str">
        <f ca="1">IF(OR(IV14="",IV$28&lt;$A41),"",IV14/OFFSET(SSAutCLM!$A$2,MATCH(IV$29,SSAutCLM!$A$2:$A$500)+$A41-1,1)-1)</f>
        <v/>
      </c>
      <c r="IW41" s="9" t="str">
        <f ca="1">IF(OR(IW14="",IW$28&lt;$A41),"",IW14/OFFSET(SSAutCLM!$A$2,MATCH(IW$29,SSAutCLM!$A$2:$A$500)+$A41-1,1)-1)</f>
        <v/>
      </c>
      <c r="IX41" s="9" t="str">
        <f ca="1">IF(OR(IX14="",IX$28&lt;$A41),"",IX14/OFFSET(SSAutCLM!$A$2,MATCH(IX$29,SSAutCLM!$A$2:$A$500)+$A41-1,1)-1)</f>
        <v/>
      </c>
      <c r="IY41" s="9" t="str">
        <f ca="1">IF(OR(IY14="",IY$28&lt;$A41),"",IY14/OFFSET(SSAutCLM!$A$2,MATCH(IY$29,SSAutCLM!$A$2:$A$500)+$A41-1,1)-1)</f>
        <v/>
      </c>
      <c r="IZ41" s="9" t="str">
        <f ca="1">IF(OR(IZ14="",IZ$28&lt;$A41),"",IZ14/OFFSET(SSAutCLM!$A$2,MATCH(IZ$29,SSAutCLM!$A$2:$A$500)+$A41-1,1)-1)</f>
        <v/>
      </c>
      <c r="JA41" s="9" t="str">
        <f ca="1">IF(OR(JA14="",JA$28&lt;$A41),"",JA14/OFFSET(SSAutCLM!$A$2,MATCH(JA$29,SSAutCLM!$A$2:$A$500)+$A41-1,1)-1)</f>
        <v/>
      </c>
      <c r="JB41" s="9" t="str">
        <f ca="1">IF(OR(JB14="",JB$28&lt;$A41),"",JB14/OFFSET(SSAutCLM!$A$2,MATCH(JB$29,SSAutCLM!$A$2:$A$500)+$A41-1,1)-1)</f>
        <v/>
      </c>
      <c r="JC41" s="9" t="str">
        <f ca="1">IF(OR(JC14="",JC$28&lt;$A41),"",JC14/OFFSET(SSAutCLM!$A$2,MATCH(JC$29,SSAutCLM!$A$2:$A$500)+$A41-1,1)-1)</f>
        <v/>
      </c>
      <c r="JD41" s="9" t="str">
        <f ca="1">IF(OR(JD14="",JD$28&lt;$A41),"",JD14/OFFSET(SSAutCLM!$A$2,MATCH(JD$29,SSAutCLM!$A$2:$A$500)+$A41-1,1)-1)</f>
        <v/>
      </c>
      <c r="JE41" s="9" t="str">
        <f ca="1">IF(OR(JE14="",JE$28&lt;$A41),"",JE14/OFFSET(SSAutCLM!$A$2,MATCH(JE$29,SSAutCLM!$A$2:$A$500)+$A41-1,1)-1)</f>
        <v/>
      </c>
      <c r="JF41" s="9" t="str">
        <f ca="1">IF(OR(JF14="",JF$28&lt;$A41),"",JF14/OFFSET(SSAutCLM!$A$2,MATCH(JF$29,SSAutCLM!$A$2:$A$500)+$A41-1,1)-1)</f>
        <v/>
      </c>
      <c r="JG41" s="9" t="str">
        <f ca="1">IF(OR(JG14="",JG$28&lt;$A41),"",JG14/OFFSET(SSAutCLM!$A$2,MATCH(JG$29,SSAutCLM!$A$2:$A$500)+$A41-1,1)-1)</f>
        <v/>
      </c>
      <c r="JH41" s="9" t="str">
        <f ca="1">IF(OR(JH14="",JH$28&lt;$A41),"",JH14/OFFSET(SSAutCLM!$A$2,MATCH(JH$29,SSAutCLM!$A$2:$A$500)+$A41-1,1)-1)</f>
        <v/>
      </c>
      <c r="JI41" s="13">
        <f t="shared" ca="1" si="13"/>
        <v>6.2553573467350977E-3</v>
      </c>
      <c r="JJ41" s="13">
        <f t="shared" ca="1" si="14"/>
        <v>6.2154170798820463E-3</v>
      </c>
      <c r="JK41" s="14">
        <f t="shared" ca="1" si="15"/>
        <v>7.4106914285705506E-5</v>
      </c>
      <c r="JL41" s="17">
        <f t="shared" ca="1" si="18"/>
        <v>8.6085372907193421E-3</v>
      </c>
      <c r="JM41" s="15" t="str">
        <f t="shared" ca="1" si="16"/>
        <v>[ -1,10% ; 2,35% ]</v>
      </c>
      <c r="JN41" s="17">
        <f t="shared" ca="1" si="17"/>
        <v>1.1018927732120758E-2</v>
      </c>
      <c r="LY41" s="1"/>
    </row>
    <row r="42" spans="1:337" x14ac:dyDescent="0.25">
      <c r="A42" s="5"/>
      <c r="LY42" s="1"/>
    </row>
    <row r="43" spans="1:337" hidden="1" x14ac:dyDescent="0.25">
      <c r="A43" s="5"/>
      <c r="LY43" s="1"/>
    </row>
    <row r="44" spans="1:337" hidden="1" x14ac:dyDescent="0.25">
      <c r="A44" s="5"/>
      <c r="LY44" s="1"/>
    </row>
    <row r="45" spans="1:337" hidden="1" x14ac:dyDescent="0.25">
      <c r="A45" s="5"/>
      <c r="LY45" s="1"/>
    </row>
    <row r="46" spans="1:337" hidden="1" x14ac:dyDescent="0.25">
      <c r="A46" s="5"/>
      <c r="LY46" s="1"/>
    </row>
    <row r="47" spans="1:337" hidden="1" x14ac:dyDescent="0.25">
      <c r="A47" s="5"/>
      <c r="LY47" s="1"/>
    </row>
    <row r="48" spans="1:337" hidden="1" x14ac:dyDescent="0.25">
      <c r="A48" s="5"/>
      <c r="LY48" s="1"/>
    </row>
    <row r="49" spans="1:337" hidden="1" x14ac:dyDescent="0.25">
      <c r="A49" s="5"/>
      <c r="LY49" s="1"/>
    </row>
    <row r="50" spans="1:337" hidden="1" x14ac:dyDescent="0.25">
      <c r="A50" s="5"/>
      <c r="LY50" s="1"/>
    </row>
    <row r="51" spans="1:337" hidden="1" x14ac:dyDescent="0.25">
      <c r="A51" s="5"/>
      <c r="LY51" s="1"/>
    </row>
    <row r="52" spans="1:337" hidden="1" x14ac:dyDescent="0.25">
      <c r="A52" s="5"/>
      <c r="LY52" s="1"/>
    </row>
    <row r="53" spans="1:337" hidden="1" x14ac:dyDescent="0.25">
      <c r="A53" s="5"/>
      <c r="LY53" s="1"/>
    </row>
    <row r="54" spans="1:337" hidden="1" x14ac:dyDescent="0.25">
      <c r="A54" s="5"/>
      <c r="LY54" s="1"/>
    </row>
    <row r="55" spans="1:337" x14ac:dyDescent="0.25">
      <c r="A55" s="5"/>
      <c r="CL55" s="20"/>
      <c r="CM55" s="20"/>
      <c r="JL55" s="16"/>
      <c r="LY55" s="1"/>
    </row>
    <row r="56" spans="1:337" ht="15.75" x14ac:dyDescent="0.25">
      <c r="A56" s="3" t="s">
        <v>1</v>
      </c>
      <c r="B56" s="7">
        <v>37986</v>
      </c>
      <c r="C56" s="7">
        <v>38017</v>
      </c>
      <c r="D56" s="7">
        <v>38046</v>
      </c>
      <c r="E56" s="7">
        <v>38077</v>
      </c>
      <c r="F56" s="7">
        <v>38107</v>
      </c>
      <c r="G56" s="7">
        <v>38138</v>
      </c>
      <c r="H56" s="7">
        <v>38168</v>
      </c>
      <c r="I56" s="7">
        <v>38199</v>
      </c>
      <c r="J56" s="7">
        <v>38230</v>
      </c>
      <c r="K56" s="7">
        <v>38260</v>
      </c>
      <c r="L56" s="7">
        <v>38291</v>
      </c>
      <c r="M56" s="7">
        <v>38321</v>
      </c>
      <c r="N56" s="7">
        <v>38352</v>
      </c>
      <c r="O56" s="7">
        <v>38383</v>
      </c>
      <c r="P56" s="7">
        <v>38411</v>
      </c>
      <c r="Q56" s="7">
        <v>38442</v>
      </c>
      <c r="R56" s="7">
        <v>38472</v>
      </c>
      <c r="S56" s="7">
        <v>38503</v>
      </c>
      <c r="T56" s="7">
        <v>38533</v>
      </c>
      <c r="U56" s="7">
        <v>38564</v>
      </c>
      <c r="V56" s="7">
        <v>38595</v>
      </c>
      <c r="W56" s="7">
        <v>38625</v>
      </c>
      <c r="X56" s="7">
        <v>38656</v>
      </c>
      <c r="Y56" s="7">
        <v>38686</v>
      </c>
      <c r="Z56" s="7">
        <v>38717</v>
      </c>
      <c r="AA56" s="7">
        <v>38748</v>
      </c>
      <c r="AB56" s="7">
        <v>38776</v>
      </c>
      <c r="AC56" s="7">
        <v>38807</v>
      </c>
      <c r="AD56" s="7">
        <v>38837</v>
      </c>
      <c r="AE56" s="7">
        <v>38868</v>
      </c>
      <c r="AF56" s="7">
        <v>38898</v>
      </c>
      <c r="AG56" s="7">
        <v>38929</v>
      </c>
      <c r="AH56" s="7">
        <v>38960</v>
      </c>
      <c r="AI56" s="7">
        <v>38990</v>
      </c>
      <c r="AJ56" s="7">
        <v>39021</v>
      </c>
      <c r="AK56" s="7">
        <v>39051</v>
      </c>
      <c r="AL56" s="7">
        <v>39082</v>
      </c>
      <c r="AM56" s="7">
        <v>39113</v>
      </c>
      <c r="AN56" s="7">
        <v>39141</v>
      </c>
      <c r="AO56" s="7">
        <v>39172</v>
      </c>
      <c r="AP56" s="7">
        <v>39202</v>
      </c>
      <c r="AQ56" s="7">
        <v>39233</v>
      </c>
      <c r="AR56" s="7">
        <v>39263</v>
      </c>
      <c r="AS56" s="7">
        <v>39294</v>
      </c>
      <c r="AT56" s="7">
        <v>39325</v>
      </c>
      <c r="AU56" s="7">
        <v>39355</v>
      </c>
      <c r="AV56" s="7">
        <v>39386</v>
      </c>
      <c r="AW56" s="7">
        <v>39416</v>
      </c>
      <c r="AX56" s="7">
        <v>39447</v>
      </c>
      <c r="AY56" s="7">
        <v>39478</v>
      </c>
      <c r="AZ56" s="7">
        <v>39507</v>
      </c>
      <c r="BA56" s="7">
        <v>39538</v>
      </c>
      <c r="BB56" s="7">
        <v>39568</v>
      </c>
      <c r="BC56" s="7">
        <v>39599</v>
      </c>
      <c r="BD56" s="7">
        <v>39629</v>
      </c>
      <c r="BE56" s="7">
        <v>39660</v>
      </c>
      <c r="BF56" s="7">
        <v>39691</v>
      </c>
      <c r="BG56" s="7">
        <v>39721</v>
      </c>
      <c r="BH56" s="7">
        <v>39752</v>
      </c>
      <c r="BI56" s="7">
        <v>39782</v>
      </c>
      <c r="BJ56" s="7">
        <v>39813</v>
      </c>
      <c r="BK56" s="7">
        <v>39844</v>
      </c>
      <c r="BL56" s="7">
        <v>39872</v>
      </c>
      <c r="BM56" s="7">
        <v>39903</v>
      </c>
      <c r="BN56" s="7">
        <v>39933</v>
      </c>
      <c r="BO56" s="7">
        <v>39964</v>
      </c>
      <c r="BP56" s="7">
        <v>39994</v>
      </c>
      <c r="BQ56" s="7">
        <v>40025</v>
      </c>
      <c r="BR56" s="7">
        <v>40056</v>
      </c>
      <c r="BS56" s="7">
        <v>40086</v>
      </c>
      <c r="BT56" s="7">
        <v>40117</v>
      </c>
      <c r="BU56" s="7">
        <v>40147</v>
      </c>
      <c r="BV56" s="7">
        <v>40178</v>
      </c>
      <c r="BW56" s="7">
        <v>40209</v>
      </c>
      <c r="BX56" s="7">
        <v>40237</v>
      </c>
      <c r="BY56" s="7">
        <v>40268</v>
      </c>
      <c r="BZ56" s="7">
        <v>40298</v>
      </c>
      <c r="CA56" s="7">
        <v>40329</v>
      </c>
      <c r="CB56" s="7">
        <v>40359</v>
      </c>
      <c r="CC56" s="7">
        <v>40390</v>
      </c>
      <c r="CD56" s="7">
        <v>40421</v>
      </c>
      <c r="CE56" s="7">
        <v>40451</v>
      </c>
      <c r="CF56" s="7">
        <v>40482</v>
      </c>
      <c r="CG56" s="7">
        <v>40512</v>
      </c>
      <c r="CH56" s="7">
        <v>40543</v>
      </c>
      <c r="CI56" s="7">
        <v>40574</v>
      </c>
      <c r="CJ56" s="7">
        <v>40602</v>
      </c>
      <c r="CK56" s="7">
        <v>40633</v>
      </c>
      <c r="CL56" s="7">
        <v>40663</v>
      </c>
      <c r="CM56" s="7">
        <v>40694</v>
      </c>
      <c r="CN56" s="7">
        <v>40724</v>
      </c>
      <c r="CO56" s="7">
        <v>40755</v>
      </c>
      <c r="CP56" s="7">
        <v>40786</v>
      </c>
      <c r="CQ56" s="7">
        <v>40816</v>
      </c>
      <c r="CR56" s="7">
        <v>40847</v>
      </c>
      <c r="CS56" s="7">
        <v>40877</v>
      </c>
      <c r="CT56" s="7">
        <v>40908</v>
      </c>
      <c r="CU56" s="7">
        <v>40939</v>
      </c>
      <c r="CV56" s="7">
        <v>40968</v>
      </c>
      <c r="CW56" s="7">
        <v>40999</v>
      </c>
      <c r="CX56" s="7">
        <v>41029</v>
      </c>
      <c r="CY56" s="7">
        <v>41060</v>
      </c>
      <c r="CZ56" s="7">
        <v>41090</v>
      </c>
      <c r="DA56" s="7">
        <v>41121</v>
      </c>
      <c r="DB56" s="7">
        <v>41152</v>
      </c>
      <c r="DC56" s="7">
        <v>41182</v>
      </c>
      <c r="DD56" s="7">
        <v>41213</v>
      </c>
      <c r="DE56" s="7">
        <v>41243</v>
      </c>
      <c r="DF56" s="7">
        <v>41274</v>
      </c>
      <c r="DG56" s="7">
        <v>41305</v>
      </c>
      <c r="DH56" s="7">
        <v>41333</v>
      </c>
      <c r="DI56" s="7">
        <v>41364</v>
      </c>
      <c r="DJ56" s="7">
        <v>41394</v>
      </c>
      <c r="DK56" s="7">
        <v>41425</v>
      </c>
      <c r="DL56" s="7">
        <v>41455</v>
      </c>
      <c r="DM56" s="7">
        <v>41486</v>
      </c>
      <c r="DN56" s="7">
        <v>41517</v>
      </c>
      <c r="DO56" s="7">
        <v>41547</v>
      </c>
      <c r="DP56" s="7">
        <v>41578</v>
      </c>
      <c r="DQ56" s="7">
        <v>41608</v>
      </c>
      <c r="DR56" s="7">
        <v>41639</v>
      </c>
      <c r="DS56" s="7">
        <v>41670</v>
      </c>
      <c r="DT56" s="7">
        <v>41698</v>
      </c>
      <c r="DU56" s="7">
        <v>41729</v>
      </c>
      <c r="DV56" s="7">
        <v>41759</v>
      </c>
      <c r="DW56" s="7">
        <v>41790</v>
      </c>
      <c r="DX56" s="7">
        <v>41820</v>
      </c>
      <c r="DY56" s="7">
        <v>41851</v>
      </c>
      <c r="DZ56" s="7">
        <v>41882</v>
      </c>
      <c r="EA56" s="7">
        <v>41912</v>
      </c>
      <c r="EB56" s="7">
        <v>41943</v>
      </c>
      <c r="EC56" s="7">
        <v>41973</v>
      </c>
      <c r="ED56" s="7">
        <v>42004</v>
      </c>
      <c r="EE56" s="7">
        <v>42035</v>
      </c>
      <c r="EF56" s="7">
        <v>42063</v>
      </c>
      <c r="EG56" s="7">
        <v>42094</v>
      </c>
      <c r="EH56" s="7">
        <v>42124</v>
      </c>
      <c r="EI56" s="7">
        <v>42155</v>
      </c>
      <c r="EJ56" s="7">
        <v>42185</v>
      </c>
      <c r="EK56" s="7">
        <v>42216</v>
      </c>
      <c r="EL56" s="7">
        <v>42247</v>
      </c>
      <c r="EM56" s="7">
        <v>42277</v>
      </c>
      <c r="EN56" s="7">
        <v>42308</v>
      </c>
      <c r="EO56" s="7">
        <v>42338</v>
      </c>
      <c r="EP56" s="7">
        <v>42369</v>
      </c>
      <c r="EQ56" s="7">
        <v>42400</v>
      </c>
      <c r="ER56" s="7">
        <v>42429</v>
      </c>
      <c r="ES56" s="7">
        <v>42460</v>
      </c>
      <c r="ET56" s="7">
        <v>42490</v>
      </c>
      <c r="EU56" s="7">
        <v>42521</v>
      </c>
      <c r="EV56" s="7">
        <v>42551</v>
      </c>
      <c r="EW56" s="7">
        <v>42582</v>
      </c>
      <c r="EX56" s="7">
        <v>42613</v>
      </c>
      <c r="EY56" s="7">
        <v>42643</v>
      </c>
      <c r="EZ56" s="7">
        <v>42674</v>
      </c>
      <c r="FA56" s="7">
        <v>42704</v>
      </c>
      <c r="FB56" s="7">
        <v>42735</v>
      </c>
      <c r="FC56" s="7">
        <v>42766</v>
      </c>
      <c r="FD56" s="7">
        <v>42794</v>
      </c>
      <c r="FE56" s="7">
        <v>42825</v>
      </c>
      <c r="FF56" s="7">
        <v>42855</v>
      </c>
      <c r="FG56" s="7">
        <v>42886</v>
      </c>
      <c r="FH56" s="7">
        <v>42916</v>
      </c>
      <c r="FI56" s="7">
        <v>42947</v>
      </c>
      <c r="FJ56" s="7">
        <v>42978</v>
      </c>
      <c r="FK56" s="7">
        <v>43008</v>
      </c>
      <c r="FL56" s="7">
        <v>43039</v>
      </c>
      <c r="FM56" s="7">
        <v>43069</v>
      </c>
      <c r="FN56" s="7">
        <v>43100</v>
      </c>
      <c r="FO56" s="7">
        <v>43131</v>
      </c>
      <c r="FP56" s="7">
        <v>43159</v>
      </c>
      <c r="FQ56" s="7">
        <v>43190</v>
      </c>
      <c r="FR56" s="7">
        <v>43220</v>
      </c>
      <c r="FS56" s="7">
        <v>43251</v>
      </c>
      <c r="FT56" s="7">
        <v>43281</v>
      </c>
      <c r="FU56" s="7">
        <v>43312</v>
      </c>
      <c r="FV56" s="7">
        <v>43343</v>
      </c>
      <c r="FW56" s="7">
        <v>43373</v>
      </c>
      <c r="FX56" s="7">
        <v>43404</v>
      </c>
      <c r="FY56" s="7">
        <v>43434</v>
      </c>
      <c r="FZ56" s="7">
        <v>43465</v>
      </c>
      <c r="GA56" s="7">
        <v>43496</v>
      </c>
      <c r="GB56" s="7">
        <v>43524</v>
      </c>
      <c r="GC56" s="7">
        <v>43555</v>
      </c>
      <c r="GD56" s="7">
        <v>43585</v>
      </c>
      <c r="GE56" s="7">
        <v>43616</v>
      </c>
      <c r="GF56" s="7">
        <v>43646</v>
      </c>
      <c r="GG56" s="7">
        <v>43677</v>
      </c>
      <c r="GH56" s="7">
        <v>43708</v>
      </c>
      <c r="GI56" s="7">
        <v>43738</v>
      </c>
      <c r="GJ56" s="7">
        <v>43769</v>
      </c>
      <c r="GK56" s="7">
        <v>43799</v>
      </c>
      <c r="GL56" s="7">
        <v>43830</v>
      </c>
      <c r="GM56" s="7">
        <v>43861</v>
      </c>
      <c r="GN56" s="7">
        <v>43890</v>
      </c>
      <c r="GO56" s="7">
        <v>43921</v>
      </c>
      <c r="GP56" s="7">
        <v>43951</v>
      </c>
      <c r="GQ56" s="7">
        <v>43982</v>
      </c>
      <c r="GR56" s="7">
        <v>44012</v>
      </c>
      <c r="GS56" s="7">
        <v>44043</v>
      </c>
      <c r="GT56" s="7">
        <v>44074</v>
      </c>
      <c r="GU56" s="7">
        <v>44104</v>
      </c>
      <c r="GV56" s="7">
        <v>44135</v>
      </c>
      <c r="GW56" s="7">
        <v>44165</v>
      </c>
      <c r="GX56" s="7">
        <v>44196</v>
      </c>
      <c r="GY56" s="7">
        <v>44227</v>
      </c>
      <c r="GZ56" s="7">
        <v>44255</v>
      </c>
      <c r="HA56" s="7">
        <v>44286</v>
      </c>
      <c r="HB56" s="7">
        <v>44316</v>
      </c>
      <c r="HC56" s="7">
        <v>44347</v>
      </c>
      <c r="HD56" s="7">
        <v>44377</v>
      </c>
      <c r="HE56" s="7">
        <v>44408</v>
      </c>
      <c r="HF56" s="7">
        <v>44439</v>
      </c>
      <c r="HG56" s="7">
        <v>44469</v>
      </c>
      <c r="HH56" s="7">
        <v>44500</v>
      </c>
      <c r="HI56" s="7">
        <v>44530</v>
      </c>
      <c r="HJ56" s="7">
        <v>44561</v>
      </c>
      <c r="HK56" s="7">
        <v>44592</v>
      </c>
      <c r="HL56" s="7">
        <v>44620</v>
      </c>
      <c r="HM56" s="7">
        <v>44651</v>
      </c>
      <c r="HN56" s="7">
        <v>44681</v>
      </c>
      <c r="HO56" s="7">
        <v>44712</v>
      </c>
      <c r="HP56" s="7">
        <v>44742</v>
      </c>
      <c r="HQ56" s="7">
        <v>44773</v>
      </c>
      <c r="HR56" s="7">
        <v>44804</v>
      </c>
      <c r="HS56" s="7">
        <v>44834</v>
      </c>
      <c r="HT56" s="7">
        <v>44865</v>
      </c>
      <c r="HU56" s="7">
        <v>44895</v>
      </c>
      <c r="HV56" s="7">
        <v>44926</v>
      </c>
      <c r="HW56" s="7">
        <v>44957</v>
      </c>
      <c r="HX56" s="7">
        <v>44985</v>
      </c>
      <c r="HY56" s="7">
        <v>45016</v>
      </c>
      <c r="HZ56" s="7">
        <v>45046</v>
      </c>
      <c r="IA56" s="7">
        <v>45077</v>
      </c>
      <c r="IB56" s="7">
        <v>45107</v>
      </c>
      <c r="IC56" s="7">
        <v>45138</v>
      </c>
      <c r="ID56" s="7">
        <v>45169</v>
      </c>
      <c r="IE56" s="7">
        <v>45199</v>
      </c>
      <c r="IF56" s="7">
        <v>45230</v>
      </c>
      <c r="IG56" s="7">
        <v>45260</v>
      </c>
      <c r="IH56" s="7">
        <v>45291</v>
      </c>
      <c r="II56" s="7">
        <v>45322</v>
      </c>
      <c r="IJ56" s="7">
        <v>45351</v>
      </c>
      <c r="IK56" s="7">
        <v>45382</v>
      </c>
      <c r="IL56" s="7">
        <v>45412</v>
      </c>
      <c r="IM56" s="7">
        <v>45443</v>
      </c>
      <c r="IN56" s="7">
        <v>45473</v>
      </c>
      <c r="IO56" s="7">
        <v>45504</v>
      </c>
      <c r="IP56" s="7">
        <v>45535</v>
      </c>
      <c r="IQ56" s="7">
        <v>45565</v>
      </c>
      <c r="IR56" s="7">
        <v>45596</v>
      </c>
      <c r="IS56" s="7">
        <v>45626</v>
      </c>
      <c r="IT56" s="7">
        <v>45657</v>
      </c>
      <c r="IU56" s="7">
        <v>45688</v>
      </c>
      <c r="IV56" s="7">
        <v>45716</v>
      </c>
      <c r="IW56" s="7">
        <v>45747</v>
      </c>
      <c r="IX56" s="7">
        <v>45777</v>
      </c>
      <c r="IY56" s="7">
        <v>45808</v>
      </c>
      <c r="IZ56" s="7">
        <v>45838</v>
      </c>
      <c r="JA56" s="7">
        <v>45869</v>
      </c>
      <c r="JB56" s="7">
        <v>45900</v>
      </c>
      <c r="JC56" s="7">
        <v>45930</v>
      </c>
      <c r="JD56" s="7">
        <v>45961</v>
      </c>
      <c r="JE56" s="7">
        <v>45991</v>
      </c>
      <c r="JF56" s="7">
        <v>46022</v>
      </c>
      <c r="JG56" s="7">
        <v>46053</v>
      </c>
      <c r="JH56" s="7">
        <v>46081</v>
      </c>
      <c r="JI56" s="10" t="s">
        <v>2</v>
      </c>
      <c r="JJ56" s="11" t="s">
        <v>3</v>
      </c>
      <c r="JK56" s="10" t="s">
        <v>4</v>
      </c>
      <c r="JL56" s="12" t="s">
        <v>5</v>
      </c>
      <c r="JM56" s="10" t="s">
        <v>6</v>
      </c>
      <c r="JN56" s="19">
        <f>JN29</f>
        <v>1.28</v>
      </c>
      <c r="LY56" s="1"/>
    </row>
    <row r="57" spans="1:337" x14ac:dyDescent="0.25">
      <c r="A57" s="4">
        <v>1</v>
      </c>
      <c r="B57" s="9">
        <f t="shared" ref="B57:BM57" ca="1" si="19">IF(B30="","",ABS(B30))</f>
        <v>7.3684168076504353E-4</v>
      </c>
      <c r="C57" s="9">
        <f t="shared" ca="1" si="19"/>
        <v>1.4774124007082001E-3</v>
      </c>
      <c r="D57" s="9">
        <f t="shared" ca="1" si="19"/>
        <v>1.1591521042829678E-3</v>
      </c>
      <c r="E57" s="9">
        <f t="shared" ca="1" si="19"/>
        <v>5.085477263624405E-4</v>
      </c>
      <c r="F57" s="9">
        <f t="shared" ca="1" si="19"/>
        <v>1.1157705879794033E-3</v>
      </c>
      <c r="G57" s="9">
        <f t="shared" ca="1" si="19"/>
        <v>1.1785754751281186E-3</v>
      </c>
      <c r="H57" s="9">
        <f t="shared" ca="1" si="19"/>
        <v>1.0900267243791895E-3</v>
      </c>
      <c r="I57" s="9">
        <f t="shared" ca="1" si="19"/>
        <v>2.9441481938885516E-4</v>
      </c>
      <c r="J57" s="9">
        <f t="shared" ca="1" si="19"/>
        <v>5.2136707946592864E-4</v>
      </c>
      <c r="K57" s="9">
        <f t="shared" ca="1" si="19"/>
        <v>1.1238592791564805E-3</v>
      </c>
      <c r="L57" s="9">
        <f t="shared" ca="1" si="19"/>
        <v>2.2582511450419673E-4</v>
      </c>
      <c r="M57" s="9">
        <f t="shared" ca="1" si="19"/>
        <v>1.5191342798637208E-3</v>
      </c>
      <c r="N57" s="9">
        <f t="shared" ca="1" si="19"/>
        <v>1.8277629040291954E-3</v>
      </c>
      <c r="O57" s="9">
        <f t="shared" ca="1" si="19"/>
        <v>4.8261860817078173E-4</v>
      </c>
      <c r="P57" s="9">
        <f t="shared" ca="1" si="19"/>
        <v>1.2430018501479179E-3</v>
      </c>
      <c r="Q57" s="9">
        <f t="shared" ca="1" si="19"/>
        <v>1.9831654893500694E-3</v>
      </c>
      <c r="R57" s="9">
        <f t="shared" ca="1" si="19"/>
        <v>1.681104952750534E-3</v>
      </c>
      <c r="S57" s="9">
        <f t="shared" ca="1" si="19"/>
        <v>4.090393218463273E-4</v>
      </c>
      <c r="T57" s="9">
        <f t="shared" ca="1" si="19"/>
        <v>4.2199277235521748E-4</v>
      </c>
      <c r="U57" s="9">
        <f t="shared" ca="1" si="19"/>
        <v>5.148258153198082E-4</v>
      </c>
      <c r="V57" s="9">
        <f t="shared" ca="1" si="19"/>
        <v>1.83586374475464E-4</v>
      </c>
      <c r="W57" s="9">
        <f t="shared" ca="1" si="19"/>
        <v>2.1606646928051809E-4</v>
      </c>
      <c r="X57" s="9">
        <f t="shared" ca="1" si="19"/>
        <v>9.2482216108336068E-4</v>
      </c>
      <c r="Y57" s="9">
        <f t="shared" ca="1" si="19"/>
        <v>8.9567420619296456E-4</v>
      </c>
      <c r="Z57" s="9">
        <f t="shared" ca="1" si="19"/>
        <v>4.6984148604778397E-4</v>
      </c>
      <c r="AA57" s="9">
        <f t="shared" ca="1" si="19"/>
        <v>8.1398077537087055E-4</v>
      </c>
      <c r="AB57" s="9">
        <f t="shared" ca="1" si="19"/>
        <v>6.6980674263183992E-4</v>
      </c>
      <c r="AC57" s="9">
        <f t="shared" ca="1" si="19"/>
        <v>4.5188606692003752E-5</v>
      </c>
      <c r="AD57" s="9">
        <f t="shared" ca="1" si="19"/>
        <v>2.5102079780026099E-4</v>
      </c>
      <c r="AE57" s="9">
        <f t="shared" ca="1" si="19"/>
        <v>1.5562049079897999E-4</v>
      </c>
      <c r="AF57" s="9">
        <f t="shared" ca="1" si="19"/>
        <v>6.312730269786293E-4</v>
      </c>
      <c r="AG57" s="9">
        <f t="shared" ca="1" si="19"/>
        <v>8.1515489373051864E-4</v>
      </c>
      <c r="AH57" s="9">
        <f t="shared" ca="1" si="19"/>
        <v>5.6607461213875609E-4</v>
      </c>
      <c r="AI57" s="9">
        <f t="shared" ca="1" si="19"/>
        <v>7.7716678987049814E-4</v>
      </c>
      <c r="AJ57" s="9">
        <f t="shared" ca="1" si="19"/>
        <v>2.2720675790732781E-4</v>
      </c>
      <c r="AK57" s="9">
        <f t="shared" ca="1" si="19"/>
        <v>9.7656007255297883E-4</v>
      </c>
      <c r="AL57" s="9">
        <f t="shared" ca="1" si="19"/>
        <v>4.9890621354686804E-4</v>
      </c>
      <c r="AM57" s="9">
        <f t="shared" ca="1" si="19"/>
        <v>1.8538715174076792E-3</v>
      </c>
      <c r="AN57" s="9">
        <f t="shared" ca="1" si="19"/>
        <v>1.8109547502941359E-3</v>
      </c>
      <c r="AO57" s="9">
        <f t="shared" ca="1" si="19"/>
        <v>3.0245329875944194E-4</v>
      </c>
      <c r="AP57" s="9">
        <f t="shared" ca="1" si="19"/>
        <v>2.4605379740516575E-4</v>
      </c>
      <c r="AQ57" s="9">
        <f t="shared" ca="1" si="19"/>
        <v>1.5824901123098201E-3</v>
      </c>
      <c r="AR57" s="9">
        <f t="shared" ca="1" si="19"/>
        <v>8.5491563011652616E-4</v>
      </c>
      <c r="AS57" s="9">
        <f t="shared" ca="1" si="19"/>
        <v>6.2152472939391856E-5</v>
      </c>
      <c r="AT57" s="9">
        <f t="shared" ca="1" si="19"/>
        <v>6.3788576297474364E-4</v>
      </c>
      <c r="AU57" s="9">
        <f t="shared" ca="1" si="19"/>
        <v>8.2511660650197438E-4</v>
      </c>
      <c r="AV57" s="9">
        <f t="shared" ca="1" si="19"/>
        <v>6.6180023605766358E-4</v>
      </c>
      <c r="AW57" s="9">
        <f t="shared" ca="1" si="19"/>
        <v>1.799845008489509E-3</v>
      </c>
      <c r="AX57" s="9">
        <f t="shared" ca="1" si="19"/>
        <v>2.1782534015815092E-3</v>
      </c>
      <c r="AY57" s="9">
        <f t="shared" ca="1" si="19"/>
        <v>3.4953907080899072E-3</v>
      </c>
      <c r="AZ57" s="9">
        <f t="shared" ca="1" si="19"/>
        <v>6.3768268487374158E-4</v>
      </c>
      <c r="BA57" s="9">
        <f t="shared" ca="1" si="19"/>
        <v>3.0860874535183491E-3</v>
      </c>
      <c r="BB57" s="9">
        <f t="shared" ca="1" si="19"/>
        <v>2.4340268490712358E-3</v>
      </c>
      <c r="BC57" s="9">
        <f t="shared" ca="1" si="19"/>
        <v>1.4397753244295153E-3</v>
      </c>
      <c r="BD57" s="9">
        <f t="shared" ca="1" si="19"/>
        <v>1.351135107675816E-3</v>
      </c>
      <c r="BE57" s="9">
        <f t="shared" ca="1" si="19"/>
        <v>2.1192216065677449E-3</v>
      </c>
      <c r="BF57" s="9">
        <f t="shared" ca="1" si="19"/>
        <v>9.2993641837213481E-4</v>
      </c>
      <c r="BG57" s="9">
        <f t="shared" ca="1" si="19"/>
        <v>3.037528049235183E-3</v>
      </c>
      <c r="BH57" s="9">
        <f t="shared" ca="1" si="19"/>
        <v>3.4098989593667195E-3</v>
      </c>
      <c r="BI57" s="9">
        <f t="shared" ca="1" si="19"/>
        <v>8.6895554783184004E-4</v>
      </c>
      <c r="BJ57" s="9">
        <f t="shared" ca="1" si="19"/>
        <v>1.0998139742433022E-3</v>
      </c>
      <c r="BK57" s="9">
        <f t="shared" ca="1" si="19"/>
        <v>7.0010701898870487E-4</v>
      </c>
      <c r="BL57" s="9">
        <f t="shared" ca="1" si="19"/>
        <v>3.2434562947170065E-4</v>
      </c>
      <c r="BM57" s="9">
        <f t="shared" ca="1" si="19"/>
        <v>6.7959041601250991E-4</v>
      </c>
      <c r="BN57" s="9">
        <f t="shared" ref="BN57:DY57" ca="1" si="20">IF(BN30="","",ABS(BN30))</f>
        <v>3.0783840047190481E-3</v>
      </c>
      <c r="BO57" s="9">
        <f t="shared" ca="1" si="20"/>
        <v>3.4938501110365339E-3</v>
      </c>
      <c r="BP57" s="9">
        <f t="shared" ca="1" si="20"/>
        <v>1.79502416429278E-4</v>
      </c>
      <c r="BQ57" s="9">
        <f t="shared" ca="1" si="20"/>
        <v>2.5112042742758689E-4</v>
      </c>
      <c r="BR57" s="9">
        <f t="shared" ca="1" si="20"/>
        <v>1.4139757127273889E-5</v>
      </c>
      <c r="BS57" s="9">
        <f t="shared" ca="1" si="20"/>
        <v>1.0219933140287463E-3</v>
      </c>
      <c r="BT57" s="9">
        <f t="shared" ca="1" si="20"/>
        <v>2.7211301116784048E-3</v>
      </c>
      <c r="BU57" s="9">
        <f t="shared" ca="1" si="20"/>
        <v>1.7321730552952719E-3</v>
      </c>
      <c r="BV57" s="9">
        <f t="shared" ca="1" si="20"/>
        <v>4.9890333608582083E-5</v>
      </c>
      <c r="BW57" s="9">
        <f t="shared" ca="1" si="20"/>
        <v>9.8897432951816633E-4</v>
      </c>
      <c r="BX57" s="9">
        <f t="shared" ca="1" si="20"/>
        <v>1.5691452899248004E-3</v>
      </c>
      <c r="BY57" s="9">
        <f t="shared" ca="1" si="20"/>
        <v>2.7184373986667287E-3</v>
      </c>
      <c r="BZ57" s="9">
        <f t="shared" ca="1" si="20"/>
        <v>9.348072042307809E-4</v>
      </c>
      <c r="CA57" s="9">
        <f t="shared" ca="1" si="20"/>
        <v>3.7554860720767635E-5</v>
      </c>
      <c r="CB57" s="9">
        <f t="shared" ca="1" si="20"/>
        <v>9.4723150036402082E-4</v>
      </c>
      <c r="CC57" s="9">
        <f t="shared" ca="1" si="20"/>
        <v>1.1759813031695376E-3</v>
      </c>
      <c r="CD57" s="9">
        <f t="shared" ca="1" si="20"/>
        <v>2.6680909612575299E-4</v>
      </c>
      <c r="CE57" s="9">
        <f t="shared" ca="1" si="20"/>
        <v>7.6362750465219786E-4</v>
      </c>
      <c r="CF57" s="9">
        <f t="shared" ca="1" si="20"/>
        <v>7.8892544250708241E-4</v>
      </c>
      <c r="CG57" s="9">
        <f t="shared" ca="1" si="20"/>
        <v>6.7030465871109612E-4</v>
      </c>
      <c r="CH57" s="9">
        <f t="shared" ca="1" si="20"/>
        <v>1.1616036061677937E-3</v>
      </c>
      <c r="CI57" s="9">
        <f t="shared" ca="1" si="20"/>
        <v>1.1451196945062581E-3</v>
      </c>
      <c r="CJ57" s="9">
        <f t="shared" ca="1" si="20"/>
        <v>2.8891812010469753E-3</v>
      </c>
      <c r="CK57" s="9">
        <f t="shared" ca="1" si="20"/>
        <v>1.9185780469999081E-4</v>
      </c>
      <c r="CL57" s="9">
        <f t="shared" ca="1" si="20"/>
        <v>1.521953842838264E-3</v>
      </c>
      <c r="CM57" s="9">
        <f t="shared" ca="1" si="20"/>
        <v>1.075342128425083E-3</v>
      </c>
      <c r="CN57" s="9">
        <f t="shared" ca="1" si="20"/>
        <v>1.819426591567419E-3</v>
      </c>
      <c r="CO57" s="9">
        <f t="shared" ca="1" si="20"/>
        <v>1.4362991867291619E-3</v>
      </c>
      <c r="CP57" s="9">
        <f t="shared" ca="1" si="20"/>
        <v>7.3211853162902241E-4</v>
      </c>
      <c r="CQ57" s="9">
        <f t="shared" ca="1" si="20"/>
        <v>5.4773412175479486E-4</v>
      </c>
      <c r="CR57" s="9">
        <f t="shared" ca="1" si="20"/>
        <v>6.9677025154279981E-4</v>
      </c>
      <c r="CS57" s="9">
        <f t="shared" ca="1" si="20"/>
        <v>7.8970068024086792E-4</v>
      </c>
      <c r="CT57" s="9">
        <f t="shared" ca="1" si="20"/>
        <v>5.1974827924636813E-3</v>
      </c>
      <c r="CU57" s="9">
        <f t="shared" ca="1" si="20"/>
        <v>5.5684829980725548E-3</v>
      </c>
      <c r="CV57" s="9">
        <f t="shared" ca="1" si="20"/>
        <v>1.0801763993117941E-3</v>
      </c>
      <c r="CW57" s="9">
        <f t="shared" ca="1" si="20"/>
        <v>1.1394757677982703E-3</v>
      </c>
      <c r="CX57" s="9">
        <f t="shared" ca="1" si="20"/>
        <v>3.2318355816629563E-5</v>
      </c>
      <c r="CY57" s="9">
        <f t="shared" ca="1" si="20"/>
        <v>3.3659187256129819E-4</v>
      </c>
      <c r="CZ57" s="9">
        <f t="shared" ca="1" si="20"/>
        <v>3.767497397209052E-4</v>
      </c>
      <c r="DA57" s="9">
        <f t="shared" ca="1" si="20"/>
        <v>1.4341061268570154E-3</v>
      </c>
      <c r="DB57" s="9">
        <f t="shared" ca="1" si="20"/>
        <v>4.0152930726722325E-4</v>
      </c>
      <c r="DC57" s="9">
        <f t="shared" ca="1" si="20"/>
        <v>1.2806232260897943E-3</v>
      </c>
      <c r="DD57" s="9">
        <f t="shared" ca="1" si="20"/>
        <v>4.7315800023861598E-4</v>
      </c>
      <c r="DE57" s="9">
        <f t="shared" ca="1" si="20"/>
        <v>2.6471122459448271E-4</v>
      </c>
      <c r="DF57" s="9">
        <f t="shared" ca="1" si="20"/>
        <v>6.835588706506357E-4</v>
      </c>
      <c r="DG57" s="9">
        <f t="shared" ca="1" si="20"/>
        <v>1.1600838679501901E-3</v>
      </c>
      <c r="DH57" s="9">
        <f t="shared" ca="1" si="20"/>
        <v>1.8560157410473233E-3</v>
      </c>
      <c r="DI57" s="9">
        <f t="shared" ca="1" si="20"/>
        <v>2.2077705871507147E-3</v>
      </c>
      <c r="DJ57" s="9">
        <f t="shared" ca="1" si="20"/>
        <v>2.1170509000533189E-3</v>
      </c>
      <c r="DK57" s="9">
        <f t="shared" ca="1" si="20"/>
        <v>5.6325997292594465E-4</v>
      </c>
      <c r="DL57" s="9">
        <f t="shared" ca="1" si="20"/>
        <v>8.9587874985330718E-4</v>
      </c>
      <c r="DM57" s="9">
        <f t="shared" ca="1" si="20"/>
        <v>2.553501810129033E-3</v>
      </c>
      <c r="DN57" s="9">
        <f t="shared" ca="1" si="20"/>
        <v>6.4514387822178776E-4</v>
      </c>
      <c r="DO57" s="9">
        <f t="shared" ca="1" si="20"/>
        <v>1.2368639437704276E-3</v>
      </c>
      <c r="DP57" s="9">
        <f t="shared" ca="1" si="20"/>
        <v>1.3418850427734386E-3</v>
      </c>
      <c r="DQ57" s="9">
        <f t="shared" ca="1" si="20"/>
        <v>1.1084990508125614E-4</v>
      </c>
      <c r="DR57" s="9">
        <f t="shared" ca="1" si="20"/>
        <v>1.5773228449502685E-3</v>
      </c>
      <c r="DS57" s="9">
        <f t="shared" ca="1" si="20"/>
        <v>7.723029005947124E-4</v>
      </c>
      <c r="DT57" s="9">
        <f t="shared" ca="1" si="20"/>
        <v>2.4554483959260409E-4</v>
      </c>
      <c r="DU57" s="9">
        <f t="shared" ca="1" si="20"/>
        <v>1.1171039962988294E-3</v>
      </c>
      <c r="DV57" s="9">
        <f t="shared" ca="1" si="20"/>
        <v>5.2561428578434821E-4</v>
      </c>
      <c r="DW57" s="9">
        <f t="shared" ca="1" si="20"/>
        <v>1.2468788162878219E-4</v>
      </c>
      <c r="DX57" s="9">
        <f t="shared" ca="1" si="20"/>
        <v>2.2049446072776036E-3</v>
      </c>
      <c r="DY57" s="9">
        <f t="shared" ca="1" si="20"/>
        <v>8.883876262828494E-4</v>
      </c>
      <c r="DZ57" s="9">
        <f t="shared" ref="DZ57:GK57" ca="1" si="21">IF(DZ30="","",ABS(DZ30))</f>
        <v>1.4112989427431666E-3</v>
      </c>
      <c r="EA57" s="9">
        <f t="shared" ca="1" si="21"/>
        <v>5.140666678836725E-4</v>
      </c>
      <c r="EB57" s="9" t="str">
        <f t="shared" ca="1" si="21"/>
        <v/>
      </c>
      <c r="EC57" s="9" t="str">
        <f t="shared" ca="1" si="21"/>
        <v/>
      </c>
      <c r="ED57" s="9">
        <f t="shared" ca="1" si="21"/>
        <v>4.0783140851763378E-4</v>
      </c>
      <c r="EE57" s="9" t="str">
        <f t="shared" ca="1" si="21"/>
        <v/>
      </c>
      <c r="EF57" s="9" t="str">
        <f t="shared" ca="1" si="21"/>
        <v/>
      </c>
      <c r="EG57" s="9">
        <f t="shared" ca="1" si="21"/>
        <v>1.075680122761935E-3</v>
      </c>
      <c r="EH57" s="9">
        <f t="shared" ca="1" si="21"/>
        <v>3.0886355475512328E-4</v>
      </c>
      <c r="EI57" s="9">
        <f t="shared" ca="1" si="21"/>
        <v>8.2066378761513903E-5</v>
      </c>
      <c r="EJ57" s="9">
        <f t="shared" ca="1" si="21"/>
        <v>1.3634942602778199E-3</v>
      </c>
      <c r="EK57" s="9">
        <f t="shared" ca="1" si="21"/>
        <v>9.9575690696873664E-4</v>
      </c>
      <c r="EL57" s="9">
        <f t="shared" ca="1" si="21"/>
        <v>4.9929806982262903E-5</v>
      </c>
      <c r="EM57" s="9">
        <f t="shared" ca="1" si="21"/>
        <v>5.6424168606583613E-4</v>
      </c>
      <c r="EN57" s="9">
        <f t="shared" ca="1" si="21"/>
        <v>1.3218881036691776E-4</v>
      </c>
      <c r="EO57" s="9">
        <f t="shared" ca="1" si="21"/>
        <v>7.0352012646757167E-3</v>
      </c>
      <c r="EP57" s="9">
        <f t="shared" ca="1" si="21"/>
        <v>5.9821977704909157E-3</v>
      </c>
      <c r="EQ57" s="9">
        <f t="shared" ca="1" si="21"/>
        <v>1.7189737207071731E-3</v>
      </c>
      <c r="ER57" s="9">
        <f t="shared" ca="1" si="21"/>
        <v>1.1707341831559415E-3</v>
      </c>
      <c r="ES57" s="9">
        <f t="shared" ca="1" si="21"/>
        <v>8.8633079978728269E-4</v>
      </c>
      <c r="ET57" s="9">
        <f t="shared" ca="1" si="21"/>
        <v>2.6639773484760099E-4</v>
      </c>
      <c r="EU57" s="9">
        <f t="shared" ca="1" si="21"/>
        <v>7.898641161330211E-4</v>
      </c>
      <c r="EV57" s="9">
        <f t="shared" ca="1" si="21"/>
        <v>5.5774564707689045E-4</v>
      </c>
      <c r="EW57" s="9">
        <f t="shared" ca="1" si="21"/>
        <v>1.0623404636644906E-4</v>
      </c>
      <c r="EX57" s="9">
        <f t="shared" ca="1" si="21"/>
        <v>1.0532859522882632E-3</v>
      </c>
      <c r="EY57" s="9">
        <f t="shared" ca="1" si="21"/>
        <v>1.1774318012773843E-3</v>
      </c>
      <c r="EZ57" s="9">
        <f t="shared" ca="1" si="21"/>
        <v>8.6146405142695226E-4</v>
      </c>
      <c r="FA57" s="9">
        <f t="shared" ca="1" si="21"/>
        <v>9.9657758771742877E-4</v>
      </c>
      <c r="FB57" s="9">
        <f t="shared" ca="1" si="21"/>
        <v>2.0660050057905721E-3</v>
      </c>
      <c r="FC57" s="9">
        <f t="shared" ca="1" si="21"/>
        <v>1.4490010302186107E-3</v>
      </c>
      <c r="FD57" s="9">
        <f t="shared" ca="1" si="21"/>
        <v>7.477273126643702E-5</v>
      </c>
      <c r="FE57" s="9">
        <f t="shared" ca="1" si="21"/>
        <v>1.5344786837057089E-4</v>
      </c>
      <c r="FF57" s="9">
        <f t="shared" ca="1" si="21"/>
        <v>5.4739177737206379E-4</v>
      </c>
      <c r="FG57" s="9">
        <f t="shared" ca="1" si="21"/>
        <v>1.2236931257423311E-3</v>
      </c>
      <c r="FH57" s="9">
        <f t="shared" ca="1" si="21"/>
        <v>3.3047886802668458E-3</v>
      </c>
      <c r="FI57" s="9">
        <f t="shared" ca="1" si="21"/>
        <v>9.0655969342701148E-4</v>
      </c>
      <c r="FJ57" s="9">
        <f t="shared" ca="1" si="21"/>
        <v>2.5220406619945734E-3</v>
      </c>
      <c r="FK57" s="9">
        <f t="shared" ca="1" si="21"/>
        <v>2.3258111835411377E-4</v>
      </c>
      <c r="FL57" s="9">
        <f t="shared" ca="1" si="21"/>
        <v>6.5944807878715039E-4</v>
      </c>
      <c r="FM57" s="9">
        <f t="shared" ca="1" si="21"/>
        <v>1.7958193106315523E-4</v>
      </c>
      <c r="FN57" s="9">
        <f t="shared" ca="1" si="21"/>
        <v>1.4785346168844082E-3</v>
      </c>
      <c r="FO57" s="9">
        <f t="shared" ca="1" si="21"/>
        <v>4.1085602809703969E-3</v>
      </c>
      <c r="FP57" s="9">
        <f t="shared" ca="1" si="21"/>
        <v>1.1761312541842539E-3</v>
      </c>
      <c r="FQ57" s="9">
        <f t="shared" ca="1" si="21"/>
        <v>1.1488318415662224E-3</v>
      </c>
      <c r="FR57" s="9">
        <f t="shared" ca="1" si="21"/>
        <v>1.5302910016767868E-4</v>
      </c>
      <c r="FS57" s="9">
        <f t="shared" ca="1" si="21"/>
        <v>8.5408126011188301E-4</v>
      </c>
      <c r="FT57" s="9">
        <f t="shared" ca="1" si="21"/>
        <v>1.7142229276823073E-3</v>
      </c>
      <c r="FU57" s="9">
        <f t="shared" ca="1" si="21"/>
        <v>2.0453793361352446E-4</v>
      </c>
      <c r="FV57" s="9">
        <f t="shared" ca="1" si="21"/>
        <v>1.0122081670285166E-3</v>
      </c>
      <c r="FW57" s="9">
        <f t="shared" ca="1" si="21"/>
        <v>1.4227109597492182E-3</v>
      </c>
      <c r="FX57" s="9">
        <f t="shared" ca="1" si="21"/>
        <v>7.0123470160310397E-4</v>
      </c>
      <c r="FY57" s="9">
        <f t="shared" ca="1" si="21"/>
        <v>8.9581294628771069E-4</v>
      </c>
      <c r="FZ57" s="9">
        <f t="shared" ca="1" si="21"/>
        <v>3.2696272342427335E-3</v>
      </c>
      <c r="GA57" s="9">
        <f t="shared" ca="1" si="21"/>
        <v>1.7918071440969907E-4</v>
      </c>
      <c r="GB57" s="9">
        <f t="shared" ca="1" si="21"/>
        <v>9.6196867403630648E-4</v>
      </c>
      <c r="GC57" s="9">
        <f t="shared" ca="1" si="21"/>
        <v>2.6041550868205476E-4</v>
      </c>
      <c r="GD57" s="9">
        <f t="shared" ca="1" si="21"/>
        <v>7.8417301463040712E-4</v>
      </c>
      <c r="GE57" s="9">
        <f t="shared" ca="1" si="21"/>
        <v>1.5476267540243116E-3</v>
      </c>
      <c r="GF57" s="9">
        <f t="shared" ca="1" si="21"/>
        <v>1.3897077975388861E-4</v>
      </c>
      <c r="GG57" s="9">
        <f t="shared" ca="1" si="21"/>
        <v>5.2690872069083294E-4</v>
      </c>
      <c r="GH57" s="9">
        <f t="shared" ca="1" si="21"/>
        <v>7.3457855342851097E-5</v>
      </c>
      <c r="GI57" s="9">
        <f t="shared" ca="1" si="21"/>
        <v>4.7260286135486496E-4</v>
      </c>
      <c r="GJ57" s="9">
        <f t="shared" ca="1" si="21"/>
        <v>3.4356150024816845E-4</v>
      </c>
      <c r="GK57" s="9">
        <f t="shared" ca="1" si="21"/>
        <v>1.5530237356043974E-3</v>
      </c>
      <c r="GL57" s="9">
        <f t="shared" ref="GL57:IW57" ca="1" si="22">IF(GL30="","",ABS(GL30))</f>
        <v>1.5222201396343227E-3</v>
      </c>
      <c r="GM57" s="9">
        <f t="shared" ca="1" si="22"/>
        <v>1.8521676016748367E-3</v>
      </c>
      <c r="GN57" s="9">
        <f t="shared" ca="1" si="22"/>
        <v>6.6514519234579517E-3</v>
      </c>
      <c r="GO57" s="9">
        <f t="shared" ca="1" si="22"/>
        <v>1.7933569034255692E-2</v>
      </c>
      <c r="GP57" s="9">
        <f t="shared" ca="1" si="22"/>
        <v>6.8074487143628959E-3</v>
      </c>
      <c r="GQ57" s="9">
        <f t="shared" ca="1" si="22"/>
        <v>7.135776528407467E-3</v>
      </c>
      <c r="GR57" s="9">
        <f t="shared" ca="1" si="22"/>
        <v>5.6106943093008343E-3</v>
      </c>
      <c r="GS57" s="9">
        <f t="shared" ca="1" si="22"/>
        <v>5.3907107496498075E-4</v>
      </c>
      <c r="GT57" s="9">
        <f t="shared" ca="1" si="22"/>
        <v>5.8408826851963358E-4</v>
      </c>
      <c r="GU57" s="9">
        <f t="shared" ca="1" si="22"/>
        <v>9.4449431700294184E-4</v>
      </c>
      <c r="GV57" s="9">
        <f t="shared" ca="1" si="22"/>
        <v>2.391325587426385E-4</v>
      </c>
      <c r="GW57" s="9">
        <f t="shared" ca="1" si="22"/>
        <v>3.7456272241875865E-4</v>
      </c>
      <c r="GX57" s="9">
        <f t="shared" ca="1" si="22"/>
        <v>4.7761000160440048E-4</v>
      </c>
      <c r="GY57" s="9" t="str">
        <f t="shared" ca="1" si="22"/>
        <v/>
      </c>
      <c r="GZ57" s="9" t="str">
        <f t="shared" ca="1" si="22"/>
        <v/>
      </c>
      <c r="HA57" s="9" t="str">
        <f t="shared" ca="1" si="22"/>
        <v/>
      </c>
      <c r="HB57" s="9" t="str">
        <f t="shared" ca="1" si="22"/>
        <v/>
      </c>
      <c r="HC57" s="9" t="str">
        <f t="shared" ca="1" si="22"/>
        <v/>
      </c>
      <c r="HD57" s="9" t="str">
        <f t="shared" ca="1" si="22"/>
        <v/>
      </c>
      <c r="HE57" s="9" t="str">
        <f t="shared" ca="1" si="22"/>
        <v/>
      </c>
      <c r="HF57" s="9" t="str">
        <f t="shared" ca="1" si="22"/>
        <v/>
      </c>
      <c r="HG57" s="9" t="str">
        <f t="shared" ca="1" si="22"/>
        <v/>
      </c>
      <c r="HH57" s="9" t="str">
        <f t="shared" ca="1" si="22"/>
        <v/>
      </c>
      <c r="HI57" s="9" t="str">
        <f t="shared" ca="1" si="22"/>
        <v/>
      </c>
      <c r="HJ57" s="9" t="str">
        <f t="shared" ca="1" si="22"/>
        <v/>
      </c>
      <c r="HK57" s="9" t="str">
        <f t="shared" ca="1" si="22"/>
        <v/>
      </c>
      <c r="HL57" s="9" t="str">
        <f t="shared" ca="1" si="22"/>
        <v/>
      </c>
      <c r="HM57" s="9" t="str">
        <f t="shared" ca="1" si="22"/>
        <v/>
      </c>
      <c r="HN57" s="9" t="str">
        <f t="shared" ca="1" si="22"/>
        <v/>
      </c>
      <c r="HO57" s="9" t="str">
        <f t="shared" ca="1" si="22"/>
        <v/>
      </c>
      <c r="HP57" s="9" t="str">
        <f t="shared" ca="1" si="22"/>
        <v/>
      </c>
      <c r="HQ57" s="9" t="str">
        <f t="shared" ca="1" si="22"/>
        <v/>
      </c>
      <c r="HR57" s="9" t="str">
        <f t="shared" ca="1" si="22"/>
        <v/>
      </c>
      <c r="HS57" s="9" t="str">
        <f t="shared" ca="1" si="22"/>
        <v/>
      </c>
      <c r="HT57" s="9" t="str">
        <f t="shared" ca="1" si="22"/>
        <v/>
      </c>
      <c r="HU57" s="9" t="str">
        <f t="shared" ca="1" si="22"/>
        <v/>
      </c>
      <c r="HV57" s="9" t="str">
        <f t="shared" ca="1" si="22"/>
        <v/>
      </c>
      <c r="HW57" s="9" t="str">
        <f t="shared" ca="1" si="22"/>
        <v/>
      </c>
      <c r="HX57" s="9" t="str">
        <f t="shared" ca="1" si="22"/>
        <v/>
      </c>
      <c r="HY57" s="9" t="str">
        <f t="shared" ca="1" si="22"/>
        <v/>
      </c>
      <c r="HZ57" s="9" t="str">
        <f t="shared" ca="1" si="22"/>
        <v/>
      </c>
      <c r="IA57" s="9" t="str">
        <f t="shared" ca="1" si="22"/>
        <v/>
      </c>
      <c r="IB57" s="9" t="str">
        <f t="shared" ca="1" si="22"/>
        <v/>
      </c>
      <c r="IC57" s="9" t="str">
        <f t="shared" ca="1" si="22"/>
        <v/>
      </c>
      <c r="ID57" s="9" t="str">
        <f t="shared" ca="1" si="22"/>
        <v/>
      </c>
      <c r="IE57" s="9" t="str">
        <f t="shared" ca="1" si="22"/>
        <v/>
      </c>
      <c r="IF57" s="9" t="str">
        <f t="shared" ca="1" si="22"/>
        <v/>
      </c>
      <c r="IG57" s="9" t="str">
        <f t="shared" ca="1" si="22"/>
        <v/>
      </c>
      <c r="IH57" s="9" t="str">
        <f t="shared" ca="1" si="22"/>
        <v/>
      </c>
      <c r="II57" s="9" t="str">
        <f t="shared" ca="1" si="22"/>
        <v/>
      </c>
      <c r="IJ57" s="9" t="str">
        <f t="shared" ca="1" si="22"/>
        <v/>
      </c>
      <c r="IK57" s="9" t="str">
        <f t="shared" ca="1" si="22"/>
        <v/>
      </c>
      <c r="IL57" s="9" t="str">
        <f t="shared" ca="1" si="22"/>
        <v/>
      </c>
      <c r="IM57" s="9" t="str">
        <f t="shared" ca="1" si="22"/>
        <v/>
      </c>
      <c r="IN57" s="9" t="str">
        <f t="shared" ca="1" si="22"/>
        <v/>
      </c>
      <c r="IO57" s="9" t="str">
        <f t="shared" ca="1" si="22"/>
        <v/>
      </c>
      <c r="IP57" s="9" t="str">
        <f t="shared" ca="1" si="22"/>
        <v/>
      </c>
      <c r="IQ57" s="9" t="str">
        <f t="shared" ca="1" si="22"/>
        <v/>
      </c>
      <c r="IR57" s="9" t="str">
        <f t="shared" ca="1" si="22"/>
        <v/>
      </c>
      <c r="IS57" s="9" t="str">
        <f t="shared" ca="1" si="22"/>
        <v/>
      </c>
      <c r="IT57" s="9" t="str">
        <f t="shared" ca="1" si="22"/>
        <v/>
      </c>
      <c r="IU57" s="9" t="str">
        <f t="shared" ca="1" si="22"/>
        <v/>
      </c>
      <c r="IV57" s="9" t="str">
        <f t="shared" ca="1" si="22"/>
        <v/>
      </c>
      <c r="IW57" s="9" t="str">
        <f t="shared" ca="1" si="22"/>
        <v/>
      </c>
      <c r="IX57" s="9" t="str">
        <f t="shared" ref="IX57:JH57" ca="1" si="23">IF(IX30="","",ABS(IX30))</f>
        <v/>
      </c>
      <c r="IY57" s="9" t="str">
        <f t="shared" ca="1" si="23"/>
        <v/>
      </c>
      <c r="IZ57" s="9" t="str">
        <f t="shared" ca="1" si="23"/>
        <v/>
      </c>
      <c r="JA57" s="9" t="str">
        <f t="shared" ca="1" si="23"/>
        <v/>
      </c>
      <c r="JB57" s="9" t="str">
        <f t="shared" ca="1" si="23"/>
        <v/>
      </c>
      <c r="JC57" s="9" t="str">
        <f t="shared" ca="1" si="23"/>
        <v/>
      </c>
      <c r="JD57" s="9" t="str">
        <f t="shared" ca="1" si="23"/>
        <v/>
      </c>
      <c r="JE57" s="9" t="str">
        <f t="shared" ca="1" si="23"/>
        <v/>
      </c>
      <c r="JF57" s="9" t="str">
        <f t="shared" ca="1" si="23"/>
        <v/>
      </c>
      <c r="JG57" s="9" t="str">
        <f t="shared" ca="1" si="23"/>
        <v/>
      </c>
      <c r="JH57" s="9" t="str">
        <f t="shared" ca="1" si="23"/>
        <v/>
      </c>
      <c r="JI57" s="13">
        <f t="shared" ref="JI57:JI68" ca="1" si="24">AVERAGE(OFFSET($B57,0,Inicio-1,1,Amplitud))</f>
        <v>2.0604212755647969E-3</v>
      </c>
      <c r="JJ57" s="13">
        <f t="shared" ref="JJ57:JJ68" ca="1" si="25">MEDIAN(OFFSET($B57,0,Inicio-1,1,Amplitud))</f>
        <v>9.2015363164532626E-4</v>
      </c>
      <c r="JK57" s="14">
        <f t="shared" ref="JK57:JK68" ca="1" si="26">VARP(OFFSET($B57,0,Inicio-1,1,Amplitud))</f>
        <v>1.0969479142642884E-5</v>
      </c>
      <c r="JL57" s="17">
        <f ca="1">SQRT(JK57)</f>
        <v>3.3120204019061964E-3</v>
      </c>
      <c r="JM57" s="15" t="str">
        <f t="shared" ref="JM57:JM68" ca="1" si="27">CONCATENATE("[ ",TEXT(JI57-2*JL57,"0,00%")," ; ",TEXT(JI57+2*JL57,"0,00%")," ]")</f>
        <v>[ -0,46% ; 0,87% ]</v>
      </c>
      <c r="JN57" s="17">
        <f t="shared" ref="JN57:JN68" ca="1" si="28">JL57*JN$29</f>
        <v>4.2393861144399319E-3</v>
      </c>
      <c r="LY57" s="1"/>
    </row>
    <row r="58" spans="1:337" x14ac:dyDescent="0.25">
      <c r="A58" s="4">
        <v>2</v>
      </c>
      <c r="B58" s="9">
        <f t="shared" ref="B58:BM58" ca="1" si="29">IF(B31="","",ABS(B31))</f>
        <v>8.4106816850249011E-4</v>
      </c>
      <c r="C58" s="9">
        <f t="shared" ca="1" si="29"/>
        <v>9.7157610575049347E-5</v>
      </c>
      <c r="D58" s="9">
        <f t="shared" ca="1" si="29"/>
        <v>4.6291294423672635E-4</v>
      </c>
      <c r="E58" s="9">
        <f t="shared" ca="1" si="29"/>
        <v>7.3812058018840609E-4</v>
      </c>
      <c r="F58" s="9">
        <f t="shared" ca="1" si="29"/>
        <v>2.3362712554276799E-3</v>
      </c>
      <c r="G58" s="9">
        <f t="shared" ca="1" si="29"/>
        <v>1.7994807784692535E-3</v>
      </c>
      <c r="H58" s="9">
        <f t="shared" ca="1" si="29"/>
        <v>3.6271171561874649E-4</v>
      </c>
      <c r="I58" s="9">
        <f t="shared" ca="1" si="29"/>
        <v>1.9051757016796955E-4</v>
      </c>
      <c r="J58" s="9">
        <f t="shared" ca="1" si="29"/>
        <v>6.3898606003687242E-4</v>
      </c>
      <c r="K58" s="9">
        <f t="shared" ca="1" si="29"/>
        <v>9.777608567138607E-4</v>
      </c>
      <c r="L58" s="9">
        <f t="shared" ca="1" si="29"/>
        <v>1.3200207644014084E-3</v>
      </c>
      <c r="M58" s="9">
        <f t="shared" ca="1" si="29"/>
        <v>3.2910315256630129E-3</v>
      </c>
      <c r="N58" s="9">
        <f t="shared" ca="1" si="29"/>
        <v>1.270793212520438E-3</v>
      </c>
      <c r="O58" s="9">
        <f t="shared" ca="1" si="29"/>
        <v>1.5578139862284512E-3</v>
      </c>
      <c r="P58" s="9">
        <f t="shared" ca="1" si="29"/>
        <v>2.9013057386668706E-3</v>
      </c>
      <c r="Q58" s="9">
        <f t="shared" ca="1" si="29"/>
        <v>3.1825297089447258E-3</v>
      </c>
      <c r="R58" s="9">
        <f t="shared" ca="1" si="29"/>
        <v>2.2553120164656715E-3</v>
      </c>
      <c r="S58" s="9">
        <f t="shared" ca="1" si="29"/>
        <v>9.68310905223424E-4</v>
      </c>
      <c r="T58" s="9">
        <f t="shared" ca="1" si="29"/>
        <v>9.0949433946363456E-4</v>
      </c>
      <c r="U58" s="9">
        <f t="shared" ca="1" si="29"/>
        <v>5.5201126042936366E-4</v>
      </c>
      <c r="V58" s="9">
        <f t="shared" ca="1" si="29"/>
        <v>3.1274542467119026E-4</v>
      </c>
      <c r="W58" s="9">
        <f t="shared" ca="1" si="29"/>
        <v>7.1556140748363362E-4</v>
      </c>
      <c r="X58" s="9">
        <f t="shared" ca="1" si="29"/>
        <v>2.229239703905872E-4</v>
      </c>
      <c r="Y58" s="9">
        <f t="shared" ca="1" si="29"/>
        <v>1.3998783732735998E-3</v>
      </c>
      <c r="Z58" s="9">
        <f t="shared" ca="1" si="29"/>
        <v>1.4793551710479136E-3</v>
      </c>
      <c r="AA58" s="9">
        <f t="shared" ca="1" si="29"/>
        <v>2.7991504739233175E-4</v>
      </c>
      <c r="AB58" s="9">
        <f t="shared" ca="1" si="29"/>
        <v>7.822996075130817E-4</v>
      </c>
      <c r="AC58" s="9">
        <f t="shared" ca="1" si="29"/>
        <v>3.1096479281744749E-4</v>
      </c>
      <c r="AD58" s="9">
        <f t="shared" ca="1" si="29"/>
        <v>4.55437959647087E-4</v>
      </c>
      <c r="AE58" s="9">
        <f t="shared" ca="1" si="29"/>
        <v>8.1804738095536678E-4</v>
      </c>
      <c r="AF58" s="9">
        <f t="shared" ca="1" si="29"/>
        <v>2.055015031396934E-4</v>
      </c>
      <c r="AG58" s="9">
        <f t="shared" ca="1" si="29"/>
        <v>3.4221047255811321E-4</v>
      </c>
      <c r="AH58" s="9">
        <f t="shared" ca="1" si="29"/>
        <v>1.4468056575988042E-3</v>
      </c>
      <c r="AI58" s="9">
        <f t="shared" ca="1" si="29"/>
        <v>1.165061569263548E-3</v>
      </c>
      <c r="AJ58" s="9">
        <f t="shared" ca="1" si="29"/>
        <v>1.3189853739556945E-3</v>
      </c>
      <c r="AK58" s="9">
        <f t="shared" ca="1" si="29"/>
        <v>1.9859734588776323E-3</v>
      </c>
      <c r="AL58" s="9">
        <f t="shared" ca="1" si="29"/>
        <v>2.8048755191465435E-3</v>
      </c>
      <c r="AM58" s="9">
        <f t="shared" ca="1" si="29"/>
        <v>3.9645047853797966E-3</v>
      </c>
      <c r="AN58" s="9">
        <f t="shared" ca="1" si="29"/>
        <v>1.9372588267405622E-3</v>
      </c>
      <c r="AO58" s="9">
        <f t="shared" ca="1" si="29"/>
        <v>6.4324404198545793E-4</v>
      </c>
      <c r="AP58" s="9">
        <f t="shared" ca="1" si="29"/>
        <v>1.2706294279505315E-3</v>
      </c>
      <c r="AQ58" s="9">
        <f t="shared" ca="1" si="29"/>
        <v>2.3920627177684839E-3</v>
      </c>
      <c r="AR58" s="9">
        <f t="shared" ca="1" si="29"/>
        <v>8.4945171727912605E-4</v>
      </c>
      <c r="AS58" s="9">
        <f t="shared" ca="1" si="29"/>
        <v>6.9878755937669013E-4</v>
      </c>
      <c r="AT58" s="9">
        <f t="shared" ca="1" si="29"/>
        <v>1.2828311905471734E-3</v>
      </c>
      <c r="AU58" s="9">
        <f t="shared" ca="1" si="29"/>
        <v>2.8949058032046171E-4</v>
      </c>
      <c r="AV58" s="9">
        <f t="shared" ca="1" si="29"/>
        <v>2.8932580172016387E-3</v>
      </c>
      <c r="AW58" s="9">
        <f t="shared" ca="1" si="29"/>
        <v>5.5284985110837237E-3</v>
      </c>
      <c r="AX58" s="9">
        <f t="shared" ca="1" si="29"/>
        <v>6.3483528608894169E-3</v>
      </c>
      <c r="AY58" s="9">
        <f t="shared" ca="1" si="29"/>
        <v>5.4308349505707287E-3</v>
      </c>
      <c r="AZ58" s="9">
        <f t="shared" ca="1" si="29"/>
        <v>4.271505334347836E-3</v>
      </c>
      <c r="BA58" s="9">
        <f t="shared" ca="1" si="29"/>
        <v>6.6051663362598489E-3</v>
      </c>
      <c r="BB58" s="9">
        <f t="shared" ca="1" si="29"/>
        <v>5.3395609551076806E-3</v>
      </c>
      <c r="BC58" s="9">
        <f t="shared" ca="1" si="29"/>
        <v>2.670571228852392E-3</v>
      </c>
      <c r="BD58" s="9">
        <f t="shared" ca="1" si="29"/>
        <v>3.7780329489438547E-3</v>
      </c>
      <c r="BE58" s="9">
        <f t="shared" ca="1" si="29"/>
        <v>3.7749469256385115E-3</v>
      </c>
      <c r="BF58" s="9">
        <f t="shared" ca="1" si="29"/>
        <v>4.1239826723342699E-3</v>
      </c>
      <c r="BG58" s="9">
        <f t="shared" ca="1" si="29"/>
        <v>8.2630868214903508E-3</v>
      </c>
      <c r="BH58" s="9">
        <f t="shared" ca="1" si="29"/>
        <v>4.9867907458813754E-3</v>
      </c>
      <c r="BI58" s="9">
        <f t="shared" ca="1" si="29"/>
        <v>3.389819851680631E-3</v>
      </c>
      <c r="BJ58" s="9">
        <f t="shared" ca="1" si="29"/>
        <v>2.915404133613686E-3</v>
      </c>
      <c r="BK58" s="9">
        <f t="shared" ca="1" si="29"/>
        <v>1.5356711634064713E-3</v>
      </c>
      <c r="BL58" s="9">
        <f t="shared" ca="1" si="29"/>
        <v>1.2599756738990164E-3</v>
      </c>
      <c r="BM58" s="9">
        <f t="shared" ca="1" si="29"/>
        <v>3.9742913261824331E-3</v>
      </c>
      <c r="BN58" s="9">
        <f t="shared" ref="BN58:DY58" ca="1" si="30">IF(BN31="","",ABS(BN31))</f>
        <v>8.6091281331578395E-3</v>
      </c>
      <c r="BO58" s="9">
        <f t="shared" ca="1" si="30"/>
        <v>6.2385844189579709E-3</v>
      </c>
      <c r="BP58" s="9">
        <f t="shared" ca="1" si="30"/>
        <v>8.407904730926008E-4</v>
      </c>
      <c r="BQ58" s="9">
        <f t="shared" ca="1" si="30"/>
        <v>7.59332353497566E-4</v>
      </c>
      <c r="BR58" s="9">
        <f t="shared" ca="1" si="30"/>
        <v>3.6290546371620103E-4</v>
      </c>
      <c r="BS58" s="9">
        <f t="shared" ca="1" si="30"/>
        <v>1.041873716515318E-3</v>
      </c>
      <c r="BT58" s="9">
        <f t="shared" ca="1" si="30"/>
        <v>6.5586916308183474E-3</v>
      </c>
      <c r="BU58" s="9">
        <f t="shared" ca="1" si="30"/>
        <v>2.8929925443064164E-3</v>
      </c>
      <c r="BV58" s="9">
        <f t="shared" ca="1" si="30"/>
        <v>1.6312738003072536E-3</v>
      </c>
      <c r="BW58" s="9">
        <f t="shared" ca="1" si="30"/>
        <v>9.6418398643915992E-4</v>
      </c>
      <c r="BX58" s="9">
        <f t="shared" ca="1" si="30"/>
        <v>5.3002246173510237E-3</v>
      </c>
      <c r="BY58" s="9">
        <f t="shared" ca="1" si="30"/>
        <v>5.6315923286683889E-3</v>
      </c>
      <c r="BZ58" s="9">
        <f t="shared" ca="1" si="30"/>
        <v>1.7254458030543374E-3</v>
      </c>
      <c r="CA58" s="9">
        <f t="shared" ca="1" si="30"/>
        <v>7.9430536035407506E-4</v>
      </c>
      <c r="CB58" s="9">
        <f t="shared" ca="1" si="30"/>
        <v>3.0474065891954449E-3</v>
      </c>
      <c r="CC58" s="9">
        <f t="shared" ca="1" si="30"/>
        <v>2.3419890417222256E-3</v>
      </c>
      <c r="CD58" s="9">
        <f t="shared" ca="1" si="30"/>
        <v>5.7468587590203679E-4</v>
      </c>
      <c r="CE58" s="9">
        <f t="shared" ca="1" si="30"/>
        <v>5.1379486574576472E-4</v>
      </c>
      <c r="CF58" s="9">
        <f t="shared" ca="1" si="30"/>
        <v>2.0224988765566998E-3</v>
      </c>
      <c r="CG58" s="9">
        <f t="shared" ca="1" si="30"/>
        <v>4.167255654987656E-4</v>
      </c>
      <c r="CH58" s="9">
        <f t="shared" ca="1" si="30"/>
        <v>9.258851766236198E-5</v>
      </c>
      <c r="CI58" s="9">
        <f t="shared" ca="1" si="30"/>
        <v>9.4999695680586527E-4</v>
      </c>
      <c r="CJ58" s="9">
        <f t="shared" ca="1" si="30"/>
        <v>4.8093480973474545E-3</v>
      </c>
      <c r="CK58" s="9">
        <f t="shared" ca="1" si="30"/>
        <v>1.8803271319957071E-3</v>
      </c>
      <c r="CL58" s="9">
        <f t="shared" ca="1" si="30"/>
        <v>1.3379200323386797E-3</v>
      </c>
      <c r="CM58" s="9">
        <f t="shared" ca="1" si="30"/>
        <v>3.7196587837839967E-3</v>
      </c>
      <c r="CN58" s="9">
        <f t="shared" ca="1" si="30"/>
        <v>4.325967471931591E-3</v>
      </c>
      <c r="CO58" s="9">
        <f t="shared" ca="1" si="30"/>
        <v>1.4452304827168305E-3</v>
      </c>
      <c r="CP58" s="9">
        <f t="shared" ca="1" si="30"/>
        <v>8.3533154551374E-4</v>
      </c>
      <c r="CQ58" s="9">
        <f t="shared" ca="1" si="30"/>
        <v>1.5680590231965663E-3</v>
      </c>
      <c r="CR58" s="9">
        <f t="shared" ca="1" si="30"/>
        <v>2.0152791719130203E-3</v>
      </c>
      <c r="CS58" s="9">
        <f t="shared" ca="1" si="30"/>
        <v>6.1355122495962977E-3</v>
      </c>
      <c r="CT58" s="9">
        <f t="shared" ca="1" si="30"/>
        <v>1.8730004630660435E-3</v>
      </c>
      <c r="CU58" s="9">
        <f t="shared" ca="1" si="30"/>
        <v>9.9405094201510114E-3</v>
      </c>
      <c r="CV58" s="9">
        <f t="shared" ca="1" si="30"/>
        <v>3.1779834668765883E-3</v>
      </c>
      <c r="CW58" s="9">
        <f t="shared" ca="1" si="30"/>
        <v>1.8504608937920386E-3</v>
      </c>
      <c r="CX58" s="9">
        <f t="shared" ca="1" si="30"/>
        <v>3.7958720788688893E-4</v>
      </c>
      <c r="CY58" s="9">
        <f t="shared" ca="1" si="30"/>
        <v>1.2368283286434689E-5</v>
      </c>
      <c r="CZ58" s="9">
        <f t="shared" ca="1" si="30"/>
        <v>7.8859396110830815E-4</v>
      </c>
      <c r="DA58" s="9">
        <f t="shared" ca="1" si="30"/>
        <v>2.5013618681180017E-3</v>
      </c>
      <c r="DB58" s="9">
        <f t="shared" ca="1" si="30"/>
        <v>3.260734451940861E-4</v>
      </c>
      <c r="DC58" s="9">
        <f t="shared" ca="1" si="30"/>
        <v>1.8659462263520554E-3</v>
      </c>
      <c r="DD58" s="9">
        <f t="shared" ca="1" si="30"/>
        <v>6.3415833683189149E-4</v>
      </c>
      <c r="DE58" s="9">
        <f t="shared" ca="1" si="30"/>
        <v>3.5820897151395137E-4</v>
      </c>
      <c r="DF58" s="9">
        <f t="shared" ca="1" si="30"/>
        <v>2.326317795465771E-3</v>
      </c>
      <c r="DG58" s="9">
        <f t="shared" ca="1" si="30"/>
        <v>3.1474201533676638E-4</v>
      </c>
      <c r="DH58" s="9">
        <f t="shared" ca="1" si="30"/>
        <v>4.9973267787734033E-3</v>
      </c>
      <c r="DI58" s="9">
        <f t="shared" ca="1" si="30"/>
        <v>6.3717539931877898E-3</v>
      </c>
      <c r="DJ58" s="9">
        <f t="shared" ca="1" si="30"/>
        <v>4.0975979608945945E-3</v>
      </c>
      <c r="DK58" s="9">
        <f t="shared" ca="1" si="30"/>
        <v>1.6916030672964322E-3</v>
      </c>
      <c r="DL58" s="9">
        <f t="shared" ca="1" si="30"/>
        <v>1.1125829730269654E-3</v>
      </c>
      <c r="DM58" s="9">
        <f t="shared" ca="1" si="30"/>
        <v>3.9133346043613848E-3</v>
      </c>
      <c r="DN58" s="9">
        <f t="shared" ca="1" si="30"/>
        <v>2.2180901271907638E-3</v>
      </c>
      <c r="DO58" s="9">
        <f t="shared" ca="1" si="30"/>
        <v>3.1888313632205678E-3</v>
      </c>
      <c r="DP58" s="9">
        <f t="shared" ca="1" si="30"/>
        <v>2.1615682503298705E-3</v>
      </c>
      <c r="DQ58" s="9">
        <f t="shared" ca="1" si="30"/>
        <v>1.7656785915798334E-3</v>
      </c>
      <c r="DR58" s="9">
        <f t="shared" ca="1" si="30"/>
        <v>1.7648984613733987E-3</v>
      </c>
      <c r="DS58" s="9">
        <f t="shared" ca="1" si="30"/>
        <v>2.3945234993938413E-5</v>
      </c>
      <c r="DT58" s="9">
        <f t="shared" ca="1" si="30"/>
        <v>1.0195008429807473E-3</v>
      </c>
      <c r="DU58" s="9">
        <f t="shared" ca="1" si="30"/>
        <v>1.3556871354982736E-3</v>
      </c>
      <c r="DV58" s="9">
        <f t="shared" ca="1" si="30"/>
        <v>1.1353557968616368E-3</v>
      </c>
      <c r="DW58" s="9">
        <f t="shared" ca="1" si="30"/>
        <v>2.519858700658073E-3</v>
      </c>
      <c r="DX58" s="9">
        <f t="shared" ca="1" si="30"/>
        <v>4.2606158744955547E-3</v>
      </c>
      <c r="DY58" s="9">
        <f t="shared" ca="1" si="30"/>
        <v>2.7766795506711794E-4</v>
      </c>
      <c r="DZ58" s="9">
        <f t="shared" ref="DZ58:GK58" ca="1" si="31">IF(DZ31="","",ABS(DZ31))</f>
        <v>3.2418731861892924E-3</v>
      </c>
      <c r="EA58" s="9" t="str">
        <f t="shared" ca="1" si="31"/>
        <v/>
      </c>
      <c r="EB58" s="9" t="str">
        <f t="shared" ca="1" si="31"/>
        <v/>
      </c>
      <c r="EC58" s="9" t="str">
        <f t="shared" ca="1" si="31"/>
        <v/>
      </c>
      <c r="ED58" s="9" t="str">
        <f t="shared" ca="1" si="31"/>
        <v/>
      </c>
      <c r="EE58" s="9" t="str">
        <f t="shared" ca="1" si="31"/>
        <v/>
      </c>
      <c r="EF58" s="9" t="str">
        <f t="shared" ca="1" si="31"/>
        <v/>
      </c>
      <c r="EG58" s="9">
        <f t="shared" ca="1" si="31"/>
        <v>2.1380284322590759E-3</v>
      </c>
      <c r="EH58" s="9">
        <f t="shared" ca="1" si="31"/>
        <v>3.1093935130044326E-4</v>
      </c>
      <c r="EI58" s="9">
        <f t="shared" ca="1" si="31"/>
        <v>1.6469854845193588E-3</v>
      </c>
      <c r="EJ58" s="9">
        <f t="shared" ca="1" si="31"/>
        <v>3.18315294391458E-3</v>
      </c>
      <c r="EK58" s="9">
        <f t="shared" ca="1" si="31"/>
        <v>1.3438631915183574E-3</v>
      </c>
      <c r="EL58" s="9">
        <f t="shared" ca="1" si="31"/>
        <v>3.6066496997144704E-4</v>
      </c>
      <c r="EM58" s="9">
        <f t="shared" ca="1" si="31"/>
        <v>5.6022528822863293E-4</v>
      </c>
      <c r="EN58" s="9">
        <f t="shared" ca="1" si="31"/>
        <v>6.8423134580721801E-3</v>
      </c>
      <c r="EO58" s="9">
        <f t="shared" ca="1" si="31"/>
        <v>2.3302484161278336E-3</v>
      </c>
      <c r="EP58" s="9">
        <f t="shared" ca="1" si="31"/>
        <v>8.2419590206348481E-3</v>
      </c>
      <c r="EQ58" s="9">
        <f t="shared" ca="1" si="31"/>
        <v>1.3015559512365993E-3</v>
      </c>
      <c r="ER58" s="9">
        <f t="shared" ca="1" si="31"/>
        <v>2.4671533677997903E-3</v>
      </c>
      <c r="ES58" s="9">
        <f t="shared" ca="1" si="31"/>
        <v>1.6695356913736248E-3</v>
      </c>
      <c r="ET58" s="9">
        <f t="shared" ca="1" si="31"/>
        <v>1.2375497176064787E-3</v>
      </c>
      <c r="EU58" s="9">
        <f t="shared" ca="1" si="31"/>
        <v>1.5275961882281752E-3</v>
      </c>
      <c r="EV58" s="9">
        <f t="shared" ca="1" si="31"/>
        <v>8.3127015330330956E-4</v>
      </c>
      <c r="EW58" s="9">
        <f t="shared" ca="1" si="31"/>
        <v>9.6236583852049584E-4</v>
      </c>
      <c r="EX58" s="9">
        <f t="shared" ca="1" si="31"/>
        <v>3.7073275479815315E-4</v>
      </c>
      <c r="EY58" s="9">
        <f t="shared" ca="1" si="31"/>
        <v>2.7921383642650621E-3</v>
      </c>
      <c r="EZ58" s="9">
        <f t="shared" ca="1" si="31"/>
        <v>3.4642934378870116E-4</v>
      </c>
      <c r="FA58" s="9">
        <f t="shared" ca="1" si="31"/>
        <v>2.5931197463089362E-3</v>
      </c>
      <c r="FB58" s="9">
        <f t="shared" ca="1" si="31"/>
        <v>1.4413980188272557E-3</v>
      </c>
      <c r="FC58" s="9">
        <f t="shared" ca="1" si="31"/>
        <v>2.2619516318441724E-3</v>
      </c>
      <c r="FD58" s="9">
        <f t="shared" ca="1" si="31"/>
        <v>4.6895713352745894E-4</v>
      </c>
      <c r="FE58" s="9">
        <f t="shared" ca="1" si="31"/>
        <v>7.2764952353332468E-4</v>
      </c>
      <c r="FF58" s="9">
        <f t="shared" ca="1" si="31"/>
        <v>3.0118451806226965E-4</v>
      </c>
      <c r="FG58" s="9">
        <f t="shared" ca="1" si="31"/>
        <v>4.8103528133487394E-3</v>
      </c>
      <c r="FH58" s="9">
        <f t="shared" ca="1" si="31"/>
        <v>5.2965162236993102E-3</v>
      </c>
      <c r="FI58" s="9">
        <f t="shared" ca="1" si="31"/>
        <v>1.1876384455805633E-3</v>
      </c>
      <c r="FJ58" s="9">
        <f t="shared" ca="1" si="31"/>
        <v>3.8463254678876568E-3</v>
      </c>
      <c r="FK58" s="9">
        <f t="shared" ca="1" si="31"/>
        <v>2.0604164173221307E-4</v>
      </c>
      <c r="FL58" s="9">
        <f t="shared" ca="1" si="31"/>
        <v>9.1217388669262434E-4</v>
      </c>
      <c r="FM58" s="9">
        <f t="shared" ca="1" si="31"/>
        <v>2.3924273055885292E-3</v>
      </c>
      <c r="FN58" s="9">
        <f t="shared" ca="1" si="31"/>
        <v>6.2373596874942816E-3</v>
      </c>
      <c r="FO58" s="9">
        <f t="shared" ca="1" si="31"/>
        <v>4.3268897917203564E-3</v>
      </c>
      <c r="FP58" s="9">
        <f t="shared" ca="1" si="31"/>
        <v>3.514148138378248E-3</v>
      </c>
      <c r="FQ58" s="9">
        <f t="shared" ca="1" si="31"/>
        <v>2.2756100620284769E-3</v>
      </c>
      <c r="FR58" s="9">
        <f t="shared" ca="1" si="31"/>
        <v>1.0779148449495679E-3</v>
      </c>
      <c r="FS58" s="9">
        <f t="shared" ca="1" si="31"/>
        <v>3.289022244598705E-3</v>
      </c>
      <c r="FT58" s="9">
        <f t="shared" ca="1" si="31"/>
        <v>2.5091548684965659E-3</v>
      </c>
      <c r="FU58" s="9">
        <f t="shared" ca="1" si="31"/>
        <v>1.096470539284744E-3</v>
      </c>
      <c r="FV58" s="9">
        <f t="shared" ca="1" si="31"/>
        <v>2.708764332758129E-3</v>
      </c>
      <c r="FW58" s="9">
        <f t="shared" ca="1" si="31"/>
        <v>1.4010926208176677E-3</v>
      </c>
      <c r="FX58" s="9">
        <f t="shared" ca="1" si="31"/>
        <v>8.4440446018518855E-5</v>
      </c>
      <c r="FY58" s="9">
        <f t="shared" ca="1" si="31"/>
        <v>1.6547909384492243E-3</v>
      </c>
      <c r="FZ58" s="9">
        <f t="shared" ca="1" si="31"/>
        <v>5.6071999727071997E-3</v>
      </c>
      <c r="GA58" s="9">
        <f t="shared" ca="1" si="31"/>
        <v>1.1636241131127711E-3</v>
      </c>
      <c r="GB58" s="9">
        <f t="shared" ca="1" si="31"/>
        <v>1.1278667184739799E-3</v>
      </c>
      <c r="GC58" s="9">
        <f t="shared" ca="1" si="31"/>
        <v>1.3195239889278731E-3</v>
      </c>
      <c r="GD58" s="9">
        <f t="shared" ca="1" si="31"/>
        <v>2.9451280323754547E-3</v>
      </c>
      <c r="GE58" s="9">
        <f t="shared" ca="1" si="31"/>
        <v>1.9267491536456571E-3</v>
      </c>
      <c r="GF58" s="9">
        <f t="shared" ca="1" si="31"/>
        <v>5.3332706719655398E-4</v>
      </c>
      <c r="GG58" s="9">
        <f t="shared" ca="1" si="31"/>
        <v>2.0030698820949766E-5</v>
      </c>
      <c r="GH58" s="9">
        <f t="shared" ca="1" si="31"/>
        <v>6.2421935866130429E-4</v>
      </c>
      <c r="GI58" s="9">
        <f t="shared" ca="1" si="31"/>
        <v>7.7716096512481236E-4</v>
      </c>
      <c r="GJ58" s="9">
        <f t="shared" ca="1" si="31"/>
        <v>2.0539981118159467E-3</v>
      </c>
      <c r="GK58" s="9">
        <f t="shared" ca="1" si="31"/>
        <v>8.9630230391812837E-4</v>
      </c>
      <c r="GL58" s="9">
        <f t="shared" ref="GL58:IW58" ca="1" si="32">IF(GL31="","",ABS(GL31))</f>
        <v>1.2721068096945842E-3</v>
      </c>
      <c r="GM58" s="9">
        <f t="shared" ca="1" si="32"/>
        <v>4.4242155178928488E-3</v>
      </c>
      <c r="GN58" s="9">
        <f t="shared" ca="1" si="32"/>
        <v>2.6646676555684978E-2</v>
      </c>
      <c r="GO58" s="9">
        <f t="shared" ca="1" si="32"/>
        <v>1.5519729729382759E-2</v>
      </c>
      <c r="GP58" s="9">
        <f t="shared" ca="1" si="32"/>
        <v>1.9505153386306873E-2</v>
      </c>
      <c r="GQ58" s="9">
        <f t="shared" ca="1" si="32"/>
        <v>1.4579415061426237E-2</v>
      </c>
      <c r="GR58" s="9">
        <f t="shared" ca="1" si="32"/>
        <v>8.8682241726210087E-3</v>
      </c>
      <c r="GS58" s="9">
        <f t="shared" ca="1" si="32"/>
        <v>2.9549485467417202E-4</v>
      </c>
      <c r="GT58" s="9">
        <f t="shared" ca="1" si="32"/>
        <v>6.5077936643320733E-4</v>
      </c>
      <c r="GU58" s="9">
        <f t="shared" ca="1" si="32"/>
        <v>1.8217028691824844E-3</v>
      </c>
      <c r="GV58" s="9">
        <f t="shared" ca="1" si="32"/>
        <v>7.7425168501066288E-4</v>
      </c>
      <c r="GW58" s="9">
        <f t="shared" ca="1" si="32"/>
        <v>6.8872362395133724E-4</v>
      </c>
      <c r="GX58" s="9" t="str">
        <f t="shared" ca="1" si="32"/>
        <v/>
      </c>
      <c r="GY58" s="9" t="str">
        <f t="shared" ca="1" si="32"/>
        <v/>
      </c>
      <c r="GZ58" s="9" t="str">
        <f t="shared" ca="1" si="32"/>
        <v/>
      </c>
      <c r="HA58" s="9" t="str">
        <f t="shared" ca="1" si="32"/>
        <v/>
      </c>
      <c r="HB58" s="9" t="str">
        <f t="shared" ca="1" si="32"/>
        <v/>
      </c>
      <c r="HC58" s="9" t="str">
        <f t="shared" ca="1" si="32"/>
        <v/>
      </c>
      <c r="HD58" s="9" t="str">
        <f t="shared" ca="1" si="32"/>
        <v/>
      </c>
      <c r="HE58" s="9" t="str">
        <f t="shared" ca="1" si="32"/>
        <v/>
      </c>
      <c r="HF58" s="9" t="str">
        <f t="shared" ca="1" si="32"/>
        <v/>
      </c>
      <c r="HG58" s="9" t="str">
        <f t="shared" ca="1" si="32"/>
        <v/>
      </c>
      <c r="HH58" s="9" t="str">
        <f t="shared" ca="1" si="32"/>
        <v/>
      </c>
      <c r="HI58" s="9" t="str">
        <f t="shared" ca="1" si="32"/>
        <v/>
      </c>
      <c r="HJ58" s="9" t="str">
        <f t="shared" ca="1" si="32"/>
        <v/>
      </c>
      <c r="HK58" s="9" t="str">
        <f t="shared" ca="1" si="32"/>
        <v/>
      </c>
      <c r="HL58" s="9" t="str">
        <f t="shared" ca="1" si="32"/>
        <v/>
      </c>
      <c r="HM58" s="9" t="str">
        <f t="shared" ca="1" si="32"/>
        <v/>
      </c>
      <c r="HN58" s="9" t="str">
        <f t="shared" ca="1" si="32"/>
        <v/>
      </c>
      <c r="HO58" s="9" t="str">
        <f t="shared" ca="1" si="32"/>
        <v/>
      </c>
      <c r="HP58" s="9" t="str">
        <f t="shared" ca="1" si="32"/>
        <v/>
      </c>
      <c r="HQ58" s="9" t="str">
        <f t="shared" ca="1" si="32"/>
        <v/>
      </c>
      <c r="HR58" s="9" t="str">
        <f t="shared" ca="1" si="32"/>
        <v/>
      </c>
      <c r="HS58" s="9" t="str">
        <f t="shared" ca="1" si="32"/>
        <v/>
      </c>
      <c r="HT58" s="9" t="str">
        <f t="shared" ca="1" si="32"/>
        <v/>
      </c>
      <c r="HU58" s="9" t="str">
        <f t="shared" ca="1" si="32"/>
        <v/>
      </c>
      <c r="HV58" s="9" t="str">
        <f t="shared" ca="1" si="32"/>
        <v/>
      </c>
      <c r="HW58" s="9" t="str">
        <f t="shared" ca="1" si="32"/>
        <v/>
      </c>
      <c r="HX58" s="9" t="str">
        <f t="shared" ca="1" si="32"/>
        <v/>
      </c>
      <c r="HY58" s="9" t="str">
        <f t="shared" ca="1" si="32"/>
        <v/>
      </c>
      <c r="HZ58" s="9" t="str">
        <f t="shared" ca="1" si="32"/>
        <v/>
      </c>
      <c r="IA58" s="9" t="str">
        <f t="shared" ca="1" si="32"/>
        <v/>
      </c>
      <c r="IB58" s="9" t="str">
        <f t="shared" ca="1" si="32"/>
        <v/>
      </c>
      <c r="IC58" s="9" t="str">
        <f t="shared" ca="1" si="32"/>
        <v/>
      </c>
      <c r="ID58" s="9" t="str">
        <f t="shared" ca="1" si="32"/>
        <v/>
      </c>
      <c r="IE58" s="9" t="str">
        <f t="shared" ca="1" si="32"/>
        <v/>
      </c>
      <c r="IF58" s="9" t="str">
        <f t="shared" ca="1" si="32"/>
        <v/>
      </c>
      <c r="IG58" s="9" t="str">
        <f t="shared" ca="1" si="32"/>
        <v/>
      </c>
      <c r="IH58" s="9" t="str">
        <f t="shared" ca="1" si="32"/>
        <v/>
      </c>
      <c r="II58" s="9" t="str">
        <f t="shared" ca="1" si="32"/>
        <v/>
      </c>
      <c r="IJ58" s="9" t="str">
        <f t="shared" ca="1" si="32"/>
        <v/>
      </c>
      <c r="IK58" s="9" t="str">
        <f t="shared" ca="1" si="32"/>
        <v/>
      </c>
      <c r="IL58" s="9" t="str">
        <f t="shared" ca="1" si="32"/>
        <v/>
      </c>
      <c r="IM58" s="9" t="str">
        <f t="shared" ca="1" si="32"/>
        <v/>
      </c>
      <c r="IN58" s="9" t="str">
        <f t="shared" ca="1" si="32"/>
        <v/>
      </c>
      <c r="IO58" s="9" t="str">
        <f t="shared" ca="1" si="32"/>
        <v/>
      </c>
      <c r="IP58" s="9" t="str">
        <f t="shared" ca="1" si="32"/>
        <v/>
      </c>
      <c r="IQ58" s="9" t="str">
        <f t="shared" ca="1" si="32"/>
        <v/>
      </c>
      <c r="IR58" s="9" t="str">
        <f t="shared" ca="1" si="32"/>
        <v/>
      </c>
      <c r="IS58" s="9" t="str">
        <f t="shared" ca="1" si="32"/>
        <v/>
      </c>
      <c r="IT58" s="9" t="str">
        <f t="shared" ca="1" si="32"/>
        <v/>
      </c>
      <c r="IU58" s="9" t="str">
        <f t="shared" ca="1" si="32"/>
        <v/>
      </c>
      <c r="IV58" s="9" t="str">
        <f t="shared" ca="1" si="32"/>
        <v/>
      </c>
      <c r="IW58" s="9" t="str">
        <f t="shared" ca="1" si="32"/>
        <v/>
      </c>
      <c r="IX58" s="9" t="str">
        <f t="shared" ref="IX58:JH58" ca="1" si="33">IF(IX31="","",ABS(IX31))</f>
        <v/>
      </c>
      <c r="IY58" s="9" t="str">
        <f t="shared" ca="1" si="33"/>
        <v/>
      </c>
      <c r="IZ58" s="9" t="str">
        <f t="shared" ca="1" si="33"/>
        <v/>
      </c>
      <c r="JA58" s="9" t="str">
        <f t="shared" ca="1" si="33"/>
        <v/>
      </c>
      <c r="JB58" s="9" t="str">
        <f t="shared" ca="1" si="33"/>
        <v/>
      </c>
      <c r="JC58" s="9" t="str">
        <f t="shared" ca="1" si="33"/>
        <v/>
      </c>
      <c r="JD58" s="9" t="str">
        <f t="shared" ca="1" si="33"/>
        <v/>
      </c>
      <c r="JE58" s="9" t="str">
        <f t="shared" ca="1" si="33"/>
        <v/>
      </c>
      <c r="JF58" s="9" t="str">
        <f t="shared" ca="1" si="33"/>
        <v/>
      </c>
      <c r="JG58" s="9" t="str">
        <f t="shared" ca="1" si="33"/>
        <v/>
      </c>
      <c r="JH58" s="9" t="str">
        <f t="shared" ca="1" si="33"/>
        <v/>
      </c>
      <c r="JI58" s="13">
        <f t="shared" ca="1" si="24"/>
        <v>3.9422829412726285E-3</v>
      </c>
      <c r="JJ58" s="13">
        <f t="shared" ca="1" si="25"/>
        <v>1.6547909384492243E-3</v>
      </c>
      <c r="JK58" s="14">
        <f t="shared" ca="1" si="26"/>
        <v>3.5056300680334924E-5</v>
      </c>
      <c r="JL58" s="17">
        <f t="shared" ref="JL58:JL68" ca="1" si="34">SQRT(JK58)</f>
        <v>5.9208361470602213E-3</v>
      </c>
      <c r="JM58" s="15" t="str">
        <f t="shared" ca="1" si="27"/>
        <v>[ -0,79% ; 1,58% ]</v>
      </c>
      <c r="JN58" s="17">
        <f t="shared" ca="1" si="28"/>
        <v>7.5786702682370836E-3</v>
      </c>
      <c r="LY58" s="1"/>
    </row>
    <row r="59" spans="1:337" x14ac:dyDescent="0.25">
      <c r="A59" s="4">
        <v>3</v>
      </c>
      <c r="B59" s="9">
        <f t="shared" ref="B59:BM59" ca="1" si="35">IF(B32="","",ABS(B32))</f>
        <v>1.8682900741257003E-3</v>
      </c>
      <c r="C59" s="9">
        <f t="shared" ca="1" si="35"/>
        <v>1.1054829764653995E-3</v>
      </c>
      <c r="D59" s="9">
        <f t="shared" ca="1" si="35"/>
        <v>1.7550214395027908E-3</v>
      </c>
      <c r="E59" s="9">
        <f t="shared" ca="1" si="35"/>
        <v>1.9269981595422259E-3</v>
      </c>
      <c r="F59" s="9">
        <f t="shared" ca="1" si="35"/>
        <v>2.5142005005179824E-3</v>
      </c>
      <c r="G59" s="9">
        <f t="shared" ca="1" si="35"/>
        <v>1.5320988320364215E-3</v>
      </c>
      <c r="H59" s="9">
        <f t="shared" ca="1" si="35"/>
        <v>9.3716818789457701E-4</v>
      </c>
      <c r="I59" s="9">
        <f t="shared" ca="1" si="35"/>
        <v>1.0811637488101766E-3</v>
      </c>
      <c r="J59" s="9">
        <f t="shared" ca="1" si="35"/>
        <v>4.5689926200487285E-4</v>
      </c>
      <c r="K59" s="9">
        <f t="shared" ca="1" si="35"/>
        <v>1.1560593166926036E-4</v>
      </c>
      <c r="L59" s="9">
        <f t="shared" ca="1" si="35"/>
        <v>2.9225409284634463E-3</v>
      </c>
      <c r="M59" s="9">
        <f t="shared" ca="1" si="35"/>
        <v>2.9310535007355254E-3</v>
      </c>
      <c r="N59" s="9">
        <f t="shared" ca="1" si="35"/>
        <v>1.7437816393095495E-4</v>
      </c>
      <c r="O59" s="9">
        <f t="shared" ca="1" si="35"/>
        <v>3.3344453646257932E-3</v>
      </c>
      <c r="P59" s="9">
        <f t="shared" ca="1" si="35"/>
        <v>4.3355178072415068E-3</v>
      </c>
      <c r="Q59" s="9">
        <f t="shared" ca="1" si="35"/>
        <v>3.4668646733941877E-3</v>
      </c>
      <c r="R59" s="9">
        <f t="shared" ca="1" si="35"/>
        <v>3.0400415691127503E-3</v>
      </c>
      <c r="S59" s="9">
        <f t="shared" ca="1" si="35"/>
        <v>1.6508808651913842E-3</v>
      </c>
      <c r="T59" s="9">
        <f t="shared" ca="1" si="35"/>
        <v>1.0808246454372394E-3</v>
      </c>
      <c r="U59" s="9">
        <f t="shared" ca="1" si="35"/>
        <v>6.8893477598042097E-4</v>
      </c>
      <c r="V59" s="9">
        <f t="shared" ca="1" si="35"/>
        <v>9.67194186648479E-4</v>
      </c>
      <c r="W59" s="9">
        <f t="shared" ca="1" si="35"/>
        <v>1.5788736888255883E-4</v>
      </c>
      <c r="X59" s="9">
        <f t="shared" ca="1" si="35"/>
        <v>5.9617098632624987E-4</v>
      </c>
      <c r="Y59" s="9">
        <f t="shared" ca="1" si="35"/>
        <v>2.6972805775486997E-3</v>
      </c>
      <c r="Z59" s="9">
        <f t="shared" ca="1" si="35"/>
        <v>7.7904386056482089E-4</v>
      </c>
      <c r="AA59" s="9">
        <f t="shared" ca="1" si="35"/>
        <v>2.4765893434963715E-4</v>
      </c>
      <c r="AB59" s="9">
        <f t="shared" ca="1" si="35"/>
        <v>6.5934450370042086E-4</v>
      </c>
      <c r="AC59" s="9">
        <f t="shared" ca="1" si="35"/>
        <v>5.2206957301692558E-4</v>
      </c>
      <c r="AD59" s="9">
        <f t="shared" ca="1" si="35"/>
        <v>1.1612280155970378E-3</v>
      </c>
      <c r="AE59" s="9">
        <f t="shared" ca="1" si="35"/>
        <v>2.1570740607046446E-5</v>
      </c>
      <c r="AF59" s="9">
        <f t="shared" ca="1" si="35"/>
        <v>2.1691721500982641E-4</v>
      </c>
      <c r="AG59" s="9">
        <f t="shared" ca="1" si="35"/>
        <v>2.6587864428329055E-4</v>
      </c>
      <c r="AH59" s="9">
        <f t="shared" ca="1" si="35"/>
        <v>1.9214511004472801E-3</v>
      </c>
      <c r="AI59" s="9">
        <f t="shared" ca="1" si="35"/>
        <v>2.5621502737267488E-3</v>
      </c>
      <c r="AJ59" s="9">
        <f t="shared" ca="1" si="35"/>
        <v>2.353756830197562E-3</v>
      </c>
      <c r="AK59" s="9">
        <f t="shared" ca="1" si="35"/>
        <v>4.5195681499212714E-3</v>
      </c>
      <c r="AL59" s="9">
        <f t="shared" ca="1" si="35"/>
        <v>4.714459271988436E-3</v>
      </c>
      <c r="AM59" s="9">
        <f t="shared" ca="1" si="35"/>
        <v>4.5569164184320332E-3</v>
      </c>
      <c r="AN59" s="9">
        <f t="shared" ca="1" si="35"/>
        <v>2.1231800333086914E-3</v>
      </c>
      <c r="AO59" s="9">
        <f t="shared" ca="1" si="35"/>
        <v>6.8714121937718531E-4</v>
      </c>
      <c r="AP59" s="9">
        <f t="shared" ca="1" si="35"/>
        <v>1.9982133348325215E-3</v>
      </c>
      <c r="AQ59" s="9">
        <f t="shared" ca="1" si="35"/>
        <v>2.8858733206307274E-3</v>
      </c>
      <c r="AR59" s="9">
        <f t="shared" ca="1" si="35"/>
        <v>1.5504187203390085E-3</v>
      </c>
      <c r="AS59" s="9">
        <f t="shared" ca="1" si="35"/>
        <v>1.3504139594189279E-3</v>
      </c>
      <c r="AT59" s="9">
        <f t="shared" ca="1" si="35"/>
        <v>6.6140579157969448E-4</v>
      </c>
      <c r="AU59" s="9">
        <f t="shared" ca="1" si="35"/>
        <v>1.7434694159395026E-3</v>
      </c>
      <c r="AV59" s="9">
        <f t="shared" ca="1" si="35"/>
        <v>6.0121605199388028E-3</v>
      </c>
      <c r="AW59" s="9">
        <f t="shared" ca="1" si="35"/>
        <v>1.0496386781571054E-2</v>
      </c>
      <c r="AX59" s="9">
        <f t="shared" ca="1" si="35"/>
        <v>9.0978372381156358E-3</v>
      </c>
      <c r="AY59" s="9">
        <f t="shared" ca="1" si="35"/>
        <v>1.0709695498984262E-2</v>
      </c>
      <c r="AZ59" s="9">
        <f t="shared" ca="1" si="35"/>
        <v>8.6345755624486209E-3</v>
      </c>
      <c r="BA59" s="9">
        <f t="shared" ca="1" si="35"/>
        <v>1.0941069089186684E-2</v>
      </c>
      <c r="BB59" s="9">
        <f t="shared" ca="1" si="35"/>
        <v>8.4368069915208288E-3</v>
      </c>
      <c r="BC59" s="9">
        <f t="shared" ca="1" si="35"/>
        <v>4.2875102101151974E-3</v>
      </c>
      <c r="BD59" s="9">
        <f t="shared" ca="1" si="35"/>
        <v>5.7533566296614769E-3</v>
      </c>
      <c r="BE59" s="9">
        <f t="shared" ca="1" si="35"/>
        <v>7.4183653887964773E-3</v>
      </c>
      <c r="BF59" s="9">
        <f t="shared" ca="1" si="35"/>
        <v>9.3596665618855823E-3</v>
      </c>
      <c r="BG59" s="9">
        <f t="shared" ca="1" si="35"/>
        <v>1.1570123061720228E-2</v>
      </c>
      <c r="BH59" s="9">
        <f t="shared" ca="1" si="35"/>
        <v>9.5240950584711825E-3</v>
      </c>
      <c r="BI59" s="9">
        <f t="shared" ca="1" si="35"/>
        <v>6.599884575961612E-3</v>
      </c>
      <c r="BJ59" s="9">
        <f t="shared" ca="1" si="35"/>
        <v>4.6800203257704176E-3</v>
      </c>
      <c r="BK59" s="9">
        <f t="shared" ca="1" si="35"/>
        <v>1.7036582548015655E-3</v>
      </c>
      <c r="BL59" s="9">
        <f t="shared" ca="1" si="35"/>
        <v>4.9862072347975905E-3</v>
      </c>
      <c r="BM59" s="9">
        <f t="shared" ca="1" si="35"/>
        <v>1.0015314853129564E-2</v>
      </c>
      <c r="BN59" s="9">
        <f t="shared" ref="BN59:DY59" ca="1" si="36">IF(BN32="","",ABS(BN32))</f>
        <v>1.3559871980847849E-2</v>
      </c>
      <c r="BO59" s="9">
        <f t="shared" ca="1" si="36"/>
        <v>9.5867020487585553E-3</v>
      </c>
      <c r="BP59" s="9">
        <f t="shared" ca="1" si="36"/>
        <v>1.7553307501602111E-3</v>
      </c>
      <c r="BQ59" s="9">
        <f t="shared" ca="1" si="36"/>
        <v>3.5384563589335727E-4</v>
      </c>
      <c r="BR59" s="9">
        <f t="shared" ca="1" si="36"/>
        <v>1.6292557779223893E-3</v>
      </c>
      <c r="BS59" s="9">
        <f t="shared" ca="1" si="36"/>
        <v>3.8667990263506757E-3</v>
      </c>
      <c r="BT59" s="9">
        <f t="shared" ca="1" si="36"/>
        <v>1.0273920559597416E-2</v>
      </c>
      <c r="BU59" s="9">
        <f t="shared" ca="1" si="36"/>
        <v>2.661371623219444E-3</v>
      </c>
      <c r="BV59" s="9">
        <f t="shared" ca="1" si="36"/>
        <v>1.7463010267693146E-3</v>
      </c>
      <c r="BW59" s="9">
        <f t="shared" ca="1" si="36"/>
        <v>1.5516256517992266E-3</v>
      </c>
      <c r="BX59" s="9">
        <f t="shared" ca="1" si="36"/>
        <v>9.0709484732488521E-3</v>
      </c>
      <c r="BY59" s="9">
        <f t="shared" ca="1" si="36"/>
        <v>8.1278192897824564E-3</v>
      </c>
      <c r="BZ59" s="9">
        <f t="shared" ca="1" si="36"/>
        <v>1.5684010526162417E-3</v>
      </c>
      <c r="CA59" s="9">
        <f t="shared" ca="1" si="36"/>
        <v>3.265953125470622E-3</v>
      </c>
      <c r="CB59" s="9">
        <f t="shared" ca="1" si="36"/>
        <v>5.3571500674149952E-3</v>
      </c>
      <c r="CC59" s="9">
        <f t="shared" ca="1" si="36"/>
        <v>2.4304911603532098E-3</v>
      </c>
      <c r="CD59" s="9">
        <f t="shared" ca="1" si="36"/>
        <v>3.8654190511744346E-5</v>
      </c>
      <c r="CE59" s="9">
        <f t="shared" ca="1" si="36"/>
        <v>2.3762457259124403E-4</v>
      </c>
      <c r="CF59" s="9">
        <f t="shared" ca="1" si="36"/>
        <v>2.433716345272785E-3</v>
      </c>
      <c r="CG59" s="9">
        <f t="shared" ca="1" si="36"/>
        <v>1.4450551621616459E-3</v>
      </c>
      <c r="CH59" s="9">
        <f t="shared" ca="1" si="36"/>
        <v>2.6174424834889409E-3</v>
      </c>
      <c r="CI59" s="9">
        <f t="shared" ca="1" si="36"/>
        <v>1.9841172429249099E-3</v>
      </c>
      <c r="CJ59" s="9">
        <f t="shared" ca="1" si="36"/>
        <v>8.5177013280582914E-3</v>
      </c>
      <c r="CK59" s="9">
        <f t="shared" ca="1" si="36"/>
        <v>2.1639213537345547E-3</v>
      </c>
      <c r="CL59" s="9">
        <f t="shared" ca="1" si="36"/>
        <v>1.0757826429674822E-6</v>
      </c>
      <c r="CM59" s="9">
        <f t="shared" ca="1" si="36"/>
        <v>7.4468758002799174E-3</v>
      </c>
      <c r="CN59" s="9">
        <f t="shared" ca="1" si="36"/>
        <v>5.6373522292931799E-3</v>
      </c>
      <c r="CO59" s="9">
        <f t="shared" ca="1" si="36"/>
        <v>2.3024759338050593E-3</v>
      </c>
      <c r="CP59" s="9">
        <f t="shared" ca="1" si="36"/>
        <v>3.1754000468531274E-4</v>
      </c>
      <c r="CQ59" s="9">
        <f t="shared" ca="1" si="36"/>
        <v>3.1977918816987749E-3</v>
      </c>
      <c r="CR59" s="9">
        <f t="shared" ca="1" si="36"/>
        <v>8.0393101358176011E-3</v>
      </c>
      <c r="CS59" s="9">
        <f t="shared" ca="1" si="36"/>
        <v>3.0454982913425965E-3</v>
      </c>
      <c r="CT59" s="9">
        <f t="shared" ca="1" si="36"/>
        <v>6.2562446216030132E-4</v>
      </c>
      <c r="CU59" s="9">
        <f t="shared" ca="1" si="36"/>
        <v>1.5406758731360992E-2</v>
      </c>
      <c r="CV59" s="9">
        <f t="shared" ca="1" si="36"/>
        <v>4.8659572611694513E-3</v>
      </c>
      <c r="CW59" s="9">
        <f t="shared" ca="1" si="36"/>
        <v>2.0937017177110606E-3</v>
      </c>
      <c r="CX59" s="9">
        <f t="shared" ca="1" si="36"/>
        <v>3.2244849214113636E-4</v>
      </c>
      <c r="CY59" s="9">
        <f t="shared" ca="1" si="36"/>
        <v>1.0793027276811973E-3</v>
      </c>
      <c r="CZ59" s="9">
        <f t="shared" ca="1" si="36"/>
        <v>1.5272957190759495E-3</v>
      </c>
      <c r="DA59" s="9">
        <f t="shared" ca="1" si="36"/>
        <v>2.684985456686162E-3</v>
      </c>
      <c r="DB59" s="9">
        <f t="shared" ca="1" si="36"/>
        <v>2.3848298961925973E-4</v>
      </c>
      <c r="DC59" s="9">
        <f t="shared" ca="1" si="36"/>
        <v>2.7075136508484254E-3</v>
      </c>
      <c r="DD59" s="9">
        <f t="shared" ca="1" si="36"/>
        <v>1.5953660960748017E-3</v>
      </c>
      <c r="DE59" s="9">
        <f t="shared" ca="1" si="36"/>
        <v>1.2633095733942667E-3</v>
      </c>
      <c r="DF59" s="9">
        <f t="shared" ca="1" si="36"/>
        <v>1.2903848868475176E-3</v>
      </c>
      <c r="DG59" s="9">
        <f t="shared" ca="1" si="36"/>
        <v>3.3054272814182495E-3</v>
      </c>
      <c r="DH59" s="9">
        <f t="shared" ca="1" si="36"/>
        <v>9.487582694567176E-3</v>
      </c>
      <c r="DI59" s="9">
        <f t="shared" ca="1" si="36"/>
        <v>1.0078636297846999E-2</v>
      </c>
      <c r="DJ59" s="9">
        <f t="shared" ca="1" si="36"/>
        <v>6.8314406431823071E-3</v>
      </c>
      <c r="DK59" s="9">
        <f t="shared" ca="1" si="36"/>
        <v>2.4658391785625788E-4</v>
      </c>
      <c r="DL59" s="9">
        <f t="shared" ca="1" si="36"/>
        <v>1.8086973370159409E-3</v>
      </c>
      <c r="DM59" s="9">
        <f t="shared" ca="1" si="36"/>
        <v>4.3833812352582768E-3</v>
      </c>
      <c r="DN59" s="9">
        <f t="shared" ca="1" si="36"/>
        <v>4.4237409648473225E-3</v>
      </c>
      <c r="DO59" s="9">
        <f t="shared" ca="1" si="36"/>
        <v>4.8647197808103781E-3</v>
      </c>
      <c r="DP59" s="9">
        <f t="shared" ca="1" si="36"/>
        <v>1.4952074555263373E-3</v>
      </c>
      <c r="DQ59" s="9">
        <f t="shared" ca="1" si="36"/>
        <v>2.0409432974055619E-3</v>
      </c>
      <c r="DR59" s="9">
        <f t="shared" ca="1" si="36"/>
        <v>3.899517187089474E-3</v>
      </c>
      <c r="DS59" s="9">
        <f t="shared" ca="1" si="36"/>
        <v>1.2661115109782184E-3</v>
      </c>
      <c r="DT59" s="9">
        <f t="shared" ca="1" si="36"/>
        <v>1.2074780551791786E-3</v>
      </c>
      <c r="DU59" s="9">
        <f t="shared" ca="1" si="36"/>
        <v>1.588756762156196E-3</v>
      </c>
      <c r="DV59" s="9">
        <f t="shared" ca="1" si="36"/>
        <v>4.078893890214319E-3</v>
      </c>
      <c r="DW59" s="9">
        <f t="shared" ca="1" si="36"/>
        <v>5.239807992236889E-3</v>
      </c>
      <c r="DX59" s="9">
        <f t="shared" ca="1" si="36"/>
        <v>4.4657630404247861E-3</v>
      </c>
      <c r="DY59" s="9">
        <f t="shared" ca="1" si="36"/>
        <v>1.6898573002290806E-3</v>
      </c>
      <c r="DZ59" s="9" t="str">
        <f t="shared" ref="DZ59:GK59" ca="1" si="37">IF(DZ32="","",ABS(DZ32))</f>
        <v/>
      </c>
      <c r="EA59" s="9" t="str">
        <f t="shared" ca="1" si="37"/>
        <v/>
      </c>
      <c r="EB59" s="9" t="str">
        <f t="shared" ca="1" si="37"/>
        <v/>
      </c>
      <c r="EC59" s="9" t="str">
        <f t="shared" ca="1" si="37"/>
        <v/>
      </c>
      <c r="ED59" s="9" t="str">
        <f t="shared" ca="1" si="37"/>
        <v/>
      </c>
      <c r="EE59" s="9" t="str">
        <f t="shared" ca="1" si="37"/>
        <v/>
      </c>
      <c r="EF59" s="9" t="str">
        <f t="shared" ca="1" si="37"/>
        <v/>
      </c>
      <c r="EG59" s="9">
        <f t="shared" ca="1" si="37"/>
        <v>2.8566187190534054E-3</v>
      </c>
      <c r="EH59" s="9">
        <f t="shared" ca="1" si="37"/>
        <v>1.3318999479228211E-3</v>
      </c>
      <c r="EI59" s="9">
        <f t="shared" ca="1" si="37"/>
        <v>3.2191640088454765E-3</v>
      </c>
      <c r="EJ59" s="9">
        <f t="shared" ca="1" si="37"/>
        <v>4.0830079416014353E-3</v>
      </c>
      <c r="EK59" s="9">
        <f t="shared" ca="1" si="37"/>
        <v>1.9556174229609091E-3</v>
      </c>
      <c r="EL59" s="9">
        <f t="shared" ca="1" si="37"/>
        <v>4.0401337672779647E-4</v>
      </c>
      <c r="EM59" s="9">
        <f t="shared" ca="1" si="37"/>
        <v>7.442853699089369E-3</v>
      </c>
      <c r="EN59" s="9">
        <f t="shared" ca="1" si="37"/>
        <v>1.8878164363578254E-3</v>
      </c>
      <c r="EO59" s="9">
        <f t="shared" ca="1" si="37"/>
        <v>1.2359562975094995E-3</v>
      </c>
      <c r="EP59" s="9">
        <f t="shared" ca="1" si="37"/>
        <v>1.0731549919099748E-2</v>
      </c>
      <c r="EQ59" s="9">
        <f t="shared" ca="1" si="37"/>
        <v>2.6671650072370712E-3</v>
      </c>
      <c r="ER59" s="9">
        <f t="shared" ca="1" si="37"/>
        <v>3.9341749923758051E-3</v>
      </c>
      <c r="ES59" s="9">
        <f t="shared" ca="1" si="37"/>
        <v>3.3872989102501361E-3</v>
      </c>
      <c r="ET59" s="9">
        <f t="shared" ca="1" si="37"/>
        <v>1.3611979837677701E-3</v>
      </c>
      <c r="EU59" s="9">
        <f t="shared" ca="1" si="37"/>
        <v>2.6027879399190823E-3</v>
      </c>
      <c r="EV59" s="9">
        <f t="shared" ca="1" si="37"/>
        <v>1.9352413428985749E-3</v>
      </c>
      <c r="EW59" s="9">
        <f t="shared" ca="1" si="37"/>
        <v>2.8840298942456322E-5</v>
      </c>
      <c r="EX59" s="9">
        <f t="shared" ca="1" si="37"/>
        <v>4.7685608929270984E-4</v>
      </c>
      <c r="EY59" s="9">
        <f t="shared" ca="1" si="37"/>
        <v>3.4418580849250313E-3</v>
      </c>
      <c r="EZ59" s="9">
        <f t="shared" ca="1" si="37"/>
        <v>4.2282157603312776E-4</v>
      </c>
      <c r="FA59" s="9">
        <f t="shared" ca="1" si="37"/>
        <v>1.973605202091111E-3</v>
      </c>
      <c r="FB59" s="9">
        <f t="shared" ca="1" si="37"/>
        <v>6.1552490651406444E-4</v>
      </c>
      <c r="FC59" s="9">
        <f t="shared" ca="1" si="37"/>
        <v>2.9761493857721755E-3</v>
      </c>
      <c r="FD59" s="9">
        <f t="shared" ca="1" si="37"/>
        <v>1.1616754414953689E-3</v>
      </c>
      <c r="FE59" s="9">
        <f t="shared" ca="1" si="37"/>
        <v>4.8288691171261E-4</v>
      </c>
      <c r="FF59" s="9">
        <f t="shared" ca="1" si="37"/>
        <v>3.24321518632531E-3</v>
      </c>
      <c r="FG59" s="9">
        <f t="shared" ca="1" si="37"/>
        <v>7.2556472468390254E-3</v>
      </c>
      <c r="FH59" s="9">
        <f t="shared" ca="1" si="37"/>
        <v>4.6148974234170304E-3</v>
      </c>
      <c r="FI59" s="9">
        <f t="shared" ca="1" si="37"/>
        <v>2.3750993336700832E-3</v>
      </c>
      <c r="FJ59" s="9">
        <f t="shared" ca="1" si="37"/>
        <v>4.4408021341212356E-3</v>
      </c>
      <c r="FK59" s="9">
        <f t="shared" ca="1" si="37"/>
        <v>7.4402154059072245E-4</v>
      </c>
      <c r="FL59" s="9">
        <f t="shared" ca="1" si="37"/>
        <v>1.3493160755408962E-3</v>
      </c>
      <c r="FM59" s="9">
        <f t="shared" ca="1" si="37"/>
        <v>7.4436817853061887E-3</v>
      </c>
      <c r="FN59" s="9">
        <f t="shared" ca="1" si="37"/>
        <v>8.050043481809932E-3</v>
      </c>
      <c r="FO59" s="9">
        <f t="shared" ca="1" si="37"/>
        <v>3.7873697422956543E-3</v>
      </c>
      <c r="FP59" s="9">
        <f t="shared" ca="1" si="37"/>
        <v>5.7503461969066194E-3</v>
      </c>
      <c r="FQ59" s="9">
        <f t="shared" ca="1" si="37"/>
        <v>4.3319771741086033E-3</v>
      </c>
      <c r="FR59" s="9">
        <f t="shared" ca="1" si="37"/>
        <v>2.2125261928460649E-3</v>
      </c>
      <c r="FS59" s="9">
        <f t="shared" ca="1" si="37"/>
        <v>4.7529335818892182E-3</v>
      </c>
      <c r="FT59" s="9">
        <f t="shared" ca="1" si="37"/>
        <v>1.9434145270627035E-3</v>
      </c>
      <c r="FU59" s="9">
        <f t="shared" ca="1" si="37"/>
        <v>2.9824459631515587E-3</v>
      </c>
      <c r="FV59" s="9">
        <f t="shared" ca="1" si="37"/>
        <v>2.9384169749021583E-3</v>
      </c>
      <c r="FW59" s="9">
        <f t="shared" ca="1" si="37"/>
        <v>2.0412897439591182E-3</v>
      </c>
      <c r="FX59" s="9">
        <f t="shared" ca="1" si="37"/>
        <v>2.9480227715734664E-3</v>
      </c>
      <c r="FY59" s="9">
        <f t="shared" ca="1" si="37"/>
        <v>3.1484717176089028E-3</v>
      </c>
      <c r="FZ59" s="9">
        <f t="shared" ca="1" si="37"/>
        <v>7.1860739661608886E-3</v>
      </c>
      <c r="GA59" s="9">
        <f t="shared" ca="1" si="37"/>
        <v>1.58482637734636E-3</v>
      </c>
      <c r="GB59" s="9">
        <f t="shared" ca="1" si="37"/>
        <v>3.3602459263670781E-4</v>
      </c>
      <c r="GC59" s="9">
        <f t="shared" ca="1" si="37"/>
        <v>3.5835528686135598E-3</v>
      </c>
      <c r="GD59" s="9">
        <f t="shared" ca="1" si="37"/>
        <v>4.7028652546633465E-3</v>
      </c>
      <c r="GE59" s="9">
        <f t="shared" ca="1" si="37"/>
        <v>3.2795295497071164E-3</v>
      </c>
      <c r="GF59" s="9">
        <f t="shared" ca="1" si="37"/>
        <v>6.4555883968642203E-4</v>
      </c>
      <c r="GG59" s="9">
        <f t="shared" ca="1" si="37"/>
        <v>3.9234068524574006E-4</v>
      </c>
      <c r="GH59" s="9">
        <f t="shared" ca="1" si="37"/>
        <v>1.1033574341884345E-3</v>
      </c>
      <c r="GI59" s="9">
        <f t="shared" ca="1" si="37"/>
        <v>2.4214076486213099E-3</v>
      </c>
      <c r="GJ59" s="9">
        <f t="shared" ca="1" si="37"/>
        <v>1.4575635366324002E-3</v>
      </c>
      <c r="GK59" s="9">
        <f t="shared" ca="1" si="37"/>
        <v>2.2203699774653307E-3</v>
      </c>
      <c r="GL59" s="9">
        <f t="shared" ref="GL59:IW59" ca="1" si="38">IF(GL32="","",ABS(GL32))</f>
        <v>7.8991435571758029E-3</v>
      </c>
      <c r="GM59" s="9">
        <f t="shared" ca="1" si="38"/>
        <v>2.3699243985043861E-2</v>
      </c>
      <c r="GN59" s="9">
        <f t="shared" ca="1" si="38"/>
        <v>2.7028041883863319E-2</v>
      </c>
      <c r="GO59" s="9">
        <f t="shared" ca="1" si="38"/>
        <v>8.3654362403458027E-3</v>
      </c>
      <c r="GP59" s="9">
        <f t="shared" ca="1" si="38"/>
        <v>2.9207654708675923E-2</v>
      </c>
      <c r="GQ59" s="9">
        <f t="shared" ca="1" si="38"/>
        <v>1.9493588090798819E-2</v>
      </c>
      <c r="GR59" s="9">
        <f t="shared" ca="1" si="38"/>
        <v>1.0961728315726393E-2</v>
      </c>
      <c r="GS59" s="9">
        <f t="shared" ca="1" si="38"/>
        <v>3.8055689126292869E-5</v>
      </c>
      <c r="GT59" s="9">
        <f t="shared" ca="1" si="38"/>
        <v>2.6370708426810552E-3</v>
      </c>
      <c r="GU59" s="9">
        <f t="shared" ca="1" si="38"/>
        <v>1.8047054777605709E-3</v>
      </c>
      <c r="GV59" s="9">
        <f t="shared" ca="1" si="38"/>
        <v>1.06192866433652E-5</v>
      </c>
      <c r="GW59" s="9" t="str">
        <f t="shared" ca="1" si="38"/>
        <v/>
      </c>
      <c r="GX59" s="9" t="str">
        <f t="shared" ca="1" si="38"/>
        <v/>
      </c>
      <c r="GY59" s="9" t="str">
        <f t="shared" ca="1" si="38"/>
        <v/>
      </c>
      <c r="GZ59" s="9" t="str">
        <f t="shared" ca="1" si="38"/>
        <v/>
      </c>
      <c r="HA59" s="9" t="str">
        <f t="shared" ca="1" si="38"/>
        <v/>
      </c>
      <c r="HB59" s="9" t="str">
        <f t="shared" ca="1" si="38"/>
        <v/>
      </c>
      <c r="HC59" s="9" t="str">
        <f t="shared" ca="1" si="38"/>
        <v/>
      </c>
      <c r="HD59" s="9" t="str">
        <f t="shared" ca="1" si="38"/>
        <v/>
      </c>
      <c r="HE59" s="9" t="str">
        <f t="shared" ca="1" si="38"/>
        <v/>
      </c>
      <c r="HF59" s="9" t="str">
        <f t="shared" ca="1" si="38"/>
        <v/>
      </c>
      <c r="HG59" s="9" t="str">
        <f t="shared" ca="1" si="38"/>
        <v/>
      </c>
      <c r="HH59" s="9" t="str">
        <f t="shared" ca="1" si="38"/>
        <v/>
      </c>
      <c r="HI59" s="9" t="str">
        <f t="shared" ca="1" si="38"/>
        <v/>
      </c>
      <c r="HJ59" s="9" t="str">
        <f t="shared" ca="1" si="38"/>
        <v/>
      </c>
      <c r="HK59" s="9" t="str">
        <f t="shared" ca="1" si="38"/>
        <v/>
      </c>
      <c r="HL59" s="9" t="str">
        <f t="shared" ca="1" si="38"/>
        <v/>
      </c>
      <c r="HM59" s="9" t="str">
        <f t="shared" ca="1" si="38"/>
        <v/>
      </c>
      <c r="HN59" s="9" t="str">
        <f t="shared" ca="1" si="38"/>
        <v/>
      </c>
      <c r="HO59" s="9" t="str">
        <f t="shared" ca="1" si="38"/>
        <v/>
      </c>
      <c r="HP59" s="9" t="str">
        <f t="shared" ca="1" si="38"/>
        <v/>
      </c>
      <c r="HQ59" s="9" t="str">
        <f t="shared" ca="1" si="38"/>
        <v/>
      </c>
      <c r="HR59" s="9" t="str">
        <f t="shared" ca="1" si="38"/>
        <v/>
      </c>
      <c r="HS59" s="9" t="str">
        <f t="shared" ca="1" si="38"/>
        <v/>
      </c>
      <c r="HT59" s="9" t="str">
        <f t="shared" ca="1" si="38"/>
        <v/>
      </c>
      <c r="HU59" s="9" t="str">
        <f t="shared" ca="1" si="38"/>
        <v/>
      </c>
      <c r="HV59" s="9" t="str">
        <f t="shared" ca="1" si="38"/>
        <v/>
      </c>
      <c r="HW59" s="9" t="str">
        <f t="shared" ca="1" si="38"/>
        <v/>
      </c>
      <c r="HX59" s="9" t="str">
        <f t="shared" ca="1" si="38"/>
        <v/>
      </c>
      <c r="HY59" s="9" t="str">
        <f t="shared" ca="1" si="38"/>
        <v/>
      </c>
      <c r="HZ59" s="9" t="str">
        <f t="shared" ca="1" si="38"/>
        <v/>
      </c>
      <c r="IA59" s="9" t="str">
        <f t="shared" ca="1" si="38"/>
        <v/>
      </c>
      <c r="IB59" s="9" t="str">
        <f t="shared" ca="1" si="38"/>
        <v/>
      </c>
      <c r="IC59" s="9" t="str">
        <f t="shared" ca="1" si="38"/>
        <v/>
      </c>
      <c r="ID59" s="9" t="str">
        <f t="shared" ca="1" si="38"/>
        <v/>
      </c>
      <c r="IE59" s="9" t="str">
        <f t="shared" ca="1" si="38"/>
        <v/>
      </c>
      <c r="IF59" s="9" t="str">
        <f t="shared" ca="1" si="38"/>
        <v/>
      </c>
      <c r="IG59" s="9" t="str">
        <f t="shared" ca="1" si="38"/>
        <v/>
      </c>
      <c r="IH59" s="9" t="str">
        <f t="shared" ca="1" si="38"/>
        <v/>
      </c>
      <c r="II59" s="9" t="str">
        <f t="shared" ca="1" si="38"/>
        <v/>
      </c>
      <c r="IJ59" s="9" t="str">
        <f t="shared" ca="1" si="38"/>
        <v/>
      </c>
      <c r="IK59" s="9" t="str">
        <f t="shared" ca="1" si="38"/>
        <v/>
      </c>
      <c r="IL59" s="9" t="str">
        <f t="shared" ca="1" si="38"/>
        <v/>
      </c>
      <c r="IM59" s="9" t="str">
        <f t="shared" ca="1" si="38"/>
        <v/>
      </c>
      <c r="IN59" s="9" t="str">
        <f t="shared" ca="1" si="38"/>
        <v/>
      </c>
      <c r="IO59" s="9" t="str">
        <f t="shared" ca="1" si="38"/>
        <v/>
      </c>
      <c r="IP59" s="9" t="str">
        <f t="shared" ca="1" si="38"/>
        <v/>
      </c>
      <c r="IQ59" s="9" t="str">
        <f t="shared" ca="1" si="38"/>
        <v/>
      </c>
      <c r="IR59" s="9" t="str">
        <f t="shared" ca="1" si="38"/>
        <v/>
      </c>
      <c r="IS59" s="9" t="str">
        <f t="shared" ca="1" si="38"/>
        <v/>
      </c>
      <c r="IT59" s="9" t="str">
        <f t="shared" ca="1" si="38"/>
        <v/>
      </c>
      <c r="IU59" s="9" t="str">
        <f t="shared" ca="1" si="38"/>
        <v/>
      </c>
      <c r="IV59" s="9" t="str">
        <f t="shared" ca="1" si="38"/>
        <v/>
      </c>
      <c r="IW59" s="9" t="str">
        <f t="shared" ca="1" si="38"/>
        <v/>
      </c>
      <c r="IX59" s="9" t="str">
        <f t="shared" ref="IX59:JH59" ca="1" si="39">IF(IX32="","",ABS(IX32))</f>
        <v/>
      </c>
      <c r="IY59" s="9" t="str">
        <f t="shared" ca="1" si="39"/>
        <v/>
      </c>
      <c r="IZ59" s="9" t="str">
        <f t="shared" ca="1" si="39"/>
        <v/>
      </c>
      <c r="JA59" s="9" t="str">
        <f t="shared" ca="1" si="39"/>
        <v/>
      </c>
      <c r="JB59" s="9" t="str">
        <f t="shared" ca="1" si="39"/>
        <v/>
      </c>
      <c r="JC59" s="9" t="str">
        <f t="shared" ca="1" si="39"/>
        <v/>
      </c>
      <c r="JD59" s="9" t="str">
        <f t="shared" ca="1" si="39"/>
        <v/>
      </c>
      <c r="JE59" s="9" t="str">
        <f t="shared" ca="1" si="39"/>
        <v/>
      </c>
      <c r="JF59" s="9" t="str">
        <f t="shared" ca="1" si="39"/>
        <v/>
      </c>
      <c r="JG59" s="9" t="str">
        <f t="shared" ca="1" si="39"/>
        <v/>
      </c>
      <c r="JH59" s="9" t="str">
        <f t="shared" ca="1" si="39"/>
        <v/>
      </c>
      <c r="JI59" s="13">
        <f t="shared" ca="1" si="24"/>
        <v>5.7910580410327319E-3</v>
      </c>
      <c r="JJ59" s="13">
        <f t="shared" ca="1" si="25"/>
        <v>2.9652343673625126E-3</v>
      </c>
      <c r="JK59" s="14">
        <f t="shared" ca="1" si="26"/>
        <v>5.58880187728101E-5</v>
      </c>
      <c r="JL59" s="17">
        <f t="shared" ca="1" si="34"/>
        <v>7.4758289689378331E-3</v>
      </c>
      <c r="JM59" s="15" t="str">
        <f t="shared" ca="1" si="27"/>
        <v>[ -0,92% ; 2,07% ]</v>
      </c>
      <c r="JN59" s="17">
        <f t="shared" ca="1" si="28"/>
        <v>9.5690610802404274E-3</v>
      </c>
      <c r="LY59" s="1"/>
    </row>
    <row r="60" spans="1:337" x14ac:dyDescent="0.25">
      <c r="A60" s="4">
        <v>4</v>
      </c>
      <c r="B60" s="9">
        <f t="shared" ref="B60:BM60" ca="1" si="40">IF(B33="","",ABS(B33))</f>
        <v>1.2338340394972835E-3</v>
      </c>
      <c r="C60" s="9">
        <f t="shared" ca="1" si="40"/>
        <v>5.5913772710969312E-5</v>
      </c>
      <c r="D60" s="9">
        <f t="shared" ca="1" si="40"/>
        <v>3.0961122209741676E-3</v>
      </c>
      <c r="E60" s="9">
        <f t="shared" ca="1" si="40"/>
        <v>2.0089035112823561E-3</v>
      </c>
      <c r="F60" s="9">
        <f t="shared" ca="1" si="40"/>
        <v>2.7158053866329634E-3</v>
      </c>
      <c r="G60" s="9">
        <f t="shared" ca="1" si="40"/>
        <v>2.243419615372666E-3</v>
      </c>
      <c r="H60" s="9">
        <f t="shared" ca="1" si="40"/>
        <v>1.9946290742312023E-4</v>
      </c>
      <c r="I60" s="9">
        <f t="shared" ca="1" si="40"/>
        <v>7.9473531170126677E-4</v>
      </c>
      <c r="J60" s="9">
        <f t="shared" ca="1" si="40"/>
        <v>8.1388989142650026E-4</v>
      </c>
      <c r="K60" s="9">
        <f t="shared" ca="1" si="40"/>
        <v>2.0678723563453127E-3</v>
      </c>
      <c r="L60" s="9">
        <f t="shared" ca="1" si="40"/>
        <v>2.4605264538801741E-3</v>
      </c>
      <c r="M60" s="9">
        <f t="shared" ca="1" si="40"/>
        <v>2.029889760867265E-3</v>
      </c>
      <c r="N60" s="9">
        <f t="shared" ca="1" si="40"/>
        <v>8.0407367541868169E-4</v>
      </c>
      <c r="O60" s="9">
        <f t="shared" ca="1" si="40"/>
        <v>4.8004851731058285E-3</v>
      </c>
      <c r="P60" s="9">
        <f t="shared" ca="1" si="40"/>
        <v>4.8817169777013447E-3</v>
      </c>
      <c r="Q60" s="9">
        <f t="shared" ca="1" si="40"/>
        <v>4.50880145278032E-3</v>
      </c>
      <c r="R60" s="9">
        <f t="shared" ca="1" si="40"/>
        <v>3.8022215819708549E-3</v>
      </c>
      <c r="S60" s="9">
        <f t="shared" ca="1" si="40"/>
        <v>1.8634079083095223E-3</v>
      </c>
      <c r="T60" s="9">
        <f t="shared" ca="1" si="40"/>
        <v>1.4523799866115183E-3</v>
      </c>
      <c r="U60" s="9">
        <f t="shared" ca="1" si="40"/>
        <v>1.6939841049674609E-3</v>
      </c>
      <c r="V60" s="9">
        <f t="shared" ca="1" si="40"/>
        <v>3.3025510707518357E-4</v>
      </c>
      <c r="W60" s="9">
        <f t="shared" ca="1" si="40"/>
        <v>4.0872486733756208E-4</v>
      </c>
      <c r="X60" s="9">
        <f t="shared" ca="1" si="40"/>
        <v>1.3783186264182401E-3</v>
      </c>
      <c r="Y60" s="9">
        <f t="shared" ca="1" si="40"/>
        <v>2.1330276535420634E-3</v>
      </c>
      <c r="Z60" s="9">
        <f t="shared" ca="1" si="40"/>
        <v>6.2534209605291657E-4</v>
      </c>
      <c r="AA60" s="9">
        <f t="shared" ca="1" si="40"/>
        <v>4.1616891527773703E-4</v>
      </c>
      <c r="AB60" s="9">
        <f t="shared" ca="1" si="40"/>
        <v>5.7836224864749042E-4</v>
      </c>
      <c r="AC60" s="9">
        <f t="shared" ca="1" si="40"/>
        <v>1.2449698916524587E-3</v>
      </c>
      <c r="AD60" s="9">
        <f t="shared" ca="1" si="40"/>
        <v>3.3036938706176855E-4</v>
      </c>
      <c r="AE60" s="9">
        <f t="shared" ca="1" si="40"/>
        <v>4.6549235151349677E-4</v>
      </c>
      <c r="AF60" s="9">
        <f t="shared" ca="1" si="40"/>
        <v>1.029656310397753E-3</v>
      </c>
      <c r="AG60" s="9">
        <f t="shared" ca="1" si="40"/>
        <v>6.2181173493169872E-4</v>
      </c>
      <c r="AH60" s="9">
        <f t="shared" ca="1" si="40"/>
        <v>3.1177876436853103E-3</v>
      </c>
      <c r="AI60" s="9">
        <f t="shared" ca="1" si="40"/>
        <v>3.223876062823372E-3</v>
      </c>
      <c r="AJ60" s="9">
        <f t="shared" ca="1" si="40"/>
        <v>4.9486447852501447E-3</v>
      </c>
      <c r="AK60" s="9">
        <f t="shared" ca="1" si="40"/>
        <v>6.5792675481647356E-3</v>
      </c>
      <c r="AL60" s="9">
        <f t="shared" ca="1" si="40"/>
        <v>5.1554821496762049E-3</v>
      </c>
      <c r="AM60" s="9">
        <f t="shared" ca="1" si="40"/>
        <v>5.0813977887848027E-3</v>
      </c>
      <c r="AN60" s="9">
        <f t="shared" ca="1" si="40"/>
        <v>3.8676943546102072E-3</v>
      </c>
      <c r="AO60" s="9">
        <f t="shared" ca="1" si="40"/>
        <v>1.3401745106297325E-3</v>
      </c>
      <c r="AP60" s="9">
        <f t="shared" ca="1" si="40"/>
        <v>2.4592742871972773E-3</v>
      </c>
      <c r="AQ60" s="9">
        <f t="shared" ca="1" si="40"/>
        <v>4.204528646568173E-3</v>
      </c>
      <c r="AR60" s="9">
        <f t="shared" ca="1" si="40"/>
        <v>2.5614456797791174E-3</v>
      </c>
      <c r="AS60" s="9">
        <f t="shared" ca="1" si="40"/>
        <v>7.5002096075704738E-4</v>
      </c>
      <c r="AT60" s="9">
        <f t="shared" ca="1" si="40"/>
        <v>1.0897583542994749E-3</v>
      </c>
      <c r="AU60" s="9">
        <f t="shared" ca="1" si="40"/>
        <v>4.8783611105183144E-3</v>
      </c>
      <c r="AV60" s="9">
        <f t="shared" ca="1" si="40"/>
        <v>1.0975713801962605E-2</v>
      </c>
      <c r="AW60" s="9">
        <f t="shared" ca="1" si="40"/>
        <v>1.3633189914542543E-2</v>
      </c>
      <c r="AX60" s="9">
        <f t="shared" ca="1" si="40"/>
        <v>1.4760665930505734E-2</v>
      </c>
      <c r="AY60" s="9">
        <f t="shared" ca="1" si="40"/>
        <v>1.6259244095892189E-2</v>
      </c>
      <c r="AZ60" s="9">
        <f t="shared" ca="1" si="40"/>
        <v>1.4027980974773202E-2</v>
      </c>
      <c r="BA60" s="9">
        <f t="shared" ca="1" si="40"/>
        <v>1.5523727237421792E-2</v>
      </c>
      <c r="BB60" s="9">
        <f t="shared" ca="1" si="40"/>
        <v>1.2172579501052105E-2</v>
      </c>
      <c r="BC60" s="9">
        <f t="shared" ca="1" si="40"/>
        <v>5.5558958997912189E-3</v>
      </c>
      <c r="BD60" s="9">
        <f t="shared" ca="1" si="40"/>
        <v>8.8445100402751997E-3</v>
      </c>
      <c r="BE60" s="9">
        <f t="shared" ca="1" si="40"/>
        <v>1.340215522964483E-2</v>
      </c>
      <c r="BF60" s="9">
        <f t="shared" ca="1" si="40"/>
        <v>1.3351176684186505E-2</v>
      </c>
      <c r="BG60" s="9">
        <f t="shared" ca="1" si="40"/>
        <v>1.7391679452679831E-2</v>
      </c>
      <c r="BH60" s="9">
        <f t="shared" ca="1" si="40"/>
        <v>1.380200112153962E-2</v>
      </c>
      <c r="BI60" s="9">
        <f t="shared" ca="1" si="40"/>
        <v>1.0181057305666208E-2</v>
      </c>
      <c r="BJ60" s="9">
        <f t="shared" ca="1" si="40"/>
        <v>5.5289662113093829E-3</v>
      </c>
      <c r="BK60" s="9">
        <f t="shared" ca="1" si="40"/>
        <v>5.6289454381219794E-4</v>
      </c>
      <c r="BL60" s="9">
        <f t="shared" ca="1" si="40"/>
        <v>1.0408733805975845E-2</v>
      </c>
      <c r="BM60" s="9">
        <f t="shared" ca="1" si="40"/>
        <v>1.5399662890297372E-2</v>
      </c>
      <c r="BN60" s="9">
        <f t="shared" ref="BN60:DY60" ca="1" si="41">IF(BN33="","",ABS(BN33))</f>
        <v>1.8529522532745313E-2</v>
      </c>
      <c r="BO60" s="9">
        <f t="shared" ca="1" si="41"/>
        <v>1.254125904067982E-2</v>
      </c>
      <c r="BP60" s="9">
        <f t="shared" ca="1" si="41"/>
        <v>1.1254660465659372E-3</v>
      </c>
      <c r="BQ60" s="9">
        <f t="shared" ca="1" si="41"/>
        <v>3.3243042270442169E-3</v>
      </c>
      <c r="BR60" s="9">
        <f t="shared" ca="1" si="41"/>
        <v>4.7027026800897653E-3</v>
      </c>
      <c r="BS60" s="9">
        <f t="shared" ca="1" si="41"/>
        <v>5.8466888397430417E-3</v>
      </c>
      <c r="BT60" s="9">
        <f t="shared" ca="1" si="41"/>
        <v>1.16188493197521E-2</v>
      </c>
      <c r="BU60" s="9">
        <f t="shared" ca="1" si="41"/>
        <v>4.2450584571614991E-3</v>
      </c>
      <c r="BV60" s="9">
        <f t="shared" ca="1" si="41"/>
        <v>8.0123862509762223E-4</v>
      </c>
      <c r="BW60" s="9">
        <f t="shared" ca="1" si="41"/>
        <v>4.0975890215313449E-3</v>
      </c>
      <c r="BX60" s="9">
        <f t="shared" ca="1" si="41"/>
        <v>1.2713417360888823E-2</v>
      </c>
      <c r="BY60" s="9">
        <f t="shared" ca="1" si="41"/>
        <v>9.8646595982531116E-3</v>
      </c>
      <c r="BZ60" s="9">
        <f t="shared" ca="1" si="41"/>
        <v>3.4386071766934201E-4</v>
      </c>
      <c r="CA60" s="9">
        <f t="shared" ca="1" si="41"/>
        <v>5.7212547551697135E-3</v>
      </c>
      <c r="CB60" s="9">
        <f t="shared" ca="1" si="41"/>
        <v>6.4888318280162949E-3</v>
      </c>
      <c r="CC60" s="9">
        <f t="shared" ca="1" si="41"/>
        <v>3.8560530832358886E-3</v>
      </c>
      <c r="CD60" s="9">
        <f t="shared" ca="1" si="41"/>
        <v>7.4539591578970388E-4</v>
      </c>
      <c r="CE60" s="9">
        <f t="shared" ca="1" si="41"/>
        <v>5.6137353836138715E-5</v>
      </c>
      <c r="CF60" s="9">
        <f t="shared" ca="1" si="41"/>
        <v>4.1344237904170633E-3</v>
      </c>
      <c r="CG60" s="9">
        <f t="shared" ca="1" si="41"/>
        <v>8.452074884532923E-4</v>
      </c>
      <c r="CH60" s="9">
        <f t="shared" ca="1" si="41"/>
        <v>4.4932363083181048E-3</v>
      </c>
      <c r="CI60" s="9">
        <f t="shared" ca="1" si="41"/>
        <v>4.3243315276714211E-3</v>
      </c>
      <c r="CJ60" s="9">
        <f t="shared" ca="1" si="41"/>
        <v>1.0559022506136939E-2</v>
      </c>
      <c r="CK60" s="9">
        <f t="shared" ca="1" si="41"/>
        <v>7.1897437861412339E-4</v>
      </c>
      <c r="CL60" s="9">
        <f t="shared" ca="1" si="41"/>
        <v>2.6918947587868391E-3</v>
      </c>
      <c r="CM60" s="9">
        <f t="shared" ca="1" si="41"/>
        <v>1.0066994885422398E-2</v>
      </c>
      <c r="CN60" s="9">
        <f t="shared" ca="1" si="41"/>
        <v>7.7832895242664346E-3</v>
      </c>
      <c r="CO60" s="9">
        <f t="shared" ca="1" si="41"/>
        <v>3.795894413032519E-3</v>
      </c>
      <c r="CP60" s="9">
        <f t="shared" ca="1" si="41"/>
        <v>1.4540261981266234E-4</v>
      </c>
      <c r="CQ60" s="9">
        <f t="shared" ca="1" si="41"/>
        <v>9.3393980425058309E-3</v>
      </c>
      <c r="CR60" s="9">
        <f t="shared" ca="1" si="41"/>
        <v>5.6810440990937572E-3</v>
      </c>
      <c r="CS60" s="9">
        <f t="shared" ca="1" si="41"/>
        <v>2.116537212166536E-3</v>
      </c>
      <c r="CT60" s="9">
        <f t="shared" ca="1" si="41"/>
        <v>1.6442889280413597E-3</v>
      </c>
      <c r="CU60" s="9">
        <f t="shared" ca="1" si="41"/>
        <v>2.0397705150224543E-2</v>
      </c>
      <c r="CV60" s="9">
        <f t="shared" ca="1" si="41"/>
        <v>6.1540532225323741E-3</v>
      </c>
      <c r="CW60" s="9">
        <f t="shared" ca="1" si="41"/>
        <v>2.6402872828277246E-3</v>
      </c>
      <c r="CX60" s="9">
        <f t="shared" ca="1" si="41"/>
        <v>2.1901758990960918E-3</v>
      </c>
      <c r="CY60" s="9">
        <f t="shared" ca="1" si="41"/>
        <v>2.2047552972002116E-3</v>
      </c>
      <c r="CZ60" s="9">
        <f t="shared" ca="1" si="41"/>
        <v>1.4831325033100029E-3</v>
      </c>
      <c r="DA60" s="9">
        <f t="shared" ca="1" si="41"/>
        <v>3.908071801020041E-3</v>
      </c>
      <c r="DB60" s="9">
        <f t="shared" ca="1" si="41"/>
        <v>7.2404464565978266E-4</v>
      </c>
      <c r="DC60" s="9">
        <f t="shared" ca="1" si="41"/>
        <v>2.1317412576900008E-3</v>
      </c>
      <c r="DD60" s="9">
        <f t="shared" ca="1" si="41"/>
        <v>2.8314128278834616E-3</v>
      </c>
      <c r="DE60" s="9">
        <f t="shared" ca="1" si="41"/>
        <v>2.0047284541502286E-4</v>
      </c>
      <c r="DF60" s="9">
        <f t="shared" ca="1" si="41"/>
        <v>1.3763562915197758E-3</v>
      </c>
      <c r="DG60" s="9">
        <f t="shared" ca="1" si="41"/>
        <v>7.4959407345440709E-3</v>
      </c>
      <c r="DH60" s="9">
        <f t="shared" ca="1" si="41"/>
        <v>1.3623237386904075E-2</v>
      </c>
      <c r="DI60" s="9">
        <f t="shared" ca="1" si="41"/>
        <v>1.4181739341880717E-2</v>
      </c>
      <c r="DJ60" s="9">
        <f t="shared" ca="1" si="41"/>
        <v>6.0310453398868535E-3</v>
      </c>
      <c r="DK60" s="9">
        <f t="shared" ca="1" si="41"/>
        <v>7.1031070164995214E-4</v>
      </c>
      <c r="DL60" s="9">
        <f t="shared" ca="1" si="41"/>
        <v>1.6247449633053357E-3</v>
      </c>
      <c r="DM60" s="9">
        <f t="shared" ca="1" si="41"/>
        <v>4.1323796780636801E-3</v>
      </c>
      <c r="DN60" s="9">
        <f t="shared" ca="1" si="41"/>
        <v>6.5011878175086357E-3</v>
      </c>
      <c r="DO60" s="9">
        <f t="shared" ca="1" si="41"/>
        <v>5.1004219210614155E-3</v>
      </c>
      <c r="DP60" s="9">
        <f t="shared" ca="1" si="41"/>
        <v>2.0370534250170325E-3</v>
      </c>
      <c r="DQ60" s="9">
        <f t="shared" ca="1" si="41"/>
        <v>4.0431457485032851E-3</v>
      </c>
      <c r="DR60" s="9">
        <f t="shared" ca="1" si="41"/>
        <v>3.0426430240024782E-3</v>
      </c>
      <c r="DS60" s="9">
        <f t="shared" ca="1" si="41"/>
        <v>1.554618687228948E-3</v>
      </c>
      <c r="DT60" s="9">
        <f t="shared" ca="1" si="41"/>
        <v>1.2479597309890123E-3</v>
      </c>
      <c r="DU60" s="9">
        <f t="shared" ca="1" si="41"/>
        <v>3.4566220494647304E-4</v>
      </c>
      <c r="DV60" s="9">
        <f t="shared" ca="1" si="41"/>
        <v>6.7870049331506532E-3</v>
      </c>
      <c r="DW60" s="9">
        <f t="shared" ca="1" si="41"/>
        <v>5.6870069768670817E-3</v>
      </c>
      <c r="DX60" s="9">
        <f t="shared" ca="1" si="41"/>
        <v>4.3255175761425235E-3</v>
      </c>
      <c r="DY60" s="9" t="str">
        <f t="shared" ca="1" si="41"/>
        <v/>
      </c>
      <c r="DZ60" s="9" t="str">
        <f t="shared" ref="DZ60:GK60" ca="1" si="42">IF(DZ33="","",ABS(DZ33))</f>
        <v/>
      </c>
      <c r="EA60" s="9" t="str">
        <f t="shared" ca="1" si="42"/>
        <v/>
      </c>
      <c r="EB60" s="9" t="str">
        <f t="shared" ca="1" si="42"/>
        <v/>
      </c>
      <c r="EC60" s="9" t="str">
        <f t="shared" ca="1" si="42"/>
        <v/>
      </c>
      <c r="ED60" s="9" t="str">
        <f t="shared" ca="1" si="42"/>
        <v/>
      </c>
      <c r="EE60" s="9" t="str">
        <f t="shared" ca="1" si="42"/>
        <v/>
      </c>
      <c r="EF60" s="9" t="str">
        <f t="shared" ca="1" si="42"/>
        <v/>
      </c>
      <c r="EG60" s="9">
        <f t="shared" ca="1" si="42"/>
        <v>1.883353796003906E-3</v>
      </c>
      <c r="EH60" s="9">
        <f t="shared" ca="1" si="42"/>
        <v>3.1305945803663526E-3</v>
      </c>
      <c r="EI60" s="9">
        <f t="shared" ca="1" si="42"/>
        <v>4.6782258343969207E-3</v>
      </c>
      <c r="EJ60" s="9">
        <f t="shared" ca="1" si="42"/>
        <v>5.5164691187681303E-3</v>
      </c>
      <c r="EK60" s="9">
        <f t="shared" ca="1" si="42"/>
        <v>2.1824609164446951E-3</v>
      </c>
      <c r="EL60" s="9">
        <f t="shared" ca="1" si="42"/>
        <v>7.2872803895565053E-3</v>
      </c>
      <c r="EM60" s="9">
        <f t="shared" ca="1" si="42"/>
        <v>2.4849775963764476E-3</v>
      </c>
      <c r="EN60" s="9">
        <f t="shared" ca="1" si="42"/>
        <v>4.0611487315667105E-4</v>
      </c>
      <c r="EO60" s="9">
        <f t="shared" ca="1" si="42"/>
        <v>1.233415441780128E-3</v>
      </c>
      <c r="EP60" s="9">
        <f t="shared" ca="1" si="42"/>
        <v>1.3267523235226286E-2</v>
      </c>
      <c r="EQ60" s="9">
        <f t="shared" ca="1" si="42"/>
        <v>3.1331313208473599E-3</v>
      </c>
      <c r="ER60" s="9">
        <f t="shared" ca="1" si="42"/>
        <v>6.1601865010454393E-3</v>
      </c>
      <c r="ES60" s="9">
        <f t="shared" ca="1" si="42"/>
        <v>4.821207152292839E-3</v>
      </c>
      <c r="ET60" s="9">
        <f t="shared" ca="1" si="42"/>
        <v>1.6145233011199966E-3</v>
      </c>
      <c r="EU60" s="9">
        <f t="shared" ca="1" si="42"/>
        <v>3.9923470253582227E-3</v>
      </c>
      <c r="EV60" s="9">
        <f t="shared" ca="1" si="42"/>
        <v>1.1921742014422421E-3</v>
      </c>
      <c r="EW60" s="9">
        <f t="shared" ca="1" si="42"/>
        <v>1.3848605427639882E-3</v>
      </c>
      <c r="EX60" s="9">
        <f t="shared" ca="1" si="42"/>
        <v>9.374595732825064E-5</v>
      </c>
      <c r="EY60" s="9">
        <f t="shared" ca="1" si="42"/>
        <v>2.7129321952547025E-3</v>
      </c>
      <c r="EZ60" s="9">
        <f t="shared" ca="1" si="42"/>
        <v>8.5182303164899054E-4</v>
      </c>
      <c r="FA60" s="9">
        <f t="shared" ca="1" si="42"/>
        <v>2.2846947925783123E-3</v>
      </c>
      <c r="FB60" s="9">
        <f t="shared" ca="1" si="42"/>
        <v>5.7443108448296254E-4</v>
      </c>
      <c r="FC60" s="9">
        <f t="shared" ca="1" si="42"/>
        <v>4.6644338272641139E-3</v>
      </c>
      <c r="FD60" s="9">
        <f t="shared" ca="1" si="42"/>
        <v>7.7157148587470026E-5</v>
      </c>
      <c r="FE60" s="9">
        <f t="shared" ca="1" si="42"/>
        <v>3.7799780171252628E-3</v>
      </c>
      <c r="FF60" s="9">
        <f t="shared" ca="1" si="42"/>
        <v>4.8098452824101301E-3</v>
      </c>
      <c r="FG60" s="9">
        <f t="shared" ca="1" si="42"/>
        <v>6.8853582234256194E-3</v>
      </c>
      <c r="FH60" s="9">
        <f t="shared" ca="1" si="42"/>
        <v>4.8432351236824545E-3</v>
      </c>
      <c r="FI60" s="9">
        <f t="shared" ca="1" si="42"/>
        <v>3.0758610457387592E-3</v>
      </c>
      <c r="FJ60" s="9">
        <f t="shared" ca="1" si="42"/>
        <v>5.97934208003148E-3</v>
      </c>
      <c r="FK60" s="9">
        <f t="shared" ca="1" si="42"/>
        <v>5.517370469687588E-5</v>
      </c>
      <c r="FL60" s="9">
        <f t="shared" ca="1" si="42"/>
        <v>6.0062458628248327E-3</v>
      </c>
      <c r="FM60" s="9">
        <f t="shared" ca="1" si="42"/>
        <v>8.5578918446098662E-3</v>
      </c>
      <c r="FN60" s="9">
        <f t="shared" ca="1" si="42"/>
        <v>8.7137735842519604E-3</v>
      </c>
      <c r="FO60" s="9">
        <f t="shared" ca="1" si="42"/>
        <v>3.3808541344065857E-3</v>
      </c>
      <c r="FP60" s="9">
        <f t="shared" ca="1" si="42"/>
        <v>8.9265569860264016E-3</v>
      </c>
      <c r="FQ60" s="9">
        <f t="shared" ca="1" si="42"/>
        <v>6.311946873892138E-3</v>
      </c>
      <c r="FR60" s="9">
        <f t="shared" ca="1" si="42"/>
        <v>5.2464940268006632E-3</v>
      </c>
      <c r="FS60" s="9">
        <f t="shared" ca="1" si="42"/>
        <v>4.7368649507977256E-3</v>
      </c>
      <c r="FT60" s="9">
        <f t="shared" ca="1" si="42"/>
        <v>5.2872382124702355E-4</v>
      </c>
      <c r="FU60" s="9">
        <f t="shared" ca="1" si="42"/>
        <v>3.5367117738970277E-3</v>
      </c>
      <c r="FV60" s="9">
        <f t="shared" ca="1" si="42"/>
        <v>4.9845657407411315E-3</v>
      </c>
      <c r="FW60" s="9">
        <f t="shared" ca="1" si="42"/>
        <v>4.1472815041010413E-4</v>
      </c>
      <c r="FX60" s="9">
        <f t="shared" ca="1" si="42"/>
        <v>4.9344116994085585E-3</v>
      </c>
      <c r="FY60" s="9">
        <f t="shared" ca="1" si="42"/>
        <v>5.5621505406617811E-3</v>
      </c>
      <c r="FZ60" s="9">
        <f t="shared" ca="1" si="42"/>
        <v>9.3304836153644821E-3</v>
      </c>
      <c r="GA60" s="9">
        <f t="shared" ca="1" si="42"/>
        <v>1.4274058872814077E-3</v>
      </c>
      <c r="GB60" s="9">
        <f t="shared" ca="1" si="42"/>
        <v>1.63507519537609E-3</v>
      </c>
      <c r="GC60" s="9">
        <f t="shared" ca="1" si="42"/>
        <v>5.5584342906508377E-3</v>
      </c>
      <c r="GD60" s="9">
        <f t="shared" ca="1" si="42"/>
        <v>4.3263118619782936E-3</v>
      </c>
      <c r="GE60" s="9">
        <f t="shared" ca="1" si="42"/>
        <v>4.2882260306077447E-3</v>
      </c>
      <c r="GF60" s="9">
        <f t="shared" ca="1" si="42"/>
        <v>8.5885087940595906E-4</v>
      </c>
      <c r="GG60" s="9">
        <f t="shared" ca="1" si="42"/>
        <v>6.7037143049619718E-4</v>
      </c>
      <c r="GH60" s="9">
        <f t="shared" ca="1" si="42"/>
        <v>3.0715740885651766E-3</v>
      </c>
      <c r="GI60" s="9">
        <f t="shared" ca="1" si="42"/>
        <v>1.8913691423687595E-3</v>
      </c>
      <c r="GJ60" s="9">
        <f t="shared" ca="1" si="42"/>
        <v>3.0788481649319799E-3</v>
      </c>
      <c r="GK60" s="9">
        <f t="shared" ca="1" si="42"/>
        <v>3.9665717000250122E-3</v>
      </c>
      <c r="GL60" s="9">
        <f t="shared" ref="GL60:IW60" ca="1" si="43">IF(GL33="","",ABS(GL33))</f>
        <v>2.8106957535819044E-2</v>
      </c>
      <c r="GM60" s="9">
        <f t="shared" ca="1" si="43"/>
        <v>2.3348415580680015E-2</v>
      </c>
      <c r="GN60" s="9">
        <f t="shared" ca="1" si="43"/>
        <v>2.2292482214063547E-2</v>
      </c>
      <c r="GO60" s="9">
        <f t="shared" ca="1" si="43"/>
        <v>1.9036570767887451E-3</v>
      </c>
      <c r="GP60" s="9">
        <f t="shared" ca="1" si="43"/>
        <v>3.3364118892063144E-2</v>
      </c>
      <c r="GQ60" s="9">
        <f t="shared" ca="1" si="43"/>
        <v>2.3304632048754881E-2</v>
      </c>
      <c r="GR60" s="9">
        <f t="shared" ca="1" si="43"/>
        <v>1.1543474740730919E-2</v>
      </c>
      <c r="GS60" s="9">
        <f t="shared" ca="1" si="43"/>
        <v>2.0439142509176556E-4</v>
      </c>
      <c r="GT60" s="9">
        <f t="shared" ca="1" si="43"/>
        <v>4.1987187947498672E-3</v>
      </c>
      <c r="GU60" s="9">
        <f t="shared" ca="1" si="43"/>
        <v>2.6714644459144843E-3</v>
      </c>
      <c r="GV60" s="9" t="str">
        <f t="shared" ca="1" si="43"/>
        <v/>
      </c>
      <c r="GW60" s="9" t="str">
        <f t="shared" ca="1" si="43"/>
        <v/>
      </c>
      <c r="GX60" s="9" t="str">
        <f t="shared" ca="1" si="43"/>
        <v/>
      </c>
      <c r="GY60" s="9" t="str">
        <f t="shared" ca="1" si="43"/>
        <v/>
      </c>
      <c r="GZ60" s="9" t="str">
        <f t="shared" ca="1" si="43"/>
        <v/>
      </c>
      <c r="HA60" s="9" t="str">
        <f t="shared" ca="1" si="43"/>
        <v/>
      </c>
      <c r="HB60" s="9" t="str">
        <f t="shared" ca="1" si="43"/>
        <v/>
      </c>
      <c r="HC60" s="9" t="str">
        <f t="shared" ca="1" si="43"/>
        <v/>
      </c>
      <c r="HD60" s="9" t="str">
        <f t="shared" ca="1" si="43"/>
        <v/>
      </c>
      <c r="HE60" s="9" t="str">
        <f t="shared" ca="1" si="43"/>
        <v/>
      </c>
      <c r="HF60" s="9" t="str">
        <f t="shared" ca="1" si="43"/>
        <v/>
      </c>
      <c r="HG60" s="9" t="str">
        <f t="shared" ca="1" si="43"/>
        <v/>
      </c>
      <c r="HH60" s="9" t="str">
        <f t="shared" ca="1" si="43"/>
        <v/>
      </c>
      <c r="HI60" s="9" t="str">
        <f t="shared" ca="1" si="43"/>
        <v/>
      </c>
      <c r="HJ60" s="9" t="str">
        <f t="shared" ca="1" si="43"/>
        <v/>
      </c>
      <c r="HK60" s="9" t="str">
        <f t="shared" ca="1" si="43"/>
        <v/>
      </c>
      <c r="HL60" s="9" t="str">
        <f t="shared" ca="1" si="43"/>
        <v/>
      </c>
      <c r="HM60" s="9" t="str">
        <f t="shared" ca="1" si="43"/>
        <v/>
      </c>
      <c r="HN60" s="9" t="str">
        <f t="shared" ca="1" si="43"/>
        <v/>
      </c>
      <c r="HO60" s="9" t="str">
        <f t="shared" ca="1" si="43"/>
        <v/>
      </c>
      <c r="HP60" s="9" t="str">
        <f t="shared" ca="1" si="43"/>
        <v/>
      </c>
      <c r="HQ60" s="9" t="str">
        <f t="shared" ca="1" si="43"/>
        <v/>
      </c>
      <c r="HR60" s="9" t="str">
        <f t="shared" ca="1" si="43"/>
        <v/>
      </c>
      <c r="HS60" s="9" t="str">
        <f t="shared" ca="1" si="43"/>
        <v/>
      </c>
      <c r="HT60" s="9" t="str">
        <f t="shared" ca="1" si="43"/>
        <v/>
      </c>
      <c r="HU60" s="9" t="str">
        <f t="shared" ca="1" si="43"/>
        <v/>
      </c>
      <c r="HV60" s="9" t="str">
        <f t="shared" ca="1" si="43"/>
        <v/>
      </c>
      <c r="HW60" s="9" t="str">
        <f t="shared" ca="1" si="43"/>
        <v/>
      </c>
      <c r="HX60" s="9" t="str">
        <f t="shared" ca="1" si="43"/>
        <v/>
      </c>
      <c r="HY60" s="9" t="str">
        <f t="shared" ca="1" si="43"/>
        <v/>
      </c>
      <c r="HZ60" s="9" t="str">
        <f t="shared" ca="1" si="43"/>
        <v/>
      </c>
      <c r="IA60" s="9" t="str">
        <f t="shared" ca="1" si="43"/>
        <v/>
      </c>
      <c r="IB60" s="9" t="str">
        <f t="shared" ca="1" si="43"/>
        <v/>
      </c>
      <c r="IC60" s="9" t="str">
        <f t="shared" ca="1" si="43"/>
        <v/>
      </c>
      <c r="ID60" s="9" t="str">
        <f t="shared" ca="1" si="43"/>
        <v/>
      </c>
      <c r="IE60" s="9" t="str">
        <f t="shared" ca="1" si="43"/>
        <v/>
      </c>
      <c r="IF60" s="9" t="str">
        <f t="shared" ca="1" si="43"/>
        <v/>
      </c>
      <c r="IG60" s="9" t="str">
        <f t="shared" ca="1" si="43"/>
        <v/>
      </c>
      <c r="IH60" s="9" t="str">
        <f t="shared" ca="1" si="43"/>
        <v/>
      </c>
      <c r="II60" s="9" t="str">
        <f t="shared" ca="1" si="43"/>
        <v/>
      </c>
      <c r="IJ60" s="9" t="str">
        <f t="shared" ca="1" si="43"/>
        <v/>
      </c>
      <c r="IK60" s="9" t="str">
        <f t="shared" ca="1" si="43"/>
        <v/>
      </c>
      <c r="IL60" s="9" t="str">
        <f t="shared" ca="1" si="43"/>
        <v/>
      </c>
      <c r="IM60" s="9" t="str">
        <f t="shared" ca="1" si="43"/>
        <v/>
      </c>
      <c r="IN60" s="9" t="str">
        <f t="shared" ca="1" si="43"/>
        <v/>
      </c>
      <c r="IO60" s="9" t="str">
        <f t="shared" ca="1" si="43"/>
        <v/>
      </c>
      <c r="IP60" s="9" t="str">
        <f t="shared" ca="1" si="43"/>
        <v/>
      </c>
      <c r="IQ60" s="9" t="str">
        <f t="shared" ca="1" si="43"/>
        <v/>
      </c>
      <c r="IR60" s="9" t="str">
        <f t="shared" ca="1" si="43"/>
        <v/>
      </c>
      <c r="IS60" s="9" t="str">
        <f t="shared" ca="1" si="43"/>
        <v/>
      </c>
      <c r="IT60" s="9" t="str">
        <f t="shared" ca="1" si="43"/>
        <v/>
      </c>
      <c r="IU60" s="9" t="str">
        <f t="shared" ca="1" si="43"/>
        <v/>
      </c>
      <c r="IV60" s="9" t="str">
        <f t="shared" ca="1" si="43"/>
        <v/>
      </c>
      <c r="IW60" s="9" t="str">
        <f t="shared" ca="1" si="43"/>
        <v/>
      </c>
      <c r="IX60" s="9" t="str">
        <f t="shared" ref="IX60:JH60" ca="1" si="44">IF(IX33="","",ABS(IX33))</f>
        <v/>
      </c>
      <c r="IY60" s="9" t="str">
        <f t="shared" ca="1" si="44"/>
        <v/>
      </c>
      <c r="IZ60" s="9" t="str">
        <f t="shared" ca="1" si="44"/>
        <v/>
      </c>
      <c r="JA60" s="9" t="str">
        <f t="shared" ca="1" si="44"/>
        <v/>
      </c>
      <c r="JB60" s="9" t="str">
        <f t="shared" ca="1" si="44"/>
        <v/>
      </c>
      <c r="JC60" s="9" t="str">
        <f t="shared" ca="1" si="44"/>
        <v/>
      </c>
      <c r="JD60" s="9" t="str">
        <f t="shared" ca="1" si="44"/>
        <v/>
      </c>
      <c r="JE60" s="9" t="str">
        <f t="shared" ca="1" si="44"/>
        <v/>
      </c>
      <c r="JF60" s="9" t="str">
        <f t="shared" ca="1" si="44"/>
        <v/>
      </c>
      <c r="JG60" s="9" t="str">
        <f t="shared" ca="1" si="44"/>
        <v/>
      </c>
      <c r="JH60" s="9" t="str">
        <f t="shared" ca="1" si="44"/>
        <v/>
      </c>
      <c r="JI60" s="13">
        <f t="shared" ca="1" si="24"/>
        <v>7.2607831436362876E-3</v>
      </c>
      <c r="JJ60" s="13">
        <f t="shared" ca="1" si="25"/>
        <v>4.2882260306077447E-3</v>
      </c>
      <c r="JK60" s="14">
        <f t="shared" ca="1" si="26"/>
        <v>7.2228011806521933E-5</v>
      </c>
      <c r="JL60" s="17">
        <f t="shared" ca="1" si="34"/>
        <v>8.4987064784308175E-3</v>
      </c>
      <c r="JM60" s="15" t="str">
        <f t="shared" ca="1" si="27"/>
        <v>[ -0,97% ; 2,43% ]</v>
      </c>
      <c r="JN60" s="17">
        <f t="shared" ca="1" si="28"/>
        <v>1.0878344292391446E-2</v>
      </c>
      <c r="LY60" s="1"/>
    </row>
    <row r="61" spans="1:337" x14ac:dyDescent="0.25">
      <c r="A61" s="4">
        <v>5</v>
      </c>
      <c r="B61" s="9">
        <f t="shared" ref="B61:BM61" ca="1" si="45">IF(B34="","",ABS(B34))</f>
        <v>3.0936793951477082E-3</v>
      </c>
      <c r="C61" s="9">
        <f t="shared" ca="1" si="45"/>
        <v>8.6740296003995354E-4</v>
      </c>
      <c r="D61" s="9">
        <f t="shared" ca="1" si="45"/>
        <v>3.4728176940058697E-3</v>
      </c>
      <c r="E61" s="9">
        <f t="shared" ca="1" si="45"/>
        <v>2.1287374146943261E-3</v>
      </c>
      <c r="F61" s="9">
        <f t="shared" ca="1" si="45"/>
        <v>3.5266549858967711E-3</v>
      </c>
      <c r="G61" s="9">
        <f t="shared" ca="1" si="45"/>
        <v>1.2380299600001088E-3</v>
      </c>
      <c r="H61" s="9">
        <f t="shared" ca="1" si="45"/>
        <v>4.5502006641440218E-6</v>
      </c>
      <c r="I61" s="9">
        <f t="shared" ca="1" si="45"/>
        <v>5.9451376125729816E-5</v>
      </c>
      <c r="J61" s="9">
        <f t="shared" ca="1" si="45"/>
        <v>2.6605405712639696E-3</v>
      </c>
      <c r="K61" s="9">
        <f t="shared" ca="1" si="45"/>
        <v>1.1021050977580993E-3</v>
      </c>
      <c r="L61" s="9">
        <f t="shared" ca="1" si="45"/>
        <v>1.519893567667352E-3</v>
      </c>
      <c r="M61" s="9">
        <f t="shared" ca="1" si="45"/>
        <v>1.1574786306555174E-3</v>
      </c>
      <c r="N61" s="9">
        <f t="shared" ca="1" si="45"/>
        <v>2.142638598498614E-3</v>
      </c>
      <c r="O61" s="9">
        <f t="shared" ca="1" si="45"/>
        <v>5.3965832979447903E-3</v>
      </c>
      <c r="P61" s="9">
        <f t="shared" ca="1" si="45"/>
        <v>6.1611631413565071E-3</v>
      </c>
      <c r="Q61" s="9">
        <f t="shared" ca="1" si="45"/>
        <v>5.374448067043458E-3</v>
      </c>
      <c r="R61" s="9">
        <f t="shared" ca="1" si="45"/>
        <v>4.3979448832112134E-3</v>
      </c>
      <c r="S61" s="9">
        <f t="shared" ca="1" si="45"/>
        <v>2.4518999312204137E-3</v>
      </c>
      <c r="T61" s="9">
        <f t="shared" ca="1" si="45"/>
        <v>2.3549338148274312E-3</v>
      </c>
      <c r="U61" s="9">
        <f t="shared" ca="1" si="45"/>
        <v>8.4394989920411057E-4</v>
      </c>
      <c r="V61" s="9">
        <f t="shared" ca="1" si="45"/>
        <v>2.528303839972601E-4</v>
      </c>
      <c r="W61" s="9">
        <f t="shared" ca="1" si="45"/>
        <v>1.5452594998796032E-3</v>
      </c>
      <c r="X61" s="9">
        <f t="shared" ca="1" si="45"/>
        <v>7.7582469534676068E-4</v>
      </c>
      <c r="Y61" s="9">
        <f t="shared" ca="1" si="45"/>
        <v>2.2668750696435147E-3</v>
      </c>
      <c r="Z61" s="9">
        <f t="shared" ca="1" si="45"/>
        <v>1.2075945577640912E-3</v>
      </c>
      <c r="AA61" s="9">
        <f t="shared" ca="1" si="45"/>
        <v>6.3825805945949554E-4</v>
      </c>
      <c r="AB61" s="9">
        <f t="shared" ca="1" si="45"/>
        <v>4.0598391101154263E-6</v>
      </c>
      <c r="AC61" s="9">
        <f t="shared" ca="1" si="45"/>
        <v>2.9546466734187149E-4</v>
      </c>
      <c r="AD61" s="9">
        <f t="shared" ca="1" si="45"/>
        <v>9.0217130258651856E-4</v>
      </c>
      <c r="AE61" s="9">
        <f t="shared" ca="1" si="45"/>
        <v>1.3100707547185619E-3</v>
      </c>
      <c r="AF61" s="9">
        <f t="shared" ca="1" si="45"/>
        <v>1.4372211859294826E-3</v>
      </c>
      <c r="AG61" s="9">
        <f t="shared" ca="1" si="45"/>
        <v>1.868802235006406E-3</v>
      </c>
      <c r="AH61" s="9">
        <f t="shared" ca="1" si="45"/>
        <v>4.0728004971808396E-3</v>
      </c>
      <c r="AI61" s="9">
        <f t="shared" ca="1" si="45"/>
        <v>5.9474513007859997E-3</v>
      </c>
      <c r="AJ61" s="9">
        <f t="shared" ca="1" si="45"/>
        <v>7.1093775150188332E-3</v>
      </c>
      <c r="AK61" s="9">
        <f t="shared" ca="1" si="45"/>
        <v>7.2506670159889763E-3</v>
      </c>
      <c r="AL61" s="9">
        <f t="shared" ca="1" si="45"/>
        <v>5.8359407009336284E-3</v>
      </c>
      <c r="AM61" s="9">
        <f t="shared" ca="1" si="45"/>
        <v>7.0946075937573516E-3</v>
      </c>
      <c r="AN61" s="9">
        <f t="shared" ca="1" si="45"/>
        <v>4.7399651707726864E-3</v>
      </c>
      <c r="AO61" s="9">
        <f t="shared" ca="1" si="45"/>
        <v>1.7455788040701137E-3</v>
      </c>
      <c r="AP61" s="9">
        <f t="shared" ca="1" si="45"/>
        <v>3.7188287157549071E-3</v>
      </c>
      <c r="AQ61" s="9">
        <f t="shared" ca="1" si="45"/>
        <v>5.506189726335986E-3</v>
      </c>
      <c r="AR61" s="9">
        <f t="shared" ca="1" si="45"/>
        <v>2.7750788197263843E-3</v>
      </c>
      <c r="AS61" s="9">
        <f t="shared" ca="1" si="45"/>
        <v>9.8440631226592856E-4</v>
      </c>
      <c r="AT61" s="9">
        <f t="shared" ca="1" si="45"/>
        <v>4.2670678342502377E-3</v>
      </c>
      <c r="AU61" s="9">
        <f t="shared" ca="1" si="45"/>
        <v>9.548017781534579E-3</v>
      </c>
      <c r="AV61" s="9">
        <f t="shared" ca="1" si="45"/>
        <v>1.4109422817344175E-2</v>
      </c>
      <c r="AW61" s="9">
        <f t="shared" ca="1" si="45"/>
        <v>1.9922120732105419E-2</v>
      </c>
      <c r="AX61" s="9">
        <f t="shared" ca="1" si="45"/>
        <v>2.0712364034888076E-2</v>
      </c>
      <c r="AY61" s="9">
        <f t="shared" ca="1" si="45"/>
        <v>2.2104373215675155E-2</v>
      </c>
      <c r="AZ61" s="9">
        <f t="shared" ca="1" si="45"/>
        <v>1.9396020227930189E-2</v>
      </c>
      <c r="BA61" s="9">
        <f t="shared" ca="1" si="45"/>
        <v>2.0935719737275482E-2</v>
      </c>
      <c r="BB61" s="9">
        <f t="shared" ca="1" si="45"/>
        <v>1.6029800876098399E-2</v>
      </c>
      <c r="BC61" s="9">
        <f t="shared" ca="1" si="45"/>
        <v>9.690192232113759E-3</v>
      </c>
      <c r="BD61" s="9">
        <f t="shared" ca="1" si="45"/>
        <v>1.4231057620030851E-2</v>
      </c>
      <c r="BE61" s="9">
        <f t="shared" ca="1" si="45"/>
        <v>1.7864765779384451E-2</v>
      </c>
      <c r="BF61" s="9">
        <f t="shared" ca="1" si="45"/>
        <v>1.9244348628312036E-2</v>
      </c>
      <c r="BG61" s="9">
        <f t="shared" ca="1" si="45"/>
        <v>2.3711793852682961E-2</v>
      </c>
      <c r="BH61" s="9">
        <f t="shared" ca="1" si="45"/>
        <v>1.8252570712852023E-2</v>
      </c>
      <c r="BI61" s="9">
        <f t="shared" ca="1" si="45"/>
        <v>1.3696426801522721E-2</v>
      </c>
      <c r="BJ61" s="9">
        <f t="shared" ca="1" si="45"/>
        <v>3.7720724432430686E-3</v>
      </c>
      <c r="BK61" s="9">
        <f t="shared" ca="1" si="45"/>
        <v>5.0148083182421921E-3</v>
      </c>
      <c r="BL61" s="9">
        <f t="shared" ca="1" si="45"/>
        <v>1.4838167461027174E-2</v>
      </c>
      <c r="BM61" s="9">
        <f t="shared" ca="1" si="45"/>
        <v>2.0772340511720166E-2</v>
      </c>
      <c r="BN61" s="9">
        <f t="shared" ref="BN61:DY61" ca="1" si="46">IF(BN34="","",ABS(BN34))</f>
        <v>2.3933373322266527E-2</v>
      </c>
      <c r="BO61" s="9">
        <f t="shared" ca="1" si="46"/>
        <v>1.508254089890837E-2</v>
      </c>
      <c r="BP61" s="9">
        <f t="shared" ca="1" si="46"/>
        <v>4.5258800790992648E-3</v>
      </c>
      <c r="BQ61" s="9">
        <f t="shared" ca="1" si="46"/>
        <v>7.0345711079099482E-3</v>
      </c>
      <c r="BR61" s="9">
        <f t="shared" ca="1" si="46"/>
        <v>7.8613221050733983E-3</v>
      </c>
      <c r="BS61" s="9">
        <f t="shared" ca="1" si="46"/>
        <v>6.0890451449413519E-3</v>
      </c>
      <c r="BT61" s="9">
        <f t="shared" ca="1" si="46"/>
        <v>1.4952491978689086E-2</v>
      </c>
      <c r="BU61" s="9">
        <f t="shared" ca="1" si="46"/>
        <v>7.8905050814728206E-3</v>
      </c>
      <c r="BV61" s="9">
        <f t="shared" ca="1" si="46"/>
        <v>3.1312927005525681E-3</v>
      </c>
      <c r="BW61" s="9">
        <f t="shared" ca="1" si="46"/>
        <v>6.5110016185155883E-3</v>
      </c>
      <c r="BX61" s="9">
        <f t="shared" ca="1" si="46"/>
        <v>1.5803159489785612E-2</v>
      </c>
      <c r="BY61" s="9">
        <f t="shared" ca="1" si="46"/>
        <v>9.6172449718299191E-3</v>
      </c>
      <c r="BZ61" s="9">
        <f t="shared" ca="1" si="46"/>
        <v>2.3030845639688824E-3</v>
      </c>
      <c r="CA61" s="9">
        <f t="shared" ca="1" si="46"/>
        <v>7.5134299583075048E-3</v>
      </c>
      <c r="CB61" s="9">
        <f t="shared" ca="1" si="46"/>
        <v>9.172469722454224E-3</v>
      </c>
      <c r="CC61" s="9">
        <f t="shared" ca="1" si="46"/>
        <v>5.0798957741848838E-3</v>
      </c>
      <c r="CD61" s="9">
        <f t="shared" ca="1" si="46"/>
        <v>4.769544712057705E-4</v>
      </c>
      <c r="CE61" s="9">
        <f t="shared" ca="1" si="46"/>
        <v>2.0177324877090896E-3</v>
      </c>
      <c r="CF61" s="9">
        <f t="shared" ca="1" si="46"/>
        <v>2.6020940106452617E-3</v>
      </c>
      <c r="CG61" s="9">
        <f t="shared" ca="1" si="46"/>
        <v>2.0477388501445315E-3</v>
      </c>
      <c r="CH61" s="9">
        <f t="shared" ca="1" si="46"/>
        <v>7.8032456190468835E-3</v>
      </c>
      <c r="CI61" s="9">
        <f t="shared" ca="1" si="46"/>
        <v>4.4909678669653452E-3</v>
      </c>
      <c r="CJ61" s="9">
        <f t="shared" ca="1" si="46"/>
        <v>1.1397004470933614E-2</v>
      </c>
      <c r="CK61" s="9">
        <f t="shared" ca="1" si="46"/>
        <v>2.2555161874742158E-3</v>
      </c>
      <c r="CL61" s="9">
        <f t="shared" ca="1" si="46"/>
        <v>4.6141800039238845E-3</v>
      </c>
      <c r="CM61" s="9">
        <f t="shared" ca="1" si="46"/>
        <v>1.3320205434119936E-2</v>
      </c>
      <c r="CN61" s="9">
        <f t="shared" ca="1" si="46"/>
        <v>1.060534883910047E-2</v>
      </c>
      <c r="CO61" s="9">
        <f t="shared" ca="1" si="46"/>
        <v>5.5058208844345202E-3</v>
      </c>
      <c r="CP61" s="9">
        <f t="shared" ca="1" si="46"/>
        <v>5.8460996495639517E-3</v>
      </c>
      <c r="CQ61" s="9">
        <f t="shared" ca="1" si="46"/>
        <v>7.2813744221014165E-3</v>
      </c>
      <c r="CR61" s="9">
        <f t="shared" ca="1" si="46"/>
        <v>5.3522082953607608E-3</v>
      </c>
      <c r="CS61" s="9">
        <f t="shared" ca="1" si="46"/>
        <v>4.0304570554305919E-4</v>
      </c>
      <c r="CT61" s="9">
        <f t="shared" ca="1" si="46"/>
        <v>3.576488145822676E-3</v>
      </c>
      <c r="CU61" s="9">
        <f t="shared" ca="1" si="46"/>
        <v>2.4834548455070382E-2</v>
      </c>
      <c r="CV61" s="9">
        <f t="shared" ca="1" si="46"/>
        <v>7.7928025231607245E-3</v>
      </c>
      <c r="CW61" s="9">
        <f t="shared" ca="1" si="46"/>
        <v>1.376071275248858E-3</v>
      </c>
      <c r="CX61" s="9">
        <f t="shared" ca="1" si="46"/>
        <v>3.5473999903077313E-3</v>
      </c>
      <c r="CY61" s="9">
        <f t="shared" ca="1" si="46"/>
        <v>1.8115639411182549E-3</v>
      </c>
      <c r="CZ61" s="9">
        <f t="shared" ca="1" si="46"/>
        <v>2.4782702402683654E-3</v>
      </c>
      <c r="DA61" s="9">
        <f t="shared" ca="1" si="46"/>
        <v>4.1749072533103782E-3</v>
      </c>
      <c r="DB61" s="9">
        <f t="shared" ca="1" si="46"/>
        <v>8.7058989899102546E-4</v>
      </c>
      <c r="DC61" s="9">
        <f t="shared" ca="1" si="46"/>
        <v>1.482702059360852E-3</v>
      </c>
      <c r="DD61" s="9">
        <f t="shared" ca="1" si="46"/>
        <v>1.8605273167389136E-3</v>
      </c>
      <c r="DE61" s="9">
        <f t="shared" ca="1" si="46"/>
        <v>3.0995961992987819E-3</v>
      </c>
      <c r="DF61" s="9">
        <f t="shared" ca="1" si="46"/>
        <v>4.9142950250609108E-3</v>
      </c>
      <c r="DG61" s="9">
        <f t="shared" ca="1" si="46"/>
        <v>1.1289849717958433E-2</v>
      </c>
      <c r="DH61" s="9">
        <f t="shared" ca="1" si="46"/>
        <v>1.8472907335884803E-2</v>
      </c>
      <c r="DI61" s="9">
        <f t="shared" ca="1" si="46"/>
        <v>1.480684980544289E-2</v>
      </c>
      <c r="DJ61" s="9">
        <f t="shared" ca="1" si="46"/>
        <v>7.0355914170211475E-3</v>
      </c>
      <c r="DK61" s="9">
        <f t="shared" ca="1" si="46"/>
        <v>2.7053520331898895E-4</v>
      </c>
      <c r="DL61" s="9">
        <f t="shared" ca="1" si="46"/>
        <v>6.8278524332288093E-4</v>
      </c>
      <c r="DM61" s="9">
        <f t="shared" ca="1" si="46"/>
        <v>4.0933239240803498E-3</v>
      </c>
      <c r="DN61" s="9">
        <f t="shared" ca="1" si="46"/>
        <v>7.0448561252903774E-3</v>
      </c>
      <c r="DO61" s="9">
        <f t="shared" ca="1" si="46"/>
        <v>5.8690846159079602E-3</v>
      </c>
      <c r="DP61" s="9">
        <f t="shared" ca="1" si="46"/>
        <v>9.7497453817763091E-4</v>
      </c>
      <c r="DQ61" s="9">
        <f t="shared" ca="1" si="46"/>
        <v>2.6859735601776347E-3</v>
      </c>
      <c r="DR61" s="9">
        <f t="shared" ca="1" si="46"/>
        <v>3.8146641760803401E-3</v>
      </c>
      <c r="DS61" s="9">
        <f t="shared" ca="1" si="46"/>
        <v>1.6513372020412476E-3</v>
      </c>
      <c r="DT61" s="9">
        <f t="shared" ca="1" si="46"/>
        <v>1.3466105732091727E-3</v>
      </c>
      <c r="DU61" s="9">
        <f t="shared" ca="1" si="46"/>
        <v>1.5599372175272297E-3</v>
      </c>
      <c r="DV61" s="9">
        <f t="shared" ca="1" si="46"/>
        <v>7.6273836097067171E-3</v>
      </c>
      <c r="DW61" s="9">
        <f t="shared" ca="1" si="46"/>
        <v>5.8296896687080046E-3</v>
      </c>
      <c r="DX61" s="9" t="str">
        <f t="shared" ca="1" si="46"/>
        <v/>
      </c>
      <c r="DY61" s="9" t="str">
        <f t="shared" ca="1" si="46"/>
        <v/>
      </c>
      <c r="DZ61" s="9" t="str">
        <f t="shared" ref="DZ61:GK61" ca="1" si="47">IF(DZ34="","",ABS(DZ34))</f>
        <v/>
      </c>
      <c r="EA61" s="9" t="str">
        <f t="shared" ca="1" si="47"/>
        <v/>
      </c>
      <c r="EB61" s="9" t="str">
        <f t="shared" ca="1" si="47"/>
        <v/>
      </c>
      <c r="EC61" s="9" t="str">
        <f t="shared" ca="1" si="47"/>
        <v/>
      </c>
      <c r="ED61" s="9" t="str">
        <f t="shared" ca="1" si="47"/>
        <v/>
      </c>
      <c r="EE61" s="9" t="str">
        <f t="shared" ca="1" si="47"/>
        <v/>
      </c>
      <c r="EF61" s="9" t="str">
        <f t="shared" ca="1" si="47"/>
        <v/>
      </c>
      <c r="EG61" s="9">
        <f t="shared" ca="1" si="47"/>
        <v>5.3822983443418959E-4</v>
      </c>
      <c r="EH61" s="9">
        <f t="shared" ca="1" si="47"/>
        <v>4.6251954408140783E-3</v>
      </c>
      <c r="EI61" s="9">
        <f t="shared" ca="1" si="47"/>
        <v>6.3997251879608363E-3</v>
      </c>
      <c r="EJ61" s="9">
        <f t="shared" ca="1" si="47"/>
        <v>6.658673962950834E-3</v>
      </c>
      <c r="EK61" s="9">
        <f t="shared" ca="1" si="47"/>
        <v>9.6014709475296112E-3</v>
      </c>
      <c r="EL61" s="9">
        <f t="shared" ca="1" si="47"/>
        <v>2.1357098697323273E-3</v>
      </c>
      <c r="EM61" s="9">
        <f t="shared" ca="1" si="47"/>
        <v>8.9331278083903953E-4</v>
      </c>
      <c r="EN61" s="9">
        <f t="shared" ca="1" si="47"/>
        <v>2.6011502000056197E-4</v>
      </c>
      <c r="EO61" s="9">
        <f t="shared" ca="1" si="47"/>
        <v>1.2142519188211853E-3</v>
      </c>
      <c r="EP61" s="9">
        <f t="shared" ca="1" si="47"/>
        <v>1.5605778048568664E-2</v>
      </c>
      <c r="EQ61" s="9">
        <f t="shared" ca="1" si="47"/>
        <v>2.8808725225550891E-3</v>
      </c>
      <c r="ER61" s="9">
        <f t="shared" ca="1" si="47"/>
        <v>8.1293318081534505E-3</v>
      </c>
      <c r="ES61" s="9">
        <f t="shared" ca="1" si="47"/>
        <v>5.632936838644742E-3</v>
      </c>
      <c r="ET61" s="9">
        <f t="shared" ca="1" si="47"/>
        <v>3.9359203726034853E-3</v>
      </c>
      <c r="EU61" s="9">
        <f t="shared" ca="1" si="47"/>
        <v>3.8263710457568934E-3</v>
      </c>
      <c r="EV61" s="9">
        <f t="shared" ca="1" si="47"/>
        <v>8.3470982113365011E-5</v>
      </c>
      <c r="EW61" s="9">
        <f t="shared" ca="1" si="47"/>
        <v>1.8401691354021921E-3</v>
      </c>
      <c r="EX61" s="9">
        <f t="shared" ca="1" si="47"/>
        <v>4.6788122431817847E-4</v>
      </c>
      <c r="EY61" s="9">
        <f t="shared" ca="1" si="47"/>
        <v>4.6078598600631793E-3</v>
      </c>
      <c r="EZ61" s="9">
        <f t="shared" ca="1" si="47"/>
        <v>1.0772410706317848E-3</v>
      </c>
      <c r="FA61" s="9">
        <f t="shared" ca="1" si="47"/>
        <v>2.1502358520493203E-3</v>
      </c>
      <c r="FB61" s="9">
        <f t="shared" ca="1" si="47"/>
        <v>1.9826927358261859E-3</v>
      </c>
      <c r="FC61" s="9">
        <f t="shared" ca="1" si="47"/>
        <v>4.5525556193168892E-3</v>
      </c>
      <c r="FD61" s="9">
        <f t="shared" ca="1" si="47"/>
        <v>3.4567846598578811E-3</v>
      </c>
      <c r="FE61" s="9">
        <f t="shared" ca="1" si="47"/>
        <v>5.4674916369021886E-3</v>
      </c>
      <c r="FF61" s="9">
        <f t="shared" ca="1" si="47"/>
        <v>3.9094172393112636E-3</v>
      </c>
      <c r="FG61" s="9">
        <f t="shared" ca="1" si="47"/>
        <v>7.6363683684068651E-3</v>
      </c>
      <c r="FH61" s="9">
        <f t="shared" ca="1" si="47"/>
        <v>5.5574498846644449E-3</v>
      </c>
      <c r="FI61" s="9">
        <f t="shared" ca="1" si="47"/>
        <v>4.7740716592251653E-3</v>
      </c>
      <c r="FJ61" s="9">
        <f t="shared" ca="1" si="47"/>
        <v>9.380193147017879E-3</v>
      </c>
      <c r="FK61" s="9">
        <f t="shared" ca="1" si="47"/>
        <v>4.1292734660914876E-3</v>
      </c>
      <c r="FL61" s="9">
        <f t="shared" ca="1" si="47"/>
        <v>6.900155069063385E-3</v>
      </c>
      <c r="FM61" s="9">
        <f t="shared" ca="1" si="47"/>
        <v>8.9561879782629195E-3</v>
      </c>
      <c r="FN61" s="9">
        <f t="shared" ca="1" si="47"/>
        <v>9.6122794478594731E-3</v>
      </c>
      <c r="FO61" s="9">
        <f t="shared" ca="1" si="47"/>
        <v>2.0540160089895787E-3</v>
      </c>
      <c r="FP61" s="9">
        <f t="shared" ca="1" si="47"/>
        <v>1.3274668996933636E-2</v>
      </c>
      <c r="FQ61" s="9">
        <f t="shared" ca="1" si="47"/>
        <v>7.6456871663177495E-3</v>
      </c>
      <c r="FR61" s="9">
        <f t="shared" ca="1" si="47"/>
        <v>5.5548633144073545E-3</v>
      </c>
      <c r="FS61" s="9">
        <f t="shared" ca="1" si="47"/>
        <v>3.8622792997140554E-3</v>
      </c>
      <c r="FT61" s="9">
        <f t="shared" ca="1" si="47"/>
        <v>4.14104042697927E-4</v>
      </c>
      <c r="FU61" s="9">
        <f t="shared" ca="1" si="47"/>
        <v>5.5142575942100924E-3</v>
      </c>
      <c r="FV61" s="9">
        <f t="shared" ca="1" si="47"/>
        <v>3.0060393656793361E-3</v>
      </c>
      <c r="FW61" s="9">
        <f t="shared" ca="1" si="47"/>
        <v>1.3438476595031279E-3</v>
      </c>
      <c r="FX61" s="9">
        <f t="shared" ca="1" si="47"/>
        <v>7.7364546646505605E-3</v>
      </c>
      <c r="FY61" s="9">
        <f t="shared" ca="1" si="47"/>
        <v>5.910531432395727E-3</v>
      </c>
      <c r="FZ61" s="9">
        <f t="shared" ca="1" si="47"/>
        <v>1.0792980972465394E-2</v>
      </c>
      <c r="GA61" s="9">
        <f t="shared" ca="1" si="47"/>
        <v>7.2435557907390979E-4</v>
      </c>
      <c r="GB61" s="9">
        <f t="shared" ca="1" si="47"/>
        <v>2.5673816519711234E-3</v>
      </c>
      <c r="GC61" s="9">
        <f t="shared" ca="1" si="47"/>
        <v>6.1571836484125564E-3</v>
      </c>
      <c r="GD61" s="9">
        <f t="shared" ca="1" si="47"/>
        <v>5.4829780003320394E-3</v>
      </c>
      <c r="GE61" s="9">
        <f t="shared" ca="1" si="47"/>
        <v>5.7197578112029301E-3</v>
      </c>
      <c r="GF61" s="9">
        <f t="shared" ca="1" si="47"/>
        <v>1.1975278569383851E-3</v>
      </c>
      <c r="GG61" s="9">
        <f t="shared" ca="1" si="47"/>
        <v>2.3031304445770839E-3</v>
      </c>
      <c r="GH61" s="9">
        <f t="shared" ca="1" si="47"/>
        <v>1.2432121433847421E-4</v>
      </c>
      <c r="GI61" s="9">
        <f t="shared" ca="1" si="47"/>
        <v>3.3884760510581868E-3</v>
      </c>
      <c r="GJ61" s="9">
        <f t="shared" ca="1" si="47"/>
        <v>2.7549425957480445E-3</v>
      </c>
      <c r="GK61" s="9">
        <f t="shared" ca="1" si="47"/>
        <v>2.2755108616075326E-2</v>
      </c>
      <c r="GL61" s="9">
        <f t="shared" ref="GL61:IW61" ca="1" si="48">IF(GL34="","",ABS(GL34))</f>
        <v>2.8701570591665559E-2</v>
      </c>
      <c r="GM61" s="9">
        <f t="shared" ca="1" si="48"/>
        <v>1.7894397621359914E-2</v>
      </c>
      <c r="GN61" s="9">
        <f t="shared" ca="1" si="48"/>
        <v>1.6812481068808838E-2</v>
      </c>
      <c r="GO61" s="9">
        <f t="shared" ca="1" si="48"/>
        <v>2.045383109358978E-3</v>
      </c>
      <c r="GP61" s="9">
        <f t="shared" ca="1" si="48"/>
        <v>3.7186654938670349E-2</v>
      </c>
      <c r="GQ61" s="9">
        <f t="shared" ca="1" si="48"/>
        <v>2.5772666286207113E-2</v>
      </c>
      <c r="GR61" s="9">
        <f t="shared" ca="1" si="48"/>
        <v>1.2398718070846249E-2</v>
      </c>
      <c r="GS61" s="9">
        <f t="shared" ca="1" si="48"/>
        <v>3.429377963137803E-5</v>
      </c>
      <c r="GT61" s="9">
        <f t="shared" ca="1" si="48"/>
        <v>6.4477887842986359E-3</v>
      </c>
      <c r="GU61" s="9" t="str">
        <f t="shared" ca="1" si="48"/>
        <v/>
      </c>
      <c r="GV61" s="9" t="str">
        <f t="shared" ca="1" si="48"/>
        <v/>
      </c>
      <c r="GW61" s="9" t="str">
        <f t="shared" ca="1" si="48"/>
        <v/>
      </c>
      <c r="GX61" s="9" t="str">
        <f t="shared" ca="1" si="48"/>
        <v/>
      </c>
      <c r="GY61" s="9" t="str">
        <f t="shared" ca="1" si="48"/>
        <v/>
      </c>
      <c r="GZ61" s="9" t="str">
        <f t="shared" ca="1" si="48"/>
        <v/>
      </c>
      <c r="HA61" s="9" t="str">
        <f t="shared" ca="1" si="48"/>
        <v/>
      </c>
      <c r="HB61" s="9" t="str">
        <f t="shared" ca="1" si="48"/>
        <v/>
      </c>
      <c r="HC61" s="9" t="str">
        <f t="shared" ca="1" si="48"/>
        <v/>
      </c>
      <c r="HD61" s="9" t="str">
        <f t="shared" ca="1" si="48"/>
        <v/>
      </c>
      <c r="HE61" s="9" t="str">
        <f t="shared" ca="1" si="48"/>
        <v/>
      </c>
      <c r="HF61" s="9" t="str">
        <f t="shared" ca="1" si="48"/>
        <v/>
      </c>
      <c r="HG61" s="9" t="str">
        <f t="shared" ca="1" si="48"/>
        <v/>
      </c>
      <c r="HH61" s="9" t="str">
        <f t="shared" ca="1" si="48"/>
        <v/>
      </c>
      <c r="HI61" s="9" t="str">
        <f t="shared" ca="1" si="48"/>
        <v/>
      </c>
      <c r="HJ61" s="9" t="str">
        <f t="shared" ca="1" si="48"/>
        <v/>
      </c>
      <c r="HK61" s="9" t="str">
        <f t="shared" ca="1" si="48"/>
        <v/>
      </c>
      <c r="HL61" s="9" t="str">
        <f t="shared" ca="1" si="48"/>
        <v/>
      </c>
      <c r="HM61" s="9" t="str">
        <f t="shared" ca="1" si="48"/>
        <v/>
      </c>
      <c r="HN61" s="9" t="str">
        <f t="shared" ca="1" si="48"/>
        <v/>
      </c>
      <c r="HO61" s="9" t="str">
        <f t="shared" ca="1" si="48"/>
        <v/>
      </c>
      <c r="HP61" s="9" t="str">
        <f t="shared" ca="1" si="48"/>
        <v/>
      </c>
      <c r="HQ61" s="9" t="str">
        <f t="shared" ca="1" si="48"/>
        <v/>
      </c>
      <c r="HR61" s="9" t="str">
        <f t="shared" ca="1" si="48"/>
        <v/>
      </c>
      <c r="HS61" s="9" t="str">
        <f t="shared" ca="1" si="48"/>
        <v/>
      </c>
      <c r="HT61" s="9" t="str">
        <f t="shared" ca="1" si="48"/>
        <v/>
      </c>
      <c r="HU61" s="9" t="str">
        <f t="shared" ca="1" si="48"/>
        <v/>
      </c>
      <c r="HV61" s="9" t="str">
        <f t="shared" ca="1" si="48"/>
        <v/>
      </c>
      <c r="HW61" s="9" t="str">
        <f t="shared" ca="1" si="48"/>
        <v/>
      </c>
      <c r="HX61" s="9" t="str">
        <f t="shared" ca="1" si="48"/>
        <v/>
      </c>
      <c r="HY61" s="9" t="str">
        <f t="shared" ca="1" si="48"/>
        <v/>
      </c>
      <c r="HZ61" s="9" t="str">
        <f t="shared" ca="1" si="48"/>
        <v/>
      </c>
      <c r="IA61" s="9" t="str">
        <f t="shared" ca="1" si="48"/>
        <v/>
      </c>
      <c r="IB61" s="9" t="str">
        <f t="shared" ca="1" si="48"/>
        <v/>
      </c>
      <c r="IC61" s="9" t="str">
        <f t="shared" ca="1" si="48"/>
        <v/>
      </c>
      <c r="ID61" s="9" t="str">
        <f t="shared" ca="1" si="48"/>
        <v/>
      </c>
      <c r="IE61" s="9" t="str">
        <f t="shared" ca="1" si="48"/>
        <v/>
      </c>
      <c r="IF61" s="9" t="str">
        <f t="shared" ca="1" si="48"/>
        <v/>
      </c>
      <c r="IG61" s="9" t="str">
        <f t="shared" ca="1" si="48"/>
        <v/>
      </c>
      <c r="IH61" s="9" t="str">
        <f t="shared" ca="1" si="48"/>
        <v/>
      </c>
      <c r="II61" s="9" t="str">
        <f t="shared" ca="1" si="48"/>
        <v/>
      </c>
      <c r="IJ61" s="9" t="str">
        <f t="shared" ca="1" si="48"/>
        <v/>
      </c>
      <c r="IK61" s="9" t="str">
        <f t="shared" ca="1" si="48"/>
        <v/>
      </c>
      <c r="IL61" s="9" t="str">
        <f t="shared" ca="1" si="48"/>
        <v/>
      </c>
      <c r="IM61" s="9" t="str">
        <f t="shared" ca="1" si="48"/>
        <v/>
      </c>
      <c r="IN61" s="9" t="str">
        <f t="shared" ca="1" si="48"/>
        <v/>
      </c>
      <c r="IO61" s="9" t="str">
        <f t="shared" ca="1" si="48"/>
        <v/>
      </c>
      <c r="IP61" s="9" t="str">
        <f t="shared" ca="1" si="48"/>
        <v/>
      </c>
      <c r="IQ61" s="9" t="str">
        <f t="shared" ca="1" si="48"/>
        <v/>
      </c>
      <c r="IR61" s="9" t="str">
        <f t="shared" ca="1" si="48"/>
        <v/>
      </c>
      <c r="IS61" s="9" t="str">
        <f t="shared" ca="1" si="48"/>
        <v/>
      </c>
      <c r="IT61" s="9" t="str">
        <f t="shared" ca="1" si="48"/>
        <v/>
      </c>
      <c r="IU61" s="9" t="str">
        <f t="shared" ca="1" si="48"/>
        <v/>
      </c>
      <c r="IV61" s="9" t="str">
        <f t="shared" ca="1" si="48"/>
        <v/>
      </c>
      <c r="IW61" s="9" t="str">
        <f t="shared" ca="1" si="48"/>
        <v/>
      </c>
      <c r="IX61" s="9" t="str">
        <f t="shared" ref="IX61:JH61" ca="1" si="49">IF(IX34="","",ABS(IX34))</f>
        <v/>
      </c>
      <c r="IY61" s="9" t="str">
        <f t="shared" ca="1" si="49"/>
        <v/>
      </c>
      <c r="IZ61" s="9" t="str">
        <f t="shared" ca="1" si="49"/>
        <v/>
      </c>
      <c r="JA61" s="9" t="str">
        <f t="shared" ca="1" si="49"/>
        <v/>
      </c>
      <c r="JB61" s="9" t="str">
        <f t="shared" ca="1" si="49"/>
        <v/>
      </c>
      <c r="JC61" s="9" t="str">
        <f t="shared" ca="1" si="49"/>
        <v/>
      </c>
      <c r="JD61" s="9" t="str">
        <f t="shared" ca="1" si="49"/>
        <v/>
      </c>
      <c r="JE61" s="9" t="str">
        <f t="shared" ca="1" si="49"/>
        <v/>
      </c>
      <c r="JF61" s="9" t="str">
        <f t="shared" ca="1" si="49"/>
        <v/>
      </c>
      <c r="JG61" s="9" t="str">
        <f t="shared" ca="1" si="49"/>
        <v/>
      </c>
      <c r="JH61" s="9" t="str">
        <f t="shared" ca="1" si="49"/>
        <v/>
      </c>
      <c r="JI61" s="13">
        <f t="shared" ca="1" si="24"/>
        <v>8.3618390074543629E-3</v>
      </c>
      <c r="JJ61" s="13">
        <f t="shared" ca="1" si="25"/>
        <v>5.5345604543087235E-3</v>
      </c>
      <c r="JK61" s="14">
        <f t="shared" ca="1" si="26"/>
        <v>8.2017216286279276E-5</v>
      </c>
      <c r="JL61" s="17">
        <f t="shared" ca="1" si="34"/>
        <v>9.0563356986299529E-3</v>
      </c>
      <c r="JM61" s="15" t="str">
        <f t="shared" ca="1" si="27"/>
        <v>[ -0,98% ; 2,65% ]</v>
      </c>
      <c r="JN61" s="17">
        <f t="shared" ca="1" si="28"/>
        <v>1.1592109694246341E-2</v>
      </c>
      <c r="LY61" s="1"/>
    </row>
    <row r="62" spans="1:337" x14ac:dyDescent="0.25">
      <c r="A62" s="4">
        <v>6</v>
      </c>
      <c r="B62" s="9">
        <f t="shared" ref="B62:BM62" ca="1" si="50">IF(B35="","",ABS(B35))</f>
        <v>4.0940220328912202E-3</v>
      </c>
      <c r="C62" s="9">
        <f t="shared" ca="1" si="50"/>
        <v>8.4429046619260983E-4</v>
      </c>
      <c r="D62" s="9">
        <f t="shared" ca="1" si="50"/>
        <v>3.6302492508094586E-3</v>
      </c>
      <c r="E62" s="9">
        <f t="shared" ca="1" si="50"/>
        <v>2.7913367955088031E-3</v>
      </c>
      <c r="F62" s="9">
        <f t="shared" ca="1" si="50"/>
        <v>2.8727795344232199E-3</v>
      </c>
      <c r="G62" s="9">
        <f t="shared" ca="1" si="50"/>
        <v>1.5654521872530136E-3</v>
      </c>
      <c r="H62" s="9">
        <f t="shared" ca="1" si="50"/>
        <v>1.1115582711379579E-3</v>
      </c>
      <c r="I62" s="9">
        <f t="shared" ca="1" si="50"/>
        <v>2.1179264625033056E-3</v>
      </c>
      <c r="J62" s="9">
        <f t="shared" ca="1" si="50"/>
        <v>1.4962115082275407E-3</v>
      </c>
      <c r="K62" s="9">
        <f t="shared" ca="1" si="50"/>
        <v>3.8827326455093125E-4</v>
      </c>
      <c r="L62" s="9">
        <f t="shared" ca="1" si="50"/>
        <v>6.0589105803199317E-4</v>
      </c>
      <c r="M62" s="9">
        <f t="shared" ca="1" si="50"/>
        <v>4.0303952003384325E-5</v>
      </c>
      <c r="N62" s="9">
        <f t="shared" ca="1" si="50"/>
        <v>2.6995677822396758E-3</v>
      </c>
      <c r="O62" s="9">
        <f t="shared" ca="1" si="50"/>
        <v>6.7613970547439894E-3</v>
      </c>
      <c r="P62" s="9">
        <f t="shared" ca="1" si="50"/>
        <v>7.2607648439826367E-3</v>
      </c>
      <c r="Q62" s="9">
        <f t="shared" ca="1" si="50"/>
        <v>5.8209892274960762E-3</v>
      </c>
      <c r="R62" s="9">
        <f t="shared" ca="1" si="50"/>
        <v>4.6860278624540896E-3</v>
      </c>
      <c r="S62" s="9">
        <f t="shared" ca="1" si="50"/>
        <v>3.3629928908021078E-3</v>
      </c>
      <c r="T62" s="9">
        <f t="shared" ca="1" si="50"/>
        <v>1.8223906927530287E-3</v>
      </c>
      <c r="U62" s="9">
        <f t="shared" ca="1" si="50"/>
        <v>4.1301914509550564E-4</v>
      </c>
      <c r="V62" s="9">
        <f t="shared" ca="1" si="50"/>
        <v>1.371845959830198E-3</v>
      </c>
      <c r="W62" s="9">
        <f t="shared" ca="1" si="50"/>
        <v>8.2450619633078759E-4</v>
      </c>
      <c r="X62" s="9">
        <f t="shared" ca="1" si="50"/>
        <v>9.5634654174214795E-4</v>
      </c>
      <c r="Y62" s="9">
        <f t="shared" ca="1" si="50"/>
        <v>3.0437815954879044E-3</v>
      </c>
      <c r="Z62" s="9">
        <f t="shared" ca="1" si="50"/>
        <v>2.6074305103425122E-3</v>
      </c>
      <c r="AA62" s="9">
        <f t="shared" ca="1" si="50"/>
        <v>1.0654467864511519E-3</v>
      </c>
      <c r="AB62" s="9">
        <f t="shared" ca="1" si="50"/>
        <v>9.9639595919032153E-4</v>
      </c>
      <c r="AC62" s="9">
        <f t="shared" ca="1" si="50"/>
        <v>8.4885089630848398E-4</v>
      </c>
      <c r="AD62" s="9">
        <f t="shared" ca="1" si="50"/>
        <v>1.7930441875601E-3</v>
      </c>
      <c r="AE62" s="9">
        <f t="shared" ca="1" si="50"/>
        <v>1.7488297549731469E-3</v>
      </c>
      <c r="AF62" s="9">
        <f t="shared" ca="1" si="50"/>
        <v>2.7615039868293945E-3</v>
      </c>
      <c r="AG62" s="9">
        <f t="shared" ca="1" si="50"/>
        <v>2.6422228801465941E-3</v>
      </c>
      <c r="AH62" s="9">
        <f t="shared" ca="1" si="50"/>
        <v>6.6259160658772576E-3</v>
      </c>
      <c r="AI62" s="9">
        <f t="shared" ca="1" si="50"/>
        <v>8.2672007910298273E-3</v>
      </c>
      <c r="AJ62" s="9">
        <f t="shared" ca="1" si="50"/>
        <v>7.8686775899986516E-3</v>
      </c>
      <c r="AK62" s="9">
        <f t="shared" ca="1" si="50"/>
        <v>8.1988290394816588E-3</v>
      </c>
      <c r="AL62" s="9">
        <f t="shared" ca="1" si="50"/>
        <v>7.9025933779355295E-3</v>
      </c>
      <c r="AM62" s="9">
        <f t="shared" ca="1" si="50"/>
        <v>8.3138859014632027E-3</v>
      </c>
      <c r="AN62" s="9">
        <f t="shared" ca="1" si="50"/>
        <v>5.0730677646837474E-3</v>
      </c>
      <c r="AO62" s="9">
        <f t="shared" ca="1" si="50"/>
        <v>2.8490654757573619E-3</v>
      </c>
      <c r="AP62" s="9">
        <f t="shared" ca="1" si="50"/>
        <v>4.9833516296338143E-3</v>
      </c>
      <c r="AQ62" s="9">
        <f t="shared" ca="1" si="50"/>
        <v>5.3800244411468245E-3</v>
      </c>
      <c r="AR62" s="9">
        <f t="shared" ca="1" si="50"/>
        <v>1.3363623289561755E-3</v>
      </c>
      <c r="AS62" s="9">
        <f t="shared" ca="1" si="50"/>
        <v>4.1500062274320015E-3</v>
      </c>
      <c r="AT62" s="9">
        <f t="shared" ca="1" si="50"/>
        <v>8.6759156741427201E-3</v>
      </c>
      <c r="AU62" s="9">
        <f t="shared" ca="1" si="50"/>
        <v>1.2377982114176067E-2</v>
      </c>
      <c r="AV62" s="9">
        <f t="shared" ca="1" si="50"/>
        <v>2.039195990819187E-2</v>
      </c>
      <c r="AW62" s="9">
        <f t="shared" ca="1" si="50"/>
        <v>2.6474081744892963E-2</v>
      </c>
      <c r="AX62" s="9">
        <f t="shared" ca="1" si="50"/>
        <v>2.7486927069067635E-2</v>
      </c>
      <c r="AY62" s="9">
        <f t="shared" ca="1" si="50"/>
        <v>2.7335461823032814E-2</v>
      </c>
      <c r="AZ62" s="9">
        <f t="shared" ca="1" si="50"/>
        <v>2.555441177554596E-2</v>
      </c>
      <c r="BA62" s="9">
        <f t="shared" ca="1" si="50"/>
        <v>2.5983796374748902E-2</v>
      </c>
      <c r="BB62" s="9">
        <f t="shared" ca="1" si="50"/>
        <v>2.2588594711000942E-2</v>
      </c>
      <c r="BC62" s="9">
        <f t="shared" ca="1" si="50"/>
        <v>1.5889638076179713E-2</v>
      </c>
      <c r="BD62" s="9">
        <f t="shared" ca="1" si="50"/>
        <v>1.8972050834137111E-2</v>
      </c>
      <c r="BE62" s="9">
        <f t="shared" ca="1" si="50"/>
        <v>2.4393257897160847E-2</v>
      </c>
      <c r="BF62" s="9">
        <f t="shared" ca="1" si="50"/>
        <v>2.5233718288735663E-2</v>
      </c>
      <c r="BG62" s="9">
        <f t="shared" ca="1" si="50"/>
        <v>2.9125647442550973E-2</v>
      </c>
      <c r="BH62" s="9">
        <f t="shared" ca="1" si="50"/>
        <v>2.2762163304115957E-2</v>
      </c>
      <c r="BI62" s="9">
        <f t="shared" ca="1" si="50"/>
        <v>1.5020027146467108E-2</v>
      </c>
      <c r="BJ62" s="9">
        <f t="shared" ca="1" si="50"/>
        <v>3.6356850446805922E-4</v>
      </c>
      <c r="BK62" s="9">
        <f t="shared" ca="1" si="50"/>
        <v>8.1153189920318836E-3</v>
      </c>
      <c r="BL62" s="9">
        <f t="shared" ca="1" si="50"/>
        <v>1.946471909696057E-2</v>
      </c>
      <c r="BM62" s="9">
        <f t="shared" ca="1" si="50"/>
        <v>2.7270453794478122E-2</v>
      </c>
      <c r="BN62" s="9">
        <f t="shared" ref="BN62:DY62" ca="1" si="51">IF(BN35="","",ABS(BN35))</f>
        <v>2.8659985947502631E-2</v>
      </c>
      <c r="BO62" s="9">
        <f t="shared" ca="1" si="51"/>
        <v>2.0614035049319024E-2</v>
      </c>
      <c r="BP62" s="9">
        <f t="shared" ca="1" si="51"/>
        <v>8.5390294900152819E-3</v>
      </c>
      <c r="BQ62" s="9">
        <f t="shared" ca="1" si="51"/>
        <v>8.9921348772743492E-3</v>
      </c>
      <c r="BR62" s="9">
        <f t="shared" ca="1" si="51"/>
        <v>8.4852637748615845E-3</v>
      </c>
      <c r="BS62" s="9">
        <f t="shared" ca="1" si="51"/>
        <v>9.423916950479061E-3</v>
      </c>
      <c r="BT62" s="9">
        <f t="shared" ca="1" si="51"/>
        <v>2.0180827727004469E-2</v>
      </c>
      <c r="BU62" s="9">
        <f t="shared" ca="1" si="51"/>
        <v>1.1477178119124742E-2</v>
      </c>
      <c r="BV62" s="9">
        <f t="shared" ca="1" si="51"/>
        <v>5.1400227564589729E-3</v>
      </c>
      <c r="BW62" s="9">
        <f t="shared" ca="1" si="51"/>
        <v>8.3664782318775277E-3</v>
      </c>
      <c r="BX62" s="9">
        <f t="shared" ca="1" si="51"/>
        <v>1.7632838519303751E-2</v>
      </c>
      <c r="BY62" s="9">
        <f t="shared" ca="1" si="51"/>
        <v>9.2547583997855121E-3</v>
      </c>
      <c r="BZ62" s="9">
        <f t="shared" ca="1" si="51"/>
        <v>3.4824015361871741E-3</v>
      </c>
      <c r="CA62" s="9">
        <f t="shared" ca="1" si="51"/>
        <v>1.0044153012526147E-2</v>
      </c>
      <c r="CB62" s="9">
        <f t="shared" ca="1" si="51"/>
        <v>1.2534680326077519E-2</v>
      </c>
      <c r="CC62" s="9">
        <f t="shared" ca="1" si="51"/>
        <v>6.484125467004942E-3</v>
      </c>
      <c r="CD62" s="9">
        <f t="shared" ca="1" si="51"/>
        <v>2.2715456896476027E-3</v>
      </c>
      <c r="CE62" s="9">
        <f t="shared" ca="1" si="51"/>
        <v>8.9153713197953621E-5</v>
      </c>
      <c r="CF62" s="9">
        <f t="shared" ca="1" si="51"/>
        <v>1.8851520808367273E-3</v>
      </c>
      <c r="CG62" s="9">
        <f t="shared" ca="1" si="51"/>
        <v>4.5254989349934327E-3</v>
      </c>
      <c r="CH62" s="9">
        <f t="shared" ca="1" si="51"/>
        <v>9.1137888076837648E-3</v>
      </c>
      <c r="CI62" s="9">
        <f t="shared" ca="1" si="51"/>
        <v>3.4832388442063156E-3</v>
      </c>
      <c r="CJ62" s="9">
        <f t="shared" ca="1" si="51"/>
        <v>1.1446664296160147E-2</v>
      </c>
      <c r="CK62" s="9">
        <f t="shared" ca="1" si="51"/>
        <v>3.950746525097415E-3</v>
      </c>
      <c r="CL62" s="9">
        <f t="shared" ca="1" si="51"/>
        <v>6.7192919884300206E-3</v>
      </c>
      <c r="CM62" s="9">
        <f t="shared" ca="1" si="51"/>
        <v>1.672614821613605E-2</v>
      </c>
      <c r="CN62" s="9">
        <f t="shared" ca="1" si="51"/>
        <v>1.3657829050326642E-2</v>
      </c>
      <c r="CO62" s="9">
        <f t="shared" ca="1" si="51"/>
        <v>1.1988308852705076E-2</v>
      </c>
      <c r="CP62" s="9">
        <f t="shared" ca="1" si="51"/>
        <v>3.1275514452946407E-3</v>
      </c>
      <c r="CQ62" s="9">
        <f t="shared" ca="1" si="51"/>
        <v>7.2493121279977313E-3</v>
      </c>
      <c r="CR62" s="9">
        <f t="shared" ca="1" si="51"/>
        <v>4.0105668426397845E-3</v>
      </c>
      <c r="CS62" s="9">
        <f t="shared" ca="1" si="51"/>
        <v>5.7777315205209678E-4</v>
      </c>
      <c r="CT62" s="9">
        <f t="shared" ca="1" si="51"/>
        <v>5.3568553483354098E-3</v>
      </c>
      <c r="CU62" s="9">
        <f t="shared" ca="1" si="51"/>
        <v>2.9593936768308349E-2</v>
      </c>
      <c r="CV62" s="9">
        <f t="shared" ca="1" si="51"/>
        <v>7.8124829292905984E-3</v>
      </c>
      <c r="CW62" s="9">
        <f t="shared" ca="1" si="51"/>
        <v>4.9044806213438541E-4</v>
      </c>
      <c r="CX62" s="9">
        <f t="shared" ca="1" si="51"/>
        <v>3.6374992239336379E-3</v>
      </c>
      <c r="CY62" s="9">
        <f t="shared" ca="1" si="51"/>
        <v>2.6011937305014943E-3</v>
      </c>
      <c r="CZ62" s="9">
        <f t="shared" ca="1" si="51"/>
        <v>2.5169200652228607E-3</v>
      </c>
      <c r="DA62" s="9">
        <f t="shared" ca="1" si="51"/>
        <v>4.2163797624761301E-3</v>
      </c>
      <c r="DB62" s="9">
        <f t="shared" ca="1" si="51"/>
        <v>6.3265854006844258E-5</v>
      </c>
      <c r="DC62" s="9">
        <f t="shared" ca="1" si="51"/>
        <v>3.2078638772173873E-3</v>
      </c>
      <c r="DD62" s="9">
        <f t="shared" ca="1" si="51"/>
        <v>7.8088880654492154E-4</v>
      </c>
      <c r="DE62" s="9">
        <f t="shared" ca="1" si="51"/>
        <v>6.7107461638404864E-3</v>
      </c>
      <c r="DF62" s="9">
        <f t="shared" ca="1" si="51"/>
        <v>8.571751217953949E-3</v>
      </c>
      <c r="DG62" s="9">
        <f t="shared" ca="1" si="51"/>
        <v>1.583483496283733E-2</v>
      </c>
      <c r="DH62" s="9">
        <f t="shared" ca="1" si="51"/>
        <v>2.0057892186062243E-2</v>
      </c>
      <c r="DI62" s="9">
        <f t="shared" ca="1" si="51"/>
        <v>1.7072069539964874E-2</v>
      </c>
      <c r="DJ62" s="9">
        <f t="shared" ca="1" si="51"/>
        <v>8.757344599490291E-3</v>
      </c>
      <c r="DK62" s="9">
        <f t="shared" ca="1" si="51"/>
        <v>8.6303078237104369E-4</v>
      </c>
      <c r="DL62" s="9">
        <f t="shared" ca="1" si="51"/>
        <v>6.3972229180420115E-5</v>
      </c>
      <c r="DM62" s="9">
        <f t="shared" ca="1" si="51"/>
        <v>5.2862253867265174E-3</v>
      </c>
      <c r="DN62" s="9">
        <f t="shared" ca="1" si="51"/>
        <v>7.7763362851818174E-3</v>
      </c>
      <c r="DO62" s="9">
        <f t="shared" ca="1" si="51"/>
        <v>6.283173268088027E-3</v>
      </c>
      <c r="DP62" s="9">
        <f t="shared" ca="1" si="51"/>
        <v>2.5092609070546112E-3</v>
      </c>
      <c r="DQ62" s="9">
        <f t="shared" ca="1" si="51"/>
        <v>3.504325827618171E-3</v>
      </c>
      <c r="DR62" s="9">
        <f t="shared" ca="1" si="51"/>
        <v>4.7119193657081393E-3</v>
      </c>
      <c r="DS62" s="9">
        <f t="shared" ca="1" si="51"/>
        <v>8.8912302831500867E-4</v>
      </c>
      <c r="DT62" s="9">
        <f t="shared" ca="1" si="51"/>
        <v>3.7692891727596489E-3</v>
      </c>
      <c r="DU62" s="9">
        <f t="shared" ca="1" si="51"/>
        <v>9.1259600936166585E-4</v>
      </c>
      <c r="DV62" s="9">
        <f t="shared" ca="1" si="51"/>
        <v>8.1203532254674471E-3</v>
      </c>
      <c r="DW62" s="9" t="str">
        <f t="shared" ca="1" si="51"/>
        <v/>
      </c>
      <c r="DX62" s="9" t="str">
        <f t="shared" ca="1" si="51"/>
        <v/>
      </c>
      <c r="DY62" s="9" t="str">
        <f t="shared" ca="1" si="51"/>
        <v/>
      </c>
      <c r="DZ62" s="9" t="str">
        <f t="shared" ref="DZ62:GK62" ca="1" si="52">IF(DZ35="","",ABS(DZ35))</f>
        <v/>
      </c>
      <c r="EA62" s="9" t="str">
        <f t="shared" ca="1" si="52"/>
        <v/>
      </c>
      <c r="EB62" s="9" t="str">
        <f t="shared" ca="1" si="52"/>
        <v/>
      </c>
      <c r="EC62" s="9" t="str">
        <f t="shared" ca="1" si="52"/>
        <v/>
      </c>
      <c r="ED62" s="9" t="str">
        <f t="shared" ca="1" si="52"/>
        <v/>
      </c>
      <c r="EE62" s="9" t="str">
        <f t="shared" ca="1" si="52"/>
        <v/>
      </c>
      <c r="EF62" s="9" t="str">
        <f t="shared" ca="1" si="52"/>
        <v/>
      </c>
      <c r="EG62" s="9">
        <f t="shared" ca="1" si="52"/>
        <v>2.0319088582998468E-4</v>
      </c>
      <c r="EH62" s="9">
        <f t="shared" ca="1" si="52"/>
        <v>6.029545474642628E-3</v>
      </c>
      <c r="EI62" s="9">
        <f t="shared" ca="1" si="52"/>
        <v>7.8978366248123599E-3</v>
      </c>
      <c r="EJ62" s="9">
        <f t="shared" ca="1" si="52"/>
        <v>1.4914655360880769E-2</v>
      </c>
      <c r="EK62" s="9">
        <f t="shared" ca="1" si="52"/>
        <v>5.1446320105257293E-3</v>
      </c>
      <c r="EL62" s="9">
        <f t="shared" ca="1" si="52"/>
        <v>5.2603799870531986E-4</v>
      </c>
      <c r="EM62" s="9">
        <f t="shared" ca="1" si="52"/>
        <v>9.7691178617731467E-4</v>
      </c>
      <c r="EN62" s="9">
        <f t="shared" ca="1" si="52"/>
        <v>1.1711410573167491E-4</v>
      </c>
      <c r="EO62" s="9">
        <f t="shared" ca="1" si="52"/>
        <v>1.5087922611509708E-3</v>
      </c>
      <c r="EP62" s="9">
        <f t="shared" ca="1" si="52"/>
        <v>1.6946572079349242E-2</v>
      </c>
      <c r="EQ62" s="9">
        <f t="shared" ca="1" si="52"/>
        <v>2.6805661036435335E-3</v>
      </c>
      <c r="ER62" s="9">
        <f t="shared" ca="1" si="52"/>
        <v>9.9170158773271844E-3</v>
      </c>
      <c r="ES62" s="9">
        <f t="shared" ca="1" si="52"/>
        <v>7.3889703315808131E-3</v>
      </c>
      <c r="ET62" s="9">
        <f t="shared" ca="1" si="52"/>
        <v>4.1947620062243729E-3</v>
      </c>
      <c r="EU62" s="9">
        <f t="shared" ca="1" si="52"/>
        <v>3.495880304850596E-3</v>
      </c>
      <c r="EV62" s="9">
        <f t="shared" ca="1" si="52"/>
        <v>1.1830103046008844E-3</v>
      </c>
      <c r="EW62" s="9">
        <f t="shared" ca="1" si="52"/>
        <v>7.8120978074081027E-4</v>
      </c>
      <c r="EX62" s="9">
        <f t="shared" ca="1" si="52"/>
        <v>5.8412065901758403E-4</v>
      </c>
      <c r="EY62" s="9">
        <f t="shared" ca="1" si="52"/>
        <v>5.5388159113354263E-3</v>
      </c>
      <c r="EZ62" s="9">
        <f t="shared" ca="1" si="52"/>
        <v>1.2755806224877819E-3</v>
      </c>
      <c r="FA62" s="9">
        <f t="shared" ca="1" si="52"/>
        <v>1.0733819004000722E-3</v>
      </c>
      <c r="FB62" s="9">
        <f t="shared" ca="1" si="52"/>
        <v>1.529946694961537E-3</v>
      </c>
      <c r="FC62" s="9">
        <f t="shared" ca="1" si="52"/>
        <v>1.8153334494326323E-3</v>
      </c>
      <c r="FD62" s="9">
        <f t="shared" ca="1" si="52"/>
        <v>5.6679792313496513E-3</v>
      </c>
      <c r="FE62" s="9">
        <f t="shared" ca="1" si="52"/>
        <v>4.4345581093117037E-3</v>
      </c>
      <c r="FF62" s="9">
        <f t="shared" ca="1" si="52"/>
        <v>4.3059023494842474E-3</v>
      </c>
      <c r="FG62" s="9">
        <f t="shared" ca="1" si="52"/>
        <v>9.0441891534167596E-3</v>
      </c>
      <c r="FH62" s="9">
        <f t="shared" ca="1" si="52"/>
        <v>5.2936090272821534E-3</v>
      </c>
      <c r="FI62" s="9">
        <f t="shared" ca="1" si="52"/>
        <v>7.4831392842967803E-3</v>
      </c>
      <c r="FJ62" s="9">
        <f t="shared" ca="1" si="52"/>
        <v>1.5468605226748311E-2</v>
      </c>
      <c r="FK62" s="9">
        <f t="shared" ca="1" si="52"/>
        <v>5.716609385109539E-3</v>
      </c>
      <c r="FL62" s="9">
        <f t="shared" ca="1" si="52"/>
        <v>7.3062644312332781E-3</v>
      </c>
      <c r="FM62" s="9">
        <f t="shared" ca="1" si="52"/>
        <v>9.6723324141951839E-3</v>
      </c>
      <c r="FN62" s="9">
        <f t="shared" ca="1" si="52"/>
        <v>9.8700223990079161E-3</v>
      </c>
      <c r="FO62" s="9">
        <f t="shared" ca="1" si="52"/>
        <v>4.0969638866994451E-4</v>
      </c>
      <c r="FP62" s="9">
        <f t="shared" ca="1" si="52"/>
        <v>1.672222694105252E-2</v>
      </c>
      <c r="FQ62" s="9">
        <f t="shared" ca="1" si="52"/>
        <v>8.3933715023782884E-3</v>
      </c>
      <c r="FR62" s="9">
        <f t="shared" ca="1" si="52"/>
        <v>4.6696045117933238E-3</v>
      </c>
      <c r="FS62" s="9">
        <f t="shared" ca="1" si="52"/>
        <v>4.2898726889719629E-3</v>
      </c>
      <c r="FT62" s="9">
        <f t="shared" ca="1" si="52"/>
        <v>1.3480879490894715E-3</v>
      </c>
      <c r="FU62" s="9">
        <f t="shared" ca="1" si="52"/>
        <v>3.7536267571147697E-3</v>
      </c>
      <c r="FV62" s="9">
        <f t="shared" ca="1" si="52"/>
        <v>2.6014707473096532E-3</v>
      </c>
      <c r="FW62" s="9">
        <f t="shared" ca="1" si="52"/>
        <v>3.3426026013192445E-3</v>
      </c>
      <c r="FX62" s="9">
        <f t="shared" ca="1" si="52"/>
        <v>7.8200096110605521E-3</v>
      </c>
      <c r="FY62" s="9">
        <f t="shared" ca="1" si="52"/>
        <v>6.6245718775121976E-3</v>
      </c>
      <c r="FZ62" s="9">
        <f t="shared" ca="1" si="52"/>
        <v>1.0908081018851545E-2</v>
      </c>
      <c r="GA62" s="9">
        <f t="shared" ca="1" si="52"/>
        <v>1.2433681828886156E-3</v>
      </c>
      <c r="GB62" s="9">
        <f t="shared" ca="1" si="52"/>
        <v>3.8147520165042748E-3</v>
      </c>
      <c r="GC62" s="9">
        <f t="shared" ca="1" si="52"/>
        <v>6.414382423320264E-3</v>
      </c>
      <c r="GD62" s="9">
        <f t="shared" ca="1" si="52"/>
        <v>7.0976000235514203E-3</v>
      </c>
      <c r="GE62" s="9">
        <f t="shared" ca="1" si="52"/>
        <v>7.0550482195984587E-3</v>
      </c>
      <c r="GF62" s="9">
        <f t="shared" ca="1" si="52"/>
        <v>2.7521153851214342E-3</v>
      </c>
      <c r="GG62" s="9">
        <f t="shared" ca="1" si="52"/>
        <v>1.5937738523232881E-3</v>
      </c>
      <c r="GH62" s="9">
        <f t="shared" ca="1" si="52"/>
        <v>2.1957670597233525E-3</v>
      </c>
      <c r="GI62" s="9">
        <f t="shared" ca="1" si="52"/>
        <v>2.6024783115909944E-3</v>
      </c>
      <c r="GJ62" s="9">
        <f t="shared" ca="1" si="52"/>
        <v>2.1775831868020568E-2</v>
      </c>
      <c r="GK62" s="9">
        <f t="shared" ca="1" si="52"/>
        <v>2.2415394086951368E-2</v>
      </c>
      <c r="GL62" s="9">
        <f t="shared" ref="GL62:IW62" ca="1" si="53">IF(GL35="","",ABS(GL35))</f>
        <v>2.4135720831595986E-2</v>
      </c>
      <c r="GM62" s="9">
        <f t="shared" ca="1" si="53"/>
        <v>1.2026686532311981E-2</v>
      </c>
      <c r="GN62" s="9">
        <f t="shared" ca="1" si="53"/>
        <v>1.4139242238967231E-2</v>
      </c>
      <c r="GO62" s="9">
        <f t="shared" ca="1" si="53"/>
        <v>4.8248785406114214E-3</v>
      </c>
      <c r="GP62" s="9">
        <f t="shared" ca="1" si="53"/>
        <v>4.0266990863206065E-2</v>
      </c>
      <c r="GQ62" s="9">
        <f t="shared" ca="1" si="53"/>
        <v>2.8332289840223179E-2</v>
      </c>
      <c r="GR62" s="9">
        <f t="shared" ca="1" si="53"/>
        <v>1.4090552338906437E-2</v>
      </c>
      <c r="GS62" s="9">
        <f t="shared" ca="1" si="53"/>
        <v>3.0852432525481088E-3</v>
      </c>
      <c r="GT62" s="9" t="str">
        <f t="shared" ca="1" si="53"/>
        <v/>
      </c>
      <c r="GU62" s="9" t="str">
        <f t="shared" ca="1" si="53"/>
        <v/>
      </c>
      <c r="GV62" s="9" t="str">
        <f t="shared" ca="1" si="53"/>
        <v/>
      </c>
      <c r="GW62" s="9" t="str">
        <f t="shared" ca="1" si="53"/>
        <v/>
      </c>
      <c r="GX62" s="9" t="str">
        <f t="shared" ca="1" si="53"/>
        <v/>
      </c>
      <c r="GY62" s="9" t="str">
        <f t="shared" ca="1" si="53"/>
        <v/>
      </c>
      <c r="GZ62" s="9" t="str">
        <f t="shared" ca="1" si="53"/>
        <v/>
      </c>
      <c r="HA62" s="9" t="str">
        <f t="shared" ca="1" si="53"/>
        <v/>
      </c>
      <c r="HB62" s="9" t="str">
        <f t="shared" ca="1" si="53"/>
        <v/>
      </c>
      <c r="HC62" s="9" t="str">
        <f t="shared" ca="1" si="53"/>
        <v/>
      </c>
      <c r="HD62" s="9" t="str">
        <f t="shared" ca="1" si="53"/>
        <v/>
      </c>
      <c r="HE62" s="9" t="str">
        <f t="shared" ca="1" si="53"/>
        <v/>
      </c>
      <c r="HF62" s="9" t="str">
        <f t="shared" ca="1" si="53"/>
        <v/>
      </c>
      <c r="HG62" s="9" t="str">
        <f t="shared" ca="1" si="53"/>
        <v/>
      </c>
      <c r="HH62" s="9" t="str">
        <f t="shared" ca="1" si="53"/>
        <v/>
      </c>
      <c r="HI62" s="9" t="str">
        <f t="shared" ca="1" si="53"/>
        <v/>
      </c>
      <c r="HJ62" s="9" t="str">
        <f t="shared" ca="1" si="53"/>
        <v/>
      </c>
      <c r="HK62" s="9" t="str">
        <f t="shared" ca="1" si="53"/>
        <v/>
      </c>
      <c r="HL62" s="9" t="str">
        <f t="shared" ca="1" si="53"/>
        <v/>
      </c>
      <c r="HM62" s="9" t="str">
        <f t="shared" ca="1" si="53"/>
        <v/>
      </c>
      <c r="HN62" s="9" t="str">
        <f t="shared" ca="1" si="53"/>
        <v/>
      </c>
      <c r="HO62" s="9" t="str">
        <f t="shared" ca="1" si="53"/>
        <v/>
      </c>
      <c r="HP62" s="9" t="str">
        <f t="shared" ca="1" si="53"/>
        <v/>
      </c>
      <c r="HQ62" s="9" t="str">
        <f t="shared" ca="1" si="53"/>
        <v/>
      </c>
      <c r="HR62" s="9" t="str">
        <f t="shared" ca="1" si="53"/>
        <v/>
      </c>
      <c r="HS62" s="9" t="str">
        <f t="shared" ca="1" si="53"/>
        <v/>
      </c>
      <c r="HT62" s="9" t="str">
        <f t="shared" ca="1" si="53"/>
        <v/>
      </c>
      <c r="HU62" s="9" t="str">
        <f t="shared" ca="1" si="53"/>
        <v/>
      </c>
      <c r="HV62" s="9" t="str">
        <f t="shared" ca="1" si="53"/>
        <v/>
      </c>
      <c r="HW62" s="9" t="str">
        <f t="shared" ca="1" si="53"/>
        <v/>
      </c>
      <c r="HX62" s="9" t="str">
        <f t="shared" ca="1" si="53"/>
        <v/>
      </c>
      <c r="HY62" s="9" t="str">
        <f t="shared" ca="1" si="53"/>
        <v/>
      </c>
      <c r="HZ62" s="9" t="str">
        <f t="shared" ca="1" si="53"/>
        <v/>
      </c>
      <c r="IA62" s="9" t="str">
        <f t="shared" ca="1" si="53"/>
        <v/>
      </c>
      <c r="IB62" s="9" t="str">
        <f t="shared" ca="1" si="53"/>
        <v/>
      </c>
      <c r="IC62" s="9" t="str">
        <f t="shared" ca="1" si="53"/>
        <v/>
      </c>
      <c r="ID62" s="9" t="str">
        <f t="shared" ca="1" si="53"/>
        <v/>
      </c>
      <c r="IE62" s="9" t="str">
        <f t="shared" ca="1" si="53"/>
        <v/>
      </c>
      <c r="IF62" s="9" t="str">
        <f t="shared" ca="1" si="53"/>
        <v/>
      </c>
      <c r="IG62" s="9" t="str">
        <f t="shared" ca="1" si="53"/>
        <v/>
      </c>
      <c r="IH62" s="9" t="str">
        <f t="shared" ca="1" si="53"/>
        <v/>
      </c>
      <c r="II62" s="9" t="str">
        <f t="shared" ca="1" si="53"/>
        <v/>
      </c>
      <c r="IJ62" s="9" t="str">
        <f t="shared" ca="1" si="53"/>
        <v/>
      </c>
      <c r="IK62" s="9" t="str">
        <f t="shared" ca="1" si="53"/>
        <v/>
      </c>
      <c r="IL62" s="9" t="str">
        <f t="shared" ca="1" si="53"/>
        <v/>
      </c>
      <c r="IM62" s="9" t="str">
        <f t="shared" ca="1" si="53"/>
        <v/>
      </c>
      <c r="IN62" s="9" t="str">
        <f t="shared" ca="1" si="53"/>
        <v/>
      </c>
      <c r="IO62" s="9" t="str">
        <f t="shared" ca="1" si="53"/>
        <v/>
      </c>
      <c r="IP62" s="9" t="str">
        <f t="shared" ca="1" si="53"/>
        <v/>
      </c>
      <c r="IQ62" s="9" t="str">
        <f t="shared" ca="1" si="53"/>
        <v/>
      </c>
      <c r="IR62" s="9" t="str">
        <f t="shared" ca="1" si="53"/>
        <v/>
      </c>
      <c r="IS62" s="9" t="str">
        <f t="shared" ca="1" si="53"/>
        <v/>
      </c>
      <c r="IT62" s="9" t="str">
        <f t="shared" ca="1" si="53"/>
        <v/>
      </c>
      <c r="IU62" s="9" t="str">
        <f t="shared" ca="1" si="53"/>
        <v/>
      </c>
      <c r="IV62" s="9" t="str">
        <f t="shared" ca="1" si="53"/>
        <v/>
      </c>
      <c r="IW62" s="9" t="str">
        <f t="shared" ca="1" si="53"/>
        <v/>
      </c>
      <c r="IX62" s="9" t="str">
        <f t="shared" ref="IX62:JH62" ca="1" si="54">IF(IX35="","",ABS(IX35))</f>
        <v/>
      </c>
      <c r="IY62" s="9" t="str">
        <f t="shared" ca="1" si="54"/>
        <v/>
      </c>
      <c r="IZ62" s="9" t="str">
        <f t="shared" ca="1" si="54"/>
        <v/>
      </c>
      <c r="JA62" s="9" t="str">
        <f t="shared" ca="1" si="54"/>
        <v/>
      </c>
      <c r="JB62" s="9" t="str">
        <f t="shared" ca="1" si="54"/>
        <v/>
      </c>
      <c r="JC62" s="9" t="str">
        <f t="shared" ca="1" si="54"/>
        <v/>
      </c>
      <c r="JD62" s="9" t="str">
        <f t="shared" ca="1" si="54"/>
        <v/>
      </c>
      <c r="JE62" s="9" t="str">
        <f t="shared" ca="1" si="54"/>
        <v/>
      </c>
      <c r="JF62" s="9" t="str">
        <f t="shared" ca="1" si="54"/>
        <v/>
      </c>
      <c r="JG62" s="9" t="str">
        <f t="shared" ca="1" si="54"/>
        <v/>
      </c>
      <c r="JH62" s="9" t="str">
        <f t="shared" ca="1" si="54"/>
        <v/>
      </c>
      <c r="JI62" s="13">
        <f t="shared" ca="1" si="24"/>
        <v>9.3788818859060624E-3</v>
      </c>
      <c r="JJ62" s="13">
        <f t="shared" ca="1" si="25"/>
        <v>6.414382423320264E-3</v>
      </c>
      <c r="JK62" s="14">
        <f t="shared" ca="1" si="26"/>
        <v>8.5799477716097132E-5</v>
      </c>
      <c r="JL62" s="17">
        <f t="shared" ca="1" si="34"/>
        <v>9.2628007490227881E-3</v>
      </c>
      <c r="JM62" s="15" t="str">
        <f t="shared" ca="1" si="27"/>
        <v>[ -0,91% ; 2,79% ]</v>
      </c>
      <c r="JN62" s="17">
        <f t="shared" ca="1" si="28"/>
        <v>1.185638495874917E-2</v>
      </c>
      <c r="LY62" s="1"/>
    </row>
    <row r="63" spans="1:337" x14ac:dyDescent="0.25">
      <c r="A63" s="4">
        <v>7</v>
      </c>
      <c r="B63" s="9">
        <f t="shared" ref="B63:BM63" ca="1" si="55">IF(B36="","",ABS(B36))</f>
        <v>4.761883791196686E-3</v>
      </c>
      <c r="C63" s="9">
        <f t="shared" ca="1" si="55"/>
        <v>7.0589031091028431E-4</v>
      </c>
      <c r="D63" s="9">
        <f t="shared" ca="1" si="55"/>
        <v>4.5623239191265874E-3</v>
      </c>
      <c r="E63" s="9">
        <f t="shared" ca="1" si="55"/>
        <v>2.09108822692472E-3</v>
      </c>
      <c r="F63" s="9">
        <f t="shared" ca="1" si="55"/>
        <v>3.3717687750464131E-3</v>
      </c>
      <c r="G63" s="9">
        <f t="shared" ca="1" si="55"/>
        <v>2.9508317664703743E-3</v>
      </c>
      <c r="H63" s="9">
        <f t="shared" ca="1" si="55"/>
        <v>3.1658342224066827E-3</v>
      </c>
      <c r="I63" s="9">
        <f t="shared" ca="1" si="55"/>
        <v>7.3014075254351773E-4</v>
      </c>
      <c r="J63" s="9">
        <f t="shared" ca="1" si="55"/>
        <v>1.0124902729817808E-3</v>
      </c>
      <c r="K63" s="9">
        <f t="shared" ca="1" si="55"/>
        <v>9.1270596400216952E-4</v>
      </c>
      <c r="L63" s="9">
        <f t="shared" ca="1" si="55"/>
        <v>6.9093181228385703E-4</v>
      </c>
      <c r="M63" s="9">
        <f t="shared" ca="1" si="55"/>
        <v>5.1521074185378879E-4</v>
      </c>
      <c r="N63" s="9">
        <f t="shared" ca="1" si="55"/>
        <v>3.5145015905595489E-3</v>
      </c>
      <c r="O63" s="9">
        <f t="shared" ca="1" si="55"/>
        <v>8.0556725623470715E-3</v>
      </c>
      <c r="P63" s="9">
        <f t="shared" ca="1" si="55"/>
        <v>7.8771913421247231E-3</v>
      </c>
      <c r="Q63" s="9">
        <f t="shared" ca="1" si="55"/>
        <v>6.8058774631993835E-3</v>
      </c>
      <c r="R63" s="9">
        <f t="shared" ca="1" si="55"/>
        <v>6.0373107927500502E-3</v>
      </c>
      <c r="S63" s="9">
        <f t="shared" ca="1" si="55"/>
        <v>2.9707301906998218E-3</v>
      </c>
      <c r="T63" s="9">
        <f t="shared" ca="1" si="55"/>
        <v>1.202755983176429E-3</v>
      </c>
      <c r="U63" s="9">
        <f t="shared" ca="1" si="55"/>
        <v>2.5240067546850042E-4</v>
      </c>
      <c r="V63" s="9">
        <f t="shared" ca="1" si="55"/>
        <v>6.3512329869397366E-4</v>
      </c>
      <c r="W63" s="9">
        <f t="shared" ca="1" si="55"/>
        <v>8.0964101612135408E-4</v>
      </c>
      <c r="X63" s="9">
        <f t="shared" ca="1" si="55"/>
        <v>1.0974491553153998E-3</v>
      </c>
      <c r="Y63" s="9">
        <f t="shared" ca="1" si="55"/>
        <v>3.6856249878556291E-3</v>
      </c>
      <c r="Z63" s="9">
        <f t="shared" ca="1" si="55"/>
        <v>3.3616624318830723E-3</v>
      </c>
      <c r="AA63" s="9">
        <f t="shared" ca="1" si="55"/>
        <v>5.2716605370406455E-4</v>
      </c>
      <c r="AB63" s="9">
        <f t="shared" ca="1" si="55"/>
        <v>5.8214772071085719E-4</v>
      </c>
      <c r="AC63" s="9">
        <f t="shared" ca="1" si="55"/>
        <v>1.4853688212052019E-3</v>
      </c>
      <c r="AD63" s="9">
        <f t="shared" ca="1" si="55"/>
        <v>2.2770510689573698E-3</v>
      </c>
      <c r="AE63" s="9">
        <f t="shared" ca="1" si="55"/>
        <v>3.0604725764000751E-3</v>
      </c>
      <c r="AF63" s="9">
        <f t="shared" ca="1" si="55"/>
        <v>3.4391573399518149E-3</v>
      </c>
      <c r="AG63" s="9">
        <f t="shared" ca="1" si="55"/>
        <v>5.3213948708979997E-3</v>
      </c>
      <c r="AH63" s="9">
        <f t="shared" ca="1" si="55"/>
        <v>9.0991215733493558E-3</v>
      </c>
      <c r="AI63" s="9">
        <f t="shared" ca="1" si="55"/>
        <v>9.1627701483334434E-3</v>
      </c>
      <c r="AJ63" s="9">
        <f t="shared" ca="1" si="55"/>
        <v>8.872824233413068E-3</v>
      </c>
      <c r="AK63" s="9">
        <f t="shared" ca="1" si="55"/>
        <v>1.0511806654524891E-2</v>
      </c>
      <c r="AL63" s="9">
        <f t="shared" ca="1" si="55"/>
        <v>9.0766624924406569E-3</v>
      </c>
      <c r="AM63" s="9">
        <f t="shared" ca="1" si="55"/>
        <v>9.2675447002880107E-3</v>
      </c>
      <c r="AN63" s="9">
        <f t="shared" ca="1" si="55"/>
        <v>6.3517760233448017E-3</v>
      </c>
      <c r="AO63" s="9">
        <f t="shared" ca="1" si="55"/>
        <v>3.7999532070686071E-3</v>
      </c>
      <c r="AP63" s="9">
        <f t="shared" ca="1" si="55"/>
        <v>4.7461315208564558E-3</v>
      </c>
      <c r="AQ63" s="9">
        <f t="shared" ca="1" si="55"/>
        <v>3.8179119964408814E-3</v>
      </c>
      <c r="AR63" s="9">
        <f t="shared" ca="1" si="55"/>
        <v>1.9004725016744661E-3</v>
      </c>
      <c r="AS63" s="9">
        <f t="shared" ca="1" si="55"/>
        <v>8.5506575361031789E-3</v>
      </c>
      <c r="AT63" s="9">
        <f t="shared" ca="1" si="55"/>
        <v>1.1975869971898367E-2</v>
      </c>
      <c r="AU63" s="9">
        <f t="shared" ca="1" si="55"/>
        <v>1.8702785660026588E-2</v>
      </c>
      <c r="AV63" s="9">
        <f t="shared" ca="1" si="55"/>
        <v>2.7005795261842325E-2</v>
      </c>
      <c r="AW63" s="9">
        <f t="shared" ca="1" si="55"/>
        <v>3.3516013958985402E-2</v>
      </c>
      <c r="AX63" s="9">
        <f t="shared" ca="1" si="55"/>
        <v>3.4040809789936066E-2</v>
      </c>
      <c r="AY63" s="9">
        <f t="shared" ca="1" si="55"/>
        <v>3.3780957617255192E-2</v>
      </c>
      <c r="AZ63" s="9">
        <f t="shared" ca="1" si="55"/>
        <v>3.129725133869421E-2</v>
      </c>
      <c r="BA63" s="9">
        <f t="shared" ca="1" si="55"/>
        <v>3.4016670046291608E-2</v>
      </c>
      <c r="BB63" s="9">
        <f t="shared" ca="1" si="55"/>
        <v>3.1720233420898136E-2</v>
      </c>
      <c r="BC63" s="9">
        <f t="shared" ca="1" si="55"/>
        <v>1.9641791937963227E-2</v>
      </c>
      <c r="BD63" s="9">
        <f t="shared" ca="1" si="55"/>
        <v>2.6059271997503908E-2</v>
      </c>
      <c r="BE63" s="9">
        <f t="shared" ca="1" si="55"/>
        <v>3.0519535247358176E-2</v>
      </c>
      <c r="BF63" s="9">
        <f t="shared" ca="1" si="55"/>
        <v>3.0805542388477658E-2</v>
      </c>
      <c r="BG63" s="9">
        <f t="shared" ca="1" si="55"/>
        <v>3.4669576284873438E-2</v>
      </c>
      <c r="BH63" s="9">
        <f t="shared" ca="1" si="55"/>
        <v>2.4322918609534394E-2</v>
      </c>
      <c r="BI63" s="9">
        <f t="shared" ca="1" si="55"/>
        <v>1.3169520206122609E-2</v>
      </c>
      <c r="BJ63" s="9">
        <f t="shared" ca="1" si="55"/>
        <v>3.816397372367053E-3</v>
      </c>
      <c r="BK63" s="9">
        <f t="shared" ca="1" si="55"/>
        <v>1.1058135577986627E-2</v>
      </c>
      <c r="BL63" s="9">
        <f t="shared" ca="1" si="55"/>
        <v>2.4625868910107762E-2</v>
      </c>
      <c r="BM63" s="9">
        <f t="shared" ca="1" si="55"/>
        <v>3.2318896708612876E-2</v>
      </c>
      <c r="BN63" s="9">
        <f t="shared" ref="BN63:DY63" ca="1" si="56">IF(BN36="","",ABS(BN36))</f>
        <v>3.668080655549244E-2</v>
      </c>
      <c r="BO63" s="9">
        <f t="shared" ca="1" si="56"/>
        <v>2.6686443661736448E-2</v>
      </c>
      <c r="BP63" s="9">
        <f t="shared" ca="1" si="56"/>
        <v>1.1484254331683985E-2</v>
      </c>
      <c r="BQ63" s="9">
        <f t="shared" ca="1" si="56"/>
        <v>9.8891588489319338E-3</v>
      </c>
      <c r="BR63" s="9">
        <f t="shared" ca="1" si="56"/>
        <v>1.0826160657617434E-2</v>
      </c>
      <c r="BS63" s="9">
        <f t="shared" ca="1" si="56"/>
        <v>1.493468552892685E-2</v>
      </c>
      <c r="BT63" s="9">
        <f t="shared" ca="1" si="56"/>
        <v>2.5000109788289815E-2</v>
      </c>
      <c r="BU63" s="9">
        <f t="shared" ca="1" si="56"/>
        <v>1.6032686931700346E-2</v>
      </c>
      <c r="BV63" s="9">
        <f t="shared" ca="1" si="56"/>
        <v>6.6773248575224819E-3</v>
      </c>
      <c r="BW63" s="9">
        <f t="shared" ca="1" si="56"/>
        <v>8.9382640373816269E-3</v>
      </c>
      <c r="BX63" s="9">
        <f t="shared" ca="1" si="56"/>
        <v>1.9056134212945386E-2</v>
      </c>
      <c r="BY63" s="9">
        <f t="shared" ca="1" si="56"/>
        <v>9.6321381143800178E-3</v>
      </c>
      <c r="BZ63" s="9">
        <f t="shared" ca="1" si="56"/>
        <v>5.265665328871183E-3</v>
      </c>
      <c r="CA63" s="9">
        <f t="shared" ca="1" si="56"/>
        <v>1.2962750032914361E-2</v>
      </c>
      <c r="CB63" s="9">
        <f t="shared" ca="1" si="56"/>
        <v>1.4654024649539465E-2</v>
      </c>
      <c r="CC63" s="9">
        <f t="shared" ca="1" si="56"/>
        <v>9.3514391646758455E-3</v>
      </c>
      <c r="CD63" s="9">
        <f t="shared" ca="1" si="56"/>
        <v>6.8877856705817919E-4</v>
      </c>
      <c r="CE63" s="9">
        <f t="shared" ca="1" si="56"/>
        <v>1.1468861872043767E-3</v>
      </c>
      <c r="CF63" s="9">
        <f t="shared" ca="1" si="56"/>
        <v>5.8663199507569264E-4</v>
      </c>
      <c r="CG63" s="9">
        <f t="shared" ca="1" si="56"/>
        <v>5.9520273205144747E-3</v>
      </c>
      <c r="CH63" s="9">
        <f t="shared" ca="1" si="56"/>
        <v>9.3659357914473995E-3</v>
      </c>
      <c r="CI63" s="9">
        <f t="shared" ca="1" si="56"/>
        <v>2.0656822531675001E-3</v>
      </c>
      <c r="CJ63" s="9">
        <f t="shared" ca="1" si="56"/>
        <v>1.2822782639752894E-2</v>
      </c>
      <c r="CK63" s="9">
        <f t="shared" ca="1" si="56"/>
        <v>5.5393022239089706E-3</v>
      </c>
      <c r="CL63" s="9">
        <f t="shared" ca="1" si="56"/>
        <v>9.2430045168856445E-3</v>
      </c>
      <c r="CM63" s="9">
        <f t="shared" ca="1" si="56"/>
        <v>2.0664816870872293E-2</v>
      </c>
      <c r="CN63" s="9">
        <f t="shared" ca="1" si="56"/>
        <v>2.1556327565092293E-2</v>
      </c>
      <c r="CO63" s="9">
        <f t="shared" ca="1" si="56"/>
        <v>1.0265832366626926E-2</v>
      </c>
      <c r="CP63" s="9">
        <f t="shared" ca="1" si="56"/>
        <v>2.4438935894974811E-3</v>
      </c>
      <c r="CQ63" s="9">
        <f t="shared" ca="1" si="56"/>
        <v>6.2004924528307193E-3</v>
      </c>
      <c r="CR63" s="9">
        <f t="shared" ca="1" si="56"/>
        <v>2.73482255457691E-3</v>
      </c>
      <c r="CS63" s="9">
        <f t="shared" ca="1" si="56"/>
        <v>1.5635928069186456E-3</v>
      </c>
      <c r="CT63" s="9">
        <f t="shared" ca="1" si="56"/>
        <v>6.678314056410728E-3</v>
      </c>
      <c r="CU63" s="9">
        <f t="shared" ca="1" si="56"/>
        <v>3.2834574236211944E-2</v>
      </c>
      <c r="CV63" s="9">
        <f t="shared" ca="1" si="56"/>
        <v>8.0199645988425772E-3</v>
      </c>
      <c r="CW63" s="9">
        <f t="shared" ca="1" si="56"/>
        <v>8.2676918752966344E-4</v>
      </c>
      <c r="CX63" s="9">
        <f t="shared" ca="1" si="56"/>
        <v>4.3101061109283023E-3</v>
      </c>
      <c r="CY63" s="9">
        <f t="shared" ca="1" si="56"/>
        <v>2.7327525279323694E-3</v>
      </c>
      <c r="CZ63" s="9">
        <f t="shared" ca="1" si="56"/>
        <v>2.0702496343092402E-3</v>
      </c>
      <c r="DA63" s="9">
        <f t="shared" ca="1" si="56"/>
        <v>6.7015124996150366E-3</v>
      </c>
      <c r="DB63" s="9">
        <f t="shared" ca="1" si="56"/>
        <v>1.4639565786691566E-3</v>
      </c>
      <c r="DC63" s="9">
        <f t="shared" ca="1" si="56"/>
        <v>7.4444767601152817E-3</v>
      </c>
      <c r="DD63" s="9">
        <f t="shared" ca="1" si="56"/>
        <v>4.3326674834058831E-3</v>
      </c>
      <c r="DE63" s="9">
        <f t="shared" ca="1" si="56"/>
        <v>1.0218686858934567E-2</v>
      </c>
      <c r="DF63" s="9">
        <f t="shared" ca="1" si="56"/>
        <v>1.2620828103742321E-2</v>
      </c>
      <c r="DG63" s="9">
        <f t="shared" ca="1" si="56"/>
        <v>1.6908347731155793E-2</v>
      </c>
      <c r="DH63" s="9">
        <f t="shared" ca="1" si="56"/>
        <v>2.308806403290653E-2</v>
      </c>
      <c r="DI63" s="9">
        <f t="shared" ca="1" si="56"/>
        <v>1.9915064423899342E-2</v>
      </c>
      <c r="DJ63" s="9">
        <f t="shared" ca="1" si="56"/>
        <v>1.0903369600622548E-2</v>
      </c>
      <c r="DK63" s="9">
        <f t="shared" ca="1" si="56"/>
        <v>1.8110350820008669E-3</v>
      </c>
      <c r="DL63" s="9">
        <f t="shared" ca="1" si="56"/>
        <v>4.2860278906609039E-4</v>
      </c>
      <c r="DM63" s="9">
        <f t="shared" ca="1" si="56"/>
        <v>6.1502439449641066E-3</v>
      </c>
      <c r="DN63" s="9">
        <f t="shared" ca="1" si="56"/>
        <v>8.9324481543464618E-3</v>
      </c>
      <c r="DO63" s="9">
        <f t="shared" ca="1" si="56"/>
        <v>7.7247756968661374E-3</v>
      </c>
      <c r="DP63" s="9">
        <f t="shared" ca="1" si="56"/>
        <v>2.4708436509679466E-3</v>
      </c>
      <c r="DQ63" s="9">
        <f t="shared" ca="1" si="56"/>
        <v>4.3886346204287108E-3</v>
      </c>
      <c r="DR63" s="9">
        <f t="shared" ca="1" si="56"/>
        <v>8.2694759492645264E-3</v>
      </c>
      <c r="DS63" s="9">
        <f t="shared" ca="1" si="56"/>
        <v>3.2606199112488188E-3</v>
      </c>
      <c r="DT63" s="9">
        <f t="shared" ca="1" si="56"/>
        <v>4.442026990653325E-3</v>
      </c>
      <c r="DU63" s="9">
        <f t="shared" ca="1" si="56"/>
        <v>7.4296756085057147E-5</v>
      </c>
      <c r="DV63" s="9" t="str">
        <f t="shared" ca="1" si="56"/>
        <v/>
      </c>
      <c r="DW63" s="9" t="str">
        <f t="shared" ca="1" si="56"/>
        <v/>
      </c>
      <c r="DX63" s="9" t="str">
        <f t="shared" ca="1" si="56"/>
        <v/>
      </c>
      <c r="DY63" s="9" t="str">
        <f t="shared" ca="1" si="56"/>
        <v/>
      </c>
      <c r="DZ63" s="9" t="str">
        <f t="shared" ref="DZ63:GK63" ca="1" si="57">IF(DZ36="","",ABS(DZ36))</f>
        <v/>
      </c>
      <c r="EA63" s="9" t="str">
        <f t="shared" ca="1" si="57"/>
        <v/>
      </c>
      <c r="EB63" s="9" t="str">
        <f t="shared" ca="1" si="57"/>
        <v/>
      </c>
      <c r="EC63" s="9" t="str">
        <f t="shared" ca="1" si="57"/>
        <v/>
      </c>
      <c r="ED63" s="9" t="str">
        <f t="shared" ca="1" si="57"/>
        <v/>
      </c>
      <c r="EE63" s="9" t="str">
        <f t="shared" ca="1" si="57"/>
        <v/>
      </c>
      <c r="EF63" s="9" t="str">
        <f t="shared" ca="1" si="57"/>
        <v/>
      </c>
      <c r="EG63" s="9">
        <f t="shared" ca="1" si="57"/>
        <v>9.5163042335699721E-4</v>
      </c>
      <c r="EH63" s="9">
        <f t="shared" ca="1" si="57"/>
        <v>6.999848664371644E-3</v>
      </c>
      <c r="EI63" s="9">
        <f t="shared" ca="1" si="57"/>
        <v>1.6394954250547045E-2</v>
      </c>
      <c r="EJ63" s="9">
        <f t="shared" ca="1" si="57"/>
        <v>1.1304203412006553E-2</v>
      </c>
      <c r="EK63" s="9">
        <f t="shared" ca="1" si="57"/>
        <v>3.944436067073287E-3</v>
      </c>
      <c r="EL63" s="9">
        <f t="shared" ca="1" si="57"/>
        <v>3.1550363620103106E-4</v>
      </c>
      <c r="EM63" s="9">
        <f t="shared" ca="1" si="57"/>
        <v>1.583779655442985E-3</v>
      </c>
      <c r="EN63" s="9">
        <f t="shared" ca="1" si="57"/>
        <v>3.4421885587376799E-4</v>
      </c>
      <c r="EO63" s="9">
        <f t="shared" ca="1" si="57"/>
        <v>1.73576405067144E-3</v>
      </c>
      <c r="EP63" s="9">
        <f t="shared" ca="1" si="57"/>
        <v>1.7798162546752927E-2</v>
      </c>
      <c r="EQ63" s="9">
        <f t="shared" ca="1" si="57"/>
        <v>2.1780817997323343E-3</v>
      </c>
      <c r="ER63" s="9">
        <f t="shared" ca="1" si="57"/>
        <v>1.2534092327127322E-2</v>
      </c>
      <c r="ES63" s="9">
        <f t="shared" ca="1" si="57"/>
        <v>7.4620956158484297E-3</v>
      </c>
      <c r="ET63" s="9">
        <f t="shared" ca="1" si="57"/>
        <v>4.0753201238428183E-3</v>
      </c>
      <c r="EU63" s="9">
        <f t="shared" ca="1" si="57"/>
        <v>3.2082567832671938E-3</v>
      </c>
      <c r="EV63" s="9">
        <f t="shared" ca="1" si="57"/>
        <v>1.2007768158139864E-3</v>
      </c>
      <c r="EW63" s="9">
        <f t="shared" ca="1" si="57"/>
        <v>2.3870779342292092E-3</v>
      </c>
      <c r="EX63" s="9">
        <f t="shared" ca="1" si="57"/>
        <v>9.0280195098713101E-4</v>
      </c>
      <c r="EY63" s="9">
        <f t="shared" ca="1" si="57"/>
        <v>6.6522890709382887E-3</v>
      </c>
      <c r="EZ63" s="9">
        <f t="shared" ca="1" si="57"/>
        <v>2.3610204988344652E-3</v>
      </c>
      <c r="FA63" s="9">
        <f t="shared" ca="1" si="57"/>
        <v>2.420467252352454E-3</v>
      </c>
      <c r="FB63" s="9">
        <f t="shared" ca="1" si="57"/>
        <v>1.1992360136312552E-3</v>
      </c>
      <c r="FC63" s="9">
        <f t="shared" ca="1" si="57"/>
        <v>2.9619458630403273E-4</v>
      </c>
      <c r="FD63" s="9">
        <f t="shared" ca="1" si="57"/>
        <v>5.2419992545409411E-3</v>
      </c>
      <c r="FE63" s="9">
        <f t="shared" ca="1" si="57"/>
        <v>5.0096713792773251E-3</v>
      </c>
      <c r="FF63" s="9">
        <f t="shared" ca="1" si="57"/>
        <v>5.3723469559161519E-3</v>
      </c>
      <c r="FG63" s="9">
        <f t="shared" ca="1" si="57"/>
        <v>9.6335887240270868E-3</v>
      </c>
      <c r="FH63" s="9">
        <f t="shared" ca="1" si="57"/>
        <v>3.9918729448737977E-3</v>
      </c>
      <c r="FI63" s="9">
        <f t="shared" ca="1" si="57"/>
        <v>1.3427965373613238E-2</v>
      </c>
      <c r="FJ63" s="9">
        <f t="shared" ca="1" si="57"/>
        <v>1.7498803012578112E-2</v>
      </c>
      <c r="FK63" s="9">
        <f t="shared" ca="1" si="57"/>
        <v>8.2098107952185417E-3</v>
      </c>
      <c r="FL63" s="9">
        <f t="shared" ca="1" si="57"/>
        <v>8.4923687542780568E-3</v>
      </c>
      <c r="FM63" s="9">
        <f t="shared" ca="1" si="57"/>
        <v>1.0294768896834117E-2</v>
      </c>
      <c r="FN63" s="9">
        <f t="shared" ca="1" si="57"/>
        <v>9.1055514743643151E-3</v>
      </c>
      <c r="FO63" s="9">
        <f t="shared" ca="1" si="57"/>
        <v>1.926846755089251E-3</v>
      </c>
      <c r="FP63" s="9">
        <f t="shared" ca="1" si="57"/>
        <v>1.8798223972698036E-2</v>
      </c>
      <c r="FQ63" s="9">
        <f t="shared" ca="1" si="57"/>
        <v>8.330980381985098E-3</v>
      </c>
      <c r="FR63" s="9">
        <f t="shared" ca="1" si="57"/>
        <v>5.3660296092170601E-3</v>
      </c>
      <c r="FS63" s="9">
        <f t="shared" ca="1" si="57"/>
        <v>3.059414962439222E-3</v>
      </c>
      <c r="FT63" s="9">
        <f t="shared" ca="1" si="57"/>
        <v>9.0023911458492201E-4</v>
      </c>
      <c r="FU63" s="9">
        <f t="shared" ca="1" si="57"/>
        <v>2.2482241729827601E-3</v>
      </c>
      <c r="FV63" s="9">
        <f t="shared" ca="1" si="57"/>
        <v>1.2209768943372001E-3</v>
      </c>
      <c r="FW63" s="9">
        <f t="shared" ca="1" si="57"/>
        <v>4.6672819371702534E-3</v>
      </c>
      <c r="FX63" s="9">
        <f t="shared" ca="1" si="57"/>
        <v>7.9361934218433738E-3</v>
      </c>
      <c r="FY63" s="9">
        <f t="shared" ca="1" si="57"/>
        <v>6.1975498503190618E-3</v>
      </c>
      <c r="FZ63" s="9">
        <f t="shared" ca="1" si="57"/>
        <v>1.1937098691167103E-2</v>
      </c>
      <c r="GA63" s="9">
        <f t="shared" ca="1" si="57"/>
        <v>3.110153408134142E-3</v>
      </c>
      <c r="GB63" s="9">
        <f t="shared" ca="1" si="57"/>
        <v>3.7212728384407034E-3</v>
      </c>
      <c r="GC63" s="9">
        <f t="shared" ca="1" si="57"/>
        <v>7.7007057729183703E-3</v>
      </c>
      <c r="GD63" s="9">
        <f t="shared" ca="1" si="57"/>
        <v>8.6091515139031793E-3</v>
      </c>
      <c r="GE63" s="9">
        <f t="shared" ca="1" si="57"/>
        <v>1.0298692134394494E-2</v>
      </c>
      <c r="GF63" s="9">
        <f t="shared" ca="1" si="57"/>
        <v>2.5546461178441726E-3</v>
      </c>
      <c r="GG63" s="9">
        <f t="shared" ca="1" si="57"/>
        <v>3.5092993698035979E-3</v>
      </c>
      <c r="GH63" s="9">
        <f t="shared" ca="1" si="57"/>
        <v>2.8143325349787585E-3</v>
      </c>
      <c r="GI63" s="9">
        <f t="shared" ca="1" si="57"/>
        <v>2.1233317113870998E-2</v>
      </c>
      <c r="GJ63" s="9">
        <f t="shared" ca="1" si="57"/>
        <v>2.0995811026593536E-2</v>
      </c>
      <c r="GK63" s="9">
        <f t="shared" ca="1" si="57"/>
        <v>1.7009869840060032E-2</v>
      </c>
      <c r="GL63" s="9">
        <f t="shared" ref="GL63:IW63" ca="1" si="58">IF(GL36="","",ABS(GL36))</f>
        <v>1.9150042635093234E-2</v>
      </c>
      <c r="GM63" s="9">
        <f t="shared" ca="1" si="58"/>
        <v>8.7077353871656271E-3</v>
      </c>
      <c r="GN63" s="9">
        <f t="shared" ca="1" si="58"/>
        <v>1.3651651918797247E-2</v>
      </c>
      <c r="GO63" s="9">
        <f t="shared" ca="1" si="58"/>
        <v>6.2755544813060116E-3</v>
      </c>
      <c r="GP63" s="9">
        <f t="shared" ca="1" si="58"/>
        <v>4.3102058031792012E-2</v>
      </c>
      <c r="GQ63" s="9">
        <f t="shared" ca="1" si="58"/>
        <v>3.1639929992150706E-2</v>
      </c>
      <c r="GR63" s="9">
        <f t="shared" ca="1" si="58"/>
        <v>1.5154399180597466E-2</v>
      </c>
      <c r="GS63" s="9" t="str">
        <f t="shared" ca="1" si="58"/>
        <v/>
      </c>
      <c r="GT63" s="9" t="str">
        <f t="shared" ca="1" si="58"/>
        <v/>
      </c>
      <c r="GU63" s="9" t="str">
        <f t="shared" ca="1" si="58"/>
        <v/>
      </c>
      <c r="GV63" s="9" t="str">
        <f t="shared" ca="1" si="58"/>
        <v/>
      </c>
      <c r="GW63" s="9" t="str">
        <f t="shared" ca="1" si="58"/>
        <v/>
      </c>
      <c r="GX63" s="9" t="str">
        <f t="shared" ca="1" si="58"/>
        <v/>
      </c>
      <c r="GY63" s="9" t="str">
        <f t="shared" ca="1" si="58"/>
        <v/>
      </c>
      <c r="GZ63" s="9" t="str">
        <f t="shared" ca="1" si="58"/>
        <v/>
      </c>
      <c r="HA63" s="9" t="str">
        <f t="shared" ca="1" si="58"/>
        <v/>
      </c>
      <c r="HB63" s="9" t="str">
        <f t="shared" ca="1" si="58"/>
        <v/>
      </c>
      <c r="HC63" s="9" t="str">
        <f t="shared" ca="1" si="58"/>
        <v/>
      </c>
      <c r="HD63" s="9" t="str">
        <f t="shared" ca="1" si="58"/>
        <v/>
      </c>
      <c r="HE63" s="9" t="str">
        <f t="shared" ca="1" si="58"/>
        <v/>
      </c>
      <c r="HF63" s="9" t="str">
        <f t="shared" ca="1" si="58"/>
        <v/>
      </c>
      <c r="HG63" s="9" t="str">
        <f t="shared" ca="1" si="58"/>
        <v/>
      </c>
      <c r="HH63" s="9" t="str">
        <f t="shared" ca="1" si="58"/>
        <v/>
      </c>
      <c r="HI63" s="9" t="str">
        <f t="shared" ca="1" si="58"/>
        <v/>
      </c>
      <c r="HJ63" s="9" t="str">
        <f t="shared" ca="1" si="58"/>
        <v/>
      </c>
      <c r="HK63" s="9" t="str">
        <f t="shared" ca="1" si="58"/>
        <v/>
      </c>
      <c r="HL63" s="9" t="str">
        <f t="shared" ca="1" si="58"/>
        <v/>
      </c>
      <c r="HM63" s="9" t="str">
        <f t="shared" ca="1" si="58"/>
        <v/>
      </c>
      <c r="HN63" s="9" t="str">
        <f t="shared" ca="1" si="58"/>
        <v/>
      </c>
      <c r="HO63" s="9" t="str">
        <f t="shared" ca="1" si="58"/>
        <v/>
      </c>
      <c r="HP63" s="9" t="str">
        <f t="shared" ca="1" si="58"/>
        <v/>
      </c>
      <c r="HQ63" s="9" t="str">
        <f t="shared" ca="1" si="58"/>
        <v/>
      </c>
      <c r="HR63" s="9" t="str">
        <f t="shared" ca="1" si="58"/>
        <v/>
      </c>
      <c r="HS63" s="9" t="str">
        <f t="shared" ca="1" si="58"/>
        <v/>
      </c>
      <c r="HT63" s="9" t="str">
        <f t="shared" ca="1" si="58"/>
        <v/>
      </c>
      <c r="HU63" s="9" t="str">
        <f t="shared" ca="1" si="58"/>
        <v/>
      </c>
      <c r="HV63" s="9" t="str">
        <f t="shared" ca="1" si="58"/>
        <v/>
      </c>
      <c r="HW63" s="9" t="str">
        <f t="shared" ca="1" si="58"/>
        <v/>
      </c>
      <c r="HX63" s="9" t="str">
        <f t="shared" ca="1" si="58"/>
        <v/>
      </c>
      <c r="HY63" s="9" t="str">
        <f t="shared" ca="1" si="58"/>
        <v/>
      </c>
      <c r="HZ63" s="9" t="str">
        <f t="shared" ca="1" si="58"/>
        <v/>
      </c>
      <c r="IA63" s="9" t="str">
        <f t="shared" ca="1" si="58"/>
        <v/>
      </c>
      <c r="IB63" s="9" t="str">
        <f t="shared" ca="1" si="58"/>
        <v/>
      </c>
      <c r="IC63" s="9" t="str">
        <f t="shared" ca="1" si="58"/>
        <v/>
      </c>
      <c r="ID63" s="9" t="str">
        <f t="shared" ca="1" si="58"/>
        <v/>
      </c>
      <c r="IE63" s="9" t="str">
        <f t="shared" ca="1" si="58"/>
        <v/>
      </c>
      <c r="IF63" s="9" t="str">
        <f t="shared" ca="1" si="58"/>
        <v/>
      </c>
      <c r="IG63" s="9" t="str">
        <f t="shared" ca="1" si="58"/>
        <v/>
      </c>
      <c r="IH63" s="9" t="str">
        <f t="shared" ca="1" si="58"/>
        <v/>
      </c>
      <c r="II63" s="9" t="str">
        <f t="shared" ca="1" si="58"/>
        <v/>
      </c>
      <c r="IJ63" s="9" t="str">
        <f t="shared" ca="1" si="58"/>
        <v/>
      </c>
      <c r="IK63" s="9" t="str">
        <f t="shared" ca="1" si="58"/>
        <v/>
      </c>
      <c r="IL63" s="9" t="str">
        <f t="shared" ca="1" si="58"/>
        <v/>
      </c>
      <c r="IM63" s="9" t="str">
        <f t="shared" ca="1" si="58"/>
        <v/>
      </c>
      <c r="IN63" s="9" t="str">
        <f t="shared" ca="1" si="58"/>
        <v/>
      </c>
      <c r="IO63" s="9" t="str">
        <f t="shared" ca="1" si="58"/>
        <v/>
      </c>
      <c r="IP63" s="9" t="str">
        <f t="shared" ca="1" si="58"/>
        <v/>
      </c>
      <c r="IQ63" s="9" t="str">
        <f t="shared" ca="1" si="58"/>
        <v/>
      </c>
      <c r="IR63" s="9" t="str">
        <f t="shared" ca="1" si="58"/>
        <v/>
      </c>
      <c r="IS63" s="9" t="str">
        <f t="shared" ca="1" si="58"/>
        <v/>
      </c>
      <c r="IT63" s="9" t="str">
        <f t="shared" ca="1" si="58"/>
        <v/>
      </c>
      <c r="IU63" s="9" t="str">
        <f t="shared" ca="1" si="58"/>
        <v/>
      </c>
      <c r="IV63" s="9" t="str">
        <f t="shared" ca="1" si="58"/>
        <v/>
      </c>
      <c r="IW63" s="9" t="str">
        <f t="shared" ca="1" si="58"/>
        <v/>
      </c>
      <c r="IX63" s="9" t="str">
        <f t="shared" ref="IX63:JH63" ca="1" si="59">IF(IX36="","",ABS(IX36))</f>
        <v/>
      </c>
      <c r="IY63" s="9" t="str">
        <f t="shared" ca="1" si="59"/>
        <v/>
      </c>
      <c r="IZ63" s="9" t="str">
        <f t="shared" ca="1" si="59"/>
        <v/>
      </c>
      <c r="JA63" s="9" t="str">
        <f t="shared" ca="1" si="59"/>
        <v/>
      </c>
      <c r="JB63" s="9" t="str">
        <f t="shared" ca="1" si="59"/>
        <v/>
      </c>
      <c r="JC63" s="9" t="str">
        <f t="shared" ca="1" si="59"/>
        <v/>
      </c>
      <c r="JD63" s="9" t="str">
        <f t="shared" ca="1" si="59"/>
        <v/>
      </c>
      <c r="JE63" s="9" t="str">
        <f t="shared" ca="1" si="59"/>
        <v/>
      </c>
      <c r="JF63" s="9" t="str">
        <f t="shared" ca="1" si="59"/>
        <v/>
      </c>
      <c r="JG63" s="9" t="str">
        <f t="shared" ca="1" si="59"/>
        <v/>
      </c>
      <c r="JH63" s="9" t="str">
        <f t="shared" ca="1" si="59"/>
        <v/>
      </c>
      <c r="JI63" s="13">
        <f t="shared" ca="1" si="24"/>
        <v>1.039425610205592E-2</v>
      </c>
      <c r="JJ63" s="13">
        <f t="shared" ca="1" si="25"/>
        <v>7.8184495973808721E-3</v>
      </c>
      <c r="JK63" s="14">
        <f t="shared" ca="1" si="26"/>
        <v>9.0802004645172934E-5</v>
      </c>
      <c r="JL63" s="17">
        <f t="shared" ca="1" si="34"/>
        <v>9.5290085866879624E-3</v>
      </c>
      <c r="JM63" s="15" t="str">
        <f t="shared" ca="1" si="27"/>
        <v>[ -0,87% ; 2,95% ]</v>
      </c>
      <c r="JN63" s="17">
        <f t="shared" ca="1" si="28"/>
        <v>1.2197130990960592E-2</v>
      </c>
      <c r="LY63" s="1"/>
    </row>
    <row r="64" spans="1:337" x14ac:dyDescent="0.25">
      <c r="A64" s="4">
        <v>8</v>
      </c>
      <c r="B64" s="9">
        <f t="shared" ref="B64:BM64" ca="1" si="60">IF(B37="","",ABS(B37))</f>
        <v>4.68982089739578E-3</v>
      </c>
      <c r="C64" s="9">
        <f t="shared" ca="1" si="60"/>
        <v>1.3979913134212207E-3</v>
      </c>
      <c r="D64" s="9">
        <f t="shared" ca="1" si="60"/>
        <v>3.8698501872650448E-3</v>
      </c>
      <c r="E64" s="9">
        <f t="shared" ca="1" si="60"/>
        <v>2.666005008846617E-3</v>
      </c>
      <c r="F64" s="9">
        <f t="shared" ca="1" si="60"/>
        <v>4.7631723396110992E-3</v>
      </c>
      <c r="G64" s="9">
        <f t="shared" ca="1" si="60"/>
        <v>4.9645995771571139E-3</v>
      </c>
      <c r="H64" s="9">
        <f t="shared" ca="1" si="60"/>
        <v>1.7708993652573168E-3</v>
      </c>
      <c r="I64" s="9">
        <f t="shared" ca="1" si="60"/>
        <v>1.8210947262886634E-4</v>
      </c>
      <c r="J64" s="9">
        <f t="shared" ca="1" si="60"/>
        <v>3.9849027743588117E-4</v>
      </c>
      <c r="K64" s="9">
        <f t="shared" ca="1" si="60"/>
        <v>2.2132976609423594E-3</v>
      </c>
      <c r="L64" s="9">
        <f t="shared" ca="1" si="60"/>
        <v>1.1580226349026113E-3</v>
      </c>
      <c r="M64" s="9">
        <f t="shared" ca="1" si="60"/>
        <v>1.1997050130092557E-3</v>
      </c>
      <c r="N64" s="9">
        <f t="shared" ca="1" si="60"/>
        <v>4.3124272486134707E-3</v>
      </c>
      <c r="O64" s="9">
        <f t="shared" ca="1" si="60"/>
        <v>8.9199111173470236E-3</v>
      </c>
      <c r="P64" s="9">
        <f t="shared" ca="1" si="60"/>
        <v>9.155706518380935E-3</v>
      </c>
      <c r="Q64" s="9">
        <f t="shared" ca="1" si="60"/>
        <v>8.0776972668104019E-3</v>
      </c>
      <c r="R64" s="9">
        <f t="shared" ca="1" si="60"/>
        <v>5.8110977868053304E-3</v>
      </c>
      <c r="S64" s="9">
        <f t="shared" ca="1" si="60"/>
        <v>2.1456744105883274E-3</v>
      </c>
      <c r="T64" s="9">
        <f t="shared" ca="1" si="60"/>
        <v>7.4882063592807135E-4</v>
      </c>
      <c r="U64" s="9">
        <f t="shared" ca="1" si="60"/>
        <v>4.7308051314765009E-4</v>
      </c>
      <c r="V64" s="9">
        <f t="shared" ca="1" si="60"/>
        <v>6.0454308784052557E-4</v>
      </c>
      <c r="W64" s="9">
        <f t="shared" ca="1" si="60"/>
        <v>1.3011089600243331E-3</v>
      </c>
      <c r="X64" s="9">
        <f t="shared" ca="1" si="60"/>
        <v>1.5356428811242884E-3</v>
      </c>
      <c r="Y64" s="9">
        <f t="shared" ca="1" si="60"/>
        <v>4.6869428294681326E-3</v>
      </c>
      <c r="Z64" s="9">
        <f t="shared" ca="1" si="60"/>
        <v>2.5698670372774624E-3</v>
      </c>
      <c r="AA64" s="9">
        <f t="shared" ca="1" si="60"/>
        <v>9.819727654604149E-4</v>
      </c>
      <c r="AB64" s="9">
        <f t="shared" ca="1" si="60"/>
        <v>8.6596023177953896E-5</v>
      </c>
      <c r="AC64" s="9">
        <f t="shared" ca="1" si="60"/>
        <v>1.8788425501489181E-3</v>
      </c>
      <c r="AD64" s="9">
        <f t="shared" ca="1" si="60"/>
        <v>3.4847106260073035E-3</v>
      </c>
      <c r="AE64" s="9">
        <f t="shared" ca="1" si="60"/>
        <v>3.8048592674165826E-3</v>
      </c>
      <c r="AF64" s="9">
        <f t="shared" ca="1" si="60"/>
        <v>6.1808708582268279E-3</v>
      </c>
      <c r="AG64" s="9">
        <f t="shared" ca="1" si="60"/>
        <v>7.5958021430116984E-3</v>
      </c>
      <c r="AH64" s="9">
        <f t="shared" ca="1" si="60"/>
        <v>1.0225909263620658E-2</v>
      </c>
      <c r="AI64" s="9">
        <f t="shared" ca="1" si="60"/>
        <v>1.028051940677488E-2</v>
      </c>
      <c r="AJ64" s="9">
        <f t="shared" ca="1" si="60"/>
        <v>1.1239394119454738E-2</v>
      </c>
      <c r="AK64" s="9">
        <f t="shared" ca="1" si="60"/>
        <v>1.1945502692075727E-2</v>
      </c>
      <c r="AL64" s="9">
        <f t="shared" ca="1" si="60"/>
        <v>1.0236529374831882E-2</v>
      </c>
      <c r="AM64" s="9">
        <f t="shared" ca="1" si="60"/>
        <v>1.0898862012670318E-2</v>
      </c>
      <c r="AN64" s="9">
        <f t="shared" ca="1" si="60"/>
        <v>7.5902583727359696E-3</v>
      </c>
      <c r="AO64" s="9">
        <f t="shared" ca="1" si="60"/>
        <v>3.4202603741654292E-3</v>
      </c>
      <c r="AP64" s="9">
        <f t="shared" ca="1" si="60"/>
        <v>3.164606777063983E-3</v>
      </c>
      <c r="AQ64" s="9">
        <f t="shared" ca="1" si="60"/>
        <v>1.4470956068748375E-3</v>
      </c>
      <c r="AR64" s="9">
        <f t="shared" ca="1" si="60"/>
        <v>5.7938342991052938E-3</v>
      </c>
      <c r="AS64" s="9">
        <f t="shared" ca="1" si="60"/>
        <v>1.1836111496292379E-2</v>
      </c>
      <c r="AT64" s="9">
        <f t="shared" ca="1" si="60"/>
        <v>1.8237385714183318E-2</v>
      </c>
      <c r="AU64" s="9">
        <f t="shared" ca="1" si="60"/>
        <v>2.5267153220609462E-2</v>
      </c>
      <c r="AV64" s="9">
        <f t="shared" ca="1" si="60"/>
        <v>3.4141580324065224E-2</v>
      </c>
      <c r="AW64" s="9">
        <f t="shared" ca="1" si="60"/>
        <v>4.0584361371184929E-2</v>
      </c>
      <c r="AX64" s="9">
        <f t="shared" ca="1" si="60"/>
        <v>4.1309914520098578E-2</v>
      </c>
      <c r="AY64" s="9">
        <f t="shared" ca="1" si="60"/>
        <v>4.0134825624930315E-2</v>
      </c>
      <c r="AZ64" s="9">
        <f t="shared" ca="1" si="60"/>
        <v>3.9527710121051829E-2</v>
      </c>
      <c r="BA64" s="9">
        <f t="shared" ca="1" si="60"/>
        <v>4.4440267813256273E-2</v>
      </c>
      <c r="BB64" s="9">
        <f t="shared" ca="1" si="60"/>
        <v>3.9115989705194476E-2</v>
      </c>
      <c r="BC64" s="9">
        <f t="shared" ca="1" si="60"/>
        <v>2.4829431852510186E-2</v>
      </c>
      <c r="BD64" s="9">
        <f t="shared" ca="1" si="60"/>
        <v>3.3074906068010224E-2</v>
      </c>
      <c r="BE64" s="9">
        <f t="shared" ca="1" si="60"/>
        <v>3.6307000284156787E-2</v>
      </c>
      <c r="BF64" s="9">
        <f t="shared" ca="1" si="60"/>
        <v>3.7071693162358255E-2</v>
      </c>
      <c r="BG64" s="9">
        <f t="shared" ca="1" si="60"/>
        <v>3.7724475899943322E-2</v>
      </c>
      <c r="BH64" s="9">
        <f t="shared" ca="1" si="60"/>
        <v>2.3484749972068508E-2</v>
      </c>
      <c r="BI64" s="9">
        <f t="shared" ca="1" si="60"/>
        <v>1.1805822456309789E-2</v>
      </c>
      <c r="BJ64" s="9">
        <f t="shared" ca="1" si="60"/>
        <v>7.7320813367403041E-3</v>
      </c>
      <c r="BK64" s="9">
        <f t="shared" ca="1" si="60"/>
        <v>1.4516073975604171E-2</v>
      </c>
      <c r="BL64" s="9">
        <f t="shared" ca="1" si="60"/>
        <v>2.9132860580671549E-2</v>
      </c>
      <c r="BM64" s="9">
        <f t="shared" ca="1" si="60"/>
        <v>4.0385240764762464E-2</v>
      </c>
      <c r="BN64" s="9">
        <f t="shared" ref="BN64:DY64" ca="1" si="61">IF(BN37="","",ABS(BN37))</f>
        <v>4.5134114085502164E-2</v>
      </c>
      <c r="BO64" s="9">
        <f t="shared" ca="1" si="61"/>
        <v>3.1350511182640317E-2</v>
      </c>
      <c r="BP64" s="9">
        <f t="shared" ca="1" si="61"/>
        <v>1.2788184031736538E-2</v>
      </c>
      <c r="BQ64" s="9">
        <f t="shared" ca="1" si="61"/>
        <v>1.2961894038260979E-2</v>
      </c>
      <c r="BR64" s="9">
        <f t="shared" ca="1" si="61"/>
        <v>1.5584568140000643E-2</v>
      </c>
      <c r="BS64" s="9">
        <f t="shared" ca="1" si="61"/>
        <v>2.0557544839152175E-2</v>
      </c>
      <c r="BT64" s="9">
        <f t="shared" ca="1" si="61"/>
        <v>2.9293487026321841E-2</v>
      </c>
      <c r="BU64" s="9">
        <f t="shared" ca="1" si="61"/>
        <v>1.9543503327650757E-2</v>
      </c>
      <c r="BV64" s="9">
        <f t="shared" ca="1" si="61"/>
        <v>6.576282559882074E-3</v>
      </c>
      <c r="BW64" s="9">
        <f t="shared" ca="1" si="61"/>
        <v>9.7847777740115438E-3</v>
      </c>
      <c r="BX64" s="9">
        <f t="shared" ca="1" si="61"/>
        <v>2.0104351096091655E-2</v>
      </c>
      <c r="BY64" s="9">
        <f t="shared" ca="1" si="61"/>
        <v>9.1762245167033019E-3</v>
      </c>
      <c r="BZ64" s="9">
        <f t="shared" ca="1" si="61"/>
        <v>7.4658040888211374E-3</v>
      </c>
      <c r="CA64" s="9">
        <f t="shared" ca="1" si="61"/>
        <v>1.554384587529789E-2</v>
      </c>
      <c r="CB64" s="9">
        <f t="shared" ca="1" si="61"/>
        <v>1.814781082663508E-2</v>
      </c>
      <c r="CC64" s="9">
        <f t="shared" ca="1" si="61"/>
        <v>8.6496578610204544E-3</v>
      </c>
      <c r="CD64" s="9">
        <f t="shared" ca="1" si="61"/>
        <v>3.2653353721934231E-4</v>
      </c>
      <c r="CE64" s="9">
        <f t="shared" ca="1" si="61"/>
        <v>3.8052008176029384E-3</v>
      </c>
      <c r="CF64" s="9">
        <f t="shared" ca="1" si="61"/>
        <v>1.935853316202385E-3</v>
      </c>
      <c r="CG64" s="9">
        <f t="shared" ca="1" si="61"/>
        <v>5.8121547133531681E-3</v>
      </c>
      <c r="CH64" s="9">
        <f t="shared" ca="1" si="61"/>
        <v>8.2197920254831747E-3</v>
      </c>
      <c r="CI64" s="9">
        <f t="shared" ca="1" si="61"/>
        <v>2.1468995491111809E-3</v>
      </c>
      <c r="CJ64" s="9">
        <f t="shared" ca="1" si="61"/>
        <v>1.3311791991095334E-2</v>
      </c>
      <c r="CK64" s="9">
        <f t="shared" ca="1" si="61"/>
        <v>7.5070086046877815E-3</v>
      </c>
      <c r="CL64" s="9">
        <f t="shared" ca="1" si="61"/>
        <v>1.2378325555944203E-2</v>
      </c>
      <c r="CM64" s="9">
        <f t="shared" ca="1" si="61"/>
        <v>3.0656603844320118E-2</v>
      </c>
      <c r="CN64" s="9">
        <f t="shared" ca="1" si="61"/>
        <v>2.1173761370482769E-2</v>
      </c>
      <c r="CO64" s="9">
        <f t="shared" ca="1" si="61"/>
        <v>1.0550502864446587E-2</v>
      </c>
      <c r="CP64" s="9">
        <f t="shared" ca="1" si="61"/>
        <v>7.4701089632078777E-4</v>
      </c>
      <c r="CQ64" s="9">
        <f t="shared" ca="1" si="61"/>
        <v>5.6285921727128319E-3</v>
      </c>
      <c r="CR64" s="9">
        <f t="shared" ca="1" si="61"/>
        <v>2.013304713567976E-3</v>
      </c>
      <c r="CS64" s="9">
        <f t="shared" ca="1" si="61"/>
        <v>2.573217310158582E-3</v>
      </c>
      <c r="CT64" s="9">
        <f t="shared" ca="1" si="61"/>
        <v>5.9195322816407714E-3</v>
      </c>
      <c r="CU64" s="9">
        <f t="shared" ca="1" si="61"/>
        <v>3.6396649460070374E-2</v>
      </c>
      <c r="CV64" s="9">
        <f t="shared" ca="1" si="61"/>
        <v>9.424655952520844E-3</v>
      </c>
      <c r="CW64" s="9">
        <f t="shared" ca="1" si="61"/>
        <v>5.4223707971590152E-5</v>
      </c>
      <c r="CX64" s="9">
        <f t="shared" ca="1" si="61"/>
        <v>4.2798850832546087E-3</v>
      </c>
      <c r="CY64" s="9">
        <f t="shared" ca="1" si="61"/>
        <v>2.6976636030873191E-3</v>
      </c>
      <c r="CZ64" s="9">
        <f t="shared" ca="1" si="61"/>
        <v>4.5990065751961851E-3</v>
      </c>
      <c r="DA64" s="9">
        <f t="shared" ca="1" si="61"/>
        <v>6.3767242716725736E-3</v>
      </c>
      <c r="DB64" s="9">
        <f t="shared" ca="1" si="61"/>
        <v>4.269770385301741E-3</v>
      </c>
      <c r="DC64" s="9">
        <f t="shared" ca="1" si="61"/>
        <v>1.3088276695549794E-2</v>
      </c>
      <c r="DD64" s="9">
        <f t="shared" ca="1" si="61"/>
        <v>7.6146660324575288E-3</v>
      </c>
      <c r="DE64" s="9">
        <f t="shared" ca="1" si="61"/>
        <v>1.4287934162232507E-2</v>
      </c>
      <c r="DF64" s="9">
        <f t="shared" ca="1" si="61"/>
        <v>1.2975322619941831E-2</v>
      </c>
      <c r="DG64" s="9">
        <f t="shared" ca="1" si="61"/>
        <v>1.9543466433843082E-2</v>
      </c>
      <c r="DH64" s="9">
        <f t="shared" ca="1" si="61"/>
        <v>2.6974471647595366E-2</v>
      </c>
      <c r="DI64" s="9">
        <f t="shared" ca="1" si="61"/>
        <v>2.298788805267804E-2</v>
      </c>
      <c r="DJ64" s="9">
        <f t="shared" ca="1" si="61"/>
        <v>1.3009335137566858E-2</v>
      </c>
      <c r="DK64" s="9">
        <f t="shared" ca="1" si="61"/>
        <v>1.5166118669081019E-3</v>
      </c>
      <c r="DL64" s="9">
        <f t="shared" ca="1" si="61"/>
        <v>4.0385104491336143E-4</v>
      </c>
      <c r="DM64" s="9">
        <f t="shared" ca="1" si="61"/>
        <v>7.7116782830408681E-3</v>
      </c>
      <c r="DN64" s="9">
        <f t="shared" ca="1" si="61"/>
        <v>1.0499113493164236E-2</v>
      </c>
      <c r="DO64" s="9">
        <f t="shared" ca="1" si="61"/>
        <v>8.7077076419772581E-3</v>
      </c>
      <c r="DP64" s="9">
        <f t="shared" ca="1" si="61"/>
        <v>2.3377674114347657E-3</v>
      </c>
      <c r="DQ64" s="9">
        <f t="shared" ca="1" si="61"/>
        <v>7.9322450551022605E-3</v>
      </c>
      <c r="DR64" s="9">
        <f t="shared" ca="1" si="61"/>
        <v>1.1703480425397927E-2</v>
      </c>
      <c r="DS64" s="9">
        <f t="shared" ca="1" si="61"/>
        <v>3.8826875938617889E-3</v>
      </c>
      <c r="DT64" s="9">
        <f t="shared" ca="1" si="61"/>
        <v>4.7723670579400412E-3</v>
      </c>
      <c r="DU64" s="9" t="str">
        <f t="shared" ca="1" si="61"/>
        <v/>
      </c>
      <c r="DV64" s="9" t="str">
        <f t="shared" ca="1" si="61"/>
        <v/>
      </c>
      <c r="DW64" s="9" t="str">
        <f t="shared" ca="1" si="61"/>
        <v/>
      </c>
      <c r="DX64" s="9" t="str">
        <f t="shared" ca="1" si="61"/>
        <v/>
      </c>
      <c r="DY64" s="9" t="str">
        <f t="shared" ca="1" si="61"/>
        <v/>
      </c>
      <c r="DZ64" s="9" t="str">
        <f t="shared" ref="DZ64:GK64" ca="1" si="62">IF(DZ37="","",ABS(DZ37))</f>
        <v/>
      </c>
      <c r="EA64" s="9" t="str">
        <f t="shared" ca="1" si="62"/>
        <v/>
      </c>
      <c r="EB64" s="9" t="str">
        <f t="shared" ca="1" si="62"/>
        <v/>
      </c>
      <c r="EC64" s="9" t="str">
        <f t="shared" ca="1" si="62"/>
        <v/>
      </c>
      <c r="ED64" s="9" t="str">
        <f t="shared" ca="1" si="62"/>
        <v/>
      </c>
      <c r="EE64" s="9" t="str">
        <f t="shared" ca="1" si="62"/>
        <v/>
      </c>
      <c r="EF64" s="9" t="str">
        <f t="shared" ca="1" si="62"/>
        <v/>
      </c>
      <c r="EG64" s="9">
        <f t="shared" ca="1" si="62"/>
        <v>1.3556885198429125E-3</v>
      </c>
      <c r="EH64" s="9">
        <f t="shared" ca="1" si="62"/>
        <v>1.5222536062896364E-2</v>
      </c>
      <c r="EI64" s="9">
        <f t="shared" ca="1" si="62"/>
        <v>1.2925317320101604E-2</v>
      </c>
      <c r="EJ64" s="9">
        <f t="shared" ca="1" si="62"/>
        <v>1.1588049242864384E-2</v>
      </c>
      <c r="EK64" s="9">
        <f t="shared" ca="1" si="62"/>
        <v>4.1984916392885374E-3</v>
      </c>
      <c r="EL64" s="9">
        <f t="shared" ca="1" si="62"/>
        <v>8.0769454927320794E-4</v>
      </c>
      <c r="EM64" s="9">
        <f t="shared" ca="1" si="62"/>
        <v>2.4602361212453516E-3</v>
      </c>
      <c r="EN64" s="9">
        <f t="shared" ca="1" si="62"/>
        <v>1.4336029270771711E-3</v>
      </c>
      <c r="EO64" s="9">
        <f t="shared" ca="1" si="62"/>
        <v>2.7485994501708078E-3</v>
      </c>
      <c r="EP64" s="9">
        <f t="shared" ca="1" si="62"/>
        <v>1.7881948594681396E-2</v>
      </c>
      <c r="EQ64" s="9">
        <f t="shared" ca="1" si="62"/>
        <v>1.118622099015254E-3</v>
      </c>
      <c r="ER64" s="9">
        <f t="shared" ca="1" si="62"/>
        <v>1.3262418372523177E-2</v>
      </c>
      <c r="ES64" s="9">
        <f t="shared" ca="1" si="62"/>
        <v>7.2074727110891246E-3</v>
      </c>
      <c r="ET64" s="9">
        <f t="shared" ca="1" si="62"/>
        <v>4.3430492412122046E-3</v>
      </c>
      <c r="EU64" s="9">
        <f t="shared" ca="1" si="62"/>
        <v>6.0172503951736456E-3</v>
      </c>
      <c r="EV64" s="9">
        <f t="shared" ca="1" si="62"/>
        <v>1.5655625764754433E-4</v>
      </c>
      <c r="EW64" s="9">
        <f t="shared" ca="1" si="62"/>
        <v>3.0478104251892013E-3</v>
      </c>
      <c r="EX64" s="9">
        <f t="shared" ca="1" si="62"/>
        <v>1.2187216205161722E-3</v>
      </c>
      <c r="EY64" s="9">
        <f t="shared" ca="1" si="62"/>
        <v>8.9951972402252389E-3</v>
      </c>
      <c r="EZ64" s="9">
        <f t="shared" ca="1" si="62"/>
        <v>1.7036094956389691E-3</v>
      </c>
      <c r="FA64" s="9">
        <f t="shared" ca="1" si="62"/>
        <v>6.1893758409885535E-3</v>
      </c>
      <c r="FB64" s="9">
        <f t="shared" ca="1" si="62"/>
        <v>3.41779655993113E-3</v>
      </c>
      <c r="FC64" s="9">
        <f t="shared" ca="1" si="62"/>
        <v>1.8199689203489688E-3</v>
      </c>
      <c r="FD64" s="9">
        <f t="shared" ca="1" si="62"/>
        <v>5.7299412268714267E-3</v>
      </c>
      <c r="FE64" s="9">
        <f t="shared" ca="1" si="62"/>
        <v>6.2269288386256338E-3</v>
      </c>
      <c r="FF64" s="9">
        <f t="shared" ca="1" si="62"/>
        <v>6.1287640799194687E-3</v>
      </c>
      <c r="FG64" s="9">
        <f t="shared" ca="1" si="62"/>
        <v>8.9758617732127455E-3</v>
      </c>
      <c r="FH64" s="9">
        <f t="shared" ca="1" si="62"/>
        <v>6.7062281783314415E-4</v>
      </c>
      <c r="FI64" s="9">
        <f t="shared" ca="1" si="62"/>
        <v>1.5414118785540998E-2</v>
      </c>
      <c r="FJ64" s="9">
        <f t="shared" ca="1" si="62"/>
        <v>1.8622396537881558E-2</v>
      </c>
      <c r="FK64" s="9">
        <f t="shared" ca="1" si="62"/>
        <v>9.3340295005714946E-3</v>
      </c>
      <c r="FL64" s="9">
        <f t="shared" ca="1" si="62"/>
        <v>7.9789330872793718E-3</v>
      </c>
      <c r="FM64" s="9">
        <f t="shared" ca="1" si="62"/>
        <v>8.8255400168911757E-3</v>
      </c>
      <c r="FN64" s="9">
        <f t="shared" ca="1" si="62"/>
        <v>8.31030891519835E-3</v>
      </c>
      <c r="FO64" s="9">
        <f t="shared" ca="1" si="62"/>
        <v>2.1019462271012479E-3</v>
      </c>
      <c r="FP64" s="9">
        <f t="shared" ca="1" si="62"/>
        <v>1.9983690148929645E-2</v>
      </c>
      <c r="FQ64" s="9">
        <f t="shared" ca="1" si="62"/>
        <v>9.5140468936085743E-3</v>
      </c>
      <c r="FR64" s="9">
        <f t="shared" ca="1" si="62"/>
        <v>4.9150615090756133E-3</v>
      </c>
      <c r="FS64" s="9">
        <f t="shared" ca="1" si="62"/>
        <v>5.8470799317518196E-3</v>
      </c>
      <c r="FT64" s="9">
        <f t="shared" ca="1" si="62"/>
        <v>9.7280807469202202E-4</v>
      </c>
      <c r="FU64" s="9">
        <f t="shared" ca="1" si="62"/>
        <v>5.1353503325768379E-4</v>
      </c>
      <c r="FV64" s="9">
        <f t="shared" ca="1" si="62"/>
        <v>7.0058321361299303E-4</v>
      </c>
      <c r="FW64" s="9">
        <f t="shared" ca="1" si="62"/>
        <v>5.2396594803734153E-3</v>
      </c>
      <c r="FX64" s="9">
        <f t="shared" ca="1" si="62"/>
        <v>7.6508670749910745E-3</v>
      </c>
      <c r="FY64" s="9">
        <f t="shared" ca="1" si="62"/>
        <v>6.6840202604687704E-3</v>
      </c>
      <c r="FZ64" s="9">
        <f t="shared" ca="1" si="62"/>
        <v>1.2033927350135531E-2</v>
      </c>
      <c r="GA64" s="9">
        <f t="shared" ca="1" si="62"/>
        <v>4.1025011224297137E-3</v>
      </c>
      <c r="GB64" s="9">
        <f t="shared" ca="1" si="62"/>
        <v>4.6717044616174652E-3</v>
      </c>
      <c r="GC64" s="9">
        <f t="shared" ca="1" si="62"/>
        <v>8.8655763523908249E-3</v>
      </c>
      <c r="GD64" s="9">
        <f t="shared" ca="1" si="62"/>
        <v>1.2020629740557731E-2</v>
      </c>
      <c r="GE64" s="9">
        <f t="shared" ca="1" si="62"/>
        <v>1.0274023045051428E-2</v>
      </c>
      <c r="GF64" s="9">
        <f t="shared" ca="1" si="62"/>
        <v>3.8190918148736097E-3</v>
      </c>
      <c r="GG64" s="9">
        <f t="shared" ca="1" si="62"/>
        <v>2.5855755392207858E-3</v>
      </c>
      <c r="GH64" s="9">
        <f t="shared" ca="1" si="62"/>
        <v>2.0205570635351444E-2</v>
      </c>
      <c r="GI64" s="9">
        <f t="shared" ca="1" si="62"/>
        <v>2.0012267000451445E-2</v>
      </c>
      <c r="GJ64" s="9">
        <f t="shared" ca="1" si="62"/>
        <v>1.552834480123777E-2</v>
      </c>
      <c r="GK64" s="9">
        <f t="shared" ca="1" si="62"/>
        <v>1.1333283788895088E-2</v>
      </c>
      <c r="GL64" s="9">
        <f t="shared" ref="GL64:IW64" ca="1" si="63">IF(GL37="","",ABS(GL37))</f>
        <v>1.6520352968882435E-2</v>
      </c>
      <c r="GM64" s="9">
        <f t="shared" ca="1" si="63"/>
        <v>7.5201110947151761E-3</v>
      </c>
      <c r="GN64" s="9">
        <f t="shared" ca="1" si="63"/>
        <v>1.4221810807753421E-2</v>
      </c>
      <c r="GO64" s="9">
        <f t="shared" ca="1" si="63"/>
        <v>7.5580374792650895E-3</v>
      </c>
      <c r="GP64" s="9">
        <f t="shared" ca="1" si="63"/>
        <v>4.6116291291096068E-2</v>
      </c>
      <c r="GQ64" s="9">
        <f t="shared" ca="1" si="63"/>
        <v>3.4467855324579855E-2</v>
      </c>
      <c r="GR64" s="9" t="str">
        <f t="shared" ca="1" si="63"/>
        <v/>
      </c>
      <c r="GS64" s="9" t="str">
        <f t="shared" ca="1" si="63"/>
        <v/>
      </c>
      <c r="GT64" s="9" t="str">
        <f t="shared" ca="1" si="63"/>
        <v/>
      </c>
      <c r="GU64" s="9" t="str">
        <f t="shared" ca="1" si="63"/>
        <v/>
      </c>
      <c r="GV64" s="9" t="str">
        <f t="shared" ca="1" si="63"/>
        <v/>
      </c>
      <c r="GW64" s="9" t="str">
        <f t="shared" ca="1" si="63"/>
        <v/>
      </c>
      <c r="GX64" s="9" t="str">
        <f t="shared" ca="1" si="63"/>
        <v/>
      </c>
      <c r="GY64" s="9" t="str">
        <f t="shared" ca="1" si="63"/>
        <v/>
      </c>
      <c r="GZ64" s="9" t="str">
        <f t="shared" ca="1" si="63"/>
        <v/>
      </c>
      <c r="HA64" s="9" t="str">
        <f t="shared" ca="1" si="63"/>
        <v/>
      </c>
      <c r="HB64" s="9" t="str">
        <f t="shared" ca="1" si="63"/>
        <v/>
      </c>
      <c r="HC64" s="9" t="str">
        <f t="shared" ca="1" si="63"/>
        <v/>
      </c>
      <c r="HD64" s="9" t="str">
        <f t="shared" ca="1" si="63"/>
        <v/>
      </c>
      <c r="HE64" s="9" t="str">
        <f t="shared" ca="1" si="63"/>
        <v/>
      </c>
      <c r="HF64" s="9" t="str">
        <f t="shared" ca="1" si="63"/>
        <v/>
      </c>
      <c r="HG64" s="9" t="str">
        <f t="shared" ca="1" si="63"/>
        <v/>
      </c>
      <c r="HH64" s="9" t="str">
        <f t="shared" ca="1" si="63"/>
        <v/>
      </c>
      <c r="HI64" s="9" t="str">
        <f t="shared" ca="1" si="63"/>
        <v/>
      </c>
      <c r="HJ64" s="9" t="str">
        <f t="shared" ca="1" si="63"/>
        <v/>
      </c>
      <c r="HK64" s="9" t="str">
        <f t="shared" ca="1" si="63"/>
        <v/>
      </c>
      <c r="HL64" s="9" t="str">
        <f t="shared" ca="1" si="63"/>
        <v/>
      </c>
      <c r="HM64" s="9" t="str">
        <f t="shared" ca="1" si="63"/>
        <v/>
      </c>
      <c r="HN64" s="9" t="str">
        <f t="shared" ca="1" si="63"/>
        <v/>
      </c>
      <c r="HO64" s="9" t="str">
        <f t="shared" ca="1" si="63"/>
        <v/>
      </c>
      <c r="HP64" s="9" t="str">
        <f t="shared" ca="1" si="63"/>
        <v/>
      </c>
      <c r="HQ64" s="9" t="str">
        <f t="shared" ca="1" si="63"/>
        <v/>
      </c>
      <c r="HR64" s="9" t="str">
        <f t="shared" ca="1" si="63"/>
        <v/>
      </c>
      <c r="HS64" s="9" t="str">
        <f t="shared" ca="1" si="63"/>
        <v/>
      </c>
      <c r="HT64" s="9" t="str">
        <f t="shared" ca="1" si="63"/>
        <v/>
      </c>
      <c r="HU64" s="9" t="str">
        <f t="shared" ca="1" si="63"/>
        <v/>
      </c>
      <c r="HV64" s="9" t="str">
        <f t="shared" ca="1" si="63"/>
        <v/>
      </c>
      <c r="HW64" s="9" t="str">
        <f t="shared" ca="1" si="63"/>
        <v/>
      </c>
      <c r="HX64" s="9" t="str">
        <f t="shared" ca="1" si="63"/>
        <v/>
      </c>
      <c r="HY64" s="9" t="str">
        <f t="shared" ca="1" si="63"/>
        <v/>
      </c>
      <c r="HZ64" s="9" t="str">
        <f t="shared" ca="1" si="63"/>
        <v/>
      </c>
      <c r="IA64" s="9" t="str">
        <f t="shared" ca="1" si="63"/>
        <v/>
      </c>
      <c r="IB64" s="9" t="str">
        <f t="shared" ca="1" si="63"/>
        <v/>
      </c>
      <c r="IC64" s="9" t="str">
        <f t="shared" ca="1" si="63"/>
        <v/>
      </c>
      <c r="ID64" s="9" t="str">
        <f t="shared" ca="1" si="63"/>
        <v/>
      </c>
      <c r="IE64" s="9" t="str">
        <f t="shared" ca="1" si="63"/>
        <v/>
      </c>
      <c r="IF64" s="9" t="str">
        <f t="shared" ca="1" si="63"/>
        <v/>
      </c>
      <c r="IG64" s="9" t="str">
        <f t="shared" ca="1" si="63"/>
        <v/>
      </c>
      <c r="IH64" s="9" t="str">
        <f t="shared" ca="1" si="63"/>
        <v/>
      </c>
      <c r="II64" s="9" t="str">
        <f t="shared" ca="1" si="63"/>
        <v/>
      </c>
      <c r="IJ64" s="9" t="str">
        <f t="shared" ca="1" si="63"/>
        <v/>
      </c>
      <c r="IK64" s="9" t="str">
        <f t="shared" ca="1" si="63"/>
        <v/>
      </c>
      <c r="IL64" s="9" t="str">
        <f t="shared" ca="1" si="63"/>
        <v/>
      </c>
      <c r="IM64" s="9" t="str">
        <f t="shared" ca="1" si="63"/>
        <v/>
      </c>
      <c r="IN64" s="9" t="str">
        <f t="shared" ca="1" si="63"/>
        <v/>
      </c>
      <c r="IO64" s="9" t="str">
        <f t="shared" ca="1" si="63"/>
        <v/>
      </c>
      <c r="IP64" s="9" t="str">
        <f t="shared" ca="1" si="63"/>
        <v/>
      </c>
      <c r="IQ64" s="9" t="str">
        <f t="shared" ca="1" si="63"/>
        <v/>
      </c>
      <c r="IR64" s="9" t="str">
        <f t="shared" ca="1" si="63"/>
        <v/>
      </c>
      <c r="IS64" s="9" t="str">
        <f t="shared" ca="1" si="63"/>
        <v/>
      </c>
      <c r="IT64" s="9" t="str">
        <f t="shared" ca="1" si="63"/>
        <v/>
      </c>
      <c r="IU64" s="9" t="str">
        <f t="shared" ca="1" si="63"/>
        <v/>
      </c>
      <c r="IV64" s="9" t="str">
        <f t="shared" ca="1" si="63"/>
        <v/>
      </c>
      <c r="IW64" s="9" t="str">
        <f t="shared" ca="1" si="63"/>
        <v/>
      </c>
      <c r="IX64" s="9" t="str">
        <f t="shared" ref="IX64:JH64" ca="1" si="64">IF(IX37="","",ABS(IX37))</f>
        <v/>
      </c>
      <c r="IY64" s="9" t="str">
        <f t="shared" ca="1" si="64"/>
        <v/>
      </c>
      <c r="IZ64" s="9" t="str">
        <f t="shared" ca="1" si="64"/>
        <v/>
      </c>
      <c r="JA64" s="9" t="str">
        <f t="shared" ca="1" si="64"/>
        <v/>
      </c>
      <c r="JB64" s="9" t="str">
        <f t="shared" ca="1" si="64"/>
        <v/>
      </c>
      <c r="JC64" s="9" t="str">
        <f t="shared" ca="1" si="64"/>
        <v/>
      </c>
      <c r="JD64" s="9" t="str">
        <f t="shared" ca="1" si="64"/>
        <v/>
      </c>
      <c r="JE64" s="9" t="str">
        <f t="shared" ca="1" si="64"/>
        <v/>
      </c>
      <c r="JF64" s="9" t="str">
        <f t="shared" ca="1" si="64"/>
        <v/>
      </c>
      <c r="JG64" s="9" t="str">
        <f t="shared" ca="1" si="64"/>
        <v/>
      </c>
      <c r="JH64" s="9" t="str">
        <f t="shared" ca="1" si="64"/>
        <v/>
      </c>
      <c r="JI64" s="13">
        <f t="shared" ca="1" si="24"/>
        <v>1.0895870774702335E-2</v>
      </c>
      <c r="JJ64" s="13">
        <f t="shared" ca="1" si="25"/>
        <v>7.6508670749910745E-3</v>
      </c>
      <c r="JK64" s="14">
        <f t="shared" ca="1" si="26"/>
        <v>9.8532384110061274E-5</v>
      </c>
      <c r="JL64" s="17">
        <f t="shared" ca="1" si="34"/>
        <v>9.9263479744597545E-3</v>
      </c>
      <c r="JM64" s="15" t="str">
        <f t="shared" ca="1" si="27"/>
        <v>[ -0,90% ; 3,07% ]</v>
      </c>
      <c r="JN64" s="17">
        <f t="shared" ca="1" si="28"/>
        <v>1.2705725407308487E-2</v>
      </c>
      <c r="LY64" s="1"/>
    </row>
    <row r="65" spans="1:337" x14ac:dyDescent="0.25">
      <c r="A65" s="4">
        <v>9</v>
      </c>
      <c r="B65" s="9">
        <f t="shared" ref="B65:BM65" ca="1" si="65">IF(B38="","",ABS(B38))</f>
        <v>5.4422460443354082E-3</v>
      </c>
      <c r="C65" s="9">
        <f t="shared" ca="1" si="65"/>
        <v>3.9113388829337126E-4</v>
      </c>
      <c r="D65" s="9">
        <f t="shared" ca="1" si="65"/>
        <v>4.7230536763227526E-3</v>
      </c>
      <c r="E65" s="9">
        <f t="shared" ca="1" si="65"/>
        <v>3.9673628133894967E-3</v>
      </c>
      <c r="F65" s="9">
        <f t="shared" ca="1" si="65"/>
        <v>6.9184813886595808E-3</v>
      </c>
      <c r="G65" s="9">
        <f t="shared" ca="1" si="65"/>
        <v>4.3037188986420061E-3</v>
      </c>
      <c r="H65" s="9">
        <f t="shared" ca="1" si="65"/>
        <v>1.2928984559946732E-3</v>
      </c>
      <c r="I65" s="9">
        <f t="shared" ca="1" si="65"/>
        <v>1.2442242829984185E-3</v>
      </c>
      <c r="J65" s="9">
        <f t="shared" ca="1" si="65"/>
        <v>1.6474036372204903E-3</v>
      </c>
      <c r="K65" s="9">
        <f t="shared" ca="1" si="65"/>
        <v>2.6267528940036033E-3</v>
      </c>
      <c r="L65" s="9">
        <f t="shared" ca="1" si="65"/>
        <v>1.9302539900367677E-3</v>
      </c>
      <c r="M65" s="9">
        <f t="shared" ca="1" si="65"/>
        <v>1.8754309008812697E-3</v>
      </c>
      <c r="N65" s="9">
        <f t="shared" ca="1" si="65"/>
        <v>4.9064938225384935E-3</v>
      </c>
      <c r="O65" s="9">
        <f t="shared" ca="1" si="65"/>
        <v>1.0473311969816823E-2</v>
      </c>
      <c r="P65" s="9">
        <f t="shared" ca="1" si="65"/>
        <v>1.0659728783281697E-2</v>
      </c>
      <c r="Q65" s="9">
        <f t="shared" ca="1" si="65"/>
        <v>7.4768738705690563E-3</v>
      </c>
      <c r="R65" s="9">
        <f t="shared" ca="1" si="65"/>
        <v>6.0715226984129345E-3</v>
      </c>
      <c r="S65" s="9">
        <f t="shared" ca="1" si="65"/>
        <v>2.0672784213433548E-3</v>
      </c>
      <c r="T65" s="9">
        <f t="shared" ca="1" si="65"/>
        <v>1.4088611318368027E-3</v>
      </c>
      <c r="U65" s="9">
        <f t="shared" ca="1" si="65"/>
        <v>4.1335616311655166E-4</v>
      </c>
      <c r="V65" s="9">
        <f t="shared" ca="1" si="65"/>
        <v>9.854273449471096E-4</v>
      </c>
      <c r="W65" s="9">
        <f t="shared" ca="1" si="65"/>
        <v>1.6114924496608563E-3</v>
      </c>
      <c r="X65" s="9">
        <f t="shared" ca="1" si="65"/>
        <v>2.3185506575258419E-3</v>
      </c>
      <c r="Y65" s="9">
        <f t="shared" ca="1" si="65"/>
        <v>4.3774821849654755E-3</v>
      </c>
      <c r="Z65" s="9">
        <f t="shared" ca="1" si="65"/>
        <v>3.2859271792708977E-3</v>
      </c>
      <c r="AA65" s="9">
        <f t="shared" ca="1" si="65"/>
        <v>1.7401719747659472E-3</v>
      </c>
      <c r="AB65" s="9">
        <f t="shared" ca="1" si="65"/>
        <v>1.6168319351139715E-4</v>
      </c>
      <c r="AC65" s="9">
        <f t="shared" ca="1" si="65"/>
        <v>3.1769576642954878E-3</v>
      </c>
      <c r="AD65" s="9">
        <f t="shared" ca="1" si="65"/>
        <v>4.4923874703575173E-3</v>
      </c>
      <c r="AE65" s="9">
        <f t="shared" ca="1" si="65"/>
        <v>6.5350007199624915E-3</v>
      </c>
      <c r="AF65" s="9">
        <f t="shared" ca="1" si="65"/>
        <v>8.5316146310691066E-3</v>
      </c>
      <c r="AG65" s="9">
        <f t="shared" ca="1" si="65"/>
        <v>8.4458446156460143E-3</v>
      </c>
      <c r="AH65" s="9">
        <f t="shared" ca="1" si="65"/>
        <v>1.1260938071686821E-2</v>
      </c>
      <c r="AI65" s="9">
        <f t="shared" ca="1" si="65"/>
        <v>1.2753957543771621E-2</v>
      </c>
      <c r="AJ65" s="9">
        <f t="shared" ca="1" si="65"/>
        <v>1.2736084561241201E-2</v>
      </c>
      <c r="AK65" s="9">
        <f t="shared" ca="1" si="65"/>
        <v>1.3341905025482492E-2</v>
      </c>
      <c r="AL65" s="9">
        <f t="shared" ca="1" si="65"/>
        <v>1.1951372740934607E-2</v>
      </c>
      <c r="AM65" s="9">
        <f t="shared" ca="1" si="65"/>
        <v>1.2586018961992518E-2</v>
      </c>
      <c r="AN65" s="9">
        <f t="shared" ca="1" si="65"/>
        <v>7.4895682587541312E-3</v>
      </c>
      <c r="AO65" s="9">
        <f t="shared" ca="1" si="65"/>
        <v>1.6580300536312986E-3</v>
      </c>
      <c r="AP65" s="9">
        <f t="shared" ca="1" si="65"/>
        <v>8.3136182942822323E-4</v>
      </c>
      <c r="AQ65" s="9">
        <f t="shared" ca="1" si="65"/>
        <v>3.0110019054747639E-3</v>
      </c>
      <c r="AR65" s="9">
        <f t="shared" ca="1" si="65"/>
        <v>8.2284121757891793E-3</v>
      </c>
      <c r="AS65" s="9">
        <f t="shared" ca="1" si="65"/>
        <v>1.8077435230793526E-2</v>
      </c>
      <c r="AT65" s="9">
        <f t="shared" ca="1" si="65"/>
        <v>2.4502365685131089E-2</v>
      </c>
      <c r="AU65" s="9">
        <f t="shared" ca="1" si="65"/>
        <v>3.240198268915484E-2</v>
      </c>
      <c r="AV65" s="9">
        <f t="shared" ca="1" si="65"/>
        <v>4.1285742316463203E-2</v>
      </c>
      <c r="AW65" s="9">
        <f t="shared" ca="1" si="65"/>
        <v>4.882401914041945E-2</v>
      </c>
      <c r="AX65" s="9">
        <f t="shared" ca="1" si="65"/>
        <v>4.8049727606669368E-2</v>
      </c>
      <c r="AY65" s="9">
        <f t="shared" ca="1" si="65"/>
        <v>4.8685133886794407E-2</v>
      </c>
      <c r="AZ65" s="9">
        <f t="shared" ca="1" si="65"/>
        <v>4.9659202619809939E-2</v>
      </c>
      <c r="BA65" s="9">
        <f t="shared" ca="1" si="65"/>
        <v>5.2723621891340056E-2</v>
      </c>
      <c r="BB65" s="9">
        <f t="shared" ca="1" si="65"/>
        <v>4.7360311670714417E-2</v>
      </c>
      <c r="BC65" s="9">
        <f t="shared" ca="1" si="65"/>
        <v>2.9897611064612972E-2</v>
      </c>
      <c r="BD65" s="9">
        <f t="shared" ca="1" si="65"/>
        <v>3.9120646620701249E-2</v>
      </c>
      <c r="BE65" s="9">
        <f t="shared" ca="1" si="65"/>
        <v>4.2436904935341913E-2</v>
      </c>
      <c r="BF65" s="9">
        <f t="shared" ca="1" si="65"/>
        <v>4.0885884829791719E-2</v>
      </c>
      <c r="BG65" s="9">
        <f t="shared" ca="1" si="65"/>
        <v>3.8104748543432043E-2</v>
      </c>
      <c r="BH65" s="9">
        <f t="shared" ca="1" si="65"/>
        <v>2.3282234431680759E-2</v>
      </c>
      <c r="BI65" s="9">
        <f t="shared" ca="1" si="65"/>
        <v>1.0699996022144331E-2</v>
      </c>
      <c r="BJ65" s="9">
        <f t="shared" ca="1" si="65"/>
        <v>1.1664712404411137E-2</v>
      </c>
      <c r="BK65" s="9">
        <f t="shared" ca="1" si="65"/>
        <v>1.784427457130644E-2</v>
      </c>
      <c r="BL65" s="9">
        <f t="shared" ca="1" si="65"/>
        <v>3.6944158016721906E-2</v>
      </c>
      <c r="BM65" s="9">
        <f t="shared" ca="1" si="65"/>
        <v>4.953823054514328E-2</v>
      </c>
      <c r="BN65" s="9">
        <f t="shared" ref="BN65:DY65" ca="1" si="66">IF(BN38="","",ABS(BN38))</f>
        <v>5.1935912896656777E-2</v>
      </c>
      <c r="BO65" s="9">
        <f t="shared" ca="1" si="66"/>
        <v>3.5063565123810481E-2</v>
      </c>
      <c r="BP65" s="9">
        <f t="shared" ca="1" si="66"/>
        <v>1.5705347395794989E-2</v>
      </c>
      <c r="BQ65" s="9">
        <f t="shared" ca="1" si="66"/>
        <v>1.775717643194874E-2</v>
      </c>
      <c r="BR65" s="9">
        <f t="shared" ca="1" si="66"/>
        <v>2.0372611741772628E-2</v>
      </c>
      <c r="BS65" s="9">
        <f t="shared" ca="1" si="66"/>
        <v>2.6095384096766261E-2</v>
      </c>
      <c r="BT65" s="9">
        <f t="shared" ca="1" si="66"/>
        <v>3.3044994916663128E-2</v>
      </c>
      <c r="BU65" s="9">
        <f t="shared" ca="1" si="66"/>
        <v>2.1078763436678138E-2</v>
      </c>
      <c r="BV65" s="9">
        <f t="shared" ca="1" si="66"/>
        <v>7.0356093601453562E-3</v>
      </c>
      <c r="BW65" s="9">
        <f t="shared" ca="1" si="66"/>
        <v>1.1139390930412496E-2</v>
      </c>
      <c r="BX65" s="9">
        <f t="shared" ca="1" si="66"/>
        <v>2.0682434228965429E-2</v>
      </c>
      <c r="BY65" s="9">
        <f t="shared" ca="1" si="66"/>
        <v>8.2468750994643125E-3</v>
      </c>
      <c r="BZ65" s="9">
        <f t="shared" ca="1" si="66"/>
        <v>1.0105909612176944E-2</v>
      </c>
      <c r="CA65" s="9">
        <f t="shared" ca="1" si="66"/>
        <v>1.9008908551940928E-2</v>
      </c>
      <c r="CB65" s="9">
        <f t="shared" ca="1" si="66"/>
        <v>1.8305877973493478E-2</v>
      </c>
      <c r="CC65" s="9">
        <f t="shared" ca="1" si="66"/>
        <v>8.7105567219976088E-3</v>
      </c>
      <c r="CD65" s="9">
        <f t="shared" ca="1" si="66"/>
        <v>2.9540523257217677E-3</v>
      </c>
      <c r="CE65" s="9">
        <f t="shared" ca="1" si="66"/>
        <v>4.8935601954535057E-3</v>
      </c>
      <c r="CF65" s="9">
        <f t="shared" ca="1" si="66"/>
        <v>1.234885340771541E-3</v>
      </c>
      <c r="CG65" s="9">
        <f t="shared" ca="1" si="66"/>
        <v>4.0143462660876539E-3</v>
      </c>
      <c r="CH65" s="9">
        <f t="shared" ca="1" si="66"/>
        <v>8.5629489988071628E-3</v>
      </c>
      <c r="CI65" s="9">
        <f t="shared" ca="1" si="66"/>
        <v>1.3640027292518564E-3</v>
      </c>
      <c r="CJ65" s="9">
        <f t="shared" ca="1" si="66"/>
        <v>1.3238059709028804E-2</v>
      </c>
      <c r="CK65" s="9">
        <f t="shared" ca="1" si="66"/>
        <v>9.8147445596092897E-3</v>
      </c>
      <c r="CL65" s="9">
        <f t="shared" ca="1" si="66"/>
        <v>2.1498336157949494E-2</v>
      </c>
      <c r="CM65" s="9">
        <f t="shared" ca="1" si="66"/>
        <v>3.1263548556727416E-2</v>
      </c>
      <c r="CN65" s="9">
        <f t="shared" ca="1" si="66"/>
        <v>2.2770210600210339E-2</v>
      </c>
      <c r="CO65" s="9">
        <f t="shared" ca="1" si="66"/>
        <v>9.8195293489375945E-3</v>
      </c>
      <c r="CP65" s="9">
        <f t="shared" ca="1" si="66"/>
        <v>4.7146715812418361E-4</v>
      </c>
      <c r="CQ65" s="9">
        <f t="shared" ca="1" si="66"/>
        <v>4.245866898972217E-3</v>
      </c>
      <c r="CR65" s="9">
        <f t="shared" ca="1" si="66"/>
        <v>1.3358680304336179E-3</v>
      </c>
      <c r="CS65" s="9">
        <f t="shared" ca="1" si="66"/>
        <v>1.9935430590248826E-3</v>
      </c>
      <c r="CT65" s="9">
        <f t="shared" ca="1" si="66"/>
        <v>4.8695318495910467E-3</v>
      </c>
      <c r="CU65" s="9">
        <f t="shared" ca="1" si="66"/>
        <v>4.0757663835433111E-2</v>
      </c>
      <c r="CV65" s="9">
        <f t="shared" ca="1" si="66"/>
        <v>9.7259131868300264E-3</v>
      </c>
      <c r="CW65" s="9">
        <f t="shared" ca="1" si="66"/>
        <v>7.1364310765154038E-5</v>
      </c>
      <c r="CX65" s="9">
        <f t="shared" ca="1" si="66"/>
        <v>4.4527297032970203E-3</v>
      </c>
      <c r="CY65" s="9">
        <f t="shared" ca="1" si="66"/>
        <v>5.1167217865413228E-3</v>
      </c>
      <c r="CZ65" s="9">
        <f t="shared" ca="1" si="66"/>
        <v>4.0392191030542701E-3</v>
      </c>
      <c r="DA65" s="9">
        <f t="shared" ca="1" si="66"/>
        <v>4.5072654435733828E-3</v>
      </c>
      <c r="DB65" s="9">
        <f t="shared" ca="1" si="66"/>
        <v>9.4836221969973877E-3</v>
      </c>
      <c r="DC65" s="9">
        <f t="shared" ca="1" si="66"/>
        <v>1.7645479353165849E-2</v>
      </c>
      <c r="DD65" s="9">
        <f t="shared" ca="1" si="66"/>
        <v>1.1611444997641773E-2</v>
      </c>
      <c r="DE65" s="9">
        <f t="shared" ca="1" si="66"/>
        <v>1.5344099657137567E-2</v>
      </c>
      <c r="DF65" s="9">
        <f t="shared" ca="1" si="66"/>
        <v>1.5415739574641929E-2</v>
      </c>
      <c r="DG65" s="9">
        <f t="shared" ca="1" si="66"/>
        <v>2.3013749153518837E-2</v>
      </c>
      <c r="DH65" s="9">
        <f t="shared" ca="1" si="66"/>
        <v>3.1793390755255668E-2</v>
      </c>
      <c r="DI65" s="9">
        <f t="shared" ca="1" si="66"/>
        <v>2.5689781095210917E-2</v>
      </c>
      <c r="DJ65" s="9">
        <f t="shared" ca="1" si="66"/>
        <v>1.4558634785910463E-2</v>
      </c>
      <c r="DK65" s="9">
        <f t="shared" ca="1" si="66"/>
        <v>1.7087956119411496E-3</v>
      </c>
      <c r="DL65" s="9">
        <f t="shared" ca="1" si="66"/>
        <v>1.2066373700339028E-3</v>
      </c>
      <c r="DM65" s="9">
        <f t="shared" ca="1" si="66"/>
        <v>7.6620473374389153E-3</v>
      </c>
      <c r="DN65" s="9">
        <f t="shared" ca="1" si="66"/>
        <v>1.1728701686504306E-2</v>
      </c>
      <c r="DO65" s="9">
        <f t="shared" ca="1" si="66"/>
        <v>9.3563360003285911E-3</v>
      </c>
      <c r="DP65" s="9">
        <f t="shared" ca="1" si="66"/>
        <v>4.3433033480511085E-4</v>
      </c>
      <c r="DQ65" s="9">
        <f t="shared" ca="1" si="66"/>
        <v>1.1349405366704479E-2</v>
      </c>
      <c r="DR65" s="9">
        <f t="shared" ca="1" si="66"/>
        <v>1.3363408118083564E-2</v>
      </c>
      <c r="DS65" s="9">
        <f t="shared" ca="1" si="66"/>
        <v>4.1620400192465823E-3</v>
      </c>
      <c r="DT65" s="9" t="str">
        <f t="shared" ca="1" si="66"/>
        <v/>
      </c>
      <c r="DU65" s="9" t="str">
        <f t="shared" ca="1" si="66"/>
        <v/>
      </c>
      <c r="DV65" s="9" t="str">
        <f t="shared" ca="1" si="66"/>
        <v/>
      </c>
      <c r="DW65" s="9" t="str">
        <f t="shared" ca="1" si="66"/>
        <v/>
      </c>
      <c r="DX65" s="9" t="str">
        <f t="shared" ca="1" si="66"/>
        <v/>
      </c>
      <c r="DY65" s="9" t="str">
        <f t="shared" ca="1" si="66"/>
        <v/>
      </c>
      <c r="DZ65" s="9" t="str">
        <f t="shared" ref="DZ65:GK65" ca="1" si="67">IF(DZ38="","",ABS(DZ38))</f>
        <v/>
      </c>
      <c r="EA65" s="9" t="str">
        <f t="shared" ca="1" si="67"/>
        <v/>
      </c>
      <c r="EB65" s="9" t="str">
        <f t="shared" ca="1" si="67"/>
        <v/>
      </c>
      <c r="EC65" s="9" t="str">
        <f t="shared" ca="1" si="67"/>
        <v/>
      </c>
      <c r="ED65" s="9" t="str">
        <f t="shared" ca="1" si="67"/>
        <v/>
      </c>
      <c r="EE65" s="9" t="str">
        <f t="shared" ca="1" si="67"/>
        <v/>
      </c>
      <c r="EF65" s="9" t="str">
        <f t="shared" ca="1" si="67"/>
        <v/>
      </c>
      <c r="EG65" s="9">
        <f t="shared" ca="1" si="67"/>
        <v>8.9889338425921395E-3</v>
      </c>
      <c r="EH65" s="9">
        <f t="shared" ca="1" si="67"/>
        <v>1.2454215300449656E-2</v>
      </c>
      <c r="EI65" s="9">
        <f t="shared" ca="1" si="67"/>
        <v>1.2639758124547873E-2</v>
      </c>
      <c r="EJ65" s="9">
        <f t="shared" ca="1" si="67"/>
        <v>1.2596214029303443E-2</v>
      </c>
      <c r="EK65" s="9">
        <f t="shared" ca="1" si="67"/>
        <v>4.5254480374465889E-3</v>
      </c>
      <c r="EL65" s="9">
        <f t="shared" ca="1" si="67"/>
        <v>1.5431817369027101E-3</v>
      </c>
      <c r="EM65" s="9">
        <f t="shared" ca="1" si="67"/>
        <v>3.5325681304751999E-3</v>
      </c>
      <c r="EN65" s="9">
        <f t="shared" ca="1" si="67"/>
        <v>2.4069551230172515E-3</v>
      </c>
      <c r="EO65" s="9">
        <f t="shared" ca="1" si="67"/>
        <v>4.4428352713947739E-3</v>
      </c>
      <c r="EP65" s="9">
        <f t="shared" ca="1" si="67"/>
        <v>1.8105258030560512E-2</v>
      </c>
      <c r="EQ65" s="9">
        <f t="shared" ca="1" si="67"/>
        <v>1.7346376741339542E-3</v>
      </c>
      <c r="ER65" s="9">
        <f t="shared" ca="1" si="67"/>
        <v>1.3590623419558634E-2</v>
      </c>
      <c r="ES65" s="9">
        <f t="shared" ca="1" si="67"/>
        <v>8.1210915730529631E-3</v>
      </c>
      <c r="ET65" s="9">
        <f t="shared" ca="1" si="67"/>
        <v>7.2841495144779778E-3</v>
      </c>
      <c r="EU65" s="9">
        <f t="shared" ca="1" si="67"/>
        <v>5.6475438410852341E-3</v>
      </c>
      <c r="EV65" s="9">
        <f t="shared" ca="1" si="67"/>
        <v>5.7632714222632941E-4</v>
      </c>
      <c r="EW65" s="9">
        <f t="shared" ca="1" si="67"/>
        <v>3.907004763262778E-3</v>
      </c>
      <c r="EX65" s="9">
        <f t="shared" ca="1" si="67"/>
        <v>2.6957145095602986E-3</v>
      </c>
      <c r="EY65" s="9">
        <f t="shared" ca="1" si="67"/>
        <v>9.3848926601963756E-3</v>
      </c>
      <c r="EZ65" s="9">
        <f t="shared" ca="1" si="67"/>
        <v>1.3797113233882108E-3</v>
      </c>
      <c r="FA65" s="9">
        <f t="shared" ca="1" si="67"/>
        <v>8.6445460352395642E-3</v>
      </c>
      <c r="FB65" s="9">
        <f t="shared" ca="1" si="67"/>
        <v>2.3465203529362544E-3</v>
      </c>
      <c r="FC65" s="9">
        <f t="shared" ca="1" si="67"/>
        <v>2.1406210772786372E-3</v>
      </c>
      <c r="FD65" s="9">
        <f t="shared" ca="1" si="67"/>
        <v>6.7099594942190421E-3</v>
      </c>
      <c r="FE65" s="9">
        <f t="shared" ca="1" si="67"/>
        <v>6.6660625454784128E-3</v>
      </c>
      <c r="FF65" s="9">
        <f t="shared" ca="1" si="67"/>
        <v>5.2407334337656319E-3</v>
      </c>
      <c r="FG65" s="9">
        <f t="shared" ca="1" si="67"/>
        <v>5.2318083718476682E-3</v>
      </c>
      <c r="FH65" s="9">
        <f t="shared" ca="1" si="67"/>
        <v>1.4181983272585352E-3</v>
      </c>
      <c r="FI65" s="9">
        <f t="shared" ca="1" si="67"/>
        <v>1.6650259761149311E-2</v>
      </c>
      <c r="FJ65" s="9">
        <f t="shared" ca="1" si="67"/>
        <v>1.9825531959711706E-2</v>
      </c>
      <c r="FK65" s="9">
        <f t="shared" ca="1" si="67"/>
        <v>9.344957608496407E-3</v>
      </c>
      <c r="FL65" s="9">
        <f t="shared" ca="1" si="67"/>
        <v>6.4480368997166249E-3</v>
      </c>
      <c r="FM65" s="9">
        <f t="shared" ca="1" si="67"/>
        <v>7.0813257189492607E-3</v>
      </c>
      <c r="FN65" s="9">
        <f t="shared" ca="1" si="67"/>
        <v>9.4446460676104182E-3</v>
      </c>
      <c r="FO65" s="9">
        <f t="shared" ca="1" si="67"/>
        <v>1.4481311258507379E-3</v>
      </c>
      <c r="FP65" s="9">
        <f t="shared" ca="1" si="67"/>
        <v>2.2468855448107394E-2</v>
      </c>
      <c r="FQ65" s="9">
        <f t="shared" ca="1" si="67"/>
        <v>9.4499707533945987E-3</v>
      </c>
      <c r="FR65" s="9">
        <f t="shared" ca="1" si="67"/>
        <v>7.4794867947072241E-3</v>
      </c>
      <c r="FS65" s="9">
        <f t="shared" ca="1" si="67"/>
        <v>6.4057839573885555E-3</v>
      </c>
      <c r="FT65" s="9">
        <f t="shared" ca="1" si="67"/>
        <v>2.7506101096488322E-3</v>
      </c>
      <c r="FU65" s="9">
        <f t="shared" ca="1" si="67"/>
        <v>3.9854523556748234E-4</v>
      </c>
      <c r="FV65" s="9">
        <f t="shared" ca="1" si="67"/>
        <v>1.0778739780252788E-3</v>
      </c>
      <c r="FW65" s="9">
        <f t="shared" ca="1" si="67"/>
        <v>3.0832924570149967E-3</v>
      </c>
      <c r="FX65" s="9">
        <f t="shared" ca="1" si="67"/>
        <v>8.2786198482922568E-3</v>
      </c>
      <c r="FY65" s="9">
        <f t="shared" ca="1" si="67"/>
        <v>6.2492471803505811E-3</v>
      </c>
      <c r="FZ65" s="9">
        <f t="shared" ca="1" si="67"/>
        <v>1.2485782434713988E-2</v>
      </c>
      <c r="GA65" s="9">
        <f t="shared" ca="1" si="67"/>
        <v>5.3630963546531518E-3</v>
      </c>
      <c r="GB65" s="9">
        <f t="shared" ca="1" si="67"/>
        <v>5.5075754091526985E-3</v>
      </c>
      <c r="GC65" s="9">
        <f t="shared" ca="1" si="67"/>
        <v>1.095321527151083E-2</v>
      </c>
      <c r="GD65" s="9">
        <f t="shared" ca="1" si="67"/>
        <v>1.2166785297397675E-2</v>
      </c>
      <c r="GE65" s="9">
        <f t="shared" ca="1" si="67"/>
        <v>1.3207983019625447E-2</v>
      </c>
      <c r="GF65" s="9">
        <f t="shared" ca="1" si="67"/>
        <v>2.0306611283438247E-3</v>
      </c>
      <c r="GG65" s="9">
        <f t="shared" ca="1" si="67"/>
        <v>2.1222268213239914E-2</v>
      </c>
      <c r="GH65" s="9">
        <f t="shared" ca="1" si="67"/>
        <v>1.9651855431122023E-2</v>
      </c>
      <c r="GI65" s="9">
        <f t="shared" ca="1" si="67"/>
        <v>1.4411809413851229E-2</v>
      </c>
      <c r="GJ65" s="9">
        <f t="shared" ca="1" si="67"/>
        <v>9.1766372207273683E-3</v>
      </c>
      <c r="GK65" s="9">
        <f t="shared" ca="1" si="67"/>
        <v>8.0461506079232414E-3</v>
      </c>
      <c r="GL65" s="9">
        <f t="shared" ref="GL65:IW65" ca="1" si="68">IF(GL38="","",ABS(GL38))</f>
        <v>1.588949745758339E-2</v>
      </c>
      <c r="GM65" s="9">
        <f t="shared" ca="1" si="68"/>
        <v>7.553083145816597E-3</v>
      </c>
      <c r="GN65" s="9">
        <f t="shared" ca="1" si="68"/>
        <v>1.4563241453050546E-2</v>
      </c>
      <c r="GO65" s="9">
        <f t="shared" ca="1" si="68"/>
        <v>1.0023950866631659E-2</v>
      </c>
      <c r="GP65" s="9">
        <f t="shared" ca="1" si="68"/>
        <v>4.6237180978515591E-2</v>
      </c>
      <c r="GQ65" s="9" t="str">
        <f t="shared" ca="1" si="68"/>
        <v/>
      </c>
      <c r="GR65" s="9" t="str">
        <f t="shared" ca="1" si="68"/>
        <v/>
      </c>
      <c r="GS65" s="9" t="str">
        <f t="shared" ca="1" si="68"/>
        <v/>
      </c>
      <c r="GT65" s="9" t="str">
        <f t="shared" ca="1" si="68"/>
        <v/>
      </c>
      <c r="GU65" s="9" t="str">
        <f t="shared" ca="1" si="68"/>
        <v/>
      </c>
      <c r="GV65" s="9" t="str">
        <f t="shared" ca="1" si="68"/>
        <v/>
      </c>
      <c r="GW65" s="9" t="str">
        <f t="shared" ca="1" si="68"/>
        <v/>
      </c>
      <c r="GX65" s="9" t="str">
        <f t="shared" ca="1" si="68"/>
        <v/>
      </c>
      <c r="GY65" s="9" t="str">
        <f t="shared" ca="1" si="68"/>
        <v/>
      </c>
      <c r="GZ65" s="9" t="str">
        <f t="shared" ca="1" si="68"/>
        <v/>
      </c>
      <c r="HA65" s="9" t="str">
        <f t="shared" ca="1" si="68"/>
        <v/>
      </c>
      <c r="HB65" s="9" t="str">
        <f t="shared" ca="1" si="68"/>
        <v/>
      </c>
      <c r="HC65" s="9" t="str">
        <f t="shared" ca="1" si="68"/>
        <v/>
      </c>
      <c r="HD65" s="9" t="str">
        <f t="shared" ca="1" si="68"/>
        <v/>
      </c>
      <c r="HE65" s="9" t="str">
        <f t="shared" ca="1" si="68"/>
        <v/>
      </c>
      <c r="HF65" s="9" t="str">
        <f t="shared" ca="1" si="68"/>
        <v/>
      </c>
      <c r="HG65" s="9" t="str">
        <f t="shared" ca="1" si="68"/>
        <v/>
      </c>
      <c r="HH65" s="9" t="str">
        <f t="shared" ca="1" si="68"/>
        <v/>
      </c>
      <c r="HI65" s="9" t="str">
        <f t="shared" ca="1" si="68"/>
        <v/>
      </c>
      <c r="HJ65" s="9" t="str">
        <f t="shared" ca="1" si="68"/>
        <v/>
      </c>
      <c r="HK65" s="9" t="str">
        <f t="shared" ca="1" si="68"/>
        <v/>
      </c>
      <c r="HL65" s="9" t="str">
        <f t="shared" ca="1" si="68"/>
        <v/>
      </c>
      <c r="HM65" s="9" t="str">
        <f t="shared" ca="1" si="68"/>
        <v/>
      </c>
      <c r="HN65" s="9" t="str">
        <f t="shared" ca="1" si="68"/>
        <v/>
      </c>
      <c r="HO65" s="9" t="str">
        <f t="shared" ca="1" si="68"/>
        <v/>
      </c>
      <c r="HP65" s="9" t="str">
        <f t="shared" ca="1" si="68"/>
        <v/>
      </c>
      <c r="HQ65" s="9" t="str">
        <f t="shared" ca="1" si="68"/>
        <v/>
      </c>
      <c r="HR65" s="9" t="str">
        <f t="shared" ca="1" si="68"/>
        <v/>
      </c>
      <c r="HS65" s="9" t="str">
        <f t="shared" ca="1" si="68"/>
        <v/>
      </c>
      <c r="HT65" s="9" t="str">
        <f t="shared" ca="1" si="68"/>
        <v/>
      </c>
      <c r="HU65" s="9" t="str">
        <f t="shared" ca="1" si="68"/>
        <v/>
      </c>
      <c r="HV65" s="9" t="str">
        <f t="shared" ca="1" si="68"/>
        <v/>
      </c>
      <c r="HW65" s="9" t="str">
        <f t="shared" ca="1" si="68"/>
        <v/>
      </c>
      <c r="HX65" s="9" t="str">
        <f t="shared" ca="1" si="68"/>
        <v/>
      </c>
      <c r="HY65" s="9" t="str">
        <f t="shared" ca="1" si="68"/>
        <v/>
      </c>
      <c r="HZ65" s="9" t="str">
        <f t="shared" ca="1" si="68"/>
        <v/>
      </c>
      <c r="IA65" s="9" t="str">
        <f t="shared" ca="1" si="68"/>
        <v/>
      </c>
      <c r="IB65" s="9" t="str">
        <f t="shared" ca="1" si="68"/>
        <v/>
      </c>
      <c r="IC65" s="9" t="str">
        <f t="shared" ca="1" si="68"/>
        <v/>
      </c>
      <c r="ID65" s="9" t="str">
        <f t="shared" ca="1" si="68"/>
        <v/>
      </c>
      <c r="IE65" s="9" t="str">
        <f t="shared" ca="1" si="68"/>
        <v/>
      </c>
      <c r="IF65" s="9" t="str">
        <f t="shared" ca="1" si="68"/>
        <v/>
      </c>
      <c r="IG65" s="9" t="str">
        <f t="shared" ca="1" si="68"/>
        <v/>
      </c>
      <c r="IH65" s="9" t="str">
        <f t="shared" ca="1" si="68"/>
        <v/>
      </c>
      <c r="II65" s="9" t="str">
        <f t="shared" ca="1" si="68"/>
        <v/>
      </c>
      <c r="IJ65" s="9" t="str">
        <f t="shared" ca="1" si="68"/>
        <v/>
      </c>
      <c r="IK65" s="9" t="str">
        <f t="shared" ca="1" si="68"/>
        <v/>
      </c>
      <c r="IL65" s="9" t="str">
        <f t="shared" ca="1" si="68"/>
        <v/>
      </c>
      <c r="IM65" s="9" t="str">
        <f t="shared" ca="1" si="68"/>
        <v/>
      </c>
      <c r="IN65" s="9" t="str">
        <f t="shared" ca="1" si="68"/>
        <v/>
      </c>
      <c r="IO65" s="9" t="str">
        <f t="shared" ca="1" si="68"/>
        <v/>
      </c>
      <c r="IP65" s="9" t="str">
        <f t="shared" ca="1" si="68"/>
        <v/>
      </c>
      <c r="IQ65" s="9" t="str">
        <f t="shared" ca="1" si="68"/>
        <v/>
      </c>
      <c r="IR65" s="9" t="str">
        <f t="shared" ca="1" si="68"/>
        <v/>
      </c>
      <c r="IS65" s="9" t="str">
        <f t="shared" ca="1" si="68"/>
        <v/>
      </c>
      <c r="IT65" s="9" t="str">
        <f t="shared" ca="1" si="68"/>
        <v/>
      </c>
      <c r="IU65" s="9" t="str">
        <f t="shared" ca="1" si="68"/>
        <v/>
      </c>
      <c r="IV65" s="9" t="str">
        <f t="shared" ca="1" si="68"/>
        <v/>
      </c>
      <c r="IW65" s="9" t="str">
        <f t="shared" ca="1" si="68"/>
        <v/>
      </c>
      <c r="IX65" s="9" t="str">
        <f t="shared" ref="IX65:JH65" ca="1" si="69">IF(IX38="","",ABS(IX38))</f>
        <v/>
      </c>
      <c r="IY65" s="9" t="str">
        <f t="shared" ca="1" si="69"/>
        <v/>
      </c>
      <c r="IZ65" s="9" t="str">
        <f t="shared" ca="1" si="69"/>
        <v/>
      </c>
      <c r="JA65" s="9" t="str">
        <f t="shared" ca="1" si="69"/>
        <v/>
      </c>
      <c r="JB65" s="9" t="str">
        <f t="shared" ca="1" si="69"/>
        <v/>
      </c>
      <c r="JC65" s="9" t="str">
        <f t="shared" ca="1" si="69"/>
        <v/>
      </c>
      <c r="JD65" s="9" t="str">
        <f t="shared" ca="1" si="69"/>
        <v/>
      </c>
      <c r="JE65" s="9" t="str">
        <f t="shared" ca="1" si="69"/>
        <v/>
      </c>
      <c r="JF65" s="9" t="str">
        <f t="shared" ca="1" si="69"/>
        <v/>
      </c>
      <c r="JG65" s="9" t="str">
        <f t="shared" ca="1" si="69"/>
        <v/>
      </c>
      <c r="JH65" s="9" t="str">
        <f t="shared" ca="1" si="69"/>
        <v/>
      </c>
      <c r="JI65" s="13">
        <f t="shared" ca="1" si="24"/>
        <v>1.0627899664007397E-2</v>
      </c>
      <c r="JJ65" s="13">
        <f t="shared" ca="1" si="25"/>
        <v>8.7276285345098126E-3</v>
      </c>
      <c r="JK65" s="14">
        <f t="shared" ca="1" si="26"/>
        <v>8.11183668510947E-5</v>
      </c>
      <c r="JL65" s="17">
        <f t="shared" ca="1" si="34"/>
        <v>9.0065735355402896E-3</v>
      </c>
      <c r="JM65" s="15" t="str">
        <f t="shared" ca="1" si="27"/>
        <v>[ -0,74% ; 2,86% ]</v>
      </c>
      <c r="JN65" s="17">
        <f t="shared" ca="1" si="28"/>
        <v>1.1528414125491571E-2</v>
      </c>
      <c r="LY65" s="1"/>
    </row>
    <row r="66" spans="1:337" x14ac:dyDescent="0.25">
      <c r="A66" s="4">
        <v>10</v>
      </c>
      <c r="B66" s="9">
        <f t="shared" ref="B66:BM66" ca="1" si="70">IF(B39="","",ABS(B39))</f>
        <v>4.6953206966382499E-3</v>
      </c>
      <c r="C66" s="9">
        <f t="shared" ca="1" si="70"/>
        <v>8.8793044740331784E-4</v>
      </c>
      <c r="D66" s="9">
        <f t="shared" ca="1" si="70"/>
        <v>5.7592867411213611E-3</v>
      </c>
      <c r="E66" s="9">
        <f t="shared" ca="1" si="70"/>
        <v>6.110602904550122E-3</v>
      </c>
      <c r="F66" s="9">
        <f t="shared" ca="1" si="70"/>
        <v>6.241548699340127E-3</v>
      </c>
      <c r="G66" s="9">
        <f t="shared" ca="1" si="70"/>
        <v>3.6119349985095361E-3</v>
      </c>
      <c r="H66" s="9">
        <f t="shared" ca="1" si="70"/>
        <v>1.1277884309168762E-4</v>
      </c>
      <c r="I66" s="9">
        <f t="shared" ca="1" si="70"/>
        <v>2.3990553382358115E-3</v>
      </c>
      <c r="J66" s="9">
        <f t="shared" ca="1" si="70"/>
        <v>1.8826445263067093E-3</v>
      </c>
      <c r="K66" s="9">
        <f t="shared" ca="1" si="70"/>
        <v>3.5208926375736027E-3</v>
      </c>
      <c r="L66" s="9">
        <f t="shared" ca="1" si="70"/>
        <v>2.6708274684383859E-3</v>
      </c>
      <c r="M66" s="9">
        <f t="shared" ca="1" si="70"/>
        <v>2.4521234291567939E-3</v>
      </c>
      <c r="N66" s="9">
        <f t="shared" ca="1" si="70"/>
        <v>5.242666693609177E-3</v>
      </c>
      <c r="O66" s="9">
        <f t="shared" ca="1" si="70"/>
        <v>1.1875888739464546E-2</v>
      </c>
      <c r="P66" s="9">
        <f t="shared" ca="1" si="70"/>
        <v>1.0303930995114952E-2</v>
      </c>
      <c r="Q66" s="9">
        <f t="shared" ca="1" si="70"/>
        <v>6.9525126155787209E-3</v>
      </c>
      <c r="R66" s="9">
        <f t="shared" ca="1" si="70"/>
        <v>5.6803980675175225E-3</v>
      </c>
      <c r="S66" s="9">
        <f t="shared" ca="1" si="70"/>
        <v>2.8502005297783573E-3</v>
      </c>
      <c r="T66" s="9">
        <f t="shared" ca="1" si="70"/>
        <v>1.663548661153369E-3</v>
      </c>
      <c r="U66" s="9">
        <f t="shared" ca="1" si="70"/>
        <v>3.9949828890351036E-4</v>
      </c>
      <c r="V66" s="9">
        <f t="shared" ca="1" si="70"/>
        <v>1.1917794062519249E-3</v>
      </c>
      <c r="W66" s="9">
        <f t="shared" ca="1" si="70"/>
        <v>2.2049132878604327E-3</v>
      </c>
      <c r="X66" s="9">
        <f t="shared" ca="1" si="70"/>
        <v>1.6615797947628907E-3</v>
      </c>
      <c r="Y66" s="9">
        <f t="shared" ca="1" si="70"/>
        <v>5.1097693523769472E-3</v>
      </c>
      <c r="Z66" s="9">
        <f t="shared" ca="1" si="70"/>
        <v>4.0927528926614221E-3</v>
      </c>
      <c r="AA66" s="9">
        <f t="shared" ca="1" si="70"/>
        <v>2.2239264238661516E-3</v>
      </c>
      <c r="AB66" s="9">
        <f t="shared" ca="1" si="70"/>
        <v>1.3230193877759033E-3</v>
      </c>
      <c r="AC66" s="9">
        <f t="shared" ca="1" si="70"/>
        <v>4.5782556476458014E-3</v>
      </c>
      <c r="AD66" s="9">
        <f t="shared" ca="1" si="70"/>
        <v>7.0998017884946751E-3</v>
      </c>
      <c r="AE66" s="9">
        <f t="shared" ca="1" si="70"/>
        <v>8.9099523085467425E-3</v>
      </c>
      <c r="AF66" s="9">
        <f t="shared" ca="1" si="70"/>
        <v>9.4518391040123717E-3</v>
      </c>
      <c r="AG66" s="9">
        <f t="shared" ca="1" si="70"/>
        <v>9.5210328754192775E-3</v>
      </c>
      <c r="AH66" s="9">
        <f t="shared" ca="1" si="70"/>
        <v>1.3794963343379929E-2</v>
      </c>
      <c r="AI66" s="9">
        <f t="shared" ca="1" si="70"/>
        <v>1.4347853600393923E-2</v>
      </c>
      <c r="AJ66" s="9">
        <f t="shared" ca="1" si="70"/>
        <v>1.4202563620834052E-2</v>
      </c>
      <c r="AK66" s="9">
        <f t="shared" ca="1" si="70"/>
        <v>1.5258792288028955E-2</v>
      </c>
      <c r="AL66" s="9">
        <f t="shared" ca="1" si="70"/>
        <v>1.3699105138071932E-2</v>
      </c>
      <c r="AM66" s="9">
        <f t="shared" ca="1" si="70"/>
        <v>1.2877994058258069E-2</v>
      </c>
      <c r="AN66" s="9">
        <f t="shared" ca="1" si="70"/>
        <v>5.9893524569231138E-3</v>
      </c>
      <c r="AO66" s="9">
        <f t="shared" ca="1" si="70"/>
        <v>6.2641244184402645E-4</v>
      </c>
      <c r="AP66" s="9">
        <f t="shared" ca="1" si="70"/>
        <v>3.6552315901747789E-3</v>
      </c>
      <c r="AQ66" s="9">
        <f t="shared" ca="1" si="70"/>
        <v>5.9156575623415808E-3</v>
      </c>
      <c r="AR66" s="9">
        <f t="shared" ca="1" si="70"/>
        <v>1.4348322011595638E-2</v>
      </c>
      <c r="AS66" s="9">
        <f t="shared" ca="1" si="70"/>
        <v>2.432925951560394E-2</v>
      </c>
      <c r="AT66" s="9">
        <f t="shared" ca="1" si="70"/>
        <v>3.1562193715203524E-2</v>
      </c>
      <c r="AU66" s="9">
        <f t="shared" ca="1" si="70"/>
        <v>3.9423332780031517E-2</v>
      </c>
      <c r="AV66" s="9">
        <f t="shared" ca="1" si="70"/>
        <v>4.9573605279098265E-2</v>
      </c>
      <c r="AW66" s="9">
        <f t="shared" ca="1" si="70"/>
        <v>5.6563913742470495E-2</v>
      </c>
      <c r="AX66" s="9">
        <f t="shared" ca="1" si="70"/>
        <v>5.7676006081589959E-2</v>
      </c>
      <c r="AY66" s="9">
        <f t="shared" ca="1" si="70"/>
        <v>5.9266775305465424E-2</v>
      </c>
      <c r="AZ66" s="9">
        <f t="shared" ca="1" si="70"/>
        <v>5.8351901717990318E-2</v>
      </c>
      <c r="BA66" s="9">
        <f t="shared" ca="1" si="70"/>
        <v>6.2640402863731515E-2</v>
      </c>
      <c r="BB66" s="9">
        <f t="shared" ca="1" si="70"/>
        <v>5.6422462138957519E-2</v>
      </c>
      <c r="BC66" s="9">
        <f t="shared" ca="1" si="70"/>
        <v>3.5768284919651006E-2</v>
      </c>
      <c r="BD66" s="9">
        <f t="shared" ca="1" si="70"/>
        <v>4.5462223548786485E-2</v>
      </c>
      <c r="BE66" s="9">
        <f t="shared" ca="1" si="70"/>
        <v>4.6191679179993672E-2</v>
      </c>
      <c r="BF66" s="9">
        <f t="shared" ca="1" si="70"/>
        <v>4.1506748374884772E-2</v>
      </c>
      <c r="BG66" s="9">
        <f t="shared" ca="1" si="70"/>
        <v>3.9160593195471716E-2</v>
      </c>
      <c r="BH66" s="9">
        <f t="shared" ca="1" si="70"/>
        <v>2.2925888230524327E-2</v>
      </c>
      <c r="BI66" s="9">
        <f t="shared" ca="1" si="70"/>
        <v>8.937282535955493E-3</v>
      </c>
      <c r="BJ66" s="9">
        <f t="shared" ca="1" si="70"/>
        <v>1.4684806027989272E-2</v>
      </c>
      <c r="BK66" s="9">
        <f t="shared" ca="1" si="70"/>
        <v>2.3992389303354789E-2</v>
      </c>
      <c r="BL66" s="9">
        <f t="shared" ca="1" si="70"/>
        <v>4.5140999731604348E-2</v>
      </c>
      <c r="BM66" s="9">
        <f t="shared" ca="1" si="70"/>
        <v>5.8304377992912104E-2</v>
      </c>
      <c r="BN66" s="9">
        <f t="shared" ref="BN66:DY66" ca="1" si="71">IF(BN39="","",ABS(BN39))</f>
        <v>5.7849675662132283E-2</v>
      </c>
      <c r="BO66" s="9">
        <f t="shared" ca="1" si="71"/>
        <v>4.0410938150055808E-2</v>
      </c>
      <c r="BP66" s="9">
        <f t="shared" ca="1" si="71"/>
        <v>2.1033719231943193E-2</v>
      </c>
      <c r="BQ66" s="9">
        <f t="shared" ca="1" si="71"/>
        <v>2.2401023218104554E-2</v>
      </c>
      <c r="BR66" s="9">
        <f t="shared" ca="1" si="71"/>
        <v>2.496744023171571E-2</v>
      </c>
      <c r="BS66" s="9">
        <f t="shared" ca="1" si="71"/>
        <v>3.068892839236903E-2</v>
      </c>
      <c r="BT66" s="9">
        <f t="shared" ca="1" si="71"/>
        <v>3.5324601293344582E-2</v>
      </c>
      <c r="BU66" s="9">
        <f t="shared" ca="1" si="71"/>
        <v>2.2874252673552142E-2</v>
      </c>
      <c r="BV66" s="9">
        <f t="shared" ca="1" si="71"/>
        <v>8.3130844085491651E-3</v>
      </c>
      <c r="BW66" s="9">
        <f t="shared" ca="1" si="71"/>
        <v>1.1254810618913758E-2</v>
      </c>
      <c r="BX66" s="9">
        <f t="shared" ca="1" si="71"/>
        <v>2.0967536740712722E-2</v>
      </c>
      <c r="BY66" s="9">
        <f t="shared" ca="1" si="71"/>
        <v>7.1577101010723565E-3</v>
      </c>
      <c r="BZ66" s="9">
        <f t="shared" ca="1" si="71"/>
        <v>1.3628196078362853E-2</v>
      </c>
      <c r="CA66" s="9">
        <f t="shared" ca="1" si="71"/>
        <v>1.9114990333302773E-2</v>
      </c>
      <c r="CB66" s="9">
        <f t="shared" ca="1" si="71"/>
        <v>1.9711238719761992E-2</v>
      </c>
      <c r="CC66" s="9">
        <f t="shared" ca="1" si="71"/>
        <v>6.7428404238785156E-3</v>
      </c>
      <c r="CD66" s="9">
        <f t="shared" ca="1" si="71"/>
        <v>3.4452176049744043E-3</v>
      </c>
      <c r="CE66" s="9">
        <f t="shared" ca="1" si="71"/>
        <v>4.5915794523287978E-3</v>
      </c>
      <c r="CF66" s="9">
        <f t="shared" ca="1" si="71"/>
        <v>8.2875619055622352E-4</v>
      </c>
      <c r="CG66" s="9">
        <f t="shared" ca="1" si="71"/>
        <v>3.2162723675442928E-3</v>
      </c>
      <c r="CH66" s="9">
        <f t="shared" ca="1" si="71"/>
        <v>8.1014881134676697E-3</v>
      </c>
      <c r="CI66" s="9">
        <f t="shared" ca="1" si="71"/>
        <v>4.4286329451415085E-5</v>
      </c>
      <c r="CJ66" s="9">
        <f t="shared" ca="1" si="71"/>
        <v>1.2011988250542505E-2</v>
      </c>
      <c r="CK66" s="9">
        <f t="shared" ca="1" si="71"/>
        <v>1.8400343890150106E-2</v>
      </c>
      <c r="CL66" s="9">
        <f t="shared" ca="1" si="71"/>
        <v>2.1337774506015261E-2</v>
      </c>
      <c r="CM66" s="9">
        <f t="shared" ca="1" si="71"/>
        <v>3.2387666059401132E-2</v>
      </c>
      <c r="CN66" s="9">
        <f t="shared" ca="1" si="71"/>
        <v>2.3345156231042052E-2</v>
      </c>
      <c r="CO66" s="9">
        <f t="shared" ca="1" si="71"/>
        <v>9.5475204151971305E-3</v>
      </c>
      <c r="CP66" s="9">
        <f t="shared" ca="1" si="71"/>
        <v>1.3596991727357066E-3</v>
      </c>
      <c r="CQ66" s="9">
        <f t="shared" ca="1" si="71"/>
        <v>3.4436495599690087E-3</v>
      </c>
      <c r="CR66" s="9">
        <f t="shared" ca="1" si="71"/>
        <v>2.5393224955896354E-3</v>
      </c>
      <c r="CS66" s="9">
        <f t="shared" ca="1" si="71"/>
        <v>6.4372181471206158E-4</v>
      </c>
      <c r="CT66" s="9">
        <f t="shared" ca="1" si="71"/>
        <v>5.9676510725537035E-3</v>
      </c>
      <c r="CU66" s="9">
        <f t="shared" ca="1" si="71"/>
        <v>4.2836710914880283E-2</v>
      </c>
      <c r="CV66" s="9">
        <f t="shared" ca="1" si="71"/>
        <v>1.0794470227121211E-2</v>
      </c>
      <c r="CW66" s="9">
        <f t="shared" ca="1" si="71"/>
        <v>4.2721252402833088E-4</v>
      </c>
      <c r="CX66" s="9">
        <f t="shared" ca="1" si="71"/>
        <v>6.2332884567650737E-3</v>
      </c>
      <c r="CY66" s="9">
        <f t="shared" ca="1" si="71"/>
        <v>4.614732498277041E-3</v>
      </c>
      <c r="CZ66" s="9">
        <f t="shared" ca="1" si="71"/>
        <v>1.9584649893198414E-3</v>
      </c>
      <c r="DA66" s="9">
        <f t="shared" ca="1" si="71"/>
        <v>1.0637337029655303E-3</v>
      </c>
      <c r="DB66" s="9">
        <f t="shared" ca="1" si="71"/>
        <v>1.4258809041379994E-2</v>
      </c>
      <c r="DC66" s="9">
        <f t="shared" ca="1" si="71"/>
        <v>2.2526988525395586E-2</v>
      </c>
      <c r="DD66" s="9">
        <f t="shared" ca="1" si="71"/>
        <v>1.2297851980102137E-2</v>
      </c>
      <c r="DE66" s="9">
        <f t="shared" ca="1" si="71"/>
        <v>1.7816753914002614E-2</v>
      </c>
      <c r="DF66" s="9">
        <f t="shared" ca="1" si="71"/>
        <v>1.831292842978971E-2</v>
      </c>
      <c r="DG66" s="9">
        <f t="shared" ca="1" si="71"/>
        <v>2.7095804895639564E-2</v>
      </c>
      <c r="DH66" s="9">
        <f t="shared" ca="1" si="71"/>
        <v>3.620852727693824E-2</v>
      </c>
      <c r="DI66" s="9">
        <f t="shared" ca="1" si="71"/>
        <v>2.6304576777199107E-2</v>
      </c>
      <c r="DJ66" s="9">
        <f t="shared" ca="1" si="71"/>
        <v>1.5299834237683885E-2</v>
      </c>
      <c r="DK66" s="9">
        <f t="shared" ca="1" si="71"/>
        <v>1.1216735918901932E-3</v>
      </c>
      <c r="DL66" s="9">
        <f t="shared" ca="1" si="71"/>
        <v>1.3398421181143316E-3</v>
      </c>
      <c r="DM66" s="9">
        <f t="shared" ca="1" si="71"/>
        <v>8.7668188898120114E-3</v>
      </c>
      <c r="DN66" s="9">
        <f t="shared" ca="1" si="71"/>
        <v>1.2768514853901847E-2</v>
      </c>
      <c r="DO66" s="9">
        <f t="shared" ca="1" si="71"/>
        <v>7.4584221274358597E-3</v>
      </c>
      <c r="DP66" s="9">
        <f t="shared" ca="1" si="71"/>
        <v>3.0504637357080533E-3</v>
      </c>
      <c r="DQ66" s="9">
        <f t="shared" ca="1" si="71"/>
        <v>1.2801320714560305E-2</v>
      </c>
      <c r="DR66" s="9">
        <f t="shared" ca="1" si="71"/>
        <v>1.450537426716747E-2</v>
      </c>
      <c r="DS66" s="9" t="str">
        <f t="shared" ca="1" si="71"/>
        <v/>
      </c>
      <c r="DT66" s="9" t="str">
        <f t="shared" ca="1" si="71"/>
        <v/>
      </c>
      <c r="DU66" s="9" t="str">
        <f t="shared" ca="1" si="71"/>
        <v/>
      </c>
      <c r="DV66" s="9" t="str">
        <f t="shared" ca="1" si="71"/>
        <v/>
      </c>
      <c r="DW66" s="9" t="str">
        <f t="shared" ca="1" si="71"/>
        <v/>
      </c>
      <c r="DX66" s="9" t="str">
        <f t="shared" ca="1" si="71"/>
        <v/>
      </c>
      <c r="DY66" s="9" t="str">
        <f t="shared" ca="1" si="71"/>
        <v/>
      </c>
      <c r="DZ66" s="9" t="str">
        <f t="shared" ref="DZ66:GK66" ca="1" si="72">IF(DZ39="","",ABS(DZ39))</f>
        <v/>
      </c>
      <c r="EA66" s="9" t="str">
        <f t="shared" ca="1" si="72"/>
        <v/>
      </c>
      <c r="EB66" s="9" t="str">
        <f t="shared" ca="1" si="72"/>
        <v/>
      </c>
      <c r="EC66" s="9" t="str">
        <f t="shared" ca="1" si="72"/>
        <v/>
      </c>
      <c r="ED66" s="9" t="str">
        <f t="shared" ca="1" si="72"/>
        <v/>
      </c>
      <c r="EE66" s="9" t="str">
        <f t="shared" ca="1" si="72"/>
        <v/>
      </c>
      <c r="EF66" s="9" t="str">
        <f t="shared" ca="1" si="72"/>
        <v/>
      </c>
      <c r="EG66" s="9">
        <f t="shared" ca="1" si="72"/>
        <v>4.6303017432622884E-3</v>
      </c>
      <c r="EH66" s="9">
        <f t="shared" ca="1" si="72"/>
        <v>1.2180404535431011E-2</v>
      </c>
      <c r="EI66" s="9">
        <f t="shared" ca="1" si="72"/>
        <v>1.4204630447092192E-2</v>
      </c>
      <c r="EJ66" s="9">
        <f t="shared" ca="1" si="72"/>
        <v>1.3637792301580909E-2</v>
      </c>
      <c r="EK66" s="9">
        <f t="shared" ca="1" si="72"/>
        <v>5.4162958772265846E-3</v>
      </c>
      <c r="EL66" s="9">
        <f t="shared" ca="1" si="72"/>
        <v>2.908259550365333E-3</v>
      </c>
      <c r="EM66" s="9">
        <f t="shared" ca="1" si="72"/>
        <v>4.5339974584768239E-3</v>
      </c>
      <c r="EN66" s="9">
        <f t="shared" ca="1" si="72"/>
        <v>3.2410063620920138E-3</v>
      </c>
      <c r="EO66" s="9">
        <f t="shared" ca="1" si="72"/>
        <v>5.9789820728404219E-3</v>
      </c>
      <c r="EP66" s="9">
        <f t="shared" ca="1" si="72"/>
        <v>1.9875169401311843E-2</v>
      </c>
      <c r="EQ66" s="9">
        <f t="shared" ca="1" si="72"/>
        <v>2.3980290378848856E-3</v>
      </c>
      <c r="ER66" s="9">
        <f t="shared" ca="1" si="72"/>
        <v>1.5077486131217732E-2</v>
      </c>
      <c r="ES66" s="9">
        <f t="shared" ca="1" si="72"/>
        <v>9.0860762786195703E-3</v>
      </c>
      <c r="ET66" s="9">
        <f t="shared" ca="1" si="72"/>
        <v>7.2182521740880023E-3</v>
      </c>
      <c r="EU66" s="9">
        <f t="shared" ca="1" si="72"/>
        <v>5.7484752314680421E-3</v>
      </c>
      <c r="EV66" s="9">
        <f t="shared" ca="1" si="72"/>
        <v>1.20107581316653E-3</v>
      </c>
      <c r="EW66" s="9">
        <f t="shared" ca="1" si="72"/>
        <v>5.0618895608238734E-3</v>
      </c>
      <c r="EX66" s="9">
        <f t="shared" ca="1" si="72"/>
        <v>1.9733832754379454E-3</v>
      </c>
      <c r="EY66" s="9">
        <f t="shared" ca="1" si="72"/>
        <v>7.0518464763481559E-3</v>
      </c>
      <c r="EZ66" s="9">
        <f t="shared" ca="1" si="72"/>
        <v>2.828086746535563E-3</v>
      </c>
      <c r="FA66" s="9">
        <f t="shared" ca="1" si="72"/>
        <v>8.3579200673995491E-3</v>
      </c>
      <c r="FB66" s="9">
        <f t="shared" ca="1" si="72"/>
        <v>2.5383693361247239E-3</v>
      </c>
      <c r="FC66" s="9">
        <f t="shared" ca="1" si="72"/>
        <v>1.7757836398062388E-3</v>
      </c>
      <c r="FD66" s="9">
        <f t="shared" ca="1" si="72"/>
        <v>6.7179624362725399E-3</v>
      </c>
      <c r="FE66" s="9">
        <f t="shared" ca="1" si="72"/>
        <v>4.7644289431976183E-3</v>
      </c>
      <c r="FF66" s="9">
        <f t="shared" ca="1" si="72"/>
        <v>1.5417129923895878E-3</v>
      </c>
      <c r="FG66" s="9">
        <f t="shared" ca="1" si="72"/>
        <v>4.8117601952657463E-3</v>
      </c>
      <c r="FH66" s="9">
        <f t="shared" ca="1" si="72"/>
        <v>1.4876244583429399E-3</v>
      </c>
      <c r="FI66" s="9">
        <f t="shared" ca="1" si="72"/>
        <v>1.7960076315429174E-2</v>
      </c>
      <c r="FJ66" s="9">
        <f t="shared" ca="1" si="72"/>
        <v>2.0583038490855299E-2</v>
      </c>
      <c r="FK66" s="9">
        <f t="shared" ca="1" si="72"/>
        <v>7.724955959160007E-3</v>
      </c>
      <c r="FL66" s="9">
        <f t="shared" ca="1" si="72"/>
        <v>5.6256147464892603E-3</v>
      </c>
      <c r="FM66" s="9">
        <f t="shared" ca="1" si="72"/>
        <v>7.968820071795002E-3</v>
      </c>
      <c r="FN66" s="9">
        <f t="shared" ca="1" si="72"/>
        <v>1.1205014630658594E-2</v>
      </c>
      <c r="FO66" s="9">
        <f t="shared" ca="1" si="72"/>
        <v>2.1179081484323792E-3</v>
      </c>
      <c r="FP66" s="9">
        <f t="shared" ca="1" si="72"/>
        <v>2.3274091011915798E-2</v>
      </c>
      <c r="FQ66" s="9">
        <f t="shared" ca="1" si="72"/>
        <v>1.2973076449359411E-2</v>
      </c>
      <c r="FR66" s="9">
        <f t="shared" ca="1" si="72"/>
        <v>7.5026454811617516E-3</v>
      </c>
      <c r="FS66" s="9">
        <f t="shared" ca="1" si="72"/>
        <v>8.7285445109954729E-3</v>
      </c>
      <c r="FT66" s="9">
        <f t="shared" ca="1" si="72"/>
        <v>3.9021009044726274E-3</v>
      </c>
      <c r="FU66" s="9">
        <f t="shared" ca="1" si="72"/>
        <v>7.2334012027885919E-4</v>
      </c>
      <c r="FV66" s="9">
        <f t="shared" ca="1" si="72"/>
        <v>2.4755240779396059E-3</v>
      </c>
      <c r="FW66" s="9">
        <f t="shared" ca="1" si="72"/>
        <v>2.9255321730421446E-3</v>
      </c>
      <c r="FX66" s="9">
        <f t="shared" ca="1" si="72"/>
        <v>7.9828489452107299E-3</v>
      </c>
      <c r="FY66" s="9">
        <f t="shared" ca="1" si="72"/>
        <v>6.2054099419535103E-3</v>
      </c>
      <c r="FZ66" s="9">
        <f t="shared" ca="1" si="72"/>
        <v>1.2437115881183791E-2</v>
      </c>
      <c r="GA66" s="9">
        <f t="shared" ca="1" si="72"/>
        <v>6.8503290230720326E-3</v>
      </c>
      <c r="GB66" s="9">
        <f t="shared" ca="1" si="72"/>
        <v>7.2787954966591073E-3</v>
      </c>
      <c r="GC66" s="9">
        <f t="shared" ca="1" si="72"/>
        <v>1.0759221051571455E-2</v>
      </c>
      <c r="GD66" s="9">
        <f t="shared" ca="1" si="72"/>
        <v>1.5246490203907448E-2</v>
      </c>
      <c r="GE66" s="9">
        <f t="shared" ca="1" si="72"/>
        <v>7.8153073591563649E-3</v>
      </c>
      <c r="GF66" s="9">
        <f t="shared" ca="1" si="72"/>
        <v>2.0807277491971865E-2</v>
      </c>
      <c r="GG66" s="9">
        <f t="shared" ca="1" si="72"/>
        <v>2.0530145275983624E-2</v>
      </c>
      <c r="GH66" s="9">
        <f t="shared" ca="1" si="72"/>
        <v>1.4023081073498034E-2</v>
      </c>
      <c r="GI66" s="9">
        <f t="shared" ca="1" si="72"/>
        <v>8.5630962143283806E-3</v>
      </c>
      <c r="GJ66" s="9">
        <f t="shared" ca="1" si="72"/>
        <v>5.7680174050476207E-3</v>
      </c>
      <c r="GK66" s="9">
        <f t="shared" ca="1" si="72"/>
        <v>6.7718784744668081E-3</v>
      </c>
      <c r="GL66" s="9">
        <f t="shared" ref="GL66:IW66" ca="1" si="73">IF(GL39="","",ABS(GL39))</f>
        <v>1.6564439462447345E-2</v>
      </c>
      <c r="GM66" s="9">
        <f t="shared" ca="1" si="73"/>
        <v>7.3893224999803664E-3</v>
      </c>
      <c r="GN66" s="9">
        <f t="shared" ca="1" si="73"/>
        <v>1.3781513524448785E-2</v>
      </c>
      <c r="GO66" s="9">
        <f t="shared" ca="1" si="73"/>
        <v>1.0753647464965876E-2</v>
      </c>
      <c r="GP66" s="9" t="str">
        <f t="shared" ca="1" si="73"/>
        <v/>
      </c>
      <c r="GQ66" s="9" t="str">
        <f t="shared" ca="1" si="73"/>
        <v/>
      </c>
      <c r="GR66" s="9" t="str">
        <f t="shared" ca="1" si="73"/>
        <v/>
      </c>
      <c r="GS66" s="9" t="str">
        <f t="shared" ca="1" si="73"/>
        <v/>
      </c>
      <c r="GT66" s="9" t="str">
        <f t="shared" ca="1" si="73"/>
        <v/>
      </c>
      <c r="GU66" s="9" t="str">
        <f t="shared" ca="1" si="73"/>
        <v/>
      </c>
      <c r="GV66" s="9" t="str">
        <f t="shared" ca="1" si="73"/>
        <v/>
      </c>
      <c r="GW66" s="9" t="str">
        <f t="shared" ca="1" si="73"/>
        <v/>
      </c>
      <c r="GX66" s="9" t="str">
        <f t="shared" ca="1" si="73"/>
        <v/>
      </c>
      <c r="GY66" s="9" t="str">
        <f t="shared" ca="1" si="73"/>
        <v/>
      </c>
      <c r="GZ66" s="9" t="str">
        <f t="shared" ca="1" si="73"/>
        <v/>
      </c>
      <c r="HA66" s="9" t="str">
        <f t="shared" ca="1" si="73"/>
        <v/>
      </c>
      <c r="HB66" s="9" t="str">
        <f t="shared" ca="1" si="73"/>
        <v/>
      </c>
      <c r="HC66" s="9" t="str">
        <f t="shared" ca="1" si="73"/>
        <v/>
      </c>
      <c r="HD66" s="9" t="str">
        <f t="shared" ca="1" si="73"/>
        <v/>
      </c>
      <c r="HE66" s="9" t="str">
        <f t="shared" ca="1" si="73"/>
        <v/>
      </c>
      <c r="HF66" s="9" t="str">
        <f t="shared" ca="1" si="73"/>
        <v/>
      </c>
      <c r="HG66" s="9" t="str">
        <f t="shared" ca="1" si="73"/>
        <v/>
      </c>
      <c r="HH66" s="9" t="str">
        <f t="shared" ca="1" si="73"/>
        <v/>
      </c>
      <c r="HI66" s="9" t="str">
        <f t="shared" ca="1" si="73"/>
        <v/>
      </c>
      <c r="HJ66" s="9" t="str">
        <f t="shared" ca="1" si="73"/>
        <v/>
      </c>
      <c r="HK66" s="9" t="str">
        <f t="shared" ca="1" si="73"/>
        <v/>
      </c>
      <c r="HL66" s="9" t="str">
        <f t="shared" ca="1" si="73"/>
        <v/>
      </c>
      <c r="HM66" s="9" t="str">
        <f t="shared" ca="1" si="73"/>
        <v/>
      </c>
      <c r="HN66" s="9" t="str">
        <f t="shared" ca="1" si="73"/>
        <v/>
      </c>
      <c r="HO66" s="9" t="str">
        <f t="shared" ca="1" si="73"/>
        <v/>
      </c>
      <c r="HP66" s="9" t="str">
        <f t="shared" ca="1" si="73"/>
        <v/>
      </c>
      <c r="HQ66" s="9" t="str">
        <f t="shared" ca="1" si="73"/>
        <v/>
      </c>
      <c r="HR66" s="9" t="str">
        <f t="shared" ca="1" si="73"/>
        <v/>
      </c>
      <c r="HS66" s="9" t="str">
        <f t="shared" ca="1" si="73"/>
        <v/>
      </c>
      <c r="HT66" s="9" t="str">
        <f t="shared" ca="1" si="73"/>
        <v/>
      </c>
      <c r="HU66" s="9" t="str">
        <f t="shared" ca="1" si="73"/>
        <v/>
      </c>
      <c r="HV66" s="9" t="str">
        <f t="shared" ca="1" si="73"/>
        <v/>
      </c>
      <c r="HW66" s="9" t="str">
        <f t="shared" ca="1" si="73"/>
        <v/>
      </c>
      <c r="HX66" s="9" t="str">
        <f t="shared" ca="1" si="73"/>
        <v/>
      </c>
      <c r="HY66" s="9" t="str">
        <f t="shared" ca="1" si="73"/>
        <v/>
      </c>
      <c r="HZ66" s="9" t="str">
        <f t="shared" ca="1" si="73"/>
        <v/>
      </c>
      <c r="IA66" s="9" t="str">
        <f t="shared" ca="1" si="73"/>
        <v/>
      </c>
      <c r="IB66" s="9" t="str">
        <f t="shared" ca="1" si="73"/>
        <v/>
      </c>
      <c r="IC66" s="9" t="str">
        <f t="shared" ca="1" si="73"/>
        <v/>
      </c>
      <c r="ID66" s="9" t="str">
        <f t="shared" ca="1" si="73"/>
        <v/>
      </c>
      <c r="IE66" s="9" t="str">
        <f t="shared" ca="1" si="73"/>
        <v/>
      </c>
      <c r="IF66" s="9" t="str">
        <f t="shared" ca="1" si="73"/>
        <v/>
      </c>
      <c r="IG66" s="9" t="str">
        <f t="shared" ca="1" si="73"/>
        <v/>
      </c>
      <c r="IH66" s="9" t="str">
        <f t="shared" ca="1" si="73"/>
        <v/>
      </c>
      <c r="II66" s="9" t="str">
        <f t="shared" ca="1" si="73"/>
        <v/>
      </c>
      <c r="IJ66" s="9" t="str">
        <f t="shared" ca="1" si="73"/>
        <v/>
      </c>
      <c r="IK66" s="9" t="str">
        <f t="shared" ca="1" si="73"/>
        <v/>
      </c>
      <c r="IL66" s="9" t="str">
        <f t="shared" ca="1" si="73"/>
        <v/>
      </c>
      <c r="IM66" s="9" t="str">
        <f t="shared" ca="1" si="73"/>
        <v/>
      </c>
      <c r="IN66" s="9" t="str">
        <f t="shared" ca="1" si="73"/>
        <v/>
      </c>
      <c r="IO66" s="9" t="str">
        <f t="shared" ca="1" si="73"/>
        <v/>
      </c>
      <c r="IP66" s="9" t="str">
        <f t="shared" ca="1" si="73"/>
        <v/>
      </c>
      <c r="IQ66" s="9" t="str">
        <f t="shared" ca="1" si="73"/>
        <v/>
      </c>
      <c r="IR66" s="9" t="str">
        <f t="shared" ca="1" si="73"/>
        <v/>
      </c>
      <c r="IS66" s="9" t="str">
        <f t="shared" ca="1" si="73"/>
        <v/>
      </c>
      <c r="IT66" s="9" t="str">
        <f t="shared" ca="1" si="73"/>
        <v/>
      </c>
      <c r="IU66" s="9" t="str">
        <f t="shared" ca="1" si="73"/>
        <v/>
      </c>
      <c r="IV66" s="9" t="str">
        <f t="shared" ca="1" si="73"/>
        <v/>
      </c>
      <c r="IW66" s="9" t="str">
        <f t="shared" ca="1" si="73"/>
        <v/>
      </c>
      <c r="IX66" s="9" t="str">
        <f t="shared" ref="IX66:JH66" ca="1" si="74">IF(IX39="","",ABS(IX39))</f>
        <v/>
      </c>
      <c r="IY66" s="9" t="str">
        <f t="shared" ca="1" si="74"/>
        <v/>
      </c>
      <c r="IZ66" s="9" t="str">
        <f t="shared" ca="1" si="74"/>
        <v/>
      </c>
      <c r="JA66" s="9" t="str">
        <f t="shared" ca="1" si="74"/>
        <v/>
      </c>
      <c r="JB66" s="9" t="str">
        <f t="shared" ca="1" si="74"/>
        <v/>
      </c>
      <c r="JC66" s="9" t="str">
        <f t="shared" ca="1" si="74"/>
        <v/>
      </c>
      <c r="JD66" s="9" t="str">
        <f t="shared" ca="1" si="74"/>
        <v/>
      </c>
      <c r="JE66" s="9" t="str">
        <f t="shared" ca="1" si="74"/>
        <v/>
      </c>
      <c r="JF66" s="9" t="str">
        <f t="shared" ca="1" si="74"/>
        <v/>
      </c>
      <c r="JG66" s="9" t="str">
        <f t="shared" ca="1" si="74"/>
        <v/>
      </c>
      <c r="JH66" s="9" t="str">
        <f t="shared" ca="1" si="74"/>
        <v/>
      </c>
      <c r="JI66" s="13">
        <f t="shared" ca="1" si="24"/>
        <v>9.7833592469426366E-3</v>
      </c>
      <c r="JJ66" s="13">
        <f t="shared" ca="1" si="25"/>
        <v>7.9828489452107299E-3</v>
      </c>
      <c r="JK66" s="14">
        <f t="shared" ca="1" si="26"/>
        <v>3.3233533200305833E-5</v>
      </c>
      <c r="JL66" s="17">
        <f t="shared" ca="1" si="34"/>
        <v>5.7648532678903318E-3</v>
      </c>
      <c r="JM66" s="15" t="str">
        <f t="shared" ca="1" si="27"/>
        <v>[ -0,17% ; 2,13% ]</v>
      </c>
      <c r="JN66" s="17">
        <f t="shared" ca="1" si="28"/>
        <v>7.379012182899625E-3</v>
      </c>
      <c r="LY66" s="1"/>
    </row>
    <row r="67" spans="1:337" x14ac:dyDescent="0.25">
      <c r="A67" s="4">
        <v>11</v>
      </c>
      <c r="B67" s="9">
        <f t="shared" ref="B67:BM67" ca="1" si="75">IF(B40="","",ABS(B40))</f>
        <v>4.9844676487522666E-3</v>
      </c>
      <c r="C67" s="9">
        <f t="shared" ca="1" si="75"/>
        <v>1.5736089846053458E-3</v>
      </c>
      <c r="D67" s="9">
        <f t="shared" ca="1" si="75"/>
        <v>8.1674493116458136E-3</v>
      </c>
      <c r="E67" s="9">
        <f t="shared" ca="1" si="75"/>
        <v>5.2337879238906204E-3</v>
      </c>
      <c r="F67" s="9">
        <f t="shared" ca="1" si="75"/>
        <v>5.6686857568707394E-3</v>
      </c>
      <c r="G67" s="9">
        <f t="shared" ca="1" si="75"/>
        <v>2.6229680377711784E-3</v>
      </c>
      <c r="H67" s="9">
        <f t="shared" ca="1" si="75"/>
        <v>1.3515346959631636E-3</v>
      </c>
      <c r="I67" s="9">
        <f t="shared" ca="1" si="75"/>
        <v>2.6666325118112066E-3</v>
      </c>
      <c r="J67" s="9">
        <f t="shared" ca="1" si="75"/>
        <v>2.8103165861690371E-3</v>
      </c>
      <c r="K67" s="9">
        <f t="shared" ca="1" si="75"/>
        <v>4.4025129716542821E-3</v>
      </c>
      <c r="L67" s="9">
        <f t="shared" ca="1" si="75"/>
        <v>3.1680502098914154E-3</v>
      </c>
      <c r="M67" s="9">
        <f t="shared" ca="1" si="75"/>
        <v>2.614902997273294E-3</v>
      </c>
      <c r="N67" s="9">
        <f t="shared" ca="1" si="75"/>
        <v>6.6688813357231869E-3</v>
      </c>
      <c r="O67" s="9">
        <f t="shared" ca="1" si="75"/>
        <v>1.2048841386472109E-2</v>
      </c>
      <c r="P67" s="9">
        <f t="shared" ca="1" si="75"/>
        <v>9.8338202328973612E-3</v>
      </c>
      <c r="Q67" s="9">
        <f t="shared" ca="1" si="75"/>
        <v>7.1222240447070817E-3</v>
      </c>
      <c r="R67" s="9">
        <f t="shared" ca="1" si="75"/>
        <v>6.4590568965661177E-3</v>
      </c>
      <c r="S67" s="9">
        <f t="shared" ca="1" si="75"/>
        <v>3.3152591717890978E-3</v>
      </c>
      <c r="T67" s="9">
        <f t="shared" ca="1" si="75"/>
        <v>1.6733993580542172E-3</v>
      </c>
      <c r="U67" s="9">
        <f t="shared" ca="1" si="75"/>
        <v>7.792054815181082E-5</v>
      </c>
      <c r="V67" s="9">
        <f t="shared" ca="1" si="75"/>
        <v>1.9413439586822845E-3</v>
      </c>
      <c r="W67" s="9">
        <f t="shared" ca="1" si="75"/>
        <v>1.8978383165821899E-3</v>
      </c>
      <c r="X67" s="9">
        <f t="shared" ca="1" si="75"/>
        <v>2.3585208768945876E-3</v>
      </c>
      <c r="Y67" s="9">
        <f t="shared" ca="1" si="75"/>
        <v>6.2340413112299542E-3</v>
      </c>
      <c r="Z67" s="9">
        <f t="shared" ca="1" si="75"/>
        <v>4.6578881558212437E-3</v>
      </c>
      <c r="AA67" s="9">
        <f t="shared" ca="1" si="75"/>
        <v>3.7523860464945269E-3</v>
      </c>
      <c r="AB67" s="9">
        <f t="shared" ca="1" si="75"/>
        <v>2.5314638186132443E-3</v>
      </c>
      <c r="AC67" s="9">
        <f t="shared" ca="1" si="75"/>
        <v>6.8861842635283832E-3</v>
      </c>
      <c r="AD67" s="9">
        <f t="shared" ca="1" si="75"/>
        <v>9.5429465599683461E-3</v>
      </c>
      <c r="AE67" s="9">
        <f t="shared" ca="1" si="75"/>
        <v>9.8537897421649978E-3</v>
      </c>
      <c r="AF67" s="9">
        <f t="shared" ca="1" si="75"/>
        <v>1.0592351206686001E-2</v>
      </c>
      <c r="AG67" s="9">
        <f t="shared" ca="1" si="75"/>
        <v>1.1948195200669587E-2</v>
      </c>
      <c r="AH67" s="9">
        <f t="shared" ca="1" si="75"/>
        <v>1.5525664087979396E-2</v>
      </c>
      <c r="AI67" s="9">
        <f t="shared" ca="1" si="75"/>
        <v>1.5927756756634048E-2</v>
      </c>
      <c r="AJ67" s="9">
        <f t="shared" ca="1" si="75"/>
        <v>1.617053968254023E-2</v>
      </c>
      <c r="AK67" s="9">
        <f t="shared" ca="1" si="75"/>
        <v>1.7188628389742222E-2</v>
      </c>
      <c r="AL67" s="9">
        <f t="shared" ca="1" si="75"/>
        <v>1.4059514172952148E-2</v>
      </c>
      <c r="AM67" s="9">
        <f t="shared" ca="1" si="75"/>
        <v>1.1469931218208607E-2</v>
      </c>
      <c r="AN67" s="9">
        <f t="shared" ca="1" si="75"/>
        <v>4.0175468788700153E-3</v>
      </c>
      <c r="AO67" s="9">
        <f t="shared" ca="1" si="75"/>
        <v>5.1445484645975537E-3</v>
      </c>
      <c r="AP67" s="9">
        <f t="shared" ca="1" si="75"/>
        <v>6.5856306693274913E-3</v>
      </c>
      <c r="AQ67" s="9">
        <f t="shared" ca="1" si="75"/>
        <v>1.1683037071944291E-2</v>
      </c>
      <c r="AR67" s="9">
        <f t="shared" ca="1" si="75"/>
        <v>2.0926672672474167E-2</v>
      </c>
      <c r="AS67" s="9">
        <f t="shared" ca="1" si="75"/>
        <v>3.1381741318111001E-2</v>
      </c>
      <c r="AT67" s="9">
        <f t="shared" ca="1" si="75"/>
        <v>3.8610755179521172E-2</v>
      </c>
      <c r="AU67" s="9">
        <f t="shared" ca="1" si="75"/>
        <v>4.7289099794764811E-2</v>
      </c>
      <c r="AV67" s="9">
        <f t="shared" ca="1" si="75"/>
        <v>5.7351847703181358E-2</v>
      </c>
      <c r="AW67" s="9">
        <f t="shared" ca="1" si="75"/>
        <v>6.6064686110212545E-2</v>
      </c>
      <c r="AX67" s="9">
        <f t="shared" ca="1" si="75"/>
        <v>6.9642145522418319E-2</v>
      </c>
      <c r="AY67" s="9">
        <f t="shared" ca="1" si="75"/>
        <v>6.8498191312050594E-2</v>
      </c>
      <c r="AZ67" s="9">
        <f t="shared" ca="1" si="75"/>
        <v>6.9030303076534016E-2</v>
      </c>
      <c r="BA67" s="9">
        <f t="shared" ca="1" si="75"/>
        <v>7.2989392561484179E-2</v>
      </c>
      <c r="BB67" s="9">
        <f t="shared" ca="1" si="75"/>
        <v>6.5827522770479652E-2</v>
      </c>
      <c r="BC67" s="9">
        <f t="shared" ca="1" si="75"/>
        <v>4.0826904200023773E-2</v>
      </c>
      <c r="BD67" s="9">
        <f t="shared" ca="1" si="75"/>
        <v>4.9449667048598878E-2</v>
      </c>
      <c r="BE67" s="9">
        <f t="shared" ca="1" si="75"/>
        <v>4.724815403254512E-2</v>
      </c>
      <c r="BF67" s="9">
        <f t="shared" ca="1" si="75"/>
        <v>4.2315612254630874E-2</v>
      </c>
      <c r="BG67" s="9">
        <f t="shared" ca="1" si="75"/>
        <v>4.0591839170455613E-2</v>
      </c>
      <c r="BH67" s="9">
        <f t="shared" ca="1" si="75"/>
        <v>2.2286482851013645E-2</v>
      </c>
      <c r="BI67" s="9">
        <f t="shared" ca="1" si="75"/>
        <v>8.7059957201665039E-3</v>
      </c>
      <c r="BJ67" s="9">
        <f t="shared" ca="1" si="75"/>
        <v>2.0582464752222807E-2</v>
      </c>
      <c r="BK67" s="9">
        <f t="shared" ca="1" si="75"/>
        <v>3.1086282772167295E-2</v>
      </c>
      <c r="BL67" s="9">
        <f t="shared" ca="1" si="75"/>
        <v>5.3757890142421716E-2</v>
      </c>
      <c r="BM67" s="9">
        <f t="shared" ca="1" si="75"/>
        <v>6.4971942257281867E-2</v>
      </c>
      <c r="BN67" s="9">
        <f t="shared" ref="BN67:DY67" ca="1" si="76">IF(BN40="","",ABS(BN40))</f>
        <v>6.5913184676402281E-2</v>
      </c>
      <c r="BO67" s="9">
        <f t="shared" ca="1" si="76"/>
        <v>4.8131605432079061E-2</v>
      </c>
      <c r="BP67" s="9">
        <f t="shared" ca="1" si="76"/>
        <v>2.6387869290041555E-2</v>
      </c>
      <c r="BQ67" s="9">
        <f t="shared" ca="1" si="76"/>
        <v>2.6856914798762621E-2</v>
      </c>
      <c r="BR67" s="9">
        <f t="shared" ca="1" si="76"/>
        <v>2.8242155791471601E-2</v>
      </c>
      <c r="BS67" s="9">
        <f t="shared" ca="1" si="76"/>
        <v>3.3619975223409093E-2</v>
      </c>
      <c r="BT67" s="9">
        <f t="shared" ca="1" si="76"/>
        <v>3.7877283189359123E-2</v>
      </c>
      <c r="BU67" s="9">
        <f t="shared" ca="1" si="76"/>
        <v>2.4800125805049311E-2</v>
      </c>
      <c r="BV67" s="9">
        <f t="shared" ca="1" si="76"/>
        <v>8.2527969952822522E-3</v>
      </c>
      <c r="BW67" s="9">
        <f t="shared" ca="1" si="76"/>
        <v>1.1207616051569058E-2</v>
      </c>
      <c r="BX67" s="9">
        <f t="shared" ca="1" si="76"/>
        <v>2.3160071537173699E-2</v>
      </c>
      <c r="BY67" s="9">
        <f t="shared" ca="1" si="76"/>
        <v>5.1220347811572475E-3</v>
      </c>
      <c r="BZ67" s="9">
        <f t="shared" ca="1" si="76"/>
        <v>1.2430770204046704E-2</v>
      </c>
      <c r="CA67" s="9">
        <f t="shared" ca="1" si="76"/>
        <v>1.9097432602902087E-2</v>
      </c>
      <c r="CB67" s="9">
        <f t="shared" ca="1" si="76"/>
        <v>1.8496794051598986E-2</v>
      </c>
      <c r="CC67" s="9">
        <f t="shared" ca="1" si="76"/>
        <v>6.3241480174043296E-3</v>
      </c>
      <c r="CD67" s="9">
        <f t="shared" ca="1" si="76"/>
        <v>2.8364921647237029E-3</v>
      </c>
      <c r="CE67" s="9">
        <f t="shared" ca="1" si="76"/>
        <v>2.5532821243073878E-3</v>
      </c>
      <c r="CF67" s="9">
        <f t="shared" ca="1" si="76"/>
        <v>1.7452612550199476E-3</v>
      </c>
      <c r="CG67" s="9">
        <f t="shared" ca="1" si="76"/>
        <v>1.9422450206455499E-3</v>
      </c>
      <c r="CH67" s="9">
        <f t="shared" ca="1" si="76"/>
        <v>6.9190768043605466E-3</v>
      </c>
      <c r="CI67" s="9">
        <f t="shared" ca="1" si="76"/>
        <v>1.4061362520705334E-3</v>
      </c>
      <c r="CJ67" s="9">
        <f t="shared" ca="1" si="76"/>
        <v>4.7842563243233327E-3</v>
      </c>
      <c r="CK67" s="9">
        <f t="shared" ca="1" si="76"/>
        <v>1.7998378096677925E-2</v>
      </c>
      <c r="CL67" s="9">
        <f t="shared" ca="1" si="76"/>
        <v>2.1699242163076171E-2</v>
      </c>
      <c r="CM67" s="9">
        <f t="shared" ca="1" si="76"/>
        <v>3.2586392652230955E-2</v>
      </c>
      <c r="CN67" s="9">
        <f t="shared" ca="1" si="76"/>
        <v>2.4359475351079407E-2</v>
      </c>
      <c r="CO67" s="9">
        <f t="shared" ca="1" si="76"/>
        <v>9.6137448590847274E-3</v>
      </c>
      <c r="CP67" s="9">
        <f t="shared" ca="1" si="76"/>
        <v>2.4170964800992456E-3</v>
      </c>
      <c r="CQ67" s="9">
        <f t="shared" ca="1" si="76"/>
        <v>5.5273737040837378E-3</v>
      </c>
      <c r="CR67" s="9">
        <f t="shared" ca="1" si="76"/>
        <v>4.2622961507725599E-3</v>
      </c>
      <c r="CS67" s="9">
        <f t="shared" ca="1" si="76"/>
        <v>1.601988213469685E-3</v>
      </c>
      <c r="CT67" s="9">
        <f t="shared" ca="1" si="76"/>
        <v>6.5465606658431374E-3</v>
      </c>
      <c r="CU67" s="9">
        <f t="shared" ca="1" si="76"/>
        <v>4.536503244295953E-2</v>
      </c>
      <c r="CV67" s="9">
        <f t="shared" ca="1" si="76"/>
        <v>1.0563417863522995E-2</v>
      </c>
      <c r="CW67" s="9">
        <f t="shared" ca="1" si="76"/>
        <v>1.5236551070683113E-3</v>
      </c>
      <c r="CX67" s="9">
        <f t="shared" ca="1" si="76"/>
        <v>5.5883102181824018E-3</v>
      </c>
      <c r="CY67" s="9">
        <f t="shared" ca="1" si="76"/>
        <v>2.6491490463294021E-3</v>
      </c>
      <c r="CZ67" s="9">
        <f t="shared" ca="1" si="76"/>
        <v>1.6934282646877685E-3</v>
      </c>
      <c r="DA67" s="9">
        <f t="shared" ca="1" si="76"/>
        <v>2.3646076124259618E-3</v>
      </c>
      <c r="DB67" s="9">
        <f t="shared" ca="1" si="76"/>
        <v>1.8938789756839935E-2</v>
      </c>
      <c r="DC67" s="9">
        <f t="shared" ca="1" si="76"/>
        <v>2.4205182933819236E-2</v>
      </c>
      <c r="DD67" s="9">
        <f t="shared" ca="1" si="76"/>
        <v>1.4622164163875073E-2</v>
      </c>
      <c r="DE67" s="9">
        <f t="shared" ca="1" si="76"/>
        <v>2.1064598008891045E-2</v>
      </c>
      <c r="DF67" s="9">
        <f t="shared" ca="1" si="76"/>
        <v>2.1634566589871396E-2</v>
      </c>
      <c r="DG67" s="9">
        <f t="shared" ca="1" si="76"/>
        <v>3.0954562877008929E-2</v>
      </c>
      <c r="DH67" s="9">
        <f t="shared" ca="1" si="76"/>
        <v>3.9188773144138378E-2</v>
      </c>
      <c r="DI67" s="9">
        <f t="shared" ca="1" si="76"/>
        <v>2.8927200979739442E-2</v>
      </c>
      <c r="DJ67" s="9">
        <f t="shared" ca="1" si="76"/>
        <v>1.5814590879835611E-2</v>
      </c>
      <c r="DK67" s="9">
        <f t="shared" ca="1" si="76"/>
        <v>2.1412787743031458E-3</v>
      </c>
      <c r="DL67" s="9">
        <f t="shared" ca="1" si="76"/>
        <v>3.1317076478760697E-3</v>
      </c>
      <c r="DM67" s="9">
        <f t="shared" ca="1" si="76"/>
        <v>9.8890833605231876E-3</v>
      </c>
      <c r="DN67" s="9">
        <f t="shared" ca="1" si="76"/>
        <v>1.1211652530170424E-2</v>
      </c>
      <c r="DO67" s="9">
        <f t="shared" ca="1" si="76"/>
        <v>5.8111888648083587E-3</v>
      </c>
      <c r="DP67" s="9">
        <f t="shared" ca="1" si="76"/>
        <v>3.9120839482622571E-3</v>
      </c>
      <c r="DQ67" s="9">
        <f t="shared" ca="1" si="76"/>
        <v>1.381404314112511E-2</v>
      </c>
      <c r="DR67" s="9" t="str">
        <f t="shared" ca="1" si="76"/>
        <v/>
      </c>
      <c r="DS67" s="9" t="str">
        <f t="shared" ca="1" si="76"/>
        <v/>
      </c>
      <c r="DT67" s="9" t="str">
        <f t="shared" ca="1" si="76"/>
        <v/>
      </c>
      <c r="DU67" s="9" t="str">
        <f t="shared" ca="1" si="76"/>
        <v/>
      </c>
      <c r="DV67" s="9" t="str">
        <f t="shared" ca="1" si="76"/>
        <v/>
      </c>
      <c r="DW67" s="9" t="str">
        <f t="shared" ca="1" si="76"/>
        <v/>
      </c>
      <c r="DX67" s="9" t="str">
        <f t="shared" ca="1" si="76"/>
        <v/>
      </c>
      <c r="DY67" s="9" t="str">
        <f t="shared" ca="1" si="76"/>
        <v/>
      </c>
      <c r="DZ67" s="9" t="str">
        <f t="shared" ref="DZ67:GK67" ca="1" si="77">IF(DZ40="","",ABS(DZ40))</f>
        <v/>
      </c>
      <c r="EA67" s="9" t="str">
        <f t="shared" ca="1" si="77"/>
        <v/>
      </c>
      <c r="EB67" s="9" t="str">
        <f t="shared" ca="1" si="77"/>
        <v/>
      </c>
      <c r="EC67" s="9" t="str">
        <f t="shared" ca="1" si="77"/>
        <v/>
      </c>
      <c r="ED67" s="9" t="str">
        <f t="shared" ca="1" si="77"/>
        <v/>
      </c>
      <c r="EE67" s="9" t="str">
        <f t="shared" ca="1" si="77"/>
        <v/>
      </c>
      <c r="EF67" s="9" t="str">
        <f t="shared" ca="1" si="77"/>
        <v/>
      </c>
      <c r="EG67" s="9">
        <f t="shared" ca="1" si="77"/>
        <v>3.9391254056608815E-3</v>
      </c>
      <c r="EH67" s="9">
        <f t="shared" ca="1" si="77"/>
        <v>1.2771058395378176E-2</v>
      </c>
      <c r="EI67" s="9">
        <f t="shared" ca="1" si="77"/>
        <v>1.5541145465610029E-2</v>
      </c>
      <c r="EJ67" s="9">
        <f t="shared" ca="1" si="77"/>
        <v>1.5094927449716966E-2</v>
      </c>
      <c r="EK67" s="9">
        <f t="shared" ca="1" si="77"/>
        <v>7.0914635201826393E-3</v>
      </c>
      <c r="EL67" s="9">
        <f t="shared" ca="1" si="77"/>
        <v>3.5662832015190826E-3</v>
      </c>
      <c r="EM67" s="9">
        <f t="shared" ca="1" si="77"/>
        <v>5.3770152502339297E-3</v>
      </c>
      <c r="EN67" s="9">
        <f t="shared" ca="1" si="77"/>
        <v>4.8739728739701782E-3</v>
      </c>
      <c r="EO67" s="9">
        <f t="shared" ca="1" si="77"/>
        <v>5.7703620177294024E-3</v>
      </c>
      <c r="EP67" s="9">
        <f t="shared" ca="1" si="77"/>
        <v>2.1687219670322389E-2</v>
      </c>
      <c r="EQ67" s="9">
        <f t="shared" ca="1" si="77"/>
        <v>1.6419043070379225E-3</v>
      </c>
      <c r="ER67" s="9">
        <f t="shared" ca="1" si="77"/>
        <v>1.7383758435943975E-2</v>
      </c>
      <c r="ES67" s="9">
        <f t="shared" ca="1" si="77"/>
        <v>8.6505841918718129E-3</v>
      </c>
      <c r="ET67" s="9">
        <f t="shared" ca="1" si="77"/>
        <v>7.3870035187928451E-3</v>
      </c>
      <c r="EU67" s="9">
        <f t="shared" ca="1" si="77"/>
        <v>5.3966428590579429E-3</v>
      </c>
      <c r="EV67" s="9">
        <f t="shared" ca="1" si="77"/>
        <v>2.1277150162017922E-3</v>
      </c>
      <c r="EW67" s="9">
        <f t="shared" ca="1" si="77"/>
        <v>4.4643870824404575E-3</v>
      </c>
      <c r="EX67" s="9">
        <f t="shared" ca="1" si="77"/>
        <v>8.8324905300596335E-4</v>
      </c>
      <c r="EY67" s="9">
        <f t="shared" ca="1" si="77"/>
        <v>4.9100110569417765E-3</v>
      </c>
      <c r="EZ67" s="9">
        <f t="shared" ca="1" si="77"/>
        <v>1.9275090230181924E-3</v>
      </c>
      <c r="FA67" s="9">
        <f t="shared" ca="1" si="77"/>
        <v>9.2184348055994736E-3</v>
      </c>
      <c r="FB67" s="9">
        <f t="shared" ca="1" si="77"/>
        <v>3.3952408592787808E-3</v>
      </c>
      <c r="FC67" s="9">
        <f t="shared" ca="1" si="77"/>
        <v>2.0879989407798227E-3</v>
      </c>
      <c r="FD67" s="9">
        <f t="shared" ca="1" si="77"/>
        <v>5.683471288006503E-3</v>
      </c>
      <c r="FE67" s="9">
        <f t="shared" ca="1" si="77"/>
        <v>9.5600967049591645E-4</v>
      </c>
      <c r="FF67" s="9">
        <f t="shared" ca="1" si="77"/>
        <v>4.8951472897362791E-4</v>
      </c>
      <c r="FG67" s="9">
        <f t="shared" ca="1" si="77"/>
        <v>4.7478667719167422E-3</v>
      </c>
      <c r="FH67" s="9">
        <f t="shared" ca="1" si="77"/>
        <v>1.7145513916339006E-3</v>
      </c>
      <c r="FI67" s="9">
        <f t="shared" ca="1" si="77"/>
        <v>1.8326397594983335E-2</v>
      </c>
      <c r="FJ67" s="9">
        <f t="shared" ca="1" si="77"/>
        <v>2.0763082668608379E-2</v>
      </c>
      <c r="FK67" s="9">
        <f t="shared" ca="1" si="77"/>
        <v>6.5104929718139415E-3</v>
      </c>
      <c r="FL67" s="9">
        <f t="shared" ca="1" si="77"/>
        <v>6.2965941760212418E-3</v>
      </c>
      <c r="FM67" s="9">
        <f t="shared" ca="1" si="77"/>
        <v>9.4178327980376508E-3</v>
      </c>
      <c r="FN67" s="9">
        <f t="shared" ca="1" si="77"/>
        <v>1.1483430015742813E-2</v>
      </c>
      <c r="FO67" s="9">
        <f t="shared" ca="1" si="77"/>
        <v>1.143471299980936E-3</v>
      </c>
      <c r="FP67" s="9">
        <f t="shared" ca="1" si="77"/>
        <v>2.8177556412415372E-2</v>
      </c>
      <c r="FQ67" s="9">
        <f t="shared" ca="1" si="77"/>
        <v>1.6002190316115161E-2</v>
      </c>
      <c r="FR67" s="9">
        <f t="shared" ca="1" si="77"/>
        <v>9.810390494618737E-3</v>
      </c>
      <c r="FS67" s="9">
        <f t="shared" ca="1" si="77"/>
        <v>1.0373588163876901E-2</v>
      </c>
      <c r="FT67" s="9">
        <f t="shared" ca="1" si="77"/>
        <v>4.4008759444607026E-3</v>
      </c>
      <c r="FU67" s="9">
        <f t="shared" ca="1" si="77"/>
        <v>8.2319739512715095E-4</v>
      </c>
      <c r="FV67" s="9">
        <f t="shared" ca="1" si="77"/>
        <v>2.3798681251060438E-3</v>
      </c>
      <c r="FW67" s="9">
        <f t="shared" ca="1" si="77"/>
        <v>3.6007513045186457E-3</v>
      </c>
      <c r="FX67" s="9">
        <f t="shared" ca="1" si="77"/>
        <v>8.0676358836975215E-3</v>
      </c>
      <c r="FY67" s="9">
        <f t="shared" ca="1" si="77"/>
        <v>5.7023016509041291E-3</v>
      </c>
      <c r="FZ67" s="9">
        <f t="shared" ca="1" si="77"/>
        <v>1.2353689338211238E-2</v>
      </c>
      <c r="GA67" s="9">
        <f t="shared" ca="1" si="77"/>
        <v>9.8642981061056734E-3</v>
      </c>
      <c r="GB67" s="9">
        <f t="shared" ca="1" si="77"/>
        <v>4.6861042699893884E-3</v>
      </c>
      <c r="GC67" s="9">
        <f t="shared" ca="1" si="77"/>
        <v>1.3746926689478745E-2</v>
      </c>
      <c r="GD67" s="9">
        <f t="shared" ca="1" si="77"/>
        <v>1.0006243270603399E-2</v>
      </c>
      <c r="GE67" s="9">
        <f t="shared" ca="1" si="77"/>
        <v>1.0347595465834747E-2</v>
      </c>
      <c r="GF67" s="9">
        <f t="shared" ca="1" si="77"/>
        <v>1.9566198167840998E-2</v>
      </c>
      <c r="GG67" s="9">
        <f t="shared" ca="1" si="77"/>
        <v>1.3311468197605203E-2</v>
      </c>
      <c r="GH67" s="9">
        <f t="shared" ca="1" si="77"/>
        <v>8.144812398278134E-3</v>
      </c>
      <c r="GI67" s="9">
        <f t="shared" ca="1" si="77"/>
        <v>5.0708785035886716E-3</v>
      </c>
      <c r="GJ67" s="9">
        <f t="shared" ca="1" si="77"/>
        <v>4.6329404539935393E-3</v>
      </c>
      <c r="GK67" s="9">
        <f t="shared" ca="1" si="77"/>
        <v>6.8354567876498518E-3</v>
      </c>
      <c r="GL67" s="9">
        <f t="shared" ref="GL67:IW67" ca="1" si="78">IF(GL40="","",ABS(GL40))</f>
        <v>1.7016901650919625E-2</v>
      </c>
      <c r="GM67" s="9">
        <f t="shared" ca="1" si="78"/>
        <v>6.1132058361157426E-3</v>
      </c>
      <c r="GN67" s="9">
        <f t="shared" ca="1" si="78"/>
        <v>1.4370665769315449E-2</v>
      </c>
      <c r="GO67" s="9" t="str">
        <f t="shared" ca="1" si="78"/>
        <v/>
      </c>
      <c r="GP67" s="9" t="str">
        <f t="shared" ca="1" si="78"/>
        <v/>
      </c>
      <c r="GQ67" s="9" t="str">
        <f t="shared" ca="1" si="78"/>
        <v/>
      </c>
      <c r="GR67" s="9" t="str">
        <f t="shared" ca="1" si="78"/>
        <v/>
      </c>
      <c r="GS67" s="9" t="str">
        <f t="shared" ca="1" si="78"/>
        <v/>
      </c>
      <c r="GT67" s="9" t="str">
        <f t="shared" ca="1" si="78"/>
        <v/>
      </c>
      <c r="GU67" s="9" t="str">
        <f t="shared" ca="1" si="78"/>
        <v/>
      </c>
      <c r="GV67" s="9" t="str">
        <f t="shared" ca="1" si="78"/>
        <v/>
      </c>
      <c r="GW67" s="9" t="str">
        <f t="shared" ca="1" si="78"/>
        <v/>
      </c>
      <c r="GX67" s="9" t="str">
        <f t="shared" ca="1" si="78"/>
        <v/>
      </c>
      <c r="GY67" s="9" t="str">
        <f t="shared" ca="1" si="78"/>
        <v/>
      </c>
      <c r="GZ67" s="9" t="str">
        <f t="shared" ca="1" si="78"/>
        <v/>
      </c>
      <c r="HA67" s="9" t="str">
        <f t="shared" ca="1" si="78"/>
        <v/>
      </c>
      <c r="HB67" s="9" t="str">
        <f t="shared" ca="1" si="78"/>
        <v/>
      </c>
      <c r="HC67" s="9" t="str">
        <f t="shared" ca="1" si="78"/>
        <v/>
      </c>
      <c r="HD67" s="9" t="str">
        <f t="shared" ca="1" si="78"/>
        <v/>
      </c>
      <c r="HE67" s="9" t="str">
        <f t="shared" ca="1" si="78"/>
        <v/>
      </c>
      <c r="HF67" s="9" t="str">
        <f t="shared" ca="1" si="78"/>
        <v/>
      </c>
      <c r="HG67" s="9" t="str">
        <f t="shared" ca="1" si="78"/>
        <v/>
      </c>
      <c r="HH67" s="9" t="str">
        <f t="shared" ca="1" si="78"/>
        <v/>
      </c>
      <c r="HI67" s="9" t="str">
        <f t="shared" ca="1" si="78"/>
        <v/>
      </c>
      <c r="HJ67" s="9" t="str">
        <f t="shared" ca="1" si="78"/>
        <v/>
      </c>
      <c r="HK67" s="9" t="str">
        <f t="shared" ca="1" si="78"/>
        <v/>
      </c>
      <c r="HL67" s="9" t="str">
        <f t="shared" ca="1" si="78"/>
        <v/>
      </c>
      <c r="HM67" s="9" t="str">
        <f t="shared" ca="1" si="78"/>
        <v/>
      </c>
      <c r="HN67" s="9" t="str">
        <f t="shared" ca="1" si="78"/>
        <v/>
      </c>
      <c r="HO67" s="9" t="str">
        <f t="shared" ca="1" si="78"/>
        <v/>
      </c>
      <c r="HP67" s="9" t="str">
        <f t="shared" ca="1" si="78"/>
        <v/>
      </c>
      <c r="HQ67" s="9" t="str">
        <f t="shared" ca="1" si="78"/>
        <v/>
      </c>
      <c r="HR67" s="9" t="str">
        <f t="shared" ca="1" si="78"/>
        <v/>
      </c>
      <c r="HS67" s="9" t="str">
        <f t="shared" ca="1" si="78"/>
        <v/>
      </c>
      <c r="HT67" s="9" t="str">
        <f t="shared" ca="1" si="78"/>
        <v/>
      </c>
      <c r="HU67" s="9" t="str">
        <f t="shared" ca="1" si="78"/>
        <v/>
      </c>
      <c r="HV67" s="9" t="str">
        <f t="shared" ca="1" si="78"/>
        <v/>
      </c>
      <c r="HW67" s="9" t="str">
        <f t="shared" ca="1" si="78"/>
        <v/>
      </c>
      <c r="HX67" s="9" t="str">
        <f t="shared" ca="1" si="78"/>
        <v/>
      </c>
      <c r="HY67" s="9" t="str">
        <f t="shared" ca="1" si="78"/>
        <v/>
      </c>
      <c r="HZ67" s="9" t="str">
        <f t="shared" ca="1" si="78"/>
        <v/>
      </c>
      <c r="IA67" s="9" t="str">
        <f t="shared" ca="1" si="78"/>
        <v/>
      </c>
      <c r="IB67" s="9" t="str">
        <f t="shared" ca="1" si="78"/>
        <v/>
      </c>
      <c r="IC67" s="9" t="str">
        <f t="shared" ca="1" si="78"/>
        <v/>
      </c>
      <c r="ID67" s="9" t="str">
        <f t="shared" ca="1" si="78"/>
        <v/>
      </c>
      <c r="IE67" s="9" t="str">
        <f t="shared" ca="1" si="78"/>
        <v/>
      </c>
      <c r="IF67" s="9" t="str">
        <f t="shared" ca="1" si="78"/>
        <v/>
      </c>
      <c r="IG67" s="9" t="str">
        <f t="shared" ca="1" si="78"/>
        <v/>
      </c>
      <c r="IH67" s="9" t="str">
        <f t="shared" ca="1" si="78"/>
        <v/>
      </c>
      <c r="II67" s="9" t="str">
        <f t="shared" ca="1" si="78"/>
        <v/>
      </c>
      <c r="IJ67" s="9" t="str">
        <f t="shared" ca="1" si="78"/>
        <v/>
      </c>
      <c r="IK67" s="9" t="str">
        <f t="shared" ca="1" si="78"/>
        <v/>
      </c>
      <c r="IL67" s="9" t="str">
        <f t="shared" ca="1" si="78"/>
        <v/>
      </c>
      <c r="IM67" s="9" t="str">
        <f t="shared" ca="1" si="78"/>
        <v/>
      </c>
      <c r="IN67" s="9" t="str">
        <f t="shared" ca="1" si="78"/>
        <v/>
      </c>
      <c r="IO67" s="9" t="str">
        <f t="shared" ca="1" si="78"/>
        <v/>
      </c>
      <c r="IP67" s="9" t="str">
        <f t="shared" ca="1" si="78"/>
        <v/>
      </c>
      <c r="IQ67" s="9" t="str">
        <f t="shared" ca="1" si="78"/>
        <v/>
      </c>
      <c r="IR67" s="9" t="str">
        <f t="shared" ca="1" si="78"/>
        <v/>
      </c>
      <c r="IS67" s="9" t="str">
        <f t="shared" ca="1" si="78"/>
        <v/>
      </c>
      <c r="IT67" s="9" t="str">
        <f t="shared" ca="1" si="78"/>
        <v/>
      </c>
      <c r="IU67" s="9" t="str">
        <f t="shared" ca="1" si="78"/>
        <v/>
      </c>
      <c r="IV67" s="9" t="str">
        <f t="shared" ca="1" si="78"/>
        <v/>
      </c>
      <c r="IW67" s="9" t="str">
        <f t="shared" ca="1" si="78"/>
        <v/>
      </c>
      <c r="IX67" s="9" t="str">
        <f t="shared" ref="IX67:JH67" ca="1" si="79">IF(IX40="","",ABS(IX40))</f>
        <v/>
      </c>
      <c r="IY67" s="9" t="str">
        <f t="shared" ca="1" si="79"/>
        <v/>
      </c>
      <c r="IZ67" s="9" t="str">
        <f t="shared" ca="1" si="79"/>
        <v/>
      </c>
      <c r="JA67" s="9" t="str">
        <f t="shared" ca="1" si="79"/>
        <v/>
      </c>
      <c r="JB67" s="9" t="str">
        <f t="shared" ca="1" si="79"/>
        <v/>
      </c>
      <c r="JC67" s="9" t="str">
        <f t="shared" ca="1" si="79"/>
        <v/>
      </c>
      <c r="JD67" s="9" t="str">
        <f t="shared" ca="1" si="79"/>
        <v/>
      </c>
      <c r="JE67" s="9" t="str">
        <f t="shared" ca="1" si="79"/>
        <v/>
      </c>
      <c r="JF67" s="9" t="str">
        <f t="shared" ca="1" si="79"/>
        <v/>
      </c>
      <c r="JG67" s="9" t="str">
        <f t="shared" ca="1" si="79"/>
        <v/>
      </c>
      <c r="JH67" s="9" t="str">
        <f t="shared" ca="1" si="79"/>
        <v/>
      </c>
      <c r="JI67" s="13">
        <f t="shared" ca="1" si="24"/>
        <v>9.4826619960135267E-3</v>
      </c>
      <c r="JJ67" s="13">
        <f t="shared" ca="1" si="25"/>
        <v>8.9776014464484355E-3</v>
      </c>
      <c r="JK67" s="14">
        <f t="shared" ca="1" si="26"/>
        <v>3.7512625367633135E-5</v>
      </c>
      <c r="JL67" s="17">
        <f t="shared" ca="1" si="34"/>
        <v>6.1247551271567694E-3</v>
      </c>
      <c r="JM67" s="15" t="str">
        <f t="shared" ca="1" si="27"/>
        <v>[ -0,28% ; 2,17% ]</v>
      </c>
      <c r="JN67" s="17">
        <f t="shared" ca="1" si="28"/>
        <v>7.8396865627606647E-3</v>
      </c>
      <c r="LY67" s="1"/>
    </row>
    <row r="68" spans="1:337" x14ac:dyDescent="0.25">
      <c r="A68" s="4">
        <v>12</v>
      </c>
      <c r="B68" s="9">
        <f t="shared" ref="B68:BM68" ca="1" si="80">IF(B41="","",ABS(B41))</f>
        <v>6.6775654573747456E-3</v>
      </c>
      <c r="C68" s="9">
        <f t="shared" ca="1" si="80"/>
        <v>3.9723654839645128E-3</v>
      </c>
      <c r="D68" s="9">
        <f t="shared" ca="1" si="80"/>
        <v>7.4314848085508256E-3</v>
      </c>
      <c r="E68" s="9">
        <f t="shared" ca="1" si="80"/>
        <v>4.7842196329106468E-3</v>
      </c>
      <c r="F68" s="9">
        <f t="shared" ca="1" si="80"/>
        <v>4.6021353936368525E-3</v>
      </c>
      <c r="G68" s="9">
        <f t="shared" ca="1" si="80"/>
        <v>1.4289212979446964E-3</v>
      </c>
      <c r="H68" s="9">
        <f t="shared" ca="1" si="80"/>
        <v>1.5455988481472005E-3</v>
      </c>
      <c r="I68" s="9">
        <f t="shared" ca="1" si="80"/>
        <v>3.7304492319405469E-3</v>
      </c>
      <c r="J68" s="9">
        <f t="shared" ca="1" si="80"/>
        <v>3.685385787897566E-3</v>
      </c>
      <c r="K68" s="9">
        <f t="shared" ca="1" si="80"/>
        <v>4.8414395392466503E-3</v>
      </c>
      <c r="L68" s="9">
        <f t="shared" ca="1" si="80"/>
        <v>3.5104095344544728E-3</v>
      </c>
      <c r="M68" s="9">
        <f t="shared" ca="1" si="80"/>
        <v>3.7709168992337005E-3</v>
      </c>
      <c r="N68" s="9">
        <f t="shared" ca="1" si="80"/>
        <v>6.3531294973315777E-3</v>
      </c>
      <c r="O68" s="9">
        <f t="shared" ca="1" si="80"/>
        <v>1.1273642404350026E-2</v>
      </c>
      <c r="P68" s="9">
        <f t="shared" ca="1" si="80"/>
        <v>1.0436869492361556E-2</v>
      </c>
      <c r="Q68" s="9">
        <f t="shared" ca="1" si="80"/>
        <v>8.2983400078382452E-3</v>
      </c>
      <c r="R68" s="9">
        <f t="shared" ca="1" si="80"/>
        <v>6.5669060206621221E-3</v>
      </c>
      <c r="S68" s="9">
        <f t="shared" ca="1" si="80"/>
        <v>3.4617887676495762E-3</v>
      </c>
      <c r="T68" s="9">
        <f t="shared" ca="1" si="80"/>
        <v>1.683969098547955E-3</v>
      </c>
      <c r="U68" s="9">
        <f t="shared" ca="1" si="80"/>
        <v>5.7916087420639695E-4</v>
      </c>
      <c r="V68" s="9">
        <f t="shared" ca="1" si="80"/>
        <v>9.7694385720703547E-4</v>
      </c>
      <c r="W68" s="9">
        <f t="shared" ca="1" si="80"/>
        <v>2.4732365066787443E-3</v>
      </c>
      <c r="X68" s="9">
        <f t="shared" ca="1" si="80"/>
        <v>3.2704670900566279E-3</v>
      </c>
      <c r="Y68" s="9">
        <f t="shared" ca="1" si="80"/>
        <v>6.977189338029377E-3</v>
      </c>
      <c r="Z68" s="9">
        <f t="shared" ca="1" si="80"/>
        <v>6.1030233299882442E-3</v>
      </c>
      <c r="AA68" s="9">
        <f t="shared" ca="1" si="80"/>
        <v>4.6104876987705934E-3</v>
      </c>
      <c r="AB68" s="9">
        <f t="shared" ca="1" si="80"/>
        <v>4.7842897652924377E-3</v>
      </c>
      <c r="AC68" s="9">
        <f t="shared" ca="1" si="80"/>
        <v>9.4007727286341547E-3</v>
      </c>
      <c r="AD68" s="9">
        <f t="shared" ca="1" si="80"/>
        <v>1.0646532318868474E-2</v>
      </c>
      <c r="AE68" s="9">
        <f t="shared" ca="1" si="80"/>
        <v>1.1026090391664689E-2</v>
      </c>
      <c r="AF68" s="9">
        <f t="shared" ca="1" si="80"/>
        <v>1.3088213144510474E-2</v>
      </c>
      <c r="AG68" s="9">
        <f t="shared" ca="1" si="80"/>
        <v>1.3484880813982691E-2</v>
      </c>
      <c r="AH68" s="9">
        <f t="shared" ca="1" si="80"/>
        <v>1.7108110999454529E-2</v>
      </c>
      <c r="AI68" s="9">
        <f t="shared" ca="1" si="80"/>
        <v>1.8022269386752221E-2</v>
      </c>
      <c r="AJ68" s="9">
        <f t="shared" ca="1" si="80"/>
        <v>1.8178979010050278E-2</v>
      </c>
      <c r="AK68" s="9">
        <f t="shared" ca="1" si="80"/>
        <v>1.7847765625835232E-2</v>
      </c>
      <c r="AL68" s="9">
        <f t="shared" ca="1" si="80"/>
        <v>1.318564286482149E-2</v>
      </c>
      <c r="AM68" s="9">
        <f t="shared" ca="1" si="80"/>
        <v>9.6827796569358693E-3</v>
      </c>
      <c r="AN68" s="9">
        <f t="shared" ca="1" si="80"/>
        <v>2.6272780675129503E-4</v>
      </c>
      <c r="AO68" s="9">
        <f t="shared" ca="1" si="80"/>
        <v>8.0601034374570002E-3</v>
      </c>
      <c r="AP68" s="9">
        <f t="shared" ca="1" si="80"/>
        <v>1.2380552658108668E-2</v>
      </c>
      <c r="AQ68" s="9">
        <f t="shared" ca="1" si="80"/>
        <v>1.7701768717738986E-2</v>
      </c>
      <c r="AR68" s="9">
        <f t="shared" ca="1" si="80"/>
        <v>2.7387199597098011E-2</v>
      </c>
      <c r="AS68" s="9">
        <f t="shared" ca="1" si="80"/>
        <v>3.8413414795308354E-2</v>
      </c>
      <c r="AT68" s="9">
        <f t="shared" ca="1" si="80"/>
        <v>4.60869478525745E-2</v>
      </c>
      <c r="AU68" s="9">
        <f t="shared" ca="1" si="80"/>
        <v>5.4426345648857621E-2</v>
      </c>
      <c r="AV68" s="9">
        <f t="shared" ca="1" si="80"/>
        <v>6.6905239835103103E-2</v>
      </c>
      <c r="AW68" s="9">
        <f t="shared" ca="1" si="80"/>
        <v>7.7642089102258005E-2</v>
      </c>
      <c r="AX68" s="9">
        <f t="shared" ca="1" si="80"/>
        <v>7.9771715404981292E-2</v>
      </c>
      <c r="AY68" s="9">
        <f t="shared" ca="1" si="80"/>
        <v>7.9868771079549372E-2</v>
      </c>
      <c r="AZ68" s="9">
        <f t="shared" ca="1" si="80"/>
        <v>7.9516534382505943E-2</v>
      </c>
      <c r="BA68" s="9">
        <f t="shared" ca="1" si="80"/>
        <v>8.314934366908977E-2</v>
      </c>
      <c r="BB68" s="9">
        <f t="shared" ca="1" si="80"/>
        <v>7.3643489060581935E-2</v>
      </c>
      <c r="BC68" s="9">
        <f t="shared" ca="1" si="80"/>
        <v>4.2997919890447545E-2</v>
      </c>
      <c r="BD68" s="9">
        <f t="shared" ca="1" si="80"/>
        <v>5.073673510072485E-2</v>
      </c>
      <c r="BE68" s="9">
        <f t="shared" ca="1" si="80"/>
        <v>4.8958226103364089E-2</v>
      </c>
      <c r="BF68" s="9">
        <f t="shared" ca="1" si="80"/>
        <v>4.3509369325039016E-2</v>
      </c>
      <c r="BG68" s="9">
        <f t="shared" ca="1" si="80"/>
        <v>4.1454401174704669E-2</v>
      </c>
      <c r="BH68" s="9">
        <f t="shared" ca="1" si="80"/>
        <v>2.3245996656366064E-2</v>
      </c>
      <c r="BI68" s="9">
        <f t="shared" ca="1" si="80"/>
        <v>5.8613407847585286E-3</v>
      </c>
      <c r="BJ68" s="9">
        <f t="shared" ca="1" si="80"/>
        <v>2.7391275001166671E-2</v>
      </c>
      <c r="BK68" s="9">
        <f t="shared" ca="1" si="80"/>
        <v>3.7848163562236525E-2</v>
      </c>
      <c r="BL68" s="9">
        <f t="shared" ca="1" si="80"/>
        <v>6.0084858831812138E-2</v>
      </c>
      <c r="BM68" s="9">
        <f t="shared" ca="1" si="80"/>
        <v>7.3429695810820483E-2</v>
      </c>
      <c r="BN68" s="9">
        <f t="shared" ref="BN68:DY68" ca="1" si="81">IF(BN41="","",ABS(BN41))</f>
        <v>7.5774294420645649E-2</v>
      </c>
      <c r="BO68" s="9">
        <f t="shared" ca="1" si="81"/>
        <v>5.5881130481505559E-2</v>
      </c>
      <c r="BP68" s="9">
        <f t="shared" ca="1" si="81"/>
        <v>3.1230424769660425E-2</v>
      </c>
      <c r="BQ68" s="9">
        <f t="shared" ca="1" si="81"/>
        <v>3.1144509565900091E-2</v>
      </c>
      <c r="BR68" s="9">
        <f t="shared" ca="1" si="81"/>
        <v>3.0041781687135671E-2</v>
      </c>
      <c r="BS68" s="9">
        <f t="shared" ca="1" si="81"/>
        <v>3.6522903847287735E-2</v>
      </c>
      <c r="BT68" s="9">
        <f t="shared" ca="1" si="81"/>
        <v>4.0842266886539025E-2</v>
      </c>
      <c r="BU68" s="9">
        <f t="shared" ca="1" si="81"/>
        <v>2.5989589501118071E-2</v>
      </c>
      <c r="BV68" s="9">
        <f t="shared" ca="1" si="81"/>
        <v>7.889194532214483E-3</v>
      </c>
      <c r="BW68" s="9">
        <f t="shared" ca="1" si="81"/>
        <v>1.1206264545233435E-2</v>
      </c>
      <c r="BX68" s="9">
        <f t="shared" ca="1" si="81"/>
        <v>2.356629993241588E-2</v>
      </c>
      <c r="BY68" s="9">
        <f t="shared" ca="1" si="81"/>
        <v>7.7066083824758325E-3</v>
      </c>
      <c r="BZ68" s="9">
        <f t="shared" ca="1" si="81"/>
        <v>1.1985312245392787E-2</v>
      </c>
      <c r="CA68" s="9">
        <f t="shared" ca="1" si="81"/>
        <v>1.7197179240957317E-2</v>
      </c>
      <c r="CB68" s="9">
        <f t="shared" ca="1" si="81"/>
        <v>1.8599959802538812E-2</v>
      </c>
      <c r="CC68" s="9">
        <f t="shared" ca="1" si="81"/>
        <v>7.6600128902803988E-3</v>
      </c>
      <c r="CD68" s="9">
        <f t="shared" ca="1" si="81"/>
        <v>8.2448522594347207E-4</v>
      </c>
      <c r="CE68" s="9">
        <f t="shared" ca="1" si="81"/>
        <v>2.2281815341990141E-3</v>
      </c>
      <c r="CF68" s="9">
        <f t="shared" ca="1" si="81"/>
        <v>3.2842464090923063E-3</v>
      </c>
      <c r="CG68" s="9">
        <f t="shared" ca="1" si="81"/>
        <v>4.8650910056102781E-4</v>
      </c>
      <c r="CH68" s="9">
        <f t="shared" ca="1" si="81"/>
        <v>5.514548577324585E-3</v>
      </c>
      <c r="CI68" s="9">
        <f t="shared" ca="1" si="81"/>
        <v>7.315550198919496E-3</v>
      </c>
      <c r="CJ68" s="9">
        <f t="shared" ca="1" si="81"/>
        <v>6.8771014547963638E-3</v>
      </c>
      <c r="CK68" s="9">
        <f t="shared" ca="1" si="81"/>
        <v>1.8135621993261797E-2</v>
      </c>
      <c r="CL68" s="9">
        <f t="shared" ca="1" si="81"/>
        <v>2.1151529361792987E-2</v>
      </c>
      <c r="CM68" s="9">
        <f t="shared" ca="1" si="81"/>
        <v>3.2928449082691547E-2</v>
      </c>
      <c r="CN68" s="9">
        <f t="shared" ca="1" si="81"/>
        <v>2.5720808376622273E-2</v>
      </c>
      <c r="CO68" s="9">
        <f t="shared" ca="1" si="81"/>
        <v>9.4290659429285828E-3</v>
      </c>
      <c r="CP68" s="9">
        <f t="shared" ca="1" si="81"/>
        <v>1.9835762511315469E-3</v>
      </c>
      <c r="CQ68" s="9">
        <f t="shared" ca="1" si="81"/>
        <v>7.1142443382992138E-3</v>
      </c>
      <c r="CR68" s="9">
        <f t="shared" ca="1" si="81"/>
        <v>4.3900097134519367E-3</v>
      </c>
      <c r="CS68" s="9">
        <f t="shared" ca="1" si="81"/>
        <v>1.8305498003859944E-3</v>
      </c>
      <c r="CT68" s="9">
        <f t="shared" ca="1" si="81"/>
        <v>7.8101545043193221E-3</v>
      </c>
      <c r="CU68" s="9">
        <f t="shared" ca="1" si="81"/>
        <v>4.6245749413406867E-2</v>
      </c>
      <c r="CV68" s="9">
        <f t="shared" ca="1" si="81"/>
        <v>8.9878818392808979E-3</v>
      </c>
      <c r="CW68" s="9">
        <f t="shared" ca="1" si="81"/>
        <v>9.1200208265163063E-4</v>
      </c>
      <c r="CX68" s="9">
        <f t="shared" ca="1" si="81"/>
        <v>3.7143870854723371E-3</v>
      </c>
      <c r="CY68" s="9">
        <f t="shared" ca="1" si="81"/>
        <v>9.1026557060902569E-4</v>
      </c>
      <c r="CZ68" s="9">
        <f t="shared" ca="1" si="81"/>
        <v>5.3202555434523902E-3</v>
      </c>
      <c r="DA68" s="9">
        <f t="shared" ca="1" si="81"/>
        <v>6.2601434139700762E-3</v>
      </c>
      <c r="DB68" s="9">
        <f t="shared" ca="1" si="81"/>
        <v>1.9864529102440076E-2</v>
      </c>
      <c r="DC68" s="9">
        <f t="shared" ca="1" si="81"/>
        <v>2.6322095513942934E-2</v>
      </c>
      <c r="DD68" s="9">
        <f t="shared" ca="1" si="81"/>
        <v>1.7761002380078494E-2</v>
      </c>
      <c r="DE68" s="9">
        <f t="shared" ca="1" si="81"/>
        <v>2.5314989885225958E-2</v>
      </c>
      <c r="DF68" s="9">
        <f t="shared" ca="1" si="81"/>
        <v>2.5032212670718867E-2</v>
      </c>
      <c r="DG68" s="9">
        <f t="shared" ca="1" si="81"/>
        <v>3.3442161766085166E-2</v>
      </c>
      <c r="DH68" s="9">
        <f t="shared" ca="1" si="81"/>
        <v>4.2695401154413726E-2</v>
      </c>
      <c r="DI68" s="9">
        <f t="shared" ca="1" si="81"/>
        <v>3.0683627929958601E-2</v>
      </c>
      <c r="DJ68" s="9">
        <f t="shared" ca="1" si="81"/>
        <v>1.8092980759481181E-2</v>
      </c>
      <c r="DK68" s="9">
        <f t="shared" ca="1" si="81"/>
        <v>2.0188799943179347E-3</v>
      </c>
      <c r="DL68" s="9">
        <f t="shared" ca="1" si="81"/>
        <v>4.7607722226519211E-3</v>
      </c>
      <c r="DM68" s="9">
        <f t="shared" ca="1" si="81"/>
        <v>1.263608027487062E-2</v>
      </c>
      <c r="DN68" s="9">
        <f t="shared" ca="1" si="81"/>
        <v>9.9249755312776911E-3</v>
      </c>
      <c r="DO68" s="9">
        <f t="shared" ca="1" si="81"/>
        <v>5.9990869947719183E-3</v>
      </c>
      <c r="DP68" s="9">
        <f t="shared" ca="1" si="81"/>
        <v>4.4245413279691004E-3</v>
      </c>
      <c r="DQ68" s="9" t="str">
        <f t="shared" ca="1" si="81"/>
        <v/>
      </c>
      <c r="DR68" s="9" t="str">
        <f t="shared" ca="1" si="81"/>
        <v/>
      </c>
      <c r="DS68" s="9" t="str">
        <f t="shared" ca="1" si="81"/>
        <v/>
      </c>
      <c r="DT68" s="9" t="str">
        <f t="shared" ca="1" si="81"/>
        <v/>
      </c>
      <c r="DU68" s="9" t="str">
        <f t="shared" ca="1" si="81"/>
        <v/>
      </c>
      <c r="DV68" s="9" t="str">
        <f t="shared" ca="1" si="81"/>
        <v/>
      </c>
      <c r="DW68" s="9" t="str">
        <f t="shared" ca="1" si="81"/>
        <v/>
      </c>
      <c r="DX68" s="9" t="str">
        <f t="shared" ca="1" si="81"/>
        <v/>
      </c>
      <c r="DY68" s="9" t="str">
        <f t="shared" ca="1" si="81"/>
        <v/>
      </c>
      <c r="DZ68" s="9" t="str">
        <f t="shared" ref="DZ68:GK68" ca="1" si="82">IF(DZ41="","",ABS(DZ41))</f>
        <v/>
      </c>
      <c r="EA68" s="9" t="str">
        <f t="shared" ca="1" si="82"/>
        <v/>
      </c>
      <c r="EB68" s="9" t="str">
        <f t="shared" ca="1" si="82"/>
        <v/>
      </c>
      <c r="EC68" s="9" t="str">
        <f t="shared" ca="1" si="82"/>
        <v/>
      </c>
      <c r="ED68" s="9" t="str">
        <f t="shared" ca="1" si="82"/>
        <v/>
      </c>
      <c r="EE68" s="9" t="str">
        <f t="shared" ca="1" si="82"/>
        <v/>
      </c>
      <c r="EF68" s="9" t="str">
        <f t="shared" ca="1" si="82"/>
        <v/>
      </c>
      <c r="EG68" s="9">
        <f t="shared" ca="1" si="82"/>
        <v>4.055556594584564E-3</v>
      </c>
      <c r="EH68" s="9">
        <f t="shared" ca="1" si="82"/>
        <v>1.2508704955096928E-2</v>
      </c>
      <c r="EI68" s="9">
        <f t="shared" ca="1" si="82"/>
        <v>1.7147679670573623E-2</v>
      </c>
      <c r="EJ68" s="9">
        <f t="shared" ca="1" si="82"/>
        <v>1.7321772578730243E-2</v>
      </c>
      <c r="EK68" s="9">
        <f t="shared" ca="1" si="82"/>
        <v>7.8183892507848185E-3</v>
      </c>
      <c r="EL68" s="9">
        <f t="shared" ca="1" si="82"/>
        <v>3.7273950017524538E-3</v>
      </c>
      <c r="EM68" s="9">
        <f t="shared" ca="1" si="82"/>
        <v>7.050448708876722E-3</v>
      </c>
      <c r="EN68" s="9">
        <f t="shared" ca="1" si="82"/>
        <v>4.6563378945223555E-3</v>
      </c>
      <c r="EO68" s="9">
        <f t="shared" ca="1" si="82"/>
        <v>5.4969463151965936E-3</v>
      </c>
      <c r="EP68" s="9">
        <f t="shared" ca="1" si="82"/>
        <v>2.2108831949744001E-2</v>
      </c>
      <c r="EQ68" s="9">
        <f t="shared" ca="1" si="82"/>
        <v>2.3303804967218511E-3</v>
      </c>
      <c r="ER68" s="9">
        <f t="shared" ca="1" si="82"/>
        <v>1.7382230538434351E-2</v>
      </c>
      <c r="ES68" s="9">
        <f t="shared" ca="1" si="82"/>
        <v>8.9199845763219265E-3</v>
      </c>
      <c r="ET68" s="9">
        <f t="shared" ca="1" si="82"/>
        <v>6.9308446508185018E-3</v>
      </c>
      <c r="EU68" s="9">
        <f t="shared" ca="1" si="82"/>
        <v>4.3167178622458557E-3</v>
      </c>
      <c r="EV68" s="9">
        <f t="shared" ca="1" si="82"/>
        <v>1.2996815496832959E-3</v>
      </c>
      <c r="EW68" s="9">
        <f t="shared" ca="1" si="82"/>
        <v>1.451636880392404E-3</v>
      </c>
      <c r="EX68" s="9">
        <f t="shared" ca="1" si="82"/>
        <v>2.341708365248385E-3</v>
      </c>
      <c r="EY68" s="9">
        <f t="shared" ca="1" si="82"/>
        <v>5.112233739540506E-3</v>
      </c>
      <c r="EZ68" s="9">
        <f t="shared" ca="1" si="82"/>
        <v>2.0611942980368614E-3</v>
      </c>
      <c r="FA68" s="9">
        <f t="shared" ca="1" si="82"/>
        <v>1.0490696648457476E-2</v>
      </c>
      <c r="FB68" s="9">
        <f t="shared" ca="1" si="82"/>
        <v>3.9483901626098383E-3</v>
      </c>
      <c r="FC68" s="9">
        <f t="shared" ca="1" si="82"/>
        <v>4.9939711976980661E-3</v>
      </c>
      <c r="FD68" s="9">
        <f t="shared" ca="1" si="82"/>
        <v>1.2723082292982468E-3</v>
      </c>
      <c r="FE68" s="9">
        <f t="shared" ca="1" si="82"/>
        <v>5.7446627036972231E-4</v>
      </c>
      <c r="FF68" s="9">
        <f t="shared" ca="1" si="82"/>
        <v>8.8679131431523839E-4</v>
      </c>
      <c r="FG68" s="9">
        <f t="shared" ca="1" si="82"/>
        <v>4.5729957653206643E-3</v>
      </c>
      <c r="FH68" s="9">
        <f t="shared" ca="1" si="82"/>
        <v>1.0324430968315923E-3</v>
      </c>
      <c r="FI68" s="9">
        <f t="shared" ca="1" si="82"/>
        <v>1.757312526453858E-2</v>
      </c>
      <c r="FJ68" s="9">
        <f t="shared" ca="1" si="82"/>
        <v>2.1123414756410441E-2</v>
      </c>
      <c r="FK68" s="9">
        <f t="shared" ca="1" si="82"/>
        <v>7.3533620328994909E-3</v>
      </c>
      <c r="FL68" s="9">
        <f t="shared" ca="1" si="82"/>
        <v>7.6488608612539366E-3</v>
      </c>
      <c r="FM68" s="9">
        <f t="shared" ca="1" si="82"/>
        <v>9.3240686176234711E-3</v>
      </c>
      <c r="FN68" s="9">
        <f t="shared" ca="1" si="82"/>
        <v>1.2807762046268212E-2</v>
      </c>
      <c r="FO68" s="9">
        <f t="shared" ca="1" si="82"/>
        <v>4.1747469344570742E-3</v>
      </c>
      <c r="FP68" s="9">
        <f t="shared" ca="1" si="82"/>
        <v>3.0688389340609579E-2</v>
      </c>
      <c r="FQ68" s="9">
        <f t="shared" ca="1" si="82"/>
        <v>1.9115645960543715E-2</v>
      </c>
      <c r="FR68" s="9">
        <f t="shared" ca="1" si="82"/>
        <v>1.1550428560278991E-2</v>
      </c>
      <c r="FS68" s="9">
        <f t="shared" ca="1" si="82"/>
        <v>1.0725631982797523E-2</v>
      </c>
      <c r="FT68" s="9">
        <f t="shared" ca="1" si="82"/>
        <v>3.5966776918863186E-3</v>
      </c>
      <c r="FU68" s="9">
        <f t="shared" ca="1" si="82"/>
        <v>2.184888700715315E-3</v>
      </c>
      <c r="FV68" s="9">
        <f t="shared" ca="1" si="82"/>
        <v>2.7085263155126604E-3</v>
      </c>
      <c r="FW68" s="9">
        <f t="shared" ca="1" si="82"/>
        <v>3.3134863671511194E-3</v>
      </c>
      <c r="FX68" s="9">
        <f t="shared" ca="1" si="82"/>
        <v>7.6815428163823363E-3</v>
      </c>
      <c r="FY68" s="9">
        <f t="shared" ca="1" si="82"/>
        <v>5.1944711194231719E-3</v>
      </c>
      <c r="FZ68" s="9">
        <f t="shared" ca="1" si="82"/>
        <v>1.0343540419792907E-2</v>
      </c>
      <c r="GA68" s="9">
        <f t="shared" ca="1" si="82"/>
        <v>1.0472864624960443E-2</v>
      </c>
      <c r="GB68" s="9">
        <f t="shared" ca="1" si="82"/>
        <v>7.0346557663656384E-3</v>
      </c>
      <c r="GC68" s="9">
        <f t="shared" ca="1" si="82"/>
        <v>8.4095659183267557E-3</v>
      </c>
      <c r="GD68" s="9">
        <f t="shared" ca="1" si="82"/>
        <v>7.9826481930027615E-3</v>
      </c>
      <c r="GE68" s="9">
        <f t="shared" ca="1" si="82"/>
        <v>9.2028147141638428E-3</v>
      </c>
      <c r="GF68" s="9">
        <f t="shared" ca="1" si="82"/>
        <v>1.3571479855154278E-2</v>
      </c>
      <c r="GG68" s="9">
        <f t="shared" ca="1" si="82"/>
        <v>7.4842032699493632E-3</v>
      </c>
      <c r="GH68" s="9">
        <f t="shared" ca="1" si="82"/>
        <v>4.6235328033448209E-3</v>
      </c>
      <c r="GI68" s="9">
        <f t="shared" ca="1" si="82"/>
        <v>3.6181571293181225E-3</v>
      </c>
      <c r="GJ68" s="9">
        <f t="shared" ca="1" si="82"/>
        <v>5.0792996514357203E-3</v>
      </c>
      <c r="GK68" s="9">
        <f t="shared" ca="1" si="82"/>
        <v>6.709978637890357E-3</v>
      </c>
      <c r="GL68" s="9">
        <f t="shared" ref="GL68:IW68" ca="1" si="83">IF(GL41="","",ABS(GL41))</f>
        <v>1.6322342466794204E-2</v>
      </c>
      <c r="GM68" s="9">
        <f t="shared" ca="1" si="83"/>
        <v>6.2154170798820463E-3</v>
      </c>
      <c r="GN68" s="9" t="str">
        <f t="shared" ca="1" si="83"/>
        <v/>
      </c>
      <c r="GO68" s="9" t="str">
        <f t="shared" ca="1" si="83"/>
        <v/>
      </c>
      <c r="GP68" s="9" t="str">
        <f t="shared" ca="1" si="83"/>
        <v/>
      </c>
      <c r="GQ68" s="9" t="str">
        <f t="shared" ca="1" si="83"/>
        <v/>
      </c>
      <c r="GR68" s="9" t="str">
        <f t="shared" ca="1" si="83"/>
        <v/>
      </c>
      <c r="GS68" s="9" t="str">
        <f t="shared" ca="1" si="83"/>
        <v/>
      </c>
      <c r="GT68" s="9" t="str">
        <f t="shared" ca="1" si="83"/>
        <v/>
      </c>
      <c r="GU68" s="9" t="str">
        <f t="shared" ca="1" si="83"/>
        <v/>
      </c>
      <c r="GV68" s="9" t="str">
        <f t="shared" ca="1" si="83"/>
        <v/>
      </c>
      <c r="GW68" s="9" t="str">
        <f t="shared" ca="1" si="83"/>
        <v/>
      </c>
      <c r="GX68" s="9" t="str">
        <f t="shared" ca="1" si="83"/>
        <v/>
      </c>
      <c r="GY68" s="9" t="str">
        <f t="shared" ca="1" si="83"/>
        <v/>
      </c>
      <c r="GZ68" s="9" t="str">
        <f t="shared" ca="1" si="83"/>
        <v/>
      </c>
      <c r="HA68" s="9" t="str">
        <f t="shared" ca="1" si="83"/>
        <v/>
      </c>
      <c r="HB68" s="9" t="str">
        <f t="shared" ca="1" si="83"/>
        <v/>
      </c>
      <c r="HC68" s="9" t="str">
        <f t="shared" ca="1" si="83"/>
        <v/>
      </c>
      <c r="HD68" s="9" t="str">
        <f t="shared" ca="1" si="83"/>
        <v/>
      </c>
      <c r="HE68" s="9" t="str">
        <f t="shared" ca="1" si="83"/>
        <v/>
      </c>
      <c r="HF68" s="9" t="str">
        <f t="shared" ca="1" si="83"/>
        <v/>
      </c>
      <c r="HG68" s="9" t="str">
        <f t="shared" ca="1" si="83"/>
        <v/>
      </c>
      <c r="HH68" s="9" t="str">
        <f t="shared" ca="1" si="83"/>
        <v/>
      </c>
      <c r="HI68" s="9" t="str">
        <f t="shared" ca="1" si="83"/>
        <v/>
      </c>
      <c r="HJ68" s="9" t="str">
        <f t="shared" ca="1" si="83"/>
        <v/>
      </c>
      <c r="HK68" s="9" t="str">
        <f t="shared" ca="1" si="83"/>
        <v/>
      </c>
      <c r="HL68" s="9" t="str">
        <f t="shared" ca="1" si="83"/>
        <v/>
      </c>
      <c r="HM68" s="9" t="str">
        <f t="shared" ca="1" si="83"/>
        <v/>
      </c>
      <c r="HN68" s="9" t="str">
        <f t="shared" ca="1" si="83"/>
        <v/>
      </c>
      <c r="HO68" s="9" t="str">
        <f t="shared" ca="1" si="83"/>
        <v/>
      </c>
      <c r="HP68" s="9" t="str">
        <f t="shared" ca="1" si="83"/>
        <v/>
      </c>
      <c r="HQ68" s="9" t="str">
        <f t="shared" ca="1" si="83"/>
        <v/>
      </c>
      <c r="HR68" s="9" t="str">
        <f t="shared" ca="1" si="83"/>
        <v/>
      </c>
      <c r="HS68" s="9" t="str">
        <f t="shared" ca="1" si="83"/>
        <v/>
      </c>
      <c r="HT68" s="9" t="str">
        <f t="shared" ca="1" si="83"/>
        <v/>
      </c>
      <c r="HU68" s="9" t="str">
        <f t="shared" ca="1" si="83"/>
        <v/>
      </c>
      <c r="HV68" s="9" t="str">
        <f t="shared" ca="1" si="83"/>
        <v/>
      </c>
      <c r="HW68" s="9" t="str">
        <f t="shared" ca="1" si="83"/>
        <v/>
      </c>
      <c r="HX68" s="9" t="str">
        <f t="shared" ca="1" si="83"/>
        <v/>
      </c>
      <c r="HY68" s="9" t="str">
        <f t="shared" ca="1" si="83"/>
        <v/>
      </c>
      <c r="HZ68" s="9" t="str">
        <f t="shared" ca="1" si="83"/>
        <v/>
      </c>
      <c r="IA68" s="9" t="str">
        <f t="shared" ca="1" si="83"/>
        <v/>
      </c>
      <c r="IB68" s="9" t="str">
        <f t="shared" ca="1" si="83"/>
        <v/>
      </c>
      <c r="IC68" s="9" t="str">
        <f t="shared" ca="1" si="83"/>
        <v/>
      </c>
      <c r="ID68" s="9" t="str">
        <f t="shared" ca="1" si="83"/>
        <v/>
      </c>
      <c r="IE68" s="9" t="str">
        <f t="shared" ca="1" si="83"/>
        <v/>
      </c>
      <c r="IF68" s="9" t="str">
        <f t="shared" ca="1" si="83"/>
        <v/>
      </c>
      <c r="IG68" s="9" t="str">
        <f t="shared" ca="1" si="83"/>
        <v/>
      </c>
      <c r="IH68" s="9" t="str">
        <f t="shared" ca="1" si="83"/>
        <v/>
      </c>
      <c r="II68" s="9" t="str">
        <f t="shared" ca="1" si="83"/>
        <v/>
      </c>
      <c r="IJ68" s="9" t="str">
        <f t="shared" ca="1" si="83"/>
        <v/>
      </c>
      <c r="IK68" s="9" t="str">
        <f t="shared" ca="1" si="83"/>
        <v/>
      </c>
      <c r="IL68" s="9" t="str">
        <f t="shared" ca="1" si="83"/>
        <v/>
      </c>
      <c r="IM68" s="9" t="str">
        <f t="shared" ca="1" si="83"/>
        <v/>
      </c>
      <c r="IN68" s="9" t="str">
        <f t="shared" ca="1" si="83"/>
        <v/>
      </c>
      <c r="IO68" s="9" t="str">
        <f t="shared" ca="1" si="83"/>
        <v/>
      </c>
      <c r="IP68" s="9" t="str">
        <f t="shared" ca="1" si="83"/>
        <v/>
      </c>
      <c r="IQ68" s="9" t="str">
        <f t="shared" ca="1" si="83"/>
        <v/>
      </c>
      <c r="IR68" s="9" t="str">
        <f t="shared" ca="1" si="83"/>
        <v/>
      </c>
      <c r="IS68" s="9" t="str">
        <f t="shared" ca="1" si="83"/>
        <v/>
      </c>
      <c r="IT68" s="9" t="str">
        <f t="shared" ca="1" si="83"/>
        <v/>
      </c>
      <c r="IU68" s="9" t="str">
        <f t="shared" ca="1" si="83"/>
        <v/>
      </c>
      <c r="IV68" s="9" t="str">
        <f t="shared" ca="1" si="83"/>
        <v/>
      </c>
      <c r="IW68" s="9" t="str">
        <f t="shared" ca="1" si="83"/>
        <v/>
      </c>
      <c r="IX68" s="9" t="str">
        <f t="shared" ref="IX68:JH68" ca="1" si="84">IF(IX41="","",ABS(IX41))</f>
        <v/>
      </c>
      <c r="IY68" s="9" t="str">
        <f t="shared" ca="1" si="84"/>
        <v/>
      </c>
      <c r="IZ68" s="9" t="str">
        <f t="shared" ca="1" si="84"/>
        <v/>
      </c>
      <c r="JA68" s="9" t="str">
        <f t="shared" ca="1" si="84"/>
        <v/>
      </c>
      <c r="JB68" s="9" t="str">
        <f t="shared" ca="1" si="84"/>
        <v/>
      </c>
      <c r="JC68" s="9" t="str">
        <f t="shared" ca="1" si="84"/>
        <v/>
      </c>
      <c r="JD68" s="9" t="str">
        <f t="shared" ca="1" si="84"/>
        <v/>
      </c>
      <c r="JE68" s="9" t="str">
        <f t="shared" ca="1" si="84"/>
        <v/>
      </c>
      <c r="JF68" s="9" t="str">
        <f t="shared" ca="1" si="84"/>
        <v/>
      </c>
      <c r="JG68" s="9" t="str">
        <f t="shared" ca="1" si="84"/>
        <v/>
      </c>
      <c r="JH68" s="9" t="str">
        <f t="shared" ca="1" si="84"/>
        <v/>
      </c>
      <c r="JI68" s="13">
        <f t="shared" ca="1" si="24"/>
        <v>8.7201974528055629E-3</v>
      </c>
      <c r="JJ68" s="13">
        <f t="shared" ca="1" si="25"/>
        <v>7.4842032699493632E-3</v>
      </c>
      <c r="JK68" s="14">
        <f t="shared" ca="1" si="26"/>
        <v>3.7194566205141641E-5</v>
      </c>
      <c r="JL68" s="17">
        <f t="shared" ca="1" si="34"/>
        <v>6.0987348036409686E-3</v>
      </c>
      <c r="JM68" s="15" t="str">
        <f t="shared" ca="1" si="27"/>
        <v>[ -0,35% ; 2,09% ]</v>
      </c>
      <c r="JN68" s="17">
        <f t="shared" ca="1" si="28"/>
        <v>7.8063805486604399E-3</v>
      </c>
      <c r="LY68" s="1"/>
    </row>
    <row r="70" spans="1:337" hidden="1" x14ac:dyDescent="0.25"/>
    <row r="71" spans="1:337" hidden="1" x14ac:dyDescent="0.25"/>
    <row r="72" spans="1:337" hidden="1" x14ac:dyDescent="0.25"/>
    <row r="73" spans="1:337" hidden="1" x14ac:dyDescent="0.25"/>
    <row r="74" spans="1:337" hidden="1" x14ac:dyDescent="0.25"/>
    <row r="75" spans="1:337" hidden="1" x14ac:dyDescent="0.25"/>
    <row r="76" spans="1:337" hidden="1" x14ac:dyDescent="0.25"/>
    <row r="77" spans="1:337" hidden="1" x14ac:dyDescent="0.25"/>
    <row r="78" spans="1:337" hidden="1" x14ac:dyDescent="0.25"/>
    <row r="79" spans="1:337" hidden="1" x14ac:dyDescent="0.25"/>
    <row r="80" spans="1:337" hidden="1" x14ac:dyDescent="0.25"/>
    <row r="81" spans="1:336" hidden="1" x14ac:dyDescent="0.25"/>
    <row r="82" spans="1:336" x14ac:dyDescent="0.25">
      <c r="A82" s="3" t="s">
        <v>1</v>
      </c>
      <c r="B82" s="7">
        <v>37986</v>
      </c>
      <c r="C82" s="7">
        <v>38017</v>
      </c>
      <c r="D82" s="7">
        <v>38046</v>
      </c>
      <c r="E82" s="7">
        <v>38077</v>
      </c>
      <c r="F82" s="7">
        <v>38107</v>
      </c>
      <c r="G82" s="7">
        <v>38138</v>
      </c>
      <c r="H82" s="7">
        <v>38168</v>
      </c>
      <c r="I82" s="7">
        <v>38199</v>
      </c>
      <c r="J82" s="7">
        <v>38230</v>
      </c>
      <c r="K82" s="7">
        <v>38260</v>
      </c>
      <c r="L82" s="7">
        <v>38291</v>
      </c>
      <c r="M82" s="7">
        <v>38321</v>
      </c>
      <c r="N82" s="7">
        <v>38352</v>
      </c>
      <c r="O82" s="7">
        <v>38383</v>
      </c>
      <c r="P82" s="7">
        <v>38411</v>
      </c>
      <c r="Q82" s="7">
        <v>38442</v>
      </c>
      <c r="R82" s="7">
        <v>38472</v>
      </c>
      <c r="S82" s="7">
        <v>38503</v>
      </c>
      <c r="T82" s="7">
        <v>38533</v>
      </c>
      <c r="U82" s="7">
        <v>38564</v>
      </c>
      <c r="V82" s="7">
        <v>38595</v>
      </c>
      <c r="W82" s="7">
        <v>38625</v>
      </c>
      <c r="X82" s="7">
        <v>38656</v>
      </c>
      <c r="Y82" s="7">
        <v>38686</v>
      </c>
      <c r="Z82" s="7">
        <v>38717</v>
      </c>
      <c r="AA82" s="7">
        <v>38748</v>
      </c>
      <c r="AB82" s="7">
        <v>38776</v>
      </c>
      <c r="AC82" s="7">
        <v>38807</v>
      </c>
      <c r="AD82" s="7">
        <v>38837</v>
      </c>
      <c r="AE82" s="7">
        <v>38868</v>
      </c>
      <c r="AF82" s="7">
        <v>38898</v>
      </c>
      <c r="AG82" s="7">
        <v>38929</v>
      </c>
      <c r="AH82" s="7">
        <v>38960</v>
      </c>
      <c r="AI82" s="7">
        <v>38990</v>
      </c>
      <c r="AJ82" s="7">
        <v>39021</v>
      </c>
      <c r="AK82" s="7">
        <v>39051</v>
      </c>
      <c r="AL82" s="7">
        <v>39082</v>
      </c>
      <c r="AM82" s="7">
        <v>39113</v>
      </c>
      <c r="AN82" s="7">
        <v>39141</v>
      </c>
      <c r="AO82" s="7">
        <v>39172</v>
      </c>
      <c r="AP82" s="7">
        <v>39202</v>
      </c>
      <c r="AQ82" s="7">
        <v>39233</v>
      </c>
      <c r="AR82" s="7">
        <v>39263</v>
      </c>
      <c r="AS82" s="7">
        <v>39294</v>
      </c>
      <c r="AT82" s="7">
        <v>39325</v>
      </c>
      <c r="AU82" s="7">
        <v>39355</v>
      </c>
      <c r="AV82" s="7">
        <v>39386</v>
      </c>
      <c r="AW82" s="7">
        <v>39416</v>
      </c>
      <c r="AX82" s="7">
        <v>39447</v>
      </c>
      <c r="AY82" s="7">
        <v>39478</v>
      </c>
      <c r="AZ82" s="7">
        <v>39507</v>
      </c>
      <c r="BA82" s="7">
        <v>39538</v>
      </c>
      <c r="BB82" s="7">
        <v>39568</v>
      </c>
      <c r="BC82" s="7">
        <v>39599</v>
      </c>
      <c r="BD82" s="7">
        <v>39629</v>
      </c>
      <c r="BE82" s="7">
        <v>39660</v>
      </c>
      <c r="BF82" s="7">
        <v>39691</v>
      </c>
      <c r="BG82" s="7">
        <v>39721</v>
      </c>
      <c r="BH82" s="7">
        <v>39752</v>
      </c>
      <c r="BI82" s="7">
        <v>39782</v>
      </c>
      <c r="BJ82" s="7">
        <v>39813</v>
      </c>
      <c r="BK82" s="7">
        <v>39844</v>
      </c>
      <c r="BL82" s="7">
        <v>39872</v>
      </c>
      <c r="BM82" s="7">
        <v>39903</v>
      </c>
      <c r="BN82" s="7">
        <v>39933</v>
      </c>
      <c r="BO82" s="7">
        <v>39964</v>
      </c>
      <c r="BP82" s="7">
        <v>39994</v>
      </c>
      <c r="BQ82" s="7">
        <v>40025</v>
      </c>
      <c r="BR82" s="7">
        <v>40056</v>
      </c>
      <c r="BS82" s="7">
        <v>40086</v>
      </c>
      <c r="BT82" s="7">
        <v>40117</v>
      </c>
      <c r="BU82" s="7">
        <v>40147</v>
      </c>
      <c r="BV82" s="7">
        <v>40178</v>
      </c>
      <c r="BW82" s="7">
        <v>40209</v>
      </c>
      <c r="BX82" s="7">
        <v>40237</v>
      </c>
      <c r="BY82" s="7">
        <v>40268</v>
      </c>
      <c r="BZ82" s="7">
        <v>40298</v>
      </c>
      <c r="CA82" s="7">
        <v>40329</v>
      </c>
      <c r="CB82" s="7">
        <v>40359</v>
      </c>
      <c r="CC82" s="7">
        <v>40390</v>
      </c>
      <c r="CD82" s="7">
        <v>40421</v>
      </c>
      <c r="CE82" s="7">
        <v>40451</v>
      </c>
      <c r="CF82" s="7">
        <v>40482</v>
      </c>
      <c r="CG82" s="7">
        <v>40512</v>
      </c>
      <c r="CH82" s="7">
        <v>40543</v>
      </c>
      <c r="CI82" s="7">
        <v>40574</v>
      </c>
      <c r="CJ82" s="7">
        <v>40602</v>
      </c>
      <c r="CK82" s="7">
        <v>40633</v>
      </c>
      <c r="CL82" s="7">
        <v>40663</v>
      </c>
      <c r="CM82" s="7">
        <v>40694</v>
      </c>
      <c r="CN82" s="7">
        <v>40724</v>
      </c>
      <c r="CO82" s="7">
        <v>40755</v>
      </c>
      <c r="CP82" s="7">
        <v>40786</v>
      </c>
      <c r="CQ82" s="7">
        <v>40816</v>
      </c>
      <c r="CR82" s="7">
        <v>40847</v>
      </c>
      <c r="CS82" s="7">
        <v>40877</v>
      </c>
      <c r="CT82" s="7">
        <v>40908</v>
      </c>
      <c r="CU82" s="7">
        <v>40939</v>
      </c>
      <c r="CV82" s="7">
        <v>40968</v>
      </c>
      <c r="CW82" s="7">
        <v>40999</v>
      </c>
      <c r="CX82" s="7">
        <v>41029</v>
      </c>
      <c r="CY82" s="7">
        <v>41060</v>
      </c>
      <c r="CZ82" s="7">
        <v>41090</v>
      </c>
      <c r="DA82" s="7">
        <v>41121</v>
      </c>
      <c r="DB82" s="7">
        <v>41152</v>
      </c>
      <c r="DC82" s="7">
        <v>41182</v>
      </c>
      <c r="DD82" s="7">
        <v>41213</v>
      </c>
      <c r="DE82" s="7">
        <v>41243</v>
      </c>
      <c r="DF82" s="7">
        <v>41274</v>
      </c>
      <c r="DG82" s="7">
        <v>41305</v>
      </c>
      <c r="DH82" s="7">
        <v>41333</v>
      </c>
      <c r="DI82" s="7">
        <v>41364</v>
      </c>
      <c r="DJ82" s="7">
        <v>41394</v>
      </c>
      <c r="DK82" s="7">
        <v>41425</v>
      </c>
      <c r="DL82" s="7">
        <v>41455</v>
      </c>
      <c r="DM82" s="7">
        <v>41486</v>
      </c>
      <c r="DN82" s="7">
        <v>41517</v>
      </c>
      <c r="DO82" s="7">
        <v>41547</v>
      </c>
      <c r="DP82" s="7">
        <v>41578</v>
      </c>
      <c r="DQ82" s="7">
        <v>41608</v>
      </c>
      <c r="DR82" s="7">
        <v>41639</v>
      </c>
      <c r="DS82" s="7">
        <v>41670</v>
      </c>
      <c r="DT82" s="7">
        <v>41698</v>
      </c>
      <c r="DU82" s="7">
        <v>41729</v>
      </c>
      <c r="DV82" s="7">
        <v>41759</v>
      </c>
      <c r="DW82" s="7">
        <v>41790</v>
      </c>
      <c r="DX82" s="7">
        <v>41820</v>
      </c>
      <c r="DY82" s="7">
        <v>41851</v>
      </c>
      <c r="DZ82" s="7">
        <v>41882</v>
      </c>
      <c r="EA82" s="7">
        <v>41912</v>
      </c>
      <c r="EB82" s="7">
        <v>41943</v>
      </c>
      <c r="EC82" s="7">
        <v>41973</v>
      </c>
      <c r="ED82" s="7">
        <v>42004</v>
      </c>
      <c r="EE82" s="7">
        <v>42035</v>
      </c>
      <c r="EF82" s="7">
        <v>42063</v>
      </c>
      <c r="EG82" s="7">
        <v>42094</v>
      </c>
      <c r="EH82" s="7">
        <v>42124</v>
      </c>
      <c r="EI82" s="7">
        <v>42155</v>
      </c>
      <c r="EJ82" s="7">
        <v>42185</v>
      </c>
      <c r="EK82" s="7">
        <v>42216</v>
      </c>
      <c r="EL82" s="7">
        <v>42247</v>
      </c>
      <c r="EM82" s="7">
        <v>42277</v>
      </c>
      <c r="EN82" s="7">
        <v>42308</v>
      </c>
      <c r="EO82" s="7">
        <v>42338</v>
      </c>
      <c r="EP82" s="7">
        <v>42369</v>
      </c>
      <c r="EQ82" s="7">
        <v>42400</v>
      </c>
      <c r="ER82" s="7">
        <v>42429</v>
      </c>
      <c r="ES82" s="7">
        <v>42460</v>
      </c>
      <c r="ET82" s="7">
        <v>42490</v>
      </c>
      <c r="EU82" s="7">
        <v>42521</v>
      </c>
      <c r="EV82" s="7">
        <v>42551</v>
      </c>
      <c r="EW82" s="7">
        <v>42582</v>
      </c>
      <c r="EX82" s="7">
        <v>42613</v>
      </c>
      <c r="EY82" s="7">
        <v>42643</v>
      </c>
      <c r="EZ82" s="7">
        <v>42674</v>
      </c>
      <c r="FA82" s="7">
        <v>42704</v>
      </c>
      <c r="FB82" s="7">
        <v>42735</v>
      </c>
      <c r="FC82" s="7">
        <v>42766</v>
      </c>
      <c r="FD82" s="7">
        <v>42794</v>
      </c>
      <c r="FE82" s="7">
        <v>42825</v>
      </c>
      <c r="FF82" s="7">
        <v>42855</v>
      </c>
      <c r="FG82" s="7">
        <v>42886</v>
      </c>
      <c r="FH82" s="7">
        <v>42916</v>
      </c>
      <c r="FI82" s="7">
        <v>42947</v>
      </c>
      <c r="FJ82" s="7">
        <v>42978</v>
      </c>
      <c r="FK82" s="7">
        <v>43008</v>
      </c>
      <c r="FL82" s="7">
        <v>43039</v>
      </c>
      <c r="FM82" s="7">
        <v>43069</v>
      </c>
      <c r="FN82" s="7">
        <v>43100</v>
      </c>
      <c r="FO82" s="7">
        <v>43131</v>
      </c>
      <c r="FP82" s="7">
        <v>43159</v>
      </c>
      <c r="FQ82" s="7">
        <v>43190</v>
      </c>
      <c r="FR82" s="7">
        <v>43220</v>
      </c>
      <c r="FS82" s="7">
        <v>43251</v>
      </c>
      <c r="FT82" s="7">
        <v>43281</v>
      </c>
      <c r="FU82" s="7">
        <v>43312</v>
      </c>
      <c r="FV82" s="7">
        <v>43343</v>
      </c>
      <c r="FW82" s="7">
        <v>43373</v>
      </c>
      <c r="FX82" s="7">
        <v>43404</v>
      </c>
      <c r="FY82" s="7">
        <v>43434</v>
      </c>
      <c r="FZ82" s="7">
        <v>43465</v>
      </c>
      <c r="GA82" s="7">
        <v>43496</v>
      </c>
      <c r="GB82" s="7">
        <v>43524</v>
      </c>
      <c r="GC82" s="7">
        <v>43555</v>
      </c>
      <c r="GD82" s="7">
        <v>43585</v>
      </c>
      <c r="GE82" s="7">
        <v>43616</v>
      </c>
      <c r="GF82" s="7">
        <v>43646</v>
      </c>
      <c r="GG82" s="7">
        <v>43677</v>
      </c>
      <c r="GH82" s="7">
        <v>43708</v>
      </c>
      <c r="GI82" s="7">
        <v>43738</v>
      </c>
      <c r="GJ82" s="7">
        <v>43769</v>
      </c>
      <c r="GK82" s="7">
        <v>43799</v>
      </c>
      <c r="GL82" s="7">
        <v>43830</v>
      </c>
      <c r="GM82" s="7">
        <v>43861</v>
      </c>
      <c r="GN82" s="7">
        <v>43890</v>
      </c>
      <c r="GO82" s="7">
        <v>43921</v>
      </c>
      <c r="GP82" s="7">
        <v>43951</v>
      </c>
      <c r="GQ82" s="7">
        <v>43982</v>
      </c>
      <c r="GR82" s="7">
        <v>44012</v>
      </c>
      <c r="GS82" s="7">
        <v>44043</v>
      </c>
      <c r="GT82" s="7">
        <v>44074</v>
      </c>
      <c r="GU82" s="7">
        <v>44104</v>
      </c>
      <c r="GV82" s="7">
        <v>44135</v>
      </c>
      <c r="GW82" s="7">
        <v>44165</v>
      </c>
      <c r="GX82" s="7">
        <v>44196</v>
      </c>
      <c r="GY82" s="7">
        <v>44227</v>
      </c>
      <c r="GZ82" s="7">
        <v>44255</v>
      </c>
      <c r="HA82" s="7">
        <v>44286</v>
      </c>
      <c r="HB82" s="7">
        <v>44316</v>
      </c>
      <c r="HC82" s="7">
        <v>44347</v>
      </c>
      <c r="HD82" s="7">
        <v>44377</v>
      </c>
      <c r="HE82" s="7">
        <v>44408</v>
      </c>
      <c r="HF82" s="7">
        <v>44439</v>
      </c>
      <c r="HG82" s="7">
        <v>44469</v>
      </c>
      <c r="HH82" s="7">
        <v>44500</v>
      </c>
      <c r="HI82" s="7">
        <v>44530</v>
      </c>
      <c r="HJ82" s="7">
        <v>44561</v>
      </c>
      <c r="HK82" s="7">
        <v>44592</v>
      </c>
      <c r="HL82" s="7">
        <v>44620</v>
      </c>
      <c r="HM82" s="7">
        <v>44651</v>
      </c>
      <c r="HN82" s="7">
        <v>44681</v>
      </c>
      <c r="HO82" s="7">
        <v>44712</v>
      </c>
      <c r="HP82" s="7">
        <v>44742</v>
      </c>
      <c r="HQ82" s="7">
        <v>44773</v>
      </c>
      <c r="HR82" s="7">
        <v>44804</v>
      </c>
      <c r="HS82" s="7">
        <v>44834</v>
      </c>
      <c r="HT82" s="7">
        <v>44865</v>
      </c>
      <c r="HU82" s="7">
        <v>44895</v>
      </c>
      <c r="HV82" s="7">
        <v>44926</v>
      </c>
      <c r="HW82" s="7">
        <v>44957</v>
      </c>
      <c r="HX82" s="7">
        <v>44985</v>
      </c>
      <c r="HY82" s="7">
        <v>45016</v>
      </c>
      <c r="HZ82" s="7">
        <v>45046</v>
      </c>
      <c r="IA82" s="7">
        <v>45077</v>
      </c>
      <c r="IB82" s="7">
        <v>45107</v>
      </c>
      <c r="IC82" s="7">
        <v>45138</v>
      </c>
      <c r="ID82" s="7">
        <v>45169</v>
      </c>
      <c r="IE82" s="7">
        <v>45199</v>
      </c>
      <c r="IF82" s="7">
        <v>45230</v>
      </c>
      <c r="IG82" s="7">
        <v>45260</v>
      </c>
      <c r="IH82" s="7">
        <v>45291</v>
      </c>
      <c r="II82" s="7">
        <v>45322</v>
      </c>
      <c r="IJ82" s="7">
        <v>45351</v>
      </c>
      <c r="IK82" s="7">
        <v>45382</v>
      </c>
      <c r="IL82" s="7">
        <v>45412</v>
      </c>
      <c r="IM82" s="7">
        <v>45443</v>
      </c>
      <c r="IN82" s="7">
        <v>45473</v>
      </c>
      <c r="IO82" s="7">
        <v>45504</v>
      </c>
      <c r="IP82" s="7">
        <v>45535</v>
      </c>
      <c r="IQ82" s="7">
        <v>45565</v>
      </c>
      <c r="IR82" s="7">
        <v>45596</v>
      </c>
      <c r="IS82" s="7">
        <v>45626</v>
      </c>
      <c r="IT82" s="7">
        <v>45657</v>
      </c>
      <c r="IU82" s="7">
        <v>45688</v>
      </c>
      <c r="IV82" s="7">
        <v>45716</v>
      </c>
      <c r="IW82" s="7">
        <v>45747</v>
      </c>
      <c r="IX82" s="7">
        <v>45777</v>
      </c>
      <c r="IY82" s="7">
        <v>45808</v>
      </c>
      <c r="IZ82" s="7">
        <v>45838</v>
      </c>
      <c r="JA82" s="7">
        <v>45869</v>
      </c>
      <c r="JB82" s="7">
        <v>45900</v>
      </c>
      <c r="JC82" s="7">
        <v>45930</v>
      </c>
      <c r="JD82" s="7">
        <v>45961</v>
      </c>
      <c r="JE82" s="7">
        <v>45991</v>
      </c>
      <c r="JF82" s="7">
        <v>46022</v>
      </c>
      <c r="JG82" s="7">
        <v>46053</v>
      </c>
      <c r="JH82" s="7">
        <v>46081</v>
      </c>
      <c r="LT82"/>
      <c r="LU82"/>
      <c r="LV82"/>
      <c r="LW82"/>
      <c r="LX82"/>
    </row>
    <row r="83" spans="1:336" x14ac:dyDescent="0.25"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>
        <f t="shared" ref="AA83:CL83" ca="1" si="85">IF(AA3="","",AVERAGE(Y57:Z57)+CONFIDENCE(0.05,STDEV(B57:Z57),COUNT(B57:Z57)))</f>
        <v>8.9226624298609745E-4</v>
      </c>
      <c r="AB83" s="22">
        <f t="shared" ca="1" si="85"/>
        <v>8.5114989209790352E-4</v>
      </c>
      <c r="AC83" s="22">
        <f t="shared" ca="1" si="85"/>
        <v>9.4616839348693731E-4</v>
      </c>
      <c r="AD83" s="22">
        <f t="shared" ca="1" si="85"/>
        <v>5.6980216433547676E-4</v>
      </c>
      <c r="AE83" s="22">
        <f t="shared" ca="1" si="85"/>
        <v>3.637187078816453E-4</v>
      </c>
      <c r="AF83" s="22">
        <f t="shared" ca="1" si="85"/>
        <v>4.2314729597956477E-4</v>
      </c>
      <c r="AG83" s="22">
        <f t="shared" ca="1" si="85"/>
        <v>6.1086638464603903E-4</v>
      </c>
      <c r="AH83" s="22">
        <f t="shared" ca="1" si="85"/>
        <v>9.3889211642687897E-4</v>
      </c>
      <c r="AI83" s="22">
        <f t="shared" ca="1" si="85"/>
        <v>9.0379469571606535E-4</v>
      </c>
      <c r="AJ83" s="22">
        <f t="shared" ca="1" si="85"/>
        <v>8.8403470168191929E-4</v>
      </c>
      <c r="AK83" s="22">
        <f t="shared" ca="1" si="85"/>
        <v>7.162279618259913E-4</v>
      </c>
      <c r="AL83" s="22">
        <f t="shared" ca="1" si="85"/>
        <v>8.1294276527364294E-4</v>
      </c>
      <c r="AM83" s="22">
        <f t="shared" ca="1" si="85"/>
        <v>9.3989751299289391E-4</v>
      </c>
      <c r="AN83" s="22">
        <f t="shared" ca="1" si="85"/>
        <v>1.3794879203582169E-3</v>
      </c>
      <c r="AO83" s="22">
        <f t="shared" ca="1" si="85"/>
        <v>2.0520846868023719E-3</v>
      </c>
      <c r="AP83" s="22">
        <f t="shared" ca="1" si="85"/>
        <v>1.2755488363305327E-3</v>
      </c>
      <c r="AQ83" s="22">
        <f t="shared" ca="1" si="85"/>
        <v>4.7028318164706257E-4</v>
      </c>
      <c r="AR83" s="22">
        <f t="shared" ca="1" si="85"/>
        <v>1.1071211962835445E-3</v>
      </c>
      <c r="AS83" s="22">
        <f t="shared" ca="1" si="85"/>
        <v>1.4111471985437769E-3</v>
      </c>
      <c r="AT83" s="22">
        <f t="shared" ca="1" si="85"/>
        <v>6.559301546774502E-4</v>
      </c>
      <c r="AU83" s="22">
        <f t="shared" ca="1" si="85"/>
        <v>5.4709592337866687E-4</v>
      </c>
      <c r="AV83" s="22">
        <f t="shared" ca="1" si="85"/>
        <v>9.2506134701908309E-4</v>
      </c>
      <c r="AW83" s="22">
        <f t="shared" ca="1" si="85"/>
        <v>9.332308663888597E-4</v>
      </c>
      <c r="AX83" s="22">
        <f t="shared" ca="1" si="85"/>
        <v>1.4387013123372129E-3</v>
      </c>
      <c r="AY83" s="22">
        <f t="shared" ca="1" si="85"/>
        <v>2.2255366722650598E-3</v>
      </c>
      <c r="AZ83" s="22">
        <f t="shared" ca="1" si="85"/>
        <v>3.152800637005895E-3</v>
      </c>
      <c r="BA83" s="22">
        <f t="shared" ca="1" si="85"/>
        <v>2.3831583620834906E-3</v>
      </c>
      <c r="BB83" s="22">
        <f t="shared" ca="1" si="85"/>
        <v>2.2209590494542629E-3</v>
      </c>
      <c r="BC83" s="22">
        <f t="shared" ca="1" si="85"/>
        <v>3.1272458393065581E-3</v>
      </c>
      <c r="BD83" s="22">
        <f t="shared" ca="1" si="85"/>
        <v>2.2983848563290226E-3</v>
      </c>
      <c r="BE83" s="22">
        <f t="shared" ca="1" si="85"/>
        <v>1.7480898556651685E-3</v>
      </c>
      <c r="BF83" s="22">
        <f t="shared" ca="1" si="85"/>
        <v>2.0919864331078362E-3</v>
      </c>
      <c r="BG83" s="22">
        <f t="shared" ca="1" si="85"/>
        <v>1.8806049080975309E-3</v>
      </c>
      <c r="BH83" s="22">
        <f t="shared" ca="1" si="85"/>
        <v>2.3612503846572965E-3</v>
      </c>
      <c r="BI83" s="22">
        <f t="shared" ca="1" si="85"/>
        <v>3.6307855365556485E-3</v>
      </c>
      <c r="BJ83" s="22">
        <f t="shared" ca="1" si="85"/>
        <v>2.537072696078971E-3</v>
      </c>
      <c r="BK83" s="22">
        <f t="shared" ca="1" si="85"/>
        <v>1.3811395300540802E-3</v>
      </c>
      <c r="BL83" s="22">
        <f t="shared" ca="1" si="85"/>
        <v>1.2938036402551406E-3</v>
      </c>
      <c r="BM83" s="22">
        <f t="shared" ca="1" si="85"/>
        <v>9.1534203383036481E-4</v>
      </c>
      <c r="BN83" s="22">
        <f t="shared" ca="1" si="85"/>
        <v>9.0809007031248756E-4</v>
      </c>
      <c r="BO83" s="22">
        <f t="shared" ca="1" si="85"/>
        <v>2.2956640968830331E-3</v>
      </c>
      <c r="BP83" s="22">
        <f t="shared" ca="1" si="85"/>
        <v>3.7176683094882622E-3</v>
      </c>
      <c r="BQ83" s="22">
        <f t="shared" ca="1" si="85"/>
        <v>2.2830121584857714E-3</v>
      </c>
      <c r="BR83" s="22">
        <f t="shared" ca="1" si="85"/>
        <v>6.7031360811013079E-4</v>
      </c>
      <c r="BS83" s="22">
        <f t="shared" ca="1" si="85"/>
        <v>5.8865273807804242E-4</v>
      </c>
      <c r="BT83" s="22">
        <f t="shared" ca="1" si="85"/>
        <v>9.7015121679039416E-4</v>
      </c>
      <c r="BU83" s="22">
        <f t="shared" ca="1" si="85"/>
        <v>2.3282016857340297E-3</v>
      </c>
      <c r="BV83" s="22">
        <f t="shared" ca="1" si="85"/>
        <v>2.6762595401259317E-3</v>
      </c>
      <c r="BW83" s="22">
        <f t="shared" ca="1" si="85"/>
        <v>1.358320897251861E-3</v>
      </c>
      <c r="BX83" s="22">
        <f t="shared" ca="1" si="85"/>
        <v>9.8681860506454077E-4</v>
      </c>
      <c r="BY83" s="22">
        <f t="shared" ca="1" si="85"/>
        <v>1.719129266886532E-3</v>
      </c>
      <c r="BZ83" s="22">
        <f t="shared" ca="1" si="85"/>
        <v>2.5883097835978628E-3</v>
      </c>
      <c r="CA83" s="22">
        <f t="shared" ca="1" si="85"/>
        <v>2.2559620953613644E-3</v>
      </c>
      <c r="CB83" s="22">
        <f t="shared" ca="1" si="85"/>
        <v>9.2268683406293421E-4</v>
      </c>
      <c r="CC83" s="22">
        <f t="shared" ca="1" si="85"/>
        <v>9.3024570936720897E-4</v>
      </c>
      <c r="CD83" s="22">
        <f t="shared" ca="1" si="85"/>
        <v>1.4997234015830209E-3</v>
      </c>
      <c r="CE83" s="22">
        <f t="shared" ca="1" si="85"/>
        <v>1.1631055220217104E-3</v>
      </c>
      <c r="CF83" s="22">
        <f t="shared" ca="1" si="85"/>
        <v>9.5798595206480217E-4</v>
      </c>
      <c r="CG83" s="22">
        <f t="shared" ca="1" si="85"/>
        <v>1.1965033590561865E-3</v>
      </c>
      <c r="CH83" s="22">
        <f t="shared" ca="1" si="85"/>
        <v>1.1103249206504823E-3</v>
      </c>
      <c r="CI83" s="22">
        <f t="shared" ca="1" si="85"/>
        <v>1.2963013859469703E-3</v>
      </c>
      <c r="CJ83" s="22">
        <f t="shared" ca="1" si="85"/>
        <v>1.5337293290013248E-3</v>
      </c>
      <c r="CK83" s="22">
        <f t="shared" ca="1" si="85"/>
        <v>2.4209070008568644E-3</v>
      </c>
      <c r="CL83" s="22">
        <f t="shared" ca="1" si="85"/>
        <v>1.946211373613583E-3</v>
      </c>
      <c r="CM83" s="22">
        <f t="shared" ref="CM83:EX83" ca="1" si="86">IF(CM3="","",AVERAGE(CK57:CL57)+CONFIDENCE(0.05,STDEV(BN57:CL57),COUNT(BN57:CL57)))</f>
        <v>1.2613337676472629E-3</v>
      </c>
      <c r="CN83" s="22">
        <f t="shared" ca="1" si="86"/>
        <v>1.6733023799932257E-3</v>
      </c>
      <c r="CO83" s="22">
        <f t="shared" ca="1" si="86"/>
        <v>1.7744434158917244E-3</v>
      </c>
      <c r="CP83" s="22">
        <f t="shared" ca="1" si="86"/>
        <v>1.947891566108892E-3</v>
      </c>
      <c r="CQ83" s="22">
        <f t="shared" ca="1" si="86"/>
        <v>1.3980801538747501E-3</v>
      </c>
      <c r="CR83" s="22">
        <f t="shared" ca="1" si="86"/>
        <v>9.4424041625273752E-4</v>
      </c>
      <c r="CS83" s="22">
        <f t="shared" ca="1" si="86"/>
        <v>9.2854697136165272E-4</v>
      </c>
      <c r="CT83" s="22">
        <f t="shared" ca="1" si="86"/>
        <v>1.0220228357474153E-3</v>
      </c>
      <c r="CU83" s="22">
        <f t="shared" ca="1" si="86"/>
        <v>3.4191362281996134E-3</v>
      </c>
      <c r="CV83" s="22">
        <f t="shared" ca="1" si="86"/>
        <v>5.9184013497767859E-3</v>
      </c>
      <c r="CW83" s="22">
        <f t="shared" ca="1" si="86"/>
        <v>3.8593197738414969E-3</v>
      </c>
      <c r="CX83" s="22">
        <f t="shared" ca="1" si="86"/>
        <v>1.6451561389611391E-3</v>
      </c>
      <c r="CY83" s="22">
        <f t="shared" ca="1" si="86"/>
        <v>1.1206728574437641E-3</v>
      </c>
      <c r="CZ83" s="22">
        <f t="shared" ca="1" si="86"/>
        <v>7.2391399200623179E-4</v>
      </c>
      <c r="DA83" s="22">
        <f t="shared" ca="1" si="86"/>
        <v>8.9176385653482902E-4</v>
      </c>
      <c r="DB83" s="22">
        <f t="shared" ca="1" si="86"/>
        <v>1.4398616017095387E-3</v>
      </c>
      <c r="DC83" s="22">
        <f t="shared" ca="1" si="86"/>
        <v>1.4569556970557397E-3</v>
      </c>
      <c r="DD83" s="22">
        <f t="shared" ca="1" si="86"/>
        <v>1.373806046296226E-3</v>
      </c>
      <c r="DE83" s="22">
        <f t="shared" ca="1" si="86"/>
        <v>1.4120546202909439E-3</v>
      </c>
      <c r="DF83" s="22">
        <f t="shared" ca="1" si="86"/>
        <v>9.0893200314608267E-4</v>
      </c>
      <c r="DG83" s="22">
        <f t="shared" ca="1" si="86"/>
        <v>1.0140359654288091E-3</v>
      </c>
      <c r="DH83" s="22">
        <f t="shared" ca="1" si="86"/>
        <v>1.4617246329849671E-3</v>
      </c>
      <c r="DI83" s="22">
        <f t="shared" ca="1" si="86"/>
        <v>2.0495975418695052E-3</v>
      </c>
      <c r="DJ83" s="22">
        <f t="shared" ca="1" si="86"/>
        <v>2.5633355937892477E-3</v>
      </c>
      <c r="DK83" s="22">
        <f t="shared" ca="1" si="86"/>
        <v>2.6897504169892499E-3</v>
      </c>
      <c r="DL83" s="22">
        <f t="shared" ca="1" si="86"/>
        <v>1.8710609030825804E-3</v>
      </c>
      <c r="DM83" s="22">
        <f t="shared" ca="1" si="86"/>
        <v>1.2612136622691776E-3</v>
      </c>
      <c r="DN83" s="22">
        <f t="shared" ca="1" si="86"/>
        <v>2.2637802068857251E-3</v>
      </c>
      <c r="DO83" s="22">
        <f t="shared" ca="1" si="86"/>
        <v>2.1411911776188751E-3</v>
      </c>
      <c r="DP83" s="22">
        <f t="shared" ca="1" si="86"/>
        <v>1.4807990557393082E-3</v>
      </c>
      <c r="DQ83" s="22">
        <f t="shared" ca="1" si="86"/>
        <v>1.825268920964854E-3</v>
      </c>
      <c r="DR83" s="22">
        <f t="shared" ca="1" si="86"/>
        <v>1.2689250834327101E-3</v>
      </c>
      <c r="DS83" s="22">
        <f t="shared" ca="1" si="86"/>
        <v>1.3849486616139663E-3</v>
      </c>
      <c r="DT83" s="22">
        <f t="shared" ca="1" si="86"/>
        <v>1.6182721204187039E-3</v>
      </c>
      <c r="DU83" s="22">
        <f t="shared" ca="1" si="86"/>
        <v>7.7975412220177183E-4</v>
      </c>
      <c r="DV83" s="22">
        <f t="shared" ca="1" si="86"/>
        <v>9.5224757528462975E-4</v>
      </c>
      <c r="DW83" s="22">
        <f t="shared" ca="1" si="86"/>
        <v>1.0944224902757294E-3</v>
      </c>
      <c r="DX83" s="22">
        <f t="shared" ca="1" si="86"/>
        <v>5.9627629089369148E-4</v>
      </c>
      <c r="DY83" s="22">
        <f t="shared" ca="1" si="86"/>
        <v>1.4472358129648721E-3</v>
      </c>
      <c r="DZ83" s="22">
        <f t="shared" ca="1" si="86"/>
        <v>1.8241186128166032E-3</v>
      </c>
      <c r="EA83" s="22">
        <f t="shared" ca="1" si="86"/>
        <v>1.4271084185678855E-3</v>
      </c>
      <c r="EB83" s="22">
        <f t="shared" ca="1" si="86"/>
        <v>1.2383560765413207E-3</v>
      </c>
      <c r="EC83" s="22" t="str">
        <f t="shared" si="86"/>
        <v/>
      </c>
      <c r="ED83" s="22" t="e">
        <f t="shared" ca="1" si="86"/>
        <v>#DIV/0!</v>
      </c>
      <c r="EE83" s="22">
        <f t="shared" ca="1" si="86"/>
        <v>7.0002634098375737E-4</v>
      </c>
      <c r="EF83" s="22" t="str">
        <f t="shared" si="86"/>
        <v/>
      </c>
      <c r="EG83" s="22" t="e">
        <f t="shared" ca="1" si="86"/>
        <v>#DIV/0!</v>
      </c>
      <c r="EH83" s="22">
        <f t="shared" ca="1" si="86"/>
        <v>1.3853382813500193E-3</v>
      </c>
      <c r="EI83" s="22">
        <f t="shared" ca="1" si="86"/>
        <v>9.887294272448925E-4</v>
      </c>
      <c r="EJ83" s="22">
        <f t="shared" ca="1" si="86"/>
        <v>4.8135973627738877E-4</v>
      </c>
      <c r="EK83" s="22">
        <f t="shared" ca="1" si="86"/>
        <v>1.0101678816893318E-3</v>
      </c>
      <c r="EL83" s="22">
        <f t="shared" ca="1" si="86"/>
        <v>1.4670750331981825E-3</v>
      </c>
      <c r="EM83" s="22">
        <f t="shared" ca="1" si="86"/>
        <v>7.7347334910949197E-4</v>
      </c>
      <c r="EN83" s="22">
        <f t="shared" ca="1" si="86"/>
        <v>5.5831402854555575E-4</v>
      </c>
      <c r="EO83" s="22">
        <f t="shared" ca="1" si="86"/>
        <v>6.0322866208162556E-4</v>
      </c>
      <c r="EP83" s="22">
        <f t="shared" ca="1" si="86"/>
        <v>4.2229968487124507E-3</v>
      </c>
      <c r="EQ83" s="22">
        <f t="shared" ca="1" si="86"/>
        <v>7.2903001581686921E-3</v>
      </c>
      <c r="ER83" s="22">
        <f t="shared" ca="1" si="86"/>
        <v>4.632751469833744E-3</v>
      </c>
      <c r="ES83" s="22">
        <f t="shared" ca="1" si="86"/>
        <v>2.2253944698717456E-3</v>
      </c>
      <c r="ET83" s="22">
        <f t="shared" ca="1" si="86"/>
        <v>1.803203272347021E-3</v>
      </c>
      <c r="EU83" s="22">
        <f t="shared" ca="1" si="86"/>
        <v>1.357516235870544E-3</v>
      </c>
      <c r="EV83" s="22">
        <f t="shared" ca="1" si="86"/>
        <v>1.3072132606740316E-3</v>
      </c>
      <c r="EW83" s="22">
        <f t="shared" ca="1" si="86"/>
        <v>1.4477805977631802E-3</v>
      </c>
      <c r="EX83" s="22">
        <f t="shared" ca="1" si="86"/>
        <v>1.1096056853462175E-3</v>
      </c>
      <c r="EY83" s="22">
        <f t="shared" ref="EY83:HJ83" ca="1" si="87">IF(EY3="","",AVERAGE(EW57:EX57)+CONFIDENCE(0.05,STDEV(DZ57:EX57),COUNT(DZ57:EX57)))</f>
        <v>1.3568212686535866E-3</v>
      </c>
      <c r="EZ83" s="22">
        <f t="shared" ca="1" si="87"/>
        <v>1.8923118360282174E-3</v>
      </c>
      <c r="FA83" s="22">
        <f t="shared" ca="1" si="87"/>
        <v>1.7940664850051482E-3</v>
      </c>
      <c r="FB83" s="22">
        <f t="shared" ca="1" si="87"/>
        <v>1.6679805502355632E-3</v>
      </c>
      <c r="FC83" s="22">
        <f t="shared" ca="1" si="87"/>
        <v>2.2407762304925416E-3</v>
      </c>
      <c r="FD83" s="22">
        <f t="shared" ca="1" si="87"/>
        <v>2.4627048698435509E-3</v>
      </c>
      <c r="FE83" s="22">
        <f t="shared" ca="1" si="87"/>
        <v>1.4448567322079518E-3</v>
      </c>
      <c r="FF83" s="22">
        <f t="shared" ca="1" si="87"/>
        <v>7.7513835465473568E-4</v>
      </c>
      <c r="FG83" s="22">
        <f t="shared" ca="1" si="87"/>
        <v>1.0135659683554055E-3</v>
      </c>
      <c r="FH83" s="22">
        <f t="shared" ca="1" si="87"/>
        <v>1.5445456331258753E-3</v>
      </c>
      <c r="FI83" s="22">
        <f t="shared" ca="1" si="87"/>
        <v>2.9349377422200427E-3</v>
      </c>
      <c r="FJ83" s="22">
        <f t="shared" ca="1" si="87"/>
        <v>2.7774036468131151E-3</v>
      </c>
      <c r="FK83" s="22">
        <f t="shared" ca="1" si="87"/>
        <v>2.391326769620717E-3</v>
      </c>
      <c r="FL83" s="22">
        <f t="shared" ca="1" si="87"/>
        <v>2.0521121015593196E-3</v>
      </c>
      <c r="FM83" s="22">
        <f t="shared" ca="1" si="87"/>
        <v>1.1200735835369192E-3</v>
      </c>
      <c r="FN83" s="22">
        <f t="shared" ca="1" si="87"/>
        <v>1.0929975280937897E-3</v>
      </c>
      <c r="FO83" s="22">
        <f t="shared" ca="1" si="87"/>
        <v>1.3240550628345791E-3</v>
      </c>
      <c r="FP83" s="22">
        <f t="shared" ca="1" si="87"/>
        <v>3.1836962383614553E-3</v>
      </c>
      <c r="FQ83" s="22">
        <f t="shared" ca="1" si="87"/>
        <v>3.0296446558951452E-3</v>
      </c>
      <c r="FR83" s="22">
        <f t="shared" ca="1" si="87"/>
        <v>1.5497651288071681E-3</v>
      </c>
      <c r="FS83" s="22">
        <f t="shared" ca="1" si="87"/>
        <v>1.0452149263953641E-3</v>
      </c>
      <c r="FT83" s="22">
        <f t="shared" ca="1" si="87"/>
        <v>8.9265961707569422E-4</v>
      </c>
      <c r="FU83" s="22">
        <f t="shared" ca="1" si="87"/>
        <v>1.6751124433982763E-3</v>
      </c>
      <c r="FV83" s="22">
        <f t="shared" ca="1" si="87"/>
        <v>1.3547123898294041E-3</v>
      </c>
      <c r="FW83" s="22">
        <f t="shared" ca="1" si="87"/>
        <v>9.9490659560085536E-4</v>
      </c>
      <c r="FX83" s="22">
        <f t="shared" ca="1" si="87"/>
        <v>1.6043617990861201E-3</v>
      </c>
      <c r="FY83" s="22">
        <f t="shared" ca="1" si="87"/>
        <v>1.4507322624293956E-3</v>
      </c>
      <c r="FZ83" s="22">
        <f t="shared" ca="1" si="87"/>
        <v>1.1871202435288911E-3</v>
      </c>
      <c r="GA83" s="22">
        <f t="shared" ca="1" si="87"/>
        <v>2.5043726621875378E-3</v>
      </c>
      <c r="GB83" s="22">
        <f t="shared" ca="1" si="87"/>
        <v>2.1488556253426482E-3</v>
      </c>
      <c r="GC83" s="22">
        <f t="shared" ca="1" si="87"/>
        <v>9.9478865886720312E-4</v>
      </c>
      <c r="GD83" s="22">
        <f t="shared" ca="1" si="87"/>
        <v>1.0325962959063695E-3</v>
      </c>
      <c r="GE83" s="22">
        <f t="shared" ca="1" si="87"/>
        <v>9.3679385301220796E-4</v>
      </c>
      <c r="GF83" s="22">
        <f t="shared" ca="1" si="87"/>
        <v>1.577787191337739E-3</v>
      </c>
      <c r="GG83" s="22">
        <f t="shared" ca="1" si="87"/>
        <v>1.2640776715835934E-3</v>
      </c>
      <c r="GH83" s="22">
        <f t="shared" ca="1" si="87"/>
        <v>7.1940462824483711E-4</v>
      </c>
      <c r="GI83" s="22">
        <f t="shared" ca="1" si="87"/>
        <v>6.9450279015432115E-4</v>
      </c>
      <c r="GJ83" s="22">
        <f t="shared" ca="1" si="87"/>
        <v>6.5069016948281645E-4</v>
      </c>
      <c r="GK83" s="22">
        <f t="shared" ca="1" si="87"/>
        <v>7.8445967209623581E-4</v>
      </c>
      <c r="GL83" s="22">
        <f t="shared" ca="1" si="87"/>
        <v>1.3264544643760271E-3</v>
      </c>
      <c r="GM83" s="22">
        <f t="shared" ca="1" si="87"/>
        <v>1.9116147883694759E-3</v>
      </c>
      <c r="GN83" s="22">
        <f t="shared" ca="1" si="87"/>
        <v>2.0649906392203243E-3</v>
      </c>
      <c r="GO83" s="22">
        <f t="shared" ca="1" si="87"/>
        <v>4.7821383192918412E-3</v>
      </c>
      <c r="GP83" s="22">
        <f t="shared" ca="1" si="87"/>
        <v>1.3709220111633445E-2</v>
      </c>
      <c r="GQ83" s="22">
        <f t="shared" ca="1" si="87"/>
        <v>1.3837913454588012E-2</v>
      </c>
      <c r="GR83" s="22">
        <f t="shared" ca="1" si="87"/>
        <v>8.4819944097323623E-3</v>
      </c>
      <c r="GS83" s="22">
        <f t="shared" ca="1" si="87"/>
        <v>7.8993530821150626E-3</v>
      </c>
      <c r="GT83" s="22">
        <f t="shared" ca="1" si="87"/>
        <v>4.6078519016263669E-3</v>
      </c>
      <c r="GU83" s="22">
        <f t="shared" ca="1" si="87"/>
        <v>2.0912015972541324E-3</v>
      </c>
      <c r="GV83" s="22">
        <f t="shared" ca="1" si="87"/>
        <v>2.2943472203891639E-3</v>
      </c>
      <c r="GW83" s="22">
        <f t="shared" ca="1" si="87"/>
        <v>2.1300386733249387E-3</v>
      </c>
      <c r="GX83" s="22">
        <f t="shared" ca="1" si="87"/>
        <v>1.8476767922039369E-3</v>
      </c>
      <c r="GY83" s="22">
        <f t="shared" ca="1" si="87"/>
        <v>1.9699587239286956E-3</v>
      </c>
      <c r="GZ83" s="22">
        <f t="shared" ca="1" si="87"/>
        <v>2.0856250451155543E-3</v>
      </c>
      <c r="HA83" s="22" t="str">
        <f t="shared" si="87"/>
        <v/>
      </c>
      <c r="HB83" s="22" t="str">
        <f t="shared" si="87"/>
        <v/>
      </c>
      <c r="HC83" s="22" t="str">
        <f t="shared" si="87"/>
        <v/>
      </c>
      <c r="HD83" s="22" t="str">
        <f t="shared" si="87"/>
        <v/>
      </c>
      <c r="HE83" s="22" t="str">
        <f t="shared" si="87"/>
        <v/>
      </c>
      <c r="HF83" s="22" t="str">
        <f t="shared" si="87"/>
        <v/>
      </c>
      <c r="HG83" s="22" t="str">
        <f t="shared" si="87"/>
        <v/>
      </c>
      <c r="HH83" s="22" t="str">
        <f t="shared" si="87"/>
        <v/>
      </c>
      <c r="HI83" s="22" t="str">
        <f t="shared" si="87"/>
        <v/>
      </c>
      <c r="HJ83" s="22" t="str">
        <f t="shared" si="87"/>
        <v/>
      </c>
      <c r="HK83" s="22" t="str">
        <f t="shared" ref="HK83:JH83" si="88">IF(HK3="","",AVERAGE(HI57:HJ57)+CONFIDENCE(0.05,STDEV(GL57:HJ57),COUNT(GL57:HJ57)))</f>
        <v/>
      </c>
      <c r="HL83" s="22" t="str">
        <f t="shared" si="88"/>
        <v/>
      </c>
      <c r="HM83" s="22" t="str">
        <f t="shared" si="88"/>
        <v/>
      </c>
      <c r="HN83" s="22" t="str">
        <f t="shared" si="88"/>
        <v/>
      </c>
      <c r="HO83" s="22" t="str">
        <f t="shared" si="88"/>
        <v/>
      </c>
      <c r="HP83" s="22" t="str">
        <f t="shared" si="88"/>
        <v/>
      </c>
      <c r="HQ83" s="22" t="str">
        <f t="shared" si="88"/>
        <v/>
      </c>
      <c r="HR83" s="22" t="str">
        <f t="shared" si="88"/>
        <v/>
      </c>
      <c r="HS83" s="22" t="str">
        <f t="shared" si="88"/>
        <v/>
      </c>
      <c r="HT83" s="22" t="str">
        <f t="shared" si="88"/>
        <v/>
      </c>
      <c r="HU83" s="22" t="str">
        <f t="shared" si="88"/>
        <v/>
      </c>
      <c r="HV83" s="22" t="str">
        <f t="shared" si="88"/>
        <v/>
      </c>
      <c r="HW83" s="22" t="str">
        <f t="shared" si="88"/>
        <v/>
      </c>
      <c r="HX83" s="22" t="str">
        <f t="shared" si="88"/>
        <v/>
      </c>
      <c r="HY83" s="22" t="str">
        <f t="shared" si="88"/>
        <v/>
      </c>
      <c r="HZ83" s="22" t="str">
        <f t="shared" si="88"/>
        <v/>
      </c>
      <c r="IA83" s="22" t="str">
        <f t="shared" si="88"/>
        <v/>
      </c>
      <c r="IB83" s="22" t="str">
        <f t="shared" si="88"/>
        <v/>
      </c>
      <c r="IC83" s="22" t="str">
        <f t="shared" si="88"/>
        <v/>
      </c>
      <c r="ID83" s="22" t="str">
        <f t="shared" si="88"/>
        <v/>
      </c>
      <c r="IE83" s="22" t="str">
        <f t="shared" si="88"/>
        <v/>
      </c>
      <c r="IF83" s="22" t="str">
        <f t="shared" si="88"/>
        <v/>
      </c>
      <c r="IG83" s="22" t="str">
        <f t="shared" si="88"/>
        <v/>
      </c>
      <c r="IH83" s="22" t="str">
        <f t="shared" si="88"/>
        <v/>
      </c>
      <c r="II83" s="22" t="str">
        <f t="shared" si="88"/>
        <v/>
      </c>
      <c r="IJ83" s="22" t="str">
        <f t="shared" si="88"/>
        <v/>
      </c>
      <c r="IK83" s="22" t="str">
        <f t="shared" si="88"/>
        <v/>
      </c>
      <c r="IL83" s="22" t="str">
        <f t="shared" si="88"/>
        <v/>
      </c>
      <c r="IM83" s="22" t="str">
        <f t="shared" si="88"/>
        <v/>
      </c>
      <c r="IN83" s="22" t="str">
        <f t="shared" si="88"/>
        <v/>
      </c>
      <c r="IO83" s="22" t="str">
        <f t="shared" si="88"/>
        <v/>
      </c>
      <c r="IP83" s="22" t="str">
        <f t="shared" si="88"/>
        <v/>
      </c>
      <c r="IQ83" s="22" t="str">
        <f t="shared" si="88"/>
        <v/>
      </c>
      <c r="IR83" s="22" t="str">
        <f t="shared" si="88"/>
        <v/>
      </c>
      <c r="IS83" s="22" t="str">
        <f t="shared" si="88"/>
        <v/>
      </c>
      <c r="IT83" s="22" t="str">
        <f t="shared" si="88"/>
        <v/>
      </c>
      <c r="IU83" s="22" t="str">
        <f t="shared" si="88"/>
        <v/>
      </c>
      <c r="IV83" s="22" t="str">
        <f t="shared" si="88"/>
        <v/>
      </c>
      <c r="IW83" s="22" t="str">
        <f t="shared" si="88"/>
        <v/>
      </c>
      <c r="IX83" s="22" t="str">
        <f t="shared" si="88"/>
        <v/>
      </c>
      <c r="IY83" s="22" t="str">
        <f t="shared" si="88"/>
        <v/>
      </c>
      <c r="IZ83" s="22" t="str">
        <f t="shared" si="88"/>
        <v/>
      </c>
      <c r="JA83" s="22" t="str">
        <f t="shared" si="88"/>
        <v/>
      </c>
      <c r="JB83" s="22" t="str">
        <f t="shared" si="88"/>
        <v/>
      </c>
      <c r="JC83" s="22" t="str">
        <f t="shared" si="88"/>
        <v/>
      </c>
      <c r="JD83" s="22" t="str">
        <f t="shared" si="88"/>
        <v/>
      </c>
      <c r="JE83" s="22" t="str">
        <f t="shared" si="88"/>
        <v/>
      </c>
      <c r="JF83" s="22" t="str">
        <f t="shared" si="88"/>
        <v/>
      </c>
      <c r="JG83" s="22" t="str">
        <f t="shared" si="88"/>
        <v/>
      </c>
      <c r="JH83" s="22" t="str">
        <f t="shared" si="88"/>
        <v/>
      </c>
    </row>
    <row r="84" spans="1:336" x14ac:dyDescent="0.25"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>
        <f t="shared" ref="AA84:CL84" ca="1" si="89">IF(AA4="","",AVERAGE(X58:Z58)+CONFIDENCE(0.05,STDEV(B58:Z58),COUNT(B58:Z58)))</f>
        <v>1.4000535573319402E-3</v>
      </c>
      <c r="AB84" s="22">
        <f t="shared" ca="1" si="89"/>
        <v>1.4254695435795041E-3</v>
      </c>
      <c r="AC84" s="22">
        <f t="shared" ca="1" si="89"/>
        <v>1.2102715381409617E-3</v>
      </c>
      <c r="AD84" s="22">
        <f t="shared" ca="1" si="89"/>
        <v>8.2306872958662336E-4</v>
      </c>
      <c r="AE84" s="22">
        <f t="shared" ca="1" si="89"/>
        <v>8.8467333501557181E-4</v>
      </c>
      <c r="AF84" s="22">
        <f t="shared" ca="1" si="89"/>
        <v>8.86190660189128E-4</v>
      </c>
      <c r="AG84" s="22">
        <f t="shared" ca="1" si="89"/>
        <v>8.545487835688835E-4</v>
      </c>
      <c r="AH84" s="22">
        <f t="shared" ca="1" si="89"/>
        <v>8.1707540927826255E-4</v>
      </c>
      <c r="AI84" s="22">
        <f t="shared" ca="1" si="89"/>
        <v>1.0199277772752226E-3</v>
      </c>
      <c r="AJ84" s="22">
        <f t="shared" ca="1" si="89"/>
        <v>1.3373790945826595E-3</v>
      </c>
      <c r="AK84" s="22">
        <f t="shared" ca="1" si="89"/>
        <v>1.6628259050311008E-3</v>
      </c>
      <c r="AL84" s="22">
        <f t="shared" ca="1" si="89"/>
        <v>1.8480817909978661E-3</v>
      </c>
      <c r="AM84" s="22">
        <f t="shared" ca="1" si="89"/>
        <v>2.3782044843327151E-3</v>
      </c>
      <c r="AN84" s="22">
        <f t="shared" ca="1" si="89"/>
        <v>3.3236881793604939E-3</v>
      </c>
      <c r="AO84" s="22">
        <f t="shared" ca="1" si="89"/>
        <v>3.3101175350519854E-3</v>
      </c>
      <c r="AP84" s="22">
        <f t="shared" ca="1" si="89"/>
        <v>2.5711254100555035E-3</v>
      </c>
      <c r="AQ84" s="22">
        <f t="shared" ca="1" si="89"/>
        <v>1.6387563293740427E-3</v>
      </c>
      <c r="AR84" s="22">
        <f t="shared" ca="1" si="89"/>
        <v>1.7932533617843304E-3</v>
      </c>
      <c r="AS84" s="22">
        <f t="shared" ca="1" si="89"/>
        <v>1.8624908619241875E-3</v>
      </c>
      <c r="AT84" s="22">
        <f t="shared" ca="1" si="89"/>
        <v>1.6731327001280613E-3</v>
      </c>
      <c r="AU84" s="22">
        <f t="shared" ca="1" si="89"/>
        <v>1.3003663935737698E-3</v>
      </c>
      <c r="AV84" s="22">
        <f t="shared" ca="1" si="89"/>
        <v>1.1140722539043409E-3</v>
      </c>
      <c r="AW84" s="22">
        <f t="shared" ca="1" si="89"/>
        <v>1.8682110404114579E-3</v>
      </c>
      <c r="AX84" s="22">
        <f t="shared" ca="1" si="89"/>
        <v>3.4011677738121663E-3</v>
      </c>
      <c r="AY84" s="22">
        <f t="shared" ca="1" si="89"/>
        <v>5.5510708966410929E-3</v>
      </c>
      <c r="AZ84" s="22">
        <f t="shared" ca="1" si="89"/>
        <v>6.4626629530547472E-3</v>
      </c>
      <c r="BA84" s="22">
        <f t="shared" ca="1" si="89"/>
        <v>6.0574613043230833E-3</v>
      </c>
      <c r="BB84" s="22">
        <f t="shared" ca="1" si="89"/>
        <v>6.2228916935070013E-3</v>
      </c>
      <c r="BC84" s="22">
        <f t="shared" ca="1" si="89"/>
        <v>6.2132310900412362E-3</v>
      </c>
      <c r="BD84" s="22">
        <f t="shared" ca="1" si="89"/>
        <v>5.6637565769934407E-3</v>
      </c>
      <c r="BE84" s="22">
        <f t="shared" ca="1" si="89"/>
        <v>4.7151014390622746E-3</v>
      </c>
      <c r="BF84" s="22">
        <f t="shared" ca="1" si="89"/>
        <v>4.1729413509162044E-3</v>
      </c>
      <c r="BG84" s="22">
        <f t="shared" ca="1" si="89"/>
        <v>4.6380570582074737E-3</v>
      </c>
      <c r="BH84" s="22">
        <f t="shared" ca="1" si="89"/>
        <v>6.2321795630320923E-3</v>
      </c>
      <c r="BI84" s="22">
        <f t="shared" ca="1" si="89"/>
        <v>6.6307306547975804E-3</v>
      </c>
      <c r="BJ84" s="22">
        <f t="shared" ca="1" si="89"/>
        <v>6.3696594738397484E-3</v>
      </c>
      <c r="BK84" s="22">
        <f t="shared" ca="1" si="89"/>
        <v>4.5799183645109775E-3</v>
      </c>
      <c r="BL84" s="22">
        <f t="shared" ca="1" si="89"/>
        <v>3.442023083429595E-3</v>
      </c>
      <c r="BM84" s="22">
        <f t="shared" ca="1" si="89"/>
        <v>2.7474221097968095E-3</v>
      </c>
      <c r="BN84" s="22">
        <f t="shared" ca="1" si="89"/>
        <v>3.0944257695329543E-3</v>
      </c>
      <c r="BO84" s="22">
        <f t="shared" ca="1" si="89"/>
        <v>5.515947915595047E-3</v>
      </c>
      <c r="BP84" s="22">
        <f t="shared" ca="1" si="89"/>
        <v>7.1739290507775982E-3</v>
      </c>
      <c r="BQ84" s="22">
        <f t="shared" ca="1" si="89"/>
        <v>6.1539330159191587E-3</v>
      </c>
      <c r="BR84" s="22">
        <f t="shared" ca="1" si="89"/>
        <v>3.5392235121439711E-3</v>
      </c>
      <c r="BS84" s="22">
        <f t="shared" ca="1" si="89"/>
        <v>1.5882814065987147E-3</v>
      </c>
      <c r="BT84" s="22">
        <f t="shared" ca="1" si="89"/>
        <v>1.659679172203042E-3</v>
      </c>
      <c r="BU84" s="22">
        <f t="shared" ca="1" si="89"/>
        <v>3.5706980652113335E-3</v>
      </c>
      <c r="BV84" s="22">
        <f t="shared" ca="1" si="89"/>
        <v>4.4140625901623563E-3</v>
      </c>
      <c r="BW84" s="22">
        <f t="shared" ca="1" si="89"/>
        <v>4.6214179705882782E-3</v>
      </c>
      <c r="BX84" s="22">
        <f t="shared" ca="1" si="89"/>
        <v>2.761780152271538E-3</v>
      </c>
      <c r="BY84" s="22">
        <f t="shared" ca="1" si="89"/>
        <v>3.5626833167460787E-3</v>
      </c>
      <c r="BZ84" s="22">
        <f t="shared" ca="1" si="89"/>
        <v>4.9076594154274355E-3</v>
      </c>
      <c r="CA84" s="22">
        <f t="shared" ca="1" si="89"/>
        <v>5.1438454347627928E-3</v>
      </c>
      <c r="CB84" s="22">
        <f t="shared" ca="1" si="89"/>
        <v>3.6539071189134482E-3</v>
      </c>
      <c r="CC84" s="22">
        <f t="shared" ca="1" si="89"/>
        <v>2.7911987507578725E-3</v>
      </c>
      <c r="CD84" s="22">
        <f t="shared" ca="1" si="89"/>
        <v>2.9995325605200632E-3</v>
      </c>
      <c r="CE84" s="22">
        <f t="shared" ca="1" si="89"/>
        <v>2.9496156696779993E-3</v>
      </c>
      <c r="CF84" s="22">
        <f t="shared" ca="1" si="89"/>
        <v>2.1241075836808468E-3</v>
      </c>
      <c r="CG84" s="22">
        <f t="shared" ca="1" si="89"/>
        <v>1.922485386806574E-3</v>
      </c>
      <c r="CH84" s="22">
        <f t="shared" ca="1" si="89"/>
        <v>1.8699438488713237E-3</v>
      </c>
      <c r="CI84" s="22">
        <f t="shared" ca="1" si="89"/>
        <v>1.7485643681652932E-3</v>
      </c>
      <c r="CJ84" s="22">
        <f t="shared" ca="1" si="89"/>
        <v>1.3981281117179376E-3</v>
      </c>
      <c r="CK84" s="22">
        <f t="shared" ca="1" si="89"/>
        <v>2.8783746362136533E-3</v>
      </c>
      <c r="CL84" s="22">
        <f t="shared" ca="1" si="89"/>
        <v>3.4700977517700448E-3</v>
      </c>
      <c r="CM84" s="22">
        <f t="shared" ref="CM84:EX84" ca="1" si="90">IF(CM4="","",AVERAGE(CJ58:CL58)+CONFIDENCE(0.05,STDEV(BN58:CL58),COUNT(BN58:CL58)))</f>
        <v>3.5966629139391288E-3</v>
      </c>
      <c r="CN84" s="22">
        <f t="shared" ca="1" si="90"/>
        <v>3.0932848181330777E-3</v>
      </c>
      <c r="CO84" s="22">
        <f t="shared" ca="1" si="90"/>
        <v>3.8588816207458174E-3</v>
      </c>
      <c r="CP84" s="22">
        <f t="shared" ca="1" si="90"/>
        <v>3.8890691915994206E-3</v>
      </c>
      <c r="CQ84" s="22">
        <f t="shared" ca="1" si="90"/>
        <v>2.9266805520806131E-3</v>
      </c>
      <c r="CR84" s="22">
        <f t="shared" ca="1" si="90"/>
        <v>1.993752985037899E-3</v>
      </c>
      <c r="CS84" s="22">
        <f t="shared" ca="1" si="90"/>
        <v>2.1771830748104027E-3</v>
      </c>
      <c r="CT84" s="22">
        <f t="shared" ca="1" si="90"/>
        <v>3.9281152528569101E-3</v>
      </c>
      <c r="CU84" s="22">
        <f t="shared" ca="1" si="90"/>
        <v>4.028580472054912E-3</v>
      </c>
      <c r="CV84" s="22">
        <f t="shared" ca="1" si="90"/>
        <v>6.8952589607208662E-3</v>
      </c>
      <c r="CW84" s="22">
        <f t="shared" ca="1" si="90"/>
        <v>5.9009297571204801E-3</v>
      </c>
      <c r="CX84" s="22">
        <f t="shared" ca="1" si="90"/>
        <v>5.8690068925805004E-3</v>
      </c>
      <c r="CY84" s="22">
        <f t="shared" ca="1" si="90"/>
        <v>2.6591902784172941E-3</v>
      </c>
      <c r="CZ84" s="22">
        <f t="shared" ca="1" si="90"/>
        <v>1.6218263205239466E-3</v>
      </c>
      <c r="DA84" s="22">
        <f t="shared" ca="1" si="90"/>
        <v>1.2679313512916123E-3</v>
      </c>
      <c r="DB84" s="22">
        <f t="shared" ca="1" si="90"/>
        <v>1.973015441972501E-3</v>
      </c>
      <c r="DC84" s="22">
        <f t="shared" ca="1" si="90"/>
        <v>2.0900137569752003E-3</v>
      </c>
      <c r="DD84" s="22">
        <f t="shared" ca="1" si="90"/>
        <v>2.4402535645219833E-3</v>
      </c>
      <c r="DE84" s="22">
        <f t="shared" ca="1" si="90"/>
        <v>1.8164259517833036E-3</v>
      </c>
      <c r="DF84" s="22">
        <f t="shared" ca="1" si="90"/>
        <v>1.8389104322141989E-3</v>
      </c>
      <c r="DG84" s="22">
        <f t="shared" ca="1" si="90"/>
        <v>1.9813124400633207E-3</v>
      </c>
      <c r="DH84" s="22">
        <f t="shared" ca="1" si="90"/>
        <v>1.8715725181757291E-3</v>
      </c>
      <c r="DI84" s="22">
        <f t="shared" ca="1" si="90"/>
        <v>3.437864731021284E-3</v>
      </c>
      <c r="DJ84" s="22">
        <f t="shared" ca="1" si="90"/>
        <v>4.8213566686304034E-3</v>
      </c>
      <c r="DK84" s="22">
        <f t="shared" ca="1" si="90"/>
        <v>6.090017529520592E-3</v>
      </c>
      <c r="DL84" s="22">
        <f t="shared" ca="1" si="90"/>
        <v>4.9856339701035007E-3</v>
      </c>
      <c r="DM84" s="22">
        <f t="shared" ca="1" si="90"/>
        <v>3.2338985388982266E-3</v>
      </c>
      <c r="DN84" s="22">
        <f t="shared" ca="1" si="90"/>
        <v>3.1676810720462373E-3</v>
      </c>
      <c r="DO84" s="22">
        <f t="shared" ca="1" si="90"/>
        <v>3.3399463804867648E-3</v>
      </c>
      <c r="DP84" s="22">
        <f t="shared" ca="1" si="90"/>
        <v>4.0240604963243179E-3</v>
      </c>
      <c r="DQ84" s="22">
        <f t="shared" ca="1" si="90"/>
        <v>3.4372613780743375E-3</v>
      </c>
      <c r="DR84" s="22">
        <f t="shared" ca="1" si="90"/>
        <v>3.287635768837813E-3</v>
      </c>
      <c r="DS84" s="22">
        <f t="shared" ca="1" si="90"/>
        <v>2.7666649420979616E-3</v>
      </c>
      <c r="DT84" s="22">
        <f t="shared" ca="1" si="90"/>
        <v>2.0729833886684165E-3</v>
      </c>
      <c r="DU84" s="22">
        <f t="shared" ca="1" si="90"/>
        <v>1.5736508929787775E-3</v>
      </c>
      <c r="DV84" s="22">
        <f t="shared" ca="1" si="90"/>
        <v>1.4308320377474492E-3</v>
      </c>
      <c r="DW84" s="22">
        <f t="shared" ca="1" si="90"/>
        <v>1.8040124451046712E-3</v>
      </c>
      <c r="DX84" s="22">
        <f t="shared" ca="1" si="90"/>
        <v>2.2944131663814532E-3</v>
      </c>
      <c r="DY84" s="22">
        <f t="shared" ca="1" si="90"/>
        <v>3.2676242440770335E-3</v>
      </c>
      <c r="DZ84" s="22">
        <f t="shared" ca="1" si="90"/>
        <v>2.9898160542624974E-3</v>
      </c>
      <c r="EA84" s="22">
        <f t="shared" ca="1" si="90"/>
        <v>3.2361824662145576E-3</v>
      </c>
      <c r="EB84" s="22">
        <f t="shared" ca="1" si="90"/>
        <v>2.4123402389668964E-3</v>
      </c>
      <c r="EC84" s="22" t="str">
        <f t="shared" si="90"/>
        <v/>
      </c>
      <c r="ED84" s="22" t="e">
        <f t="shared" ca="1" si="90"/>
        <v>#DIV/0!</v>
      </c>
      <c r="EE84" s="22" t="e">
        <f t="shared" ca="1" si="90"/>
        <v>#DIV/0!</v>
      </c>
      <c r="EF84" s="22" t="str">
        <f t="shared" si="90"/>
        <v/>
      </c>
      <c r="EG84" s="22" t="e">
        <f t="shared" ca="1" si="90"/>
        <v>#DIV/0!</v>
      </c>
      <c r="EH84" s="22">
        <f t="shared" ca="1" si="90"/>
        <v>2.8372619544083126E-3</v>
      </c>
      <c r="EI84" s="22">
        <f t="shared" ca="1" si="90"/>
        <v>1.7984437104248182E-3</v>
      </c>
      <c r="EJ84" s="22">
        <f t="shared" ca="1" si="90"/>
        <v>1.8929830821288788E-3</v>
      </c>
      <c r="EK84" s="22">
        <f t="shared" ca="1" si="90"/>
        <v>2.2575160610092508E-3</v>
      </c>
      <c r="EL84" s="22">
        <f t="shared" ca="1" si="90"/>
        <v>2.5982881307953145E-3</v>
      </c>
      <c r="EM84" s="22">
        <f t="shared" ca="1" si="90"/>
        <v>2.1500806609409664E-3</v>
      </c>
      <c r="EN84" s="22">
        <f t="shared" ca="1" si="90"/>
        <v>1.2882193040239154E-3</v>
      </c>
      <c r="EO84" s="22">
        <f t="shared" ca="1" si="90"/>
        <v>3.3285573185831063E-3</v>
      </c>
      <c r="EP84" s="22">
        <f t="shared" ca="1" si="90"/>
        <v>3.9859831012520304E-3</v>
      </c>
      <c r="EQ84" s="22">
        <f t="shared" ca="1" si="90"/>
        <v>6.7933052285738399E-3</v>
      </c>
      <c r="ER84" s="22">
        <f t="shared" ca="1" si="90"/>
        <v>4.950035774923648E-3</v>
      </c>
      <c r="ES84" s="22">
        <f t="shared" ca="1" si="90"/>
        <v>4.9666377138833607E-3</v>
      </c>
      <c r="ET84" s="22">
        <f t="shared" ca="1" si="90"/>
        <v>2.7680911298719919E-3</v>
      </c>
      <c r="EU84" s="22">
        <f t="shared" ca="1" si="90"/>
        <v>2.7482526686293577E-3</v>
      </c>
      <c r="EV84" s="22">
        <f t="shared" ca="1" si="90"/>
        <v>2.4302156400394584E-3</v>
      </c>
      <c r="EW84" s="22">
        <f t="shared" ca="1" si="90"/>
        <v>2.1641036756665562E-3</v>
      </c>
      <c r="EX84" s="22">
        <f t="shared" ca="1" si="90"/>
        <v>2.0571171778404731E-3</v>
      </c>
      <c r="EY84" s="22">
        <f t="shared" ref="EY84:HJ84" ca="1" si="91">IF(EY4="","",AVERAGE(EV58:EX58)+CONFIDENCE(0.05,STDEV(DZ58:EX58),COUNT(DZ58:EX58)))</f>
        <v>1.6695040303546338E-3</v>
      </c>
      <c r="EZ84" s="22">
        <f t="shared" ca="1" si="91"/>
        <v>2.3183528559922867E-3</v>
      </c>
      <c r="FA84" s="22">
        <f t="shared" ca="1" si="91"/>
        <v>2.081198966712894E-3</v>
      </c>
      <c r="FB84" s="22">
        <f t="shared" ca="1" si="91"/>
        <v>2.7791374345707311E-3</v>
      </c>
      <c r="FC84" s="22">
        <f t="shared" ca="1" si="91"/>
        <v>2.2902446068005368E-3</v>
      </c>
      <c r="FD84" s="22">
        <f t="shared" ca="1" si="91"/>
        <v>2.8921097128411415E-3</v>
      </c>
      <c r="FE84" s="22">
        <f t="shared" ca="1" si="91"/>
        <v>2.1609494285464961E-3</v>
      </c>
      <c r="FF84" s="22">
        <f t="shared" ca="1" si="91"/>
        <v>1.8979557922732312E-3</v>
      </c>
      <c r="FG84" s="22">
        <f t="shared" ca="1" si="91"/>
        <v>1.2547426230862069E-3</v>
      </c>
      <c r="FH84" s="22">
        <f t="shared" ca="1" si="91"/>
        <v>2.7253722570246713E-3</v>
      </c>
      <c r="FI84" s="22">
        <f t="shared" ca="1" si="91"/>
        <v>4.2885040985485966E-3</v>
      </c>
      <c r="FJ84" s="22">
        <f t="shared" ca="1" si="91"/>
        <v>4.5831381095512548E-3</v>
      </c>
      <c r="FK84" s="22">
        <f t="shared" ca="1" si="91"/>
        <v>4.2706382941825934E-3</v>
      </c>
      <c r="FL84" s="22">
        <f t="shared" ca="1" si="91"/>
        <v>2.5760898472224642E-3</v>
      </c>
      <c r="FM84" s="22">
        <f t="shared" ca="1" si="91"/>
        <v>2.480304011722459E-3</v>
      </c>
      <c r="FN84" s="22">
        <f t="shared" ca="1" si="91"/>
        <v>1.9040446877037296E-3</v>
      </c>
      <c r="FO84" s="22">
        <f t="shared" ca="1" si="91"/>
        <v>3.9855183427455797E-3</v>
      </c>
      <c r="FP84" s="22">
        <f t="shared" ca="1" si="91"/>
        <v>4.9806939859203762E-3</v>
      </c>
      <c r="FQ84" s="22">
        <f t="shared" ca="1" si="91"/>
        <v>5.3619015111527222E-3</v>
      </c>
      <c r="FR84" s="22">
        <f t="shared" ca="1" si="91"/>
        <v>4.040830491901193E-3</v>
      </c>
      <c r="FS84" s="22">
        <f t="shared" ca="1" si="91"/>
        <v>2.9618825157919446E-3</v>
      </c>
      <c r="FT84" s="22">
        <f t="shared" ca="1" si="91"/>
        <v>2.8896547625840256E-3</v>
      </c>
      <c r="FU84" s="22">
        <f t="shared" ca="1" si="91"/>
        <v>2.9660021338808532E-3</v>
      </c>
      <c r="FV84" s="22">
        <f t="shared" ca="1" si="91"/>
        <v>2.9690546969287791E-3</v>
      </c>
      <c r="FW84" s="22">
        <f t="shared" ca="1" si="91"/>
        <v>2.7687813468256907E-3</v>
      </c>
      <c r="FX84" s="22">
        <f t="shared" ca="1" si="91"/>
        <v>2.3852239337802585E-3</v>
      </c>
      <c r="FY84" s="22">
        <f t="shared" ca="1" si="91"/>
        <v>2.0696179056729335E-3</v>
      </c>
      <c r="FZ84" s="22">
        <f t="shared" ca="1" si="91"/>
        <v>1.7026675334273411E-3</v>
      </c>
      <c r="GA84" s="22">
        <f t="shared" ca="1" si="91"/>
        <v>3.1549989793053061E-3</v>
      </c>
      <c r="GB84" s="22">
        <f t="shared" ca="1" si="91"/>
        <v>3.5174348246252182E-3</v>
      </c>
      <c r="GC84" s="22">
        <f t="shared" ca="1" si="91"/>
        <v>3.3484882569861907E-3</v>
      </c>
      <c r="GD84" s="22">
        <f t="shared" ca="1" si="91"/>
        <v>1.9081286593942521E-3</v>
      </c>
      <c r="GE84" s="22">
        <f t="shared" ca="1" si="91"/>
        <v>2.4903615820963758E-3</v>
      </c>
      <c r="GF84" s="22">
        <f t="shared" ca="1" si="91"/>
        <v>2.7357582732750094E-3</v>
      </c>
      <c r="GG84" s="22">
        <f t="shared" ca="1" si="91"/>
        <v>2.4638114189278115E-3</v>
      </c>
      <c r="GH84" s="22">
        <f t="shared" ca="1" si="91"/>
        <v>1.4670852354188341E-3</v>
      </c>
      <c r="GI84" s="22">
        <f t="shared" ca="1" si="91"/>
        <v>1.0397296031534721E-3</v>
      </c>
      <c r="GJ84" s="22">
        <f t="shared" ca="1" si="91"/>
        <v>1.1130305627071926E-3</v>
      </c>
      <c r="GK84" s="22">
        <f t="shared" ca="1" si="91"/>
        <v>1.7742112838324557E-3</v>
      </c>
      <c r="GL84" s="22">
        <f t="shared" ca="1" si="91"/>
        <v>1.8650947257896114E-3</v>
      </c>
      <c r="GM84" s="22">
        <f t="shared" ca="1" si="91"/>
        <v>2.0324666904252744E-3</v>
      </c>
      <c r="GN84" s="22">
        <f t="shared" ca="1" si="91"/>
        <v>2.7568807147197302E-3</v>
      </c>
      <c r="GO84" s="22">
        <f t="shared" ca="1" si="91"/>
        <v>1.279482468584147E-2</v>
      </c>
      <c r="GP84" s="22">
        <f t="shared" ca="1" si="91"/>
        <v>1.7776389360244504E-2</v>
      </c>
      <c r="GQ84" s="22">
        <f t="shared" ca="1" si="91"/>
        <v>2.3133986516555016E-2</v>
      </c>
      <c r="GR84" s="22">
        <f t="shared" ca="1" si="91"/>
        <v>1.92280642425856E-2</v>
      </c>
      <c r="GS84" s="22">
        <f t="shared" ca="1" si="91"/>
        <v>1.7029658030154889E-2</v>
      </c>
      <c r="GT84" s="22">
        <f t="shared" ca="1" si="91"/>
        <v>1.0643754036517225E-2</v>
      </c>
      <c r="GU84" s="22">
        <f t="shared" ca="1" si="91"/>
        <v>6.004844915868477E-3</v>
      </c>
      <c r="GV84" s="22">
        <f t="shared" ca="1" si="91"/>
        <v>3.6609478095966526E-3</v>
      </c>
      <c r="GW84" s="22">
        <f t="shared" ca="1" si="91"/>
        <v>3.8257000773003129E-3</v>
      </c>
      <c r="GX84" s="22">
        <f t="shared" ca="1" si="91"/>
        <v>3.8323775715691693E-3</v>
      </c>
      <c r="GY84" s="22">
        <f t="shared" ca="1" si="91"/>
        <v>3.5742652042410382E-3</v>
      </c>
      <c r="GZ84" s="22">
        <f t="shared" ca="1" si="91"/>
        <v>3.6569315115907576E-3</v>
      </c>
      <c r="HA84" s="22" t="str">
        <f t="shared" si="91"/>
        <v/>
      </c>
      <c r="HB84" s="22" t="str">
        <f t="shared" si="91"/>
        <v/>
      </c>
      <c r="HC84" s="22" t="str">
        <f t="shared" si="91"/>
        <v/>
      </c>
      <c r="HD84" s="22" t="str">
        <f t="shared" si="91"/>
        <v/>
      </c>
      <c r="HE84" s="22" t="str">
        <f t="shared" si="91"/>
        <v/>
      </c>
      <c r="HF84" s="22" t="str">
        <f t="shared" si="91"/>
        <v/>
      </c>
      <c r="HG84" s="22" t="str">
        <f t="shared" si="91"/>
        <v/>
      </c>
      <c r="HH84" s="22" t="str">
        <f t="shared" si="91"/>
        <v/>
      </c>
      <c r="HI84" s="22" t="str">
        <f t="shared" si="91"/>
        <v/>
      </c>
      <c r="HJ84" s="22" t="str">
        <f t="shared" si="91"/>
        <v/>
      </c>
      <c r="HK84" s="22" t="str">
        <f t="shared" ref="HK84:JH84" si="92">IF(HK4="","",AVERAGE(HH58:HJ58)+CONFIDENCE(0.05,STDEV(GL58:HJ58),COUNT(GL58:HJ58)))</f>
        <v/>
      </c>
      <c r="HL84" s="22" t="str">
        <f t="shared" si="92"/>
        <v/>
      </c>
      <c r="HM84" s="22" t="str">
        <f t="shared" si="92"/>
        <v/>
      </c>
      <c r="HN84" s="22" t="str">
        <f t="shared" si="92"/>
        <v/>
      </c>
      <c r="HO84" s="22" t="str">
        <f t="shared" si="92"/>
        <v/>
      </c>
      <c r="HP84" s="22" t="str">
        <f t="shared" si="92"/>
        <v/>
      </c>
      <c r="HQ84" s="22" t="str">
        <f t="shared" si="92"/>
        <v/>
      </c>
      <c r="HR84" s="22" t="str">
        <f t="shared" si="92"/>
        <v/>
      </c>
      <c r="HS84" s="22" t="str">
        <f t="shared" si="92"/>
        <v/>
      </c>
      <c r="HT84" s="22" t="str">
        <f t="shared" si="92"/>
        <v/>
      </c>
      <c r="HU84" s="22" t="str">
        <f t="shared" si="92"/>
        <v/>
      </c>
      <c r="HV84" s="22" t="str">
        <f t="shared" si="92"/>
        <v/>
      </c>
      <c r="HW84" s="22" t="str">
        <f t="shared" si="92"/>
        <v/>
      </c>
      <c r="HX84" s="22" t="str">
        <f t="shared" si="92"/>
        <v/>
      </c>
      <c r="HY84" s="22" t="str">
        <f t="shared" si="92"/>
        <v/>
      </c>
      <c r="HZ84" s="22" t="str">
        <f t="shared" si="92"/>
        <v/>
      </c>
      <c r="IA84" s="22" t="str">
        <f t="shared" si="92"/>
        <v/>
      </c>
      <c r="IB84" s="22" t="str">
        <f t="shared" si="92"/>
        <v/>
      </c>
      <c r="IC84" s="22" t="str">
        <f t="shared" si="92"/>
        <v/>
      </c>
      <c r="ID84" s="22" t="str">
        <f t="shared" si="92"/>
        <v/>
      </c>
      <c r="IE84" s="22" t="str">
        <f t="shared" si="92"/>
        <v/>
      </c>
      <c r="IF84" s="22" t="str">
        <f t="shared" si="92"/>
        <v/>
      </c>
      <c r="IG84" s="22" t="str">
        <f t="shared" si="92"/>
        <v/>
      </c>
      <c r="IH84" s="22" t="str">
        <f t="shared" si="92"/>
        <v/>
      </c>
      <c r="II84" s="22" t="str">
        <f t="shared" si="92"/>
        <v/>
      </c>
      <c r="IJ84" s="22" t="str">
        <f t="shared" si="92"/>
        <v/>
      </c>
      <c r="IK84" s="22" t="str">
        <f t="shared" si="92"/>
        <v/>
      </c>
      <c r="IL84" s="22" t="str">
        <f t="shared" si="92"/>
        <v/>
      </c>
      <c r="IM84" s="22" t="str">
        <f t="shared" si="92"/>
        <v/>
      </c>
      <c r="IN84" s="22" t="str">
        <f t="shared" si="92"/>
        <v/>
      </c>
      <c r="IO84" s="22" t="str">
        <f t="shared" si="92"/>
        <v/>
      </c>
      <c r="IP84" s="22" t="str">
        <f t="shared" si="92"/>
        <v/>
      </c>
      <c r="IQ84" s="22" t="str">
        <f t="shared" si="92"/>
        <v/>
      </c>
      <c r="IR84" s="22" t="str">
        <f t="shared" si="92"/>
        <v/>
      </c>
      <c r="IS84" s="22" t="str">
        <f t="shared" si="92"/>
        <v/>
      </c>
      <c r="IT84" s="22" t="str">
        <f t="shared" si="92"/>
        <v/>
      </c>
      <c r="IU84" s="22" t="str">
        <f t="shared" si="92"/>
        <v/>
      </c>
      <c r="IV84" s="22" t="str">
        <f t="shared" si="92"/>
        <v/>
      </c>
      <c r="IW84" s="22" t="str">
        <f t="shared" si="92"/>
        <v/>
      </c>
      <c r="IX84" s="22" t="str">
        <f t="shared" si="92"/>
        <v/>
      </c>
      <c r="IY84" s="22" t="str">
        <f t="shared" si="92"/>
        <v/>
      </c>
      <c r="IZ84" s="22" t="str">
        <f t="shared" si="92"/>
        <v/>
      </c>
      <c r="JA84" s="22" t="str">
        <f t="shared" si="92"/>
        <v/>
      </c>
      <c r="JB84" s="22" t="str">
        <f t="shared" si="92"/>
        <v/>
      </c>
      <c r="JC84" s="22" t="str">
        <f t="shared" si="92"/>
        <v/>
      </c>
      <c r="JD84" s="22" t="str">
        <f t="shared" si="92"/>
        <v/>
      </c>
      <c r="JE84" s="22" t="str">
        <f t="shared" si="92"/>
        <v/>
      </c>
      <c r="JF84" s="22" t="str">
        <f t="shared" si="92"/>
        <v/>
      </c>
      <c r="JG84" s="22" t="str">
        <f t="shared" si="92"/>
        <v/>
      </c>
      <c r="JH84" s="22" t="str">
        <f t="shared" si="92"/>
        <v/>
      </c>
    </row>
    <row r="85" spans="1:336" x14ac:dyDescent="0.25"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>
        <f t="shared" ref="AA85:CL85" ca="1" si="93">IF(AA5="","",AVERAGE(W59:Z59)+CONFIDENCE(0.05,STDEV(B59:Z59),COUNT(B59:Z59)))</f>
        <v>1.5200174336417478E-3</v>
      </c>
      <c r="AB85" s="22">
        <f t="shared" ca="1" si="93"/>
        <v>1.5556074733261522E-3</v>
      </c>
      <c r="AC85" s="22">
        <f t="shared" ca="1" si="93"/>
        <v>1.5757563053882232E-3</v>
      </c>
      <c r="AD85" s="22">
        <f t="shared" ca="1" si="93"/>
        <v>1.0391169729762422E-3</v>
      </c>
      <c r="AE85" s="22">
        <f t="shared" ca="1" si="93"/>
        <v>1.1345947847425986E-3</v>
      </c>
      <c r="AF85" s="22">
        <f t="shared" ca="1" si="93"/>
        <v>1.0847213538879423E-3</v>
      </c>
      <c r="AG85" s="22">
        <f t="shared" ca="1" si="93"/>
        <v>9.8293093755068219E-4</v>
      </c>
      <c r="AH85" s="22">
        <f t="shared" ca="1" si="93"/>
        <v>9.2529790991974497E-4</v>
      </c>
      <c r="AI85" s="22">
        <f t="shared" ca="1" si="93"/>
        <v>1.1168489084847806E-3</v>
      </c>
      <c r="AJ85" s="22">
        <f t="shared" ca="1" si="93"/>
        <v>1.7543900785782886E-3</v>
      </c>
      <c r="AK85" s="22">
        <f t="shared" ca="1" si="93"/>
        <v>2.2809771381626038E-3</v>
      </c>
      <c r="AL85" s="22">
        <f t="shared" ca="1" si="93"/>
        <v>3.3859808401207024E-3</v>
      </c>
      <c r="AM85" s="22">
        <f t="shared" ca="1" si="93"/>
        <v>4.1278716704480009E-3</v>
      </c>
      <c r="AN85" s="22">
        <f t="shared" ca="1" si="93"/>
        <v>4.6540846168240417E-3</v>
      </c>
      <c r="AO85" s="22">
        <f t="shared" ca="1" si="93"/>
        <v>4.5851380843295762E-3</v>
      </c>
      <c r="AP85" s="22">
        <f t="shared" ca="1" si="93"/>
        <v>3.5965366484703781E-3</v>
      </c>
      <c r="AQ85" s="22">
        <f t="shared" ca="1" si="93"/>
        <v>2.8993074197723829E-3</v>
      </c>
      <c r="AR85" s="22">
        <f t="shared" ca="1" si="93"/>
        <v>2.479138233036055E-3</v>
      </c>
      <c r="AS85" s="22">
        <f t="shared" ca="1" si="93"/>
        <v>2.3359464746241197E-3</v>
      </c>
      <c r="AT85" s="22">
        <f t="shared" ca="1" si="93"/>
        <v>2.500560406660302E-3</v>
      </c>
      <c r="AU85" s="22">
        <f t="shared" ca="1" si="93"/>
        <v>2.1666549249014879E-3</v>
      </c>
      <c r="AV85" s="22">
        <f t="shared" ca="1" si="93"/>
        <v>1.8786536282091328E-3</v>
      </c>
      <c r="AW85" s="22">
        <f t="shared" ca="1" si="93"/>
        <v>3.0779758369233329E-3</v>
      </c>
      <c r="AX85" s="22">
        <f t="shared" ca="1" si="93"/>
        <v>5.6477529799839792E-3</v>
      </c>
      <c r="AY85" s="22">
        <f t="shared" ca="1" si="93"/>
        <v>7.9015340372560472E-3</v>
      </c>
      <c r="AZ85" s="22">
        <f t="shared" ca="1" si="93"/>
        <v>1.0310462785030318E-2</v>
      </c>
      <c r="BA85" s="22">
        <f t="shared" ca="1" si="93"/>
        <v>1.1023664853540973E-2</v>
      </c>
      <c r="BB85" s="22">
        <f t="shared" ca="1" si="93"/>
        <v>1.1249139209725256E-2</v>
      </c>
      <c r="BC85" s="22">
        <f t="shared" ca="1" si="93"/>
        <v>1.1107260085919071E-2</v>
      </c>
      <c r="BD85" s="22">
        <f t="shared" ca="1" si="93"/>
        <v>9.4830299572021149E-3</v>
      </c>
      <c r="BE85" s="22">
        <f t="shared" ca="1" si="93"/>
        <v>8.7274338059244189E-3</v>
      </c>
      <c r="BF85" s="22">
        <f t="shared" ca="1" si="93"/>
        <v>7.8242167583234164E-3</v>
      </c>
      <c r="BG85" s="22">
        <f t="shared" ca="1" si="93"/>
        <v>8.0550874999219257E-3</v>
      </c>
      <c r="BH85" s="22">
        <f t="shared" ca="1" si="93"/>
        <v>9.9453910992136595E-3</v>
      </c>
      <c r="BI85" s="22">
        <f t="shared" ca="1" si="93"/>
        <v>1.0904519666775022E-2</v>
      </c>
      <c r="BJ85" s="22">
        <f t="shared" ca="1" si="93"/>
        <v>1.0675783629779913E-2</v>
      </c>
      <c r="BK85" s="22">
        <f t="shared" ca="1" si="93"/>
        <v>9.5049780640844121E-3</v>
      </c>
      <c r="BL85" s="22">
        <f t="shared" ca="1" si="93"/>
        <v>7.0729343504655449E-3</v>
      </c>
      <c r="BM85" s="22">
        <f t="shared" ca="1" si="93"/>
        <v>5.9366587736022934E-3</v>
      </c>
      <c r="BN85" s="22">
        <f t="shared" ca="1" si="93"/>
        <v>6.7969028686481045E-3</v>
      </c>
      <c r="BO85" s="22">
        <f t="shared" ca="1" si="93"/>
        <v>9.0628344123230078E-3</v>
      </c>
      <c r="BP85" s="22">
        <f t="shared" ca="1" si="93"/>
        <v>1.1003478368771509E-2</v>
      </c>
      <c r="BQ85" s="22">
        <f t="shared" ca="1" si="93"/>
        <v>1.0217899182245199E-2</v>
      </c>
      <c r="BR85" s="22">
        <f t="shared" ca="1" si="93"/>
        <v>7.8322963229684704E-3</v>
      </c>
      <c r="BS85" s="22">
        <f t="shared" ca="1" si="93"/>
        <v>4.8434151741984129E-3</v>
      </c>
      <c r="BT85" s="22">
        <f t="shared" ca="1" si="93"/>
        <v>3.3499382457414504E-3</v>
      </c>
      <c r="BU85" s="22">
        <f t="shared" ca="1" si="93"/>
        <v>5.4386363079149905E-3</v>
      </c>
      <c r="BV85" s="22">
        <f t="shared" ca="1" si="93"/>
        <v>6.0582474243553262E-3</v>
      </c>
      <c r="BW85" s="22">
        <f t="shared" ca="1" si="93"/>
        <v>6.1188320727319388E-3</v>
      </c>
      <c r="BX85" s="22">
        <f t="shared" ca="1" si="93"/>
        <v>5.581533348052373E-3</v>
      </c>
      <c r="BY85" s="22">
        <f t="shared" ca="1" si="93"/>
        <v>5.2567763306298147E-3</v>
      </c>
      <c r="BZ85" s="22">
        <f t="shared" ca="1" si="93"/>
        <v>6.6190696665140211E-3</v>
      </c>
      <c r="CA85" s="22">
        <f t="shared" ca="1" si="93"/>
        <v>6.5720316828522495E-3</v>
      </c>
      <c r="CB85" s="22">
        <f t="shared" ca="1" si="93"/>
        <v>7.0016933245047519E-3</v>
      </c>
      <c r="CC85" s="22">
        <f t="shared" ca="1" si="93"/>
        <v>6.0686706955511652E-3</v>
      </c>
      <c r="CD85" s="22">
        <f t="shared" ca="1" si="93"/>
        <v>4.6681690270158277E-3</v>
      </c>
      <c r="CE85" s="22">
        <f t="shared" ca="1" si="93"/>
        <v>4.3418638627788541E-3</v>
      </c>
      <c r="CF85" s="22">
        <f t="shared" ca="1" si="93"/>
        <v>3.6007181017635352E-3</v>
      </c>
      <c r="CG85" s="22">
        <f t="shared" ca="1" si="93"/>
        <v>2.7888658021650251E-3</v>
      </c>
      <c r="CH85" s="22">
        <f t="shared" ca="1" si="93"/>
        <v>2.5089327036582065E-3</v>
      </c>
      <c r="CI85" s="22">
        <f t="shared" ca="1" si="93"/>
        <v>3.1478870910681715E-3</v>
      </c>
      <c r="CJ85" s="22">
        <f t="shared" ca="1" si="93"/>
        <v>3.5940562168360309E-3</v>
      </c>
      <c r="CK85" s="22">
        <f t="shared" ca="1" si="93"/>
        <v>5.140979924213457E-3</v>
      </c>
      <c r="CL85" s="22">
        <f t="shared" ca="1" si="93"/>
        <v>5.3294862578931457E-3</v>
      </c>
      <c r="CM85" s="22">
        <f t="shared" ref="CM85:EX85" ca="1" si="94">IF(CM5="","",AVERAGE(CI59:CL59)+CONFIDENCE(0.05,STDEV(BN59:CL59),COUNT(BN59:CL59)))</f>
        <v>4.6341127162491296E-3</v>
      </c>
      <c r="CN85" s="22">
        <f t="shared" ca="1" si="94"/>
        <v>5.8063257329614721E-3</v>
      </c>
      <c r="CO85" s="22">
        <f t="shared" ca="1" si="94"/>
        <v>5.0023836783372952E-3</v>
      </c>
      <c r="CP85" s="22">
        <f t="shared" ca="1" si="94"/>
        <v>5.0328074891176963E-3</v>
      </c>
      <c r="CQ85" s="22">
        <f t="shared" ca="1" si="94"/>
        <v>5.1125374502795761E-3</v>
      </c>
      <c r="CR85" s="22">
        <f t="shared" ca="1" si="94"/>
        <v>4.0410420760853723E-3</v>
      </c>
      <c r="CS85" s="22">
        <f t="shared" ca="1" si="94"/>
        <v>4.6934653579358363E-3</v>
      </c>
      <c r="CT85" s="22">
        <f t="shared" ca="1" si="94"/>
        <v>4.7560763007843555E-3</v>
      </c>
      <c r="CU85" s="22">
        <f t="shared" ca="1" si="94"/>
        <v>4.8532304329746275E-3</v>
      </c>
      <c r="CV85" s="22">
        <f t="shared" ca="1" si="94"/>
        <v>8.2417477603986093E-3</v>
      </c>
      <c r="CW85" s="22">
        <f t="shared" ca="1" si="94"/>
        <v>7.4377680851956882E-3</v>
      </c>
      <c r="CX85" s="22">
        <f t="shared" ca="1" si="94"/>
        <v>7.146019926147348E-3</v>
      </c>
      <c r="CY85" s="22">
        <f t="shared" ca="1" si="94"/>
        <v>7.046630253851249E-3</v>
      </c>
      <c r="CZ85" s="22">
        <f t="shared" ca="1" si="94"/>
        <v>3.4694990929291887E-3</v>
      </c>
      <c r="DA85" s="22">
        <f t="shared" ca="1" si="94"/>
        <v>2.6425890455197745E-3</v>
      </c>
      <c r="DB85" s="22">
        <f t="shared" ca="1" si="94"/>
        <v>2.7811381506578905E-3</v>
      </c>
      <c r="DC85" s="22">
        <f t="shared" ca="1" si="94"/>
        <v>2.778767217703257E-3</v>
      </c>
      <c r="DD85" s="22">
        <f t="shared" ca="1" si="94"/>
        <v>3.1634768324517335E-3</v>
      </c>
      <c r="DE85" s="22">
        <f t="shared" ca="1" si="94"/>
        <v>3.1655556509452279E-3</v>
      </c>
      <c r="DF85" s="22">
        <f t="shared" ca="1" si="94"/>
        <v>2.8179440755618105E-3</v>
      </c>
      <c r="DG85" s="22">
        <f t="shared" ca="1" si="94"/>
        <v>3.0822768295125811E-3</v>
      </c>
      <c r="DH85" s="22">
        <f t="shared" ca="1" si="94"/>
        <v>3.2308173366354361E-3</v>
      </c>
      <c r="DI85" s="22">
        <f t="shared" ca="1" si="94"/>
        <v>5.2830752281336048E-3</v>
      </c>
      <c r="DJ85" s="22">
        <f t="shared" ca="1" si="94"/>
        <v>7.5257712489869922E-3</v>
      </c>
      <c r="DK85" s="22">
        <f t="shared" ca="1" si="94"/>
        <v>8.9265540562525805E-3</v>
      </c>
      <c r="DL85" s="22">
        <f t="shared" ca="1" si="94"/>
        <v>8.157966388950633E-3</v>
      </c>
      <c r="DM85" s="22">
        <f t="shared" ca="1" si="94"/>
        <v>6.2160135635945845E-3</v>
      </c>
      <c r="DN85" s="22">
        <f t="shared" ca="1" si="94"/>
        <v>4.7843639661809025E-3</v>
      </c>
      <c r="DO85" s="22">
        <f t="shared" ca="1" si="94"/>
        <v>4.1803159643785913E-3</v>
      </c>
      <c r="DP85" s="22">
        <f t="shared" ca="1" si="94"/>
        <v>5.3121243697892137E-3</v>
      </c>
      <c r="DQ85" s="22">
        <f t="shared" ca="1" si="94"/>
        <v>5.244566793704131E-3</v>
      </c>
      <c r="DR85" s="22">
        <f t="shared" ca="1" si="94"/>
        <v>4.6211493860357344E-3</v>
      </c>
      <c r="DS85" s="22">
        <f t="shared" ca="1" si="94"/>
        <v>4.4898882687503068E-3</v>
      </c>
      <c r="DT85" s="22">
        <f t="shared" ca="1" si="94"/>
        <v>3.5826520650774976E-3</v>
      </c>
      <c r="DU85" s="22">
        <f t="shared" ca="1" si="94"/>
        <v>3.1364629794812457E-3</v>
      </c>
      <c r="DV85" s="22">
        <f t="shared" ca="1" si="94"/>
        <v>3.017456204930111E-3</v>
      </c>
      <c r="DW85" s="22">
        <f t="shared" ca="1" si="94"/>
        <v>3.0644929691960479E-3</v>
      </c>
      <c r="DX85" s="22">
        <f t="shared" ca="1" si="94"/>
        <v>4.0497517278482425E-3</v>
      </c>
      <c r="DY85" s="22">
        <f t="shared" ca="1" si="94"/>
        <v>4.8549247565961816E-3</v>
      </c>
      <c r="DZ85" s="22">
        <f t="shared" ca="1" si="94"/>
        <v>4.8784746317929945E-3</v>
      </c>
      <c r="EA85" s="22">
        <f t="shared" ca="1" si="94"/>
        <v>4.8501138323119343E-3</v>
      </c>
      <c r="EB85" s="22">
        <f t="shared" ca="1" si="94"/>
        <v>4.1415903866671069E-3</v>
      </c>
      <c r="EC85" s="22" t="str">
        <f t="shared" si="94"/>
        <v/>
      </c>
      <c r="ED85" s="22" t="e">
        <f t="shared" ca="1" si="94"/>
        <v>#DIV/0!</v>
      </c>
      <c r="EE85" s="22" t="e">
        <f t="shared" ca="1" si="94"/>
        <v>#DIV/0!</v>
      </c>
      <c r="EF85" s="22" t="str">
        <f t="shared" si="94"/>
        <v/>
      </c>
      <c r="EG85" s="22" t="e">
        <f t="shared" ca="1" si="94"/>
        <v>#DIV/0!</v>
      </c>
      <c r="EH85" s="22">
        <f t="shared" ca="1" si="94"/>
        <v>3.9742182839088199E-3</v>
      </c>
      <c r="EI85" s="22">
        <f t="shared" ca="1" si="94"/>
        <v>2.9338192137972428E-3</v>
      </c>
      <c r="EJ85" s="22">
        <f t="shared" ca="1" si="94"/>
        <v>3.1838328723629798E-3</v>
      </c>
      <c r="EK85" s="22">
        <f t="shared" ca="1" si="94"/>
        <v>3.5365838322606374E-3</v>
      </c>
      <c r="EL85" s="22">
        <f t="shared" ca="1" si="94"/>
        <v>3.3082181060813867E-3</v>
      </c>
      <c r="EM85" s="22">
        <f t="shared" ca="1" si="94"/>
        <v>3.1130797414783439E-3</v>
      </c>
      <c r="EN85" s="22">
        <f t="shared" ca="1" si="94"/>
        <v>4.319345866515222E-3</v>
      </c>
      <c r="EO85" s="22">
        <f t="shared" ca="1" si="94"/>
        <v>3.747888647886435E-3</v>
      </c>
      <c r="EP85" s="22">
        <f t="shared" ca="1" si="94"/>
        <v>3.573528788425831E-3</v>
      </c>
      <c r="EQ85" s="22">
        <f t="shared" ca="1" si="94"/>
        <v>6.5188306437334257E-3</v>
      </c>
      <c r="ER85" s="22">
        <f t="shared" ca="1" si="94"/>
        <v>5.3240938001741078E-3</v>
      </c>
      <c r="ES85" s="22">
        <f t="shared" ca="1" si="94"/>
        <v>5.8170088043259221E-3</v>
      </c>
      <c r="ET85" s="22">
        <f t="shared" ca="1" si="94"/>
        <v>6.3289925314823645E-3</v>
      </c>
      <c r="EU85" s="22">
        <f t="shared" ca="1" si="94"/>
        <v>3.9913029058757168E-3</v>
      </c>
      <c r="EV85" s="22">
        <f t="shared" ca="1" si="94"/>
        <v>3.9761891911632916E-3</v>
      </c>
      <c r="EW85" s="22">
        <f t="shared" ca="1" si="94"/>
        <v>3.4649607113585966E-3</v>
      </c>
      <c r="EX85" s="22">
        <f t="shared" ca="1" si="94"/>
        <v>2.6639972207069392E-3</v>
      </c>
      <c r="EY85" s="22">
        <f t="shared" ref="EY85:HJ85" ca="1" si="95">IF(EY5="","",AVERAGE(EU59:EX59)+CONFIDENCE(0.05,STDEV(DZ59:EX59),COUNT(DZ59:EX59)))</f>
        <v>2.4660526886961485E-3</v>
      </c>
      <c r="EZ85" s="22">
        <f t="shared" ca="1" si="95"/>
        <v>2.6121900249054266E-3</v>
      </c>
      <c r="FA85" s="22">
        <f t="shared" ca="1" si="95"/>
        <v>2.2022530990945732E-3</v>
      </c>
      <c r="FB85" s="22">
        <f t="shared" ca="1" si="95"/>
        <v>2.6368976843556095E-3</v>
      </c>
      <c r="FC85" s="22">
        <f t="shared" ca="1" si="95"/>
        <v>2.6397985724902527E-3</v>
      </c>
      <c r="FD85" s="22">
        <f t="shared" ca="1" si="95"/>
        <v>2.4781607776219309E-3</v>
      </c>
      <c r="FE85" s="22">
        <f t="shared" ca="1" si="95"/>
        <v>2.6289451546467587E-3</v>
      </c>
      <c r="FF85" s="22">
        <f t="shared" ca="1" si="95"/>
        <v>2.2324685433203154E-3</v>
      </c>
      <c r="FG85" s="22">
        <f t="shared" ca="1" si="95"/>
        <v>2.8908307938683622E-3</v>
      </c>
      <c r="FH85" s="22">
        <f t="shared" ca="1" si="95"/>
        <v>4.0262576983862075E-3</v>
      </c>
      <c r="FI85" s="22">
        <f t="shared" ca="1" si="95"/>
        <v>4.8997251003841044E-3</v>
      </c>
      <c r="FJ85" s="22">
        <f t="shared" ca="1" si="95"/>
        <v>5.3678448308307567E-3</v>
      </c>
      <c r="FK85" s="22">
        <f t="shared" ca="1" si="95"/>
        <v>5.673675784772284E-3</v>
      </c>
      <c r="FL85" s="22">
        <f t="shared" ca="1" si="95"/>
        <v>4.0408110262631124E-3</v>
      </c>
      <c r="FM85" s="22">
        <f t="shared" ca="1" si="95"/>
        <v>3.157184822019485E-3</v>
      </c>
      <c r="FN85" s="22">
        <f t="shared" ca="1" si="95"/>
        <v>4.4958236715244675E-3</v>
      </c>
      <c r="FO85" s="22">
        <f t="shared" ca="1" si="95"/>
        <v>5.4684496505754219E-3</v>
      </c>
      <c r="FP85" s="22">
        <f t="shared" ca="1" si="95"/>
        <v>6.0334283271600486E-3</v>
      </c>
      <c r="FQ85" s="22">
        <f t="shared" ca="1" si="95"/>
        <v>7.1628651595807089E-3</v>
      </c>
      <c r="FR85" s="22">
        <f t="shared" ca="1" si="95"/>
        <v>6.3882282393944653E-3</v>
      </c>
      <c r="FS85" s="22">
        <f t="shared" ca="1" si="95"/>
        <v>4.9300630518128667E-3</v>
      </c>
      <c r="FT85" s="22">
        <f t="shared" ca="1" si="95"/>
        <v>5.1730307370787118E-3</v>
      </c>
      <c r="FU85" s="22">
        <f t="shared" ca="1" si="95"/>
        <v>4.2248703381242078E-3</v>
      </c>
      <c r="FV85" s="22">
        <f t="shared" ca="1" si="95"/>
        <v>3.8831190541942003E-3</v>
      </c>
      <c r="FW85" s="22">
        <f t="shared" ca="1" si="95"/>
        <v>4.0301989446025234E-3</v>
      </c>
      <c r="FX85" s="22">
        <f t="shared" ca="1" si="95"/>
        <v>3.329546105897984E-3</v>
      </c>
      <c r="FY85" s="22">
        <f t="shared" ca="1" si="95"/>
        <v>3.5808777439871554E-3</v>
      </c>
      <c r="FZ85" s="22">
        <f t="shared" ca="1" si="95"/>
        <v>3.5910861151600337E-3</v>
      </c>
      <c r="GA85" s="22">
        <f t="shared" ca="1" si="95"/>
        <v>4.6977791234364026E-3</v>
      </c>
      <c r="GB85" s="22">
        <f t="shared" ca="1" si="95"/>
        <v>4.5657934625050094E-3</v>
      </c>
      <c r="GC85" s="22">
        <f t="shared" ca="1" si="95"/>
        <v>3.9494533758222877E-3</v>
      </c>
      <c r="GD85" s="22">
        <f t="shared" ca="1" si="95"/>
        <v>4.0376742874130992E-3</v>
      </c>
      <c r="GE85" s="22">
        <f t="shared" ca="1" si="95"/>
        <v>3.3826961758665411E-3</v>
      </c>
      <c r="GF85" s="22">
        <f t="shared" ca="1" si="95"/>
        <v>3.8062350549165598E-3</v>
      </c>
      <c r="GG85" s="22">
        <f t="shared" ca="1" si="95"/>
        <v>3.8665577530983377E-3</v>
      </c>
      <c r="GH85" s="22">
        <f t="shared" ca="1" si="95"/>
        <v>3.0980909101159396E-3</v>
      </c>
      <c r="GI85" s="22">
        <f t="shared" ca="1" si="95"/>
        <v>2.2130859655660339E-3</v>
      </c>
      <c r="GJ85" s="22">
        <f t="shared" ca="1" si="95"/>
        <v>1.9954706219924038E-3</v>
      </c>
      <c r="GK85" s="22">
        <f t="shared" ca="1" si="95"/>
        <v>2.1871746268702879E-3</v>
      </c>
      <c r="GL85" s="22">
        <f t="shared" ca="1" si="95"/>
        <v>2.6345567818168575E-3</v>
      </c>
      <c r="GM85" s="22">
        <f t="shared" ca="1" si="95"/>
        <v>4.3487936137170721E-3</v>
      </c>
      <c r="GN85" s="22">
        <f t="shared" ca="1" si="95"/>
        <v>1.0603616751586293E-2</v>
      </c>
      <c r="GO85" s="22">
        <f t="shared" ca="1" si="95"/>
        <v>1.7755842408253515E-2</v>
      </c>
      <c r="GP85" s="22">
        <f t="shared" ca="1" si="95"/>
        <v>1.9306428358021169E-2</v>
      </c>
      <c r="GQ85" s="22">
        <f t="shared" ca="1" si="95"/>
        <v>2.526243830512425E-2</v>
      </c>
      <c r="GR85" s="22">
        <f t="shared" ca="1" si="95"/>
        <v>2.436636852801688E-2</v>
      </c>
      <c r="GS85" s="22">
        <f t="shared" ca="1" si="95"/>
        <v>2.0363067298174421E-2</v>
      </c>
      <c r="GT85" s="22">
        <f t="shared" ca="1" si="95"/>
        <v>1.8302362058986832E-2</v>
      </c>
      <c r="GU85" s="22">
        <f t="shared" ca="1" si="95"/>
        <v>1.1662314502425794E-2</v>
      </c>
      <c r="GV85" s="22">
        <f t="shared" ca="1" si="95"/>
        <v>7.2494845114140505E-3</v>
      </c>
      <c r="GW85" s="22">
        <f t="shared" ca="1" si="95"/>
        <v>4.5333543206308863E-3</v>
      </c>
      <c r="GX85" s="22">
        <f t="shared" ca="1" si="95"/>
        <v>5.026107744328284E-3</v>
      </c>
      <c r="GY85" s="22">
        <f t="shared" ca="1" si="95"/>
        <v>4.5928294465462111E-3</v>
      </c>
      <c r="GZ85" s="22">
        <f t="shared" ca="1" si="95"/>
        <v>3.8672220871376361E-3</v>
      </c>
      <c r="HA85" s="22" t="str">
        <f t="shared" si="95"/>
        <v/>
      </c>
      <c r="HB85" s="22" t="str">
        <f t="shared" si="95"/>
        <v/>
      </c>
      <c r="HC85" s="22" t="str">
        <f t="shared" si="95"/>
        <v/>
      </c>
      <c r="HD85" s="22" t="str">
        <f t="shared" si="95"/>
        <v/>
      </c>
      <c r="HE85" s="22" t="str">
        <f t="shared" si="95"/>
        <v/>
      </c>
      <c r="HF85" s="22" t="str">
        <f t="shared" si="95"/>
        <v/>
      </c>
      <c r="HG85" s="22" t="str">
        <f t="shared" si="95"/>
        <v/>
      </c>
      <c r="HH85" s="22" t="str">
        <f t="shared" si="95"/>
        <v/>
      </c>
      <c r="HI85" s="22" t="str">
        <f t="shared" si="95"/>
        <v/>
      </c>
      <c r="HJ85" s="22" t="str">
        <f t="shared" si="95"/>
        <v/>
      </c>
      <c r="HK85" s="22" t="str">
        <f t="shared" ref="HK85:JH85" si="96">IF(HK5="","",AVERAGE(HG59:HJ59)+CONFIDENCE(0.05,STDEV(GL59:HJ59),COUNT(GL59:HJ59)))</f>
        <v/>
      </c>
      <c r="HL85" s="22" t="str">
        <f t="shared" si="96"/>
        <v/>
      </c>
      <c r="HM85" s="22" t="str">
        <f t="shared" si="96"/>
        <v/>
      </c>
      <c r="HN85" s="22" t="str">
        <f t="shared" si="96"/>
        <v/>
      </c>
      <c r="HO85" s="22" t="str">
        <f t="shared" si="96"/>
        <v/>
      </c>
      <c r="HP85" s="22" t="str">
        <f t="shared" si="96"/>
        <v/>
      </c>
      <c r="HQ85" s="22" t="str">
        <f t="shared" si="96"/>
        <v/>
      </c>
      <c r="HR85" s="22" t="str">
        <f t="shared" si="96"/>
        <v/>
      </c>
      <c r="HS85" s="22" t="str">
        <f t="shared" si="96"/>
        <v/>
      </c>
      <c r="HT85" s="22" t="str">
        <f t="shared" si="96"/>
        <v/>
      </c>
      <c r="HU85" s="22" t="str">
        <f t="shared" si="96"/>
        <v/>
      </c>
      <c r="HV85" s="22" t="str">
        <f t="shared" si="96"/>
        <v/>
      </c>
      <c r="HW85" s="22" t="str">
        <f t="shared" si="96"/>
        <v/>
      </c>
      <c r="HX85" s="22" t="str">
        <f t="shared" si="96"/>
        <v/>
      </c>
      <c r="HY85" s="22" t="str">
        <f t="shared" si="96"/>
        <v/>
      </c>
      <c r="HZ85" s="22" t="str">
        <f t="shared" si="96"/>
        <v/>
      </c>
      <c r="IA85" s="22" t="str">
        <f t="shared" si="96"/>
        <v/>
      </c>
      <c r="IB85" s="22" t="str">
        <f t="shared" si="96"/>
        <v/>
      </c>
      <c r="IC85" s="22" t="str">
        <f t="shared" si="96"/>
        <v/>
      </c>
      <c r="ID85" s="22" t="str">
        <f t="shared" si="96"/>
        <v/>
      </c>
      <c r="IE85" s="22" t="str">
        <f t="shared" si="96"/>
        <v/>
      </c>
      <c r="IF85" s="22" t="str">
        <f t="shared" si="96"/>
        <v/>
      </c>
      <c r="IG85" s="22" t="str">
        <f t="shared" si="96"/>
        <v/>
      </c>
      <c r="IH85" s="22" t="str">
        <f t="shared" si="96"/>
        <v/>
      </c>
      <c r="II85" s="22" t="str">
        <f t="shared" si="96"/>
        <v/>
      </c>
      <c r="IJ85" s="22" t="str">
        <f t="shared" si="96"/>
        <v/>
      </c>
      <c r="IK85" s="22" t="str">
        <f t="shared" si="96"/>
        <v/>
      </c>
      <c r="IL85" s="22" t="str">
        <f t="shared" si="96"/>
        <v/>
      </c>
      <c r="IM85" s="22" t="str">
        <f t="shared" si="96"/>
        <v/>
      </c>
      <c r="IN85" s="22" t="str">
        <f t="shared" si="96"/>
        <v/>
      </c>
      <c r="IO85" s="22" t="str">
        <f t="shared" si="96"/>
        <v/>
      </c>
      <c r="IP85" s="22" t="str">
        <f t="shared" si="96"/>
        <v/>
      </c>
      <c r="IQ85" s="22" t="str">
        <f t="shared" si="96"/>
        <v/>
      </c>
      <c r="IR85" s="22" t="str">
        <f t="shared" si="96"/>
        <v/>
      </c>
      <c r="IS85" s="22" t="str">
        <f t="shared" si="96"/>
        <v/>
      </c>
      <c r="IT85" s="22" t="str">
        <f t="shared" si="96"/>
        <v/>
      </c>
      <c r="IU85" s="22" t="str">
        <f t="shared" si="96"/>
        <v/>
      </c>
      <c r="IV85" s="22" t="str">
        <f t="shared" si="96"/>
        <v/>
      </c>
      <c r="IW85" s="22" t="str">
        <f t="shared" si="96"/>
        <v/>
      </c>
      <c r="IX85" s="22" t="str">
        <f t="shared" si="96"/>
        <v/>
      </c>
      <c r="IY85" s="22" t="str">
        <f t="shared" si="96"/>
        <v/>
      </c>
      <c r="IZ85" s="22" t="str">
        <f t="shared" si="96"/>
        <v/>
      </c>
      <c r="JA85" s="22" t="str">
        <f t="shared" si="96"/>
        <v/>
      </c>
      <c r="JB85" s="22" t="str">
        <f t="shared" si="96"/>
        <v/>
      </c>
      <c r="JC85" s="22" t="str">
        <f t="shared" si="96"/>
        <v/>
      </c>
      <c r="JD85" s="22" t="str">
        <f t="shared" si="96"/>
        <v/>
      </c>
      <c r="JE85" s="22" t="str">
        <f t="shared" si="96"/>
        <v/>
      </c>
      <c r="JF85" s="22" t="str">
        <f t="shared" si="96"/>
        <v/>
      </c>
      <c r="JG85" s="22" t="str">
        <f t="shared" si="96"/>
        <v/>
      </c>
      <c r="JH85" s="22" t="str">
        <f t="shared" si="96"/>
        <v/>
      </c>
    </row>
    <row r="86" spans="1:336" x14ac:dyDescent="0.25"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>
        <f t="shared" ref="AA86:CL86" ca="1" si="97">IF(AA6="","",AVERAGE(V60:Z60)+CONFIDENCE(0.05,STDEV(B60:Z60),COUNT(B60:Z60)))</f>
        <v>1.5266136336008207E-3</v>
      </c>
      <c r="AB86" s="22">
        <f t="shared" ca="1" si="97"/>
        <v>1.5540926184151877E-3</v>
      </c>
      <c r="AC86" s="22">
        <f t="shared" ca="1" si="97"/>
        <v>1.5784309777688069E-3</v>
      </c>
      <c r="AD86" s="22">
        <f t="shared" ca="1" si="97"/>
        <v>1.5456479168859606E-3</v>
      </c>
      <c r="AE86" s="22">
        <f t="shared" ca="1" si="97"/>
        <v>1.1977053070841861E-3</v>
      </c>
      <c r="AF86" s="22">
        <f t="shared" ca="1" si="97"/>
        <v>1.1695257211050748E-3</v>
      </c>
      <c r="AG86" s="22">
        <f t="shared" ca="1" si="97"/>
        <v>1.292669327876132E-3</v>
      </c>
      <c r="AH86" s="22">
        <f t="shared" ca="1" si="97"/>
        <v>1.2953591170644066E-3</v>
      </c>
      <c r="AI86" s="22">
        <f t="shared" ca="1" si="97"/>
        <v>1.6765161150348535E-3</v>
      </c>
      <c r="AJ86" s="22">
        <f t="shared" ca="1" si="97"/>
        <v>2.2611095045672121E-3</v>
      </c>
      <c r="AK86" s="22">
        <f t="shared" ca="1" si="97"/>
        <v>3.2073984957469068E-3</v>
      </c>
      <c r="AL86" s="22">
        <f t="shared" ca="1" si="97"/>
        <v>4.4149097585835335E-3</v>
      </c>
      <c r="AM86" s="22">
        <f t="shared" ca="1" si="97"/>
        <v>5.3597103214489562E-3</v>
      </c>
      <c r="AN86" s="22">
        <f t="shared" ca="1" si="97"/>
        <v>5.7739484157323575E-3</v>
      </c>
      <c r="AO86" s="22">
        <f t="shared" ca="1" si="97"/>
        <v>5.8877504220795681E-3</v>
      </c>
      <c r="AP86" s="22">
        <f t="shared" ca="1" si="97"/>
        <v>5.1420823001021906E-3</v>
      </c>
      <c r="AQ86" s="22">
        <f t="shared" ca="1" si="97"/>
        <v>4.2949920196290762E-3</v>
      </c>
      <c r="AR86" s="22">
        <f t="shared" ca="1" si="97"/>
        <v>4.1113689394049659E-3</v>
      </c>
      <c r="AS86" s="22">
        <f t="shared" ca="1" si="97"/>
        <v>3.607480511331126E-3</v>
      </c>
      <c r="AT86" s="22">
        <f t="shared" ca="1" si="97"/>
        <v>2.9907426159709385E-3</v>
      </c>
      <c r="AU86" s="22">
        <f t="shared" ca="1" si="97"/>
        <v>2.9447832755518108E-3</v>
      </c>
      <c r="AV86" s="22">
        <f t="shared" ca="1" si="97"/>
        <v>3.4426192784140944E-3</v>
      </c>
      <c r="AW86" s="22">
        <f t="shared" ca="1" si="97"/>
        <v>5.0416432905048937E-3</v>
      </c>
      <c r="AX86" s="22">
        <f t="shared" ca="1" si="97"/>
        <v>7.5643120841909842E-3</v>
      </c>
      <c r="AY86" s="22">
        <f t="shared" ca="1" si="97"/>
        <v>1.0644312481816513E-2</v>
      </c>
      <c r="AZ86" s="22">
        <f t="shared" ca="1" si="97"/>
        <v>1.3934862427167859E-2</v>
      </c>
      <c r="BA86" s="22">
        <f t="shared" ca="1" si="97"/>
        <v>1.5882989276514867E-2</v>
      </c>
      <c r="BB86" s="22">
        <f t="shared" ca="1" si="97"/>
        <v>1.6926492524853443E-2</v>
      </c>
      <c r="BC86" s="22">
        <f t="shared" ca="1" si="97"/>
        <v>1.6666495887975787E-2</v>
      </c>
      <c r="BD86" s="22">
        <f t="shared" ca="1" si="97"/>
        <v>1.4775602796501338E-2</v>
      </c>
      <c r="BE86" s="22">
        <f t="shared" ca="1" si="97"/>
        <v>1.3248495640164001E-2</v>
      </c>
      <c r="BF86" s="22">
        <f t="shared" ca="1" si="97"/>
        <v>1.3141333810441122E-2</v>
      </c>
      <c r="BG86" s="22">
        <f t="shared" ca="1" si="97"/>
        <v>1.2696036764013499E-2</v>
      </c>
      <c r="BH86" s="22">
        <f t="shared" ca="1" si="97"/>
        <v>1.384764016760342E-2</v>
      </c>
      <c r="BI86" s="22">
        <f t="shared" ca="1" si="97"/>
        <v>1.5503811951223582E-2</v>
      </c>
      <c r="BJ86" s="22">
        <f t="shared" ca="1" si="97"/>
        <v>1.5754750647625292E-2</v>
      </c>
      <c r="BK86" s="22">
        <f t="shared" ca="1" si="97"/>
        <v>1.4188430869644799E-2</v>
      </c>
      <c r="BL86" s="22">
        <f t="shared" ca="1" si="97"/>
        <v>1.1708075840062776E-2</v>
      </c>
      <c r="BM86" s="22">
        <f t="shared" ca="1" si="97"/>
        <v>1.0298361808109764E-2</v>
      </c>
      <c r="BN86" s="22">
        <f t="shared" ca="1" si="97"/>
        <v>1.0641301606068755E-2</v>
      </c>
      <c r="BO86" s="22">
        <f t="shared" ca="1" si="97"/>
        <v>1.2332086224897752E-2</v>
      </c>
      <c r="BP86" s="22">
        <f t="shared" ca="1" si="97"/>
        <v>1.3659980411902946E-2</v>
      </c>
      <c r="BQ86" s="22">
        <f t="shared" ca="1" si="97"/>
        <v>1.3839781417260871E-2</v>
      </c>
      <c r="BR86" s="22">
        <f t="shared" ca="1" si="97"/>
        <v>1.2407127007823033E-2</v>
      </c>
      <c r="BS86" s="22">
        <f t="shared" ca="1" si="97"/>
        <v>1.0180492005013288E-2</v>
      </c>
      <c r="BT86" s="22">
        <f t="shared" ca="1" si="97"/>
        <v>7.5424718118276739E-3</v>
      </c>
      <c r="BU86" s="22">
        <f t="shared" ca="1" si="97"/>
        <v>7.3065250110583724E-3</v>
      </c>
      <c r="BV86" s="22">
        <f t="shared" ca="1" si="97"/>
        <v>7.9953130340013733E-3</v>
      </c>
      <c r="BW86" s="22">
        <f t="shared" ca="1" si="97"/>
        <v>7.6090703101098518E-3</v>
      </c>
      <c r="BX86" s="22">
        <f t="shared" ca="1" si="97"/>
        <v>7.4991736561612413E-3</v>
      </c>
      <c r="BY86" s="22">
        <f t="shared" ca="1" si="97"/>
        <v>8.8198804694374147E-3</v>
      </c>
      <c r="BZ86" s="22">
        <f t="shared" ca="1" si="97"/>
        <v>8.4361485272170869E-3</v>
      </c>
      <c r="CA86" s="22">
        <f t="shared" ca="1" si="97"/>
        <v>7.7029592307576167E-3</v>
      </c>
      <c r="CB86" s="22">
        <f t="shared" ca="1" si="97"/>
        <v>8.6788029884861794E-3</v>
      </c>
      <c r="CC86" s="22">
        <f t="shared" ca="1" si="97"/>
        <v>9.1503338803673954E-3</v>
      </c>
      <c r="CD86" s="22">
        <f t="shared" ca="1" si="97"/>
        <v>7.4084803318550316E-3</v>
      </c>
      <c r="CE86" s="22">
        <f t="shared" ca="1" si="97"/>
        <v>5.6184920443731034E-3</v>
      </c>
      <c r="CF86" s="22">
        <f t="shared" ca="1" si="97"/>
        <v>5.5902529935751436E-3</v>
      </c>
      <c r="CG86" s="22">
        <f t="shared" ca="1" si="97"/>
        <v>5.1209392133626675E-3</v>
      </c>
      <c r="CH86" s="22">
        <f t="shared" ca="1" si="97"/>
        <v>3.9550322505531805E-3</v>
      </c>
      <c r="CI86" s="22">
        <f t="shared" ca="1" si="97"/>
        <v>4.058919704506293E-3</v>
      </c>
      <c r="CJ86" s="22">
        <f t="shared" ca="1" si="97"/>
        <v>4.7784328698585645E-3</v>
      </c>
      <c r="CK86" s="22">
        <f t="shared" ca="1" si="97"/>
        <v>6.8626676611072638E-3</v>
      </c>
      <c r="CL86" s="22">
        <f t="shared" ca="1" si="97"/>
        <v>6.1955210076045496E-3</v>
      </c>
      <c r="CM86" s="22">
        <f t="shared" ref="CM86:EX86" ca="1" si="98">IF(CM6="","",AVERAGE(CH60:CL60)+CONFIDENCE(0.05,STDEV(BN60:CL60),COUNT(BN60:CL60)))</f>
        <v>6.4212668198439949E-3</v>
      </c>
      <c r="CN86" s="22">
        <f t="shared" ca="1" si="98"/>
        <v>7.2497230280549356E-3</v>
      </c>
      <c r="CO86" s="22">
        <f t="shared" ca="1" si="98"/>
        <v>7.83725961248595E-3</v>
      </c>
      <c r="CP86" s="22">
        <f t="shared" ca="1" si="98"/>
        <v>6.456045632923197E-3</v>
      </c>
      <c r="CQ86" s="22">
        <f t="shared" ca="1" si="98"/>
        <v>6.3851187562970393E-3</v>
      </c>
      <c r="CR86" s="22">
        <f t="shared" ca="1" si="98"/>
        <v>7.7559668256857641E-3</v>
      </c>
      <c r="CS86" s="22">
        <f t="shared" ca="1" si="98"/>
        <v>6.8782529628102964E-3</v>
      </c>
      <c r="CT86" s="22">
        <f t="shared" ca="1" si="98"/>
        <v>5.6609441016607026E-3</v>
      </c>
      <c r="CU86" s="22">
        <f t="shared" ca="1" si="98"/>
        <v>5.2492645512128506E-3</v>
      </c>
      <c r="CV86" s="22">
        <f t="shared" ca="1" si="98"/>
        <v>9.7252344724959149E-3</v>
      </c>
      <c r="CW86" s="22">
        <f t="shared" ca="1" si="98"/>
        <v>9.0866297322305615E-3</v>
      </c>
      <c r="CX86" s="22">
        <f t="shared" ca="1" si="98"/>
        <v>8.3913718848322941E-3</v>
      </c>
      <c r="CY86" s="22">
        <f t="shared" ca="1" si="98"/>
        <v>8.3731490745442665E-3</v>
      </c>
      <c r="CZ86" s="22">
        <f t="shared" ca="1" si="98"/>
        <v>8.4619029679290341E-3</v>
      </c>
      <c r="DA86" s="22">
        <f t="shared" ca="1" si="98"/>
        <v>4.6954730129111655E-3</v>
      </c>
      <c r="DB86" s="22">
        <f t="shared" ca="1" si="98"/>
        <v>4.2399995908427874E-3</v>
      </c>
      <c r="DC86" s="22">
        <f t="shared" ca="1" si="98"/>
        <v>3.880884408576403E-3</v>
      </c>
      <c r="DD86" s="22">
        <f t="shared" ca="1" si="98"/>
        <v>3.8544520447767179E-3</v>
      </c>
      <c r="DE86" s="22">
        <f t="shared" ca="1" si="98"/>
        <v>3.9490888865651537E-3</v>
      </c>
      <c r="DF86" s="22">
        <f t="shared" ca="1" si="98"/>
        <v>3.7252909028601755E-3</v>
      </c>
      <c r="DG86" s="22">
        <f t="shared" ca="1" si="98"/>
        <v>3.2126543837606328E-3</v>
      </c>
      <c r="DH86" s="22">
        <f t="shared" ca="1" si="98"/>
        <v>4.5838898310829376E-3</v>
      </c>
      <c r="DI86" s="22">
        <f t="shared" ca="1" si="98"/>
        <v>7.0203557991146944E-3</v>
      </c>
      <c r="DJ86" s="22">
        <f t="shared" ca="1" si="98"/>
        <v>9.3783018057320231E-3</v>
      </c>
      <c r="DK86" s="22">
        <f t="shared" ca="1" si="98"/>
        <v>1.0514434741393157E-2</v>
      </c>
      <c r="DL86" s="22">
        <f t="shared" ca="1" si="98"/>
        <v>1.0403561634474187E-2</v>
      </c>
      <c r="DM86" s="22">
        <f t="shared" ca="1" si="98"/>
        <v>9.2058743672621349E-3</v>
      </c>
      <c r="DN86" s="22">
        <f t="shared" ca="1" si="98"/>
        <v>7.2932545376998116E-3</v>
      </c>
      <c r="DO86" s="22">
        <f t="shared" ca="1" si="98"/>
        <v>5.760891694294789E-3</v>
      </c>
      <c r="DP86" s="22">
        <f t="shared" ca="1" si="98"/>
        <v>5.5379406005461249E-3</v>
      </c>
      <c r="DQ86" s="22">
        <f t="shared" ca="1" si="98"/>
        <v>5.7823445472938873E-3</v>
      </c>
      <c r="DR86" s="22">
        <f t="shared" ca="1" si="98"/>
        <v>6.2648674359843635E-3</v>
      </c>
      <c r="DS86" s="22">
        <f t="shared" ca="1" si="98"/>
        <v>6.0404927591900552E-3</v>
      </c>
      <c r="DT86" s="22">
        <f t="shared" ca="1" si="98"/>
        <v>5.0521040039508327E-3</v>
      </c>
      <c r="DU86" s="22">
        <f t="shared" ca="1" si="98"/>
        <v>3.7957421471082266E-3</v>
      </c>
      <c r="DV86" s="22">
        <f t="shared" ca="1" si="98"/>
        <v>3.4711273925742197E-3</v>
      </c>
      <c r="DW86" s="22">
        <f t="shared" ca="1" si="98"/>
        <v>4.0379808234905831E-3</v>
      </c>
      <c r="DX86" s="22">
        <f t="shared" ca="1" si="98"/>
        <v>4.5676028653507559E-3</v>
      </c>
      <c r="DY86" s="22">
        <f t="shared" ca="1" si="98"/>
        <v>5.1148268309607987E-3</v>
      </c>
      <c r="DZ86" s="22">
        <f t="shared" ca="1" si="98"/>
        <v>5.7676629411303132E-3</v>
      </c>
      <c r="EA86" s="22">
        <f t="shared" ca="1" si="98"/>
        <v>7.1469263538488353E-3</v>
      </c>
      <c r="EB86" s="22">
        <f t="shared" ca="1" si="98"/>
        <v>6.5932864461309372E-3</v>
      </c>
      <c r="EC86" s="22" t="str">
        <f t="shared" si="98"/>
        <v/>
      </c>
      <c r="ED86" s="22" t="e">
        <f t="shared" ca="1" si="98"/>
        <v>#DIV/0!</v>
      </c>
      <c r="EE86" s="22" t="e">
        <f t="shared" ca="1" si="98"/>
        <v>#DIV/0!</v>
      </c>
      <c r="EF86" s="22" t="str">
        <f t="shared" si="98"/>
        <v/>
      </c>
      <c r="EG86" s="22" t="e">
        <f t="shared" ca="1" si="98"/>
        <v>#DIV/0!</v>
      </c>
      <c r="EH86" s="22">
        <f t="shared" ca="1" si="98"/>
        <v>3.471240875750228E-3</v>
      </c>
      <c r="EI86" s="22">
        <f t="shared" ca="1" si="98"/>
        <v>3.5015548799734383E-3</v>
      </c>
      <c r="EJ86" s="22">
        <f t="shared" ca="1" si="98"/>
        <v>4.1866770738420225E-3</v>
      </c>
      <c r="EK86" s="22">
        <f t="shared" ca="1" si="98"/>
        <v>4.7313957684397417E-3</v>
      </c>
      <c r="EL86" s="22">
        <f t="shared" ca="1" si="98"/>
        <v>4.392600153796623E-3</v>
      </c>
      <c r="EM86" s="22">
        <f t="shared" ca="1" si="98"/>
        <v>5.564299770798484E-3</v>
      </c>
      <c r="EN86" s="22">
        <f t="shared" ca="1" si="98"/>
        <v>5.390923462968213E-3</v>
      </c>
      <c r="EO86" s="22">
        <f t="shared" ca="1" si="98"/>
        <v>4.5847242154595635E-3</v>
      </c>
      <c r="EP86" s="22">
        <f t="shared" ca="1" si="98"/>
        <v>3.7467541130608937E-3</v>
      </c>
      <c r="EQ86" s="22">
        <f t="shared" ca="1" si="98"/>
        <v>6.480297565661099E-3</v>
      </c>
      <c r="ER86" s="22">
        <f t="shared" ca="1" si="98"/>
        <v>5.6488537481219122E-3</v>
      </c>
      <c r="ES86" s="22">
        <f t="shared" ca="1" si="98"/>
        <v>6.3792334913650942E-3</v>
      </c>
      <c r="ET86" s="22">
        <f t="shared" ca="1" si="98"/>
        <v>7.2232705722635512E-3</v>
      </c>
      <c r="EU86" s="22">
        <f t="shared" ca="1" si="98"/>
        <v>7.2586718479433618E-3</v>
      </c>
      <c r="EV86" s="22">
        <f t="shared" ca="1" si="98"/>
        <v>5.3740271891321361E-3</v>
      </c>
      <c r="EW86" s="22">
        <f t="shared" ca="1" si="98"/>
        <v>5.0144968633198629E-3</v>
      </c>
      <c r="EX86" s="22">
        <f t="shared" ca="1" si="98"/>
        <v>4.0881303165579957E-3</v>
      </c>
      <c r="EY86" s="22">
        <f t="shared" ref="EY86:HJ86" ca="1" si="99">IF(EY6="","",AVERAGE(ET60:EX60)+CONFIDENCE(0.05,STDEV(DZ60:EX60),COUNT(DZ60:EX60)))</f>
        <v>3.1141043677141199E-3</v>
      </c>
      <c r="EZ86" s="22">
        <f t="shared" ca="1" si="99"/>
        <v>3.2577896329320103E-3</v>
      </c>
      <c r="FA86" s="22">
        <f t="shared" ca="1" si="99"/>
        <v>2.5848434359077108E-3</v>
      </c>
      <c r="FB86" s="22">
        <f t="shared" ca="1" si="99"/>
        <v>2.742313322984758E-3</v>
      </c>
      <c r="FC86" s="22">
        <f t="shared" ca="1" si="99"/>
        <v>2.5456420178026837E-3</v>
      </c>
      <c r="FD86" s="22">
        <f t="shared" ca="1" si="99"/>
        <v>3.4108934754418594E-3</v>
      </c>
      <c r="FE86" s="22">
        <f t="shared" ca="1" si="99"/>
        <v>2.8625869998263912E-3</v>
      </c>
      <c r="FF86" s="22">
        <f t="shared" ca="1" si="99"/>
        <v>3.4014380275255978E-3</v>
      </c>
      <c r="FG86" s="22">
        <f t="shared" ca="1" si="99"/>
        <v>3.9083272374030873E-3</v>
      </c>
      <c r="FH86" s="22">
        <f t="shared" ca="1" si="99"/>
        <v>5.2049531492957164E-3</v>
      </c>
      <c r="FI86" s="22">
        <f t="shared" ca="1" si="99"/>
        <v>5.2419077337507195E-3</v>
      </c>
      <c r="FJ86" s="22">
        <f t="shared" ca="1" si="99"/>
        <v>5.829561134352291E-3</v>
      </c>
      <c r="FK86" s="22">
        <f t="shared" ca="1" si="99"/>
        <v>6.2831350156414547E-3</v>
      </c>
      <c r="FL86" s="22">
        <f t="shared" ca="1" si="99"/>
        <v>5.3197493602675835E-3</v>
      </c>
      <c r="FM86" s="22">
        <f t="shared" ca="1" si="99"/>
        <v>5.162564999444846E-3</v>
      </c>
      <c r="FN86" s="22">
        <f t="shared" ca="1" si="99"/>
        <v>5.9476712085673317E-3</v>
      </c>
      <c r="FO86" s="22">
        <f t="shared" ca="1" si="99"/>
        <v>7.1195400472726881E-3</v>
      </c>
      <c r="FP86" s="22">
        <f t="shared" ca="1" si="99"/>
        <v>6.3454602827967364E-3</v>
      </c>
      <c r="FQ86" s="22">
        <f t="shared" ca="1" si="99"/>
        <v>8.2024514504274934E-3</v>
      </c>
      <c r="FR86" s="22">
        <f t="shared" ca="1" si="99"/>
        <v>8.2657518394422067E-3</v>
      </c>
      <c r="FS86" s="22">
        <f t="shared" ca="1" si="99"/>
        <v>7.6064768705969982E-3</v>
      </c>
      <c r="FT86" s="22">
        <f t="shared" ca="1" si="99"/>
        <v>6.7976792395037563E-3</v>
      </c>
      <c r="FU86" s="22">
        <f t="shared" ca="1" si="99"/>
        <v>6.2604179641643862E-3</v>
      </c>
      <c r="FV86" s="22">
        <f t="shared" ca="1" si="99"/>
        <v>5.1618511654722985E-3</v>
      </c>
      <c r="FW86" s="22">
        <f t="shared" ca="1" si="99"/>
        <v>4.879149033884026E-3</v>
      </c>
      <c r="FX86" s="22">
        <f t="shared" ca="1" si="99"/>
        <v>3.9054567992993076E-3</v>
      </c>
      <c r="FY86" s="22">
        <f t="shared" ca="1" si="99"/>
        <v>3.9409748792074914E-3</v>
      </c>
      <c r="FZ86" s="22">
        <f t="shared" ca="1" si="99"/>
        <v>4.9172804590577107E-3</v>
      </c>
      <c r="GA86" s="22">
        <f t="shared" ca="1" si="99"/>
        <v>6.1319292978268165E-3</v>
      </c>
      <c r="GB86" s="22">
        <f t="shared" ca="1" si="99"/>
        <v>5.4019819689614295E-3</v>
      </c>
      <c r="GC86" s="22">
        <f t="shared" ca="1" si="99"/>
        <v>5.6722490709504997E-3</v>
      </c>
      <c r="GD86" s="22">
        <f t="shared" ca="1" si="99"/>
        <v>5.7363158822934142E-3</v>
      </c>
      <c r="GE86" s="22">
        <f t="shared" ca="1" si="99"/>
        <v>5.4866860756058056E-3</v>
      </c>
      <c r="GF86" s="22">
        <f t="shared" ca="1" si="99"/>
        <v>4.4789833150720567E-3</v>
      </c>
      <c r="GG86" s="22">
        <f t="shared" ca="1" si="99"/>
        <v>4.3939365162131384E-3</v>
      </c>
      <c r="GH86" s="22">
        <f t="shared" ca="1" si="99"/>
        <v>4.2427116348148315E-3</v>
      </c>
      <c r="GI86" s="22">
        <f t="shared" ca="1" si="99"/>
        <v>3.7453716679132212E-3</v>
      </c>
      <c r="GJ86" s="22">
        <f t="shared" ca="1" si="99"/>
        <v>3.2665353885676244E-3</v>
      </c>
      <c r="GK86" s="22">
        <f t="shared" ca="1" si="99"/>
        <v>2.9766995782190267E-3</v>
      </c>
      <c r="GL86" s="22">
        <f t="shared" ca="1" si="99"/>
        <v>3.5895053806164075E-3</v>
      </c>
      <c r="GM86" s="22">
        <f t="shared" ca="1" si="99"/>
        <v>1.0153980259056944E-2</v>
      </c>
      <c r="GN86" s="22">
        <f t="shared" ca="1" si="99"/>
        <v>1.4637624086811681E-2</v>
      </c>
      <c r="GO86" s="22">
        <f t="shared" ca="1" si="99"/>
        <v>1.9023810484625044E-2</v>
      </c>
      <c r="GP86" s="22">
        <f t="shared" ca="1" si="99"/>
        <v>1.8801390367577255E-2</v>
      </c>
      <c r="GQ86" s="22">
        <f t="shared" ca="1" si="99"/>
        <v>2.5389179236352831E-2</v>
      </c>
      <c r="GR86" s="22">
        <f t="shared" ca="1" si="99"/>
        <v>2.4640162860555388E-2</v>
      </c>
      <c r="GS86" s="22">
        <f t="shared" ca="1" si="99"/>
        <v>2.2280541886041168E-2</v>
      </c>
      <c r="GT86" s="22">
        <f t="shared" ca="1" si="99"/>
        <v>1.7867176246939058E-2</v>
      </c>
      <c r="GU86" s="22">
        <f t="shared" ca="1" si="99"/>
        <v>1.8321404858569448E-2</v>
      </c>
      <c r="GV86" s="22">
        <f t="shared" ca="1" si="99"/>
        <v>1.2199588469063678E-2</v>
      </c>
      <c r="GW86" s="22">
        <f t="shared" ca="1" si="99"/>
        <v>8.5780972122693477E-3</v>
      </c>
      <c r="GX86" s="22">
        <f t="shared" ca="1" si="99"/>
        <v>6.4446345492358906E-3</v>
      </c>
      <c r="GY86" s="22">
        <f t="shared" ca="1" si="99"/>
        <v>7.7026319012144379E-3</v>
      </c>
      <c r="GZ86" s="22">
        <f t="shared" ca="1" si="99"/>
        <v>7.146850677781859E-3</v>
      </c>
      <c r="HA86" s="22" t="str">
        <f t="shared" si="99"/>
        <v/>
      </c>
      <c r="HB86" s="22" t="str">
        <f t="shared" si="99"/>
        <v/>
      </c>
      <c r="HC86" s="22" t="str">
        <f t="shared" si="99"/>
        <v/>
      </c>
      <c r="HD86" s="22" t="str">
        <f t="shared" si="99"/>
        <v/>
      </c>
      <c r="HE86" s="22" t="str">
        <f t="shared" si="99"/>
        <v/>
      </c>
      <c r="HF86" s="22" t="str">
        <f t="shared" si="99"/>
        <v/>
      </c>
      <c r="HG86" s="22" t="str">
        <f t="shared" si="99"/>
        <v/>
      </c>
      <c r="HH86" s="22" t="str">
        <f t="shared" si="99"/>
        <v/>
      </c>
      <c r="HI86" s="22" t="str">
        <f t="shared" si="99"/>
        <v/>
      </c>
      <c r="HJ86" s="22" t="str">
        <f t="shared" si="99"/>
        <v/>
      </c>
      <c r="HK86" s="22" t="str">
        <f t="shared" ref="HK86:JH86" si="100">IF(HK6="","",AVERAGE(HF60:HJ60)+CONFIDENCE(0.05,STDEV(GL60:HJ60),COUNT(GL60:HJ60)))</f>
        <v/>
      </c>
      <c r="HL86" s="22" t="str">
        <f t="shared" si="100"/>
        <v/>
      </c>
      <c r="HM86" s="22" t="str">
        <f t="shared" si="100"/>
        <v/>
      </c>
      <c r="HN86" s="22" t="str">
        <f t="shared" si="100"/>
        <v/>
      </c>
      <c r="HO86" s="22" t="str">
        <f t="shared" si="100"/>
        <v/>
      </c>
      <c r="HP86" s="22" t="str">
        <f t="shared" si="100"/>
        <v/>
      </c>
      <c r="HQ86" s="22" t="str">
        <f t="shared" si="100"/>
        <v/>
      </c>
      <c r="HR86" s="22" t="str">
        <f t="shared" si="100"/>
        <v/>
      </c>
      <c r="HS86" s="22" t="str">
        <f t="shared" si="100"/>
        <v/>
      </c>
      <c r="HT86" s="22" t="str">
        <f t="shared" si="100"/>
        <v/>
      </c>
      <c r="HU86" s="22" t="str">
        <f t="shared" si="100"/>
        <v/>
      </c>
      <c r="HV86" s="22" t="str">
        <f t="shared" si="100"/>
        <v/>
      </c>
      <c r="HW86" s="22" t="str">
        <f t="shared" si="100"/>
        <v/>
      </c>
      <c r="HX86" s="22" t="str">
        <f t="shared" si="100"/>
        <v/>
      </c>
      <c r="HY86" s="22" t="str">
        <f t="shared" si="100"/>
        <v/>
      </c>
      <c r="HZ86" s="22" t="str">
        <f t="shared" si="100"/>
        <v/>
      </c>
      <c r="IA86" s="22" t="str">
        <f t="shared" si="100"/>
        <v/>
      </c>
      <c r="IB86" s="22" t="str">
        <f t="shared" si="100"/>
        <v/>
      </c>
      <c r="IC86" s="22" t="str">
        <f t="shared" si="100"/>
        <v/>
      </c>
      <c r="ID86" s="22" t="str">
        <f t="shared" si="100"/>
        <v/>
      </c>
      <c r="IE86" s="22" t="str">
        <f t="shared" si="100"/>
        <v/>
      </c>
      <c r="IF86" s="22" t="str">
        <f t="shared" si="100"/>
        <v/>
      </c>
      <c r="IG86" s="22" t="str">
        <f t="shared" si="100"/>
        <v/>
      </c>
      <c r="IH86" s="22" t="str">
        <f t="shared" si="100"/>
        <v/>
      </c>
      <c r="II86" s="22" t="str">
        <f t="shared" si="100"/>
        <v/>
      </c>
      <c r="IJ86" s="22" t="str">
        <f t="shared" si="100"/>
        <v/>
      </c>
      <c r="IK86" s="22" t="str">
        <f t="shared" si="100"/>
        <v/>
      </c>
      <c r="IL86" s="22" t="str">
        <f t="shared" si="100"/>
        <v/>
      </c>
      <c r="IM86" s="22" t="str">
        <f t="shared" si="100"/>
        <v/>
      </c>
      <c r="IN86" s="22" t="str">
        <f t="shared" si="100"/>
        <v/>
      </c>
      <c r="IO86" s="22" t="str">
        <f t="shared" si="100"/>
        <v/>
      </c>
      <c r="IP86" s="22" t="str">
        <f t="shared" si="100"/>
        <v/>
      </c>
      <c r="IQ86" s="22" t="str">
        <f t="shared" si="100"/>
        <v/>
      </c>
      <c r="IR86" s="22" t="str">
        <f t="shared" si="100"/>
        <v/>
      </c>
      <c r="IS86" s="22" t="str">
        <f t="shared" si="100"/>
        <v/>
      </c>
      <c r="IT86" s="22" t="str">
        <f t="shared" si="100"/>
        <v/>
      </c>
      <c r="IU86" s="22" t="str">
        <f t="shared" si="100"/>
        <v/>
      </c>
      <c r="IV86" s="22" t="str">
        <f t="shared" si="100"/>
        <v/>
      </c>
      <c r="IW86" s="22" t="str">
        <f t="shared" si="100"/>
        <v/>
      </c>
      <c r="IX86" s="22" t="str">
        <f t="shared" si="100"/>
        <v/>
      </c>
      <c r="IY86" s="22" t="str">
        <f t="shared" si="100"/>
        <v/>
      </c>
      <c r="IZ86" s="22" t="str">
        <f t="shared" si="100"/>
        <v/>
      </c>
      <c r="JA86" s="22" t="str">
        <f t="shared" si="100"/>
        <v/>
      </c>
      <c r="JB86" s="22" t="str">
        <f t="shared" si="100"/>
        <v/>
      </c>
      <c r="JC86" s="22" t="str">
        <f t="shared" si="100"/>
        <v/>
      </c>
      <c r="JD86" s="22" t="str">
        <f t="shared" si="100"/>
        <v/>
      </c>
      <c r="JE86" s="22" t="str">
        <f t="shared" si="100"/>
        <v/>
      </c>
      <c r="JF86" s="22" t="str">
        <f t="shared" si="100"/>
        <v/>
      </c>
      <c r="JG86" s="22" t="str">
        <f t="shared" si="100"/>
        <v/>
      </c>
      <c r="JH86" s="22" t="str">
        <f t="shared" si="100"/>
        <v/>
      </c>
    </row>
    <row r="87" spans="1:336" x14ac:dyDescent="0.25"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>
        <f t="shared" ref="AA87:CL87" ca="1" si="101">IF(AA7="","",AVERAGE(U61:Z61)+CONFIDENCE(0.05,STDEV(B61:Z61),COUNT(B61:Z61)))</f>
        <v>1.8143314464032778E-3</v>
      </c>
      <c r="AB87" s="22">
        <f t="shared" ca="1" si="101"/>
        <v>1.7876829863687272E-3</v>
      </c>
      <c r="AC87" s="22">
        <f t="shared" ca="1" si="101"/>
        <v>1.7599477346775824E-3</v>
      </c>
      <c r="AD87" s="22">
        <f t="shared" ca="1" si="101"/>
        <v>1.5563613101720478E-3</v>
      </c>
      <c r="AE87" s="22">
        <f t="shared" ca="1" si="101"/>
        <v>1.582400099205039E-3</v>
      </c>
      <c r="AF87" s="22">
        <f t="shared" ca="1" si="101"/>
        <v>1.4120208183677182E-3</v>
      </c>
      <c r="AG87" s="22">
        <f t="shared" ca="1" si="101"/>
        <v>1.4493448195882781E-3</v>
      </c>
      <c r="AH87" s="22">
        <f t="shared" ca="1" si="101"/>
        <v>1.6376520603647051E-3</v>
      </c>
      <c r="AI87" s="22">
        <f t="shared" ca="1" si="101"/>
        <v>2.3181085598868809E-3</v>
      </c>
      <c r="AJ87" s="22">
        <f t="shared" ca="1" si="101"/>
        <v>3.3245823773236059E-3</v>
      </c>
      <c r="AK87" s="22">
        <f t="shared" ca="1" si="101"/>
        <v>4.4464858078604834E-3</v>
      </c>
      <c r="AL87" s="22">
        <f t="shared" ca="1" si="101"/>
        <v>5.51387040060153E-3</v>
      </c>
      <c r="AM87" s="22">
        <f t="shared" ca="1" si="101"/>
        <v>6.2705423255498185E-3</v>
      </c>
      <c r="AN87" s="22">
        <f t="shared" ca="1" si="101"/>
        <v>7.19640813559812E-3</v>
      </c>
      <c r="AO87" s="22">
        <f t="shared" ca="1" si="101"/>
        <v>7.2989250410425569E-3</v>
      </c>
      <c r="AP87" s="22">
        <f t="shared" ca="1" si="101"/>
        <v>6.5691105616930388E-3</v>
      </c>
      <c r="AQ87" s="22">
        <f t="shared" ca="1" si="101"/>
        <v>5.9845198790373462E-3</v>
      </c>
      <c r="AR87" s="22">
        <f t="shared" ca="1" si="101"/>
        <v>5.7100311976278524E-3</v>
      </c>
      <c r="AS87" s="22">
        <f t="shared" ca="1" si="101"/>
        <v>5.1993570582342646E-3</v>
      </c>
      <c r="AT87" s="22">
        <f t="shared" ca="1" si="101"/>
        <v>4.191829553136601E-3</v>
      </c>
      <c r="AU87" s="22">
        <f t="shared" ca="1" si="101"/>
        <v>4.1056207774378241E-3</v>
      </c>
      <c r="AV87" s="22">
        <f t="shared" ca="1" si="101"/>
        <v>5.5122976519377835E-3</v>
      </c>
      <c r="AW87" s="22">
        <f t="shared" ca="1" si="101"/>
        <v>7.5322278062942075E-3</v>
      </c>
      <c r="AX87" s="22">
        <f t="shared" ca="1" si="101"/>
        <v>1.0413988517462638E-2</v>
      </c>
      <c r="AY87" s="22">
        <f t="shared" ca="1" si="101"/>
        <v>1.3788559529307824E-2</v>
      </c>
      <c r="AZ87" s="22">
        <f t="shared" ca="1" si="101"/>
        <v>1.7643284672696866E-2</v>
      </c>
      <c r="BA87" s="22">
        <f t="shared" ca="1" si="101"/>
        <v>2.032500437184831E-2</v>
      </c>
      <c r="BB87" s="22">
        <f t="shared" ca="1" si="101"/>
        <v>2.2375159633463509E-2</v>
      </c>
      <c r="BC87" s="22">
        <f t="shared" ca="1" si="101"/>
        <v>2.2698915195805972E-2</v>
      </c>
      <c r="BD87" s="22">
        <f t="shared" ca="1" si="101"/>
        <v>2.0928615118869578E-2</v>
      </c>
      <c r="BE87" s="22">
        <f t="shared" ca="1" si="101"/>
        <v>1.9812135237699858E-2</v>
      </c>
      <c r="BF87" s="22">
        <f t="shared" ca="1" si="101"/>
        <v>1.9108637442008625E-2</v>
      </c>
      <c r="BG87" s="22">
        <f t="shared" ca="1" si="101"/>
        <v>1.9095893345090147E-2</v>
      </c>
      <c r="BH87" s="22">
        <f t="shared" ca="1" si="101"/>
        <v>1.9687787516062108E-2</v>
      </c>
      <c r="BI87" s="22">
        <f t="shared" ca="1" si="101"/>
        <v>2.007115539497618E-2</v>
      </c>
      <c r="BJ87" s="22">
        <f t="shared" ca="1" si="101"/>
        <v>2.0715541899019089E-2</v>
      </c>
      <c r="BK87" s="22">
        <f t="shared" ca="1" si="101"/>
        <v>1.9022585479324328E-2</v>
      </c>
      <c r="BL87" s="22">
        <f t="shared" ca="1" si="101"/>
        <v>1.6892652680756987E-2</v>
      </c>
      <c r="BM87" s="22">
        <f t="shared" ca="1" si="101"/>
        <v>1.6138838529809095E-2</v>
      </c>
      <c r="BN87" s="22">
        <f t="shared" ca="1" si="101"/>
        <v>1.5654647148687639E-2</v>
      </c>
      <c r="BO87" s="22">
        <f t="shared" ca="1" si="101"/>
        <v>1.6576225840466221E-2</v>
      </c>
      <c r="BP87" s="22">
        <f t="shared" ca="1" si="101"/>
        <v>1.6688932961858645E-2</v>
      </c>
      <c r="BQ87" s="22">
        <f t="shared" ca="1" si="101"/>
        <v>1.6835256822315493E-2</v>
      </c>
      <c r="BR87" s="22">
        <f t="shared" ca="1" si="101"/>
        <v>1.7079067718575147E-2</v>
      </c>
      <c r="BS87" s="22">
        <f t="shared" ca="1" si="101"/>
        <v>1.5747150145967424E-2</v>
      </c>
      <c r="BT87" s="22">
        <f t="shared" ca="1" si="101"/>
        <v>1.3255924841635503E-2</v>
      </c>
      <c r="BU87" s="22">
        <f t="shared" ca="1" si="101"/>
        <v>1.1722985879272129E-2</v>
      </c>
      <c r="BV87" s="22">
        <f t="shared" ca="1" si="101"/>
        <v>1.0585360974604913E-2</v>
      </c>
      <c r="BW87" s="22">
        <f t="shared" ca="1" si="101"/>
        <v>1.0471009478302479E-2</v>
      </c>
      <c r="BX87" s="22">
        <f t="shared" ca="1" si="101"/>
        <v>1.0388385580623329E-2</v>
      </c>
      <c r="BY87" s="22">
        <f t="shared" ca="1" si="101"/>
        <v>1.1625054639627323E-2</v>
      </c>
      <c r="BZ87" s="22">
        <f t="shared" ca="1" si="101"/>
        <v>1.2176376543708026E-2</v>
      </c>
      <c r="CA87" s="22">
        <f t="shared" ca="1" si="101"/>
        <v>1.0106928434590878E-2</v>
      </c>
      <c r="CB87" s="22">
        <f t="shared" ca="1" si="101"/>
        <v>1.0046892388603753E-2</v>
      </c>
      <c r="CC87" s="22">
        <f t="shared" ca="1" si="101"/>
        <v>1.1056712838947987E-2</v>
      </c>
      <c r="CD87" s="22">
        <f t="shared" ca="1" si="101"/>
        <v>1.0860575301067526E-2</v>
      </c>
      <c r="CE87" s="22">
        <f t="shared" ca="1" si="101"/>
        <v>8.3829841938434235E-3</v>
      </c>
      <c r="CF87" s="22">
        <f t="shared" ca="1" si="101"/>
        <v>7.1030631909329116E-3</v>
      </c>
      <c r="CG87" s="22">
        <f t="shared" ca="1" si="101"/>
        <v>6.9635040480629691E-3</v>
      </c>
      <c r="CH87" s="22">
        <f t="shared" ca="1" si="101"/>
        <v>5.9952946726676967E-3</v>
      </c>
      <c r="CI87" s="22">
        <f t="shared" ca="1" si="101"/>
        <v>5.7295519360939179E-3</v>
      </c>
      <c r="CJ87" s="22">
        <f t="shared" ca="1" si="101"/>
        <v>5.6234614494841632E-3</v>
      </c>
      <c r="CK87" s="22">
        <f t="shared" ca="1" si="101"/>
        <v>7.4403074747948217E-3</v>
      </c>
      <c r="CL87" s="22">
        <f t="shared" ca="1" si="101"/>
        <v>7.4704234559887957E-3</v>
      </c>
      <c r="CM87" s="22">
        <f t="shared" ref="CM87:EX87" ca="1" si="102">IF(CM7="","",AVERAGE(CG61:CL61)+CONFIDENCE(0.05,STDEV(BN61:CL61),COUNT(BN61:CL61)))</f>
        <v>7.576440043470899E-3</v>
      </c>
      <c r="CN87" s="22">
        <f t="shared" ca="1" si="102"/>
        <v>9.0535905585217898E-3</v>
      </c>
      <c r="CO87" s="22">
        <f t="shared" ca="1" si="102"/>
        <v>9.4189676901024009E-3</v>
      </c>
      <c r="CP87" s="22">
        <f t="shared" ca="1" si="102"/>
        <v>9.5813241010402894E-3</v>
      </c>
      <c r="CQ87" s="22">
        <f t="shared" ca="1" si="102"/>
        <v>8.6577569300690833E-3</v>
      </c>
      <c r="CR87" s="22">
        <f t="shared" ca="1" si="102"/>
        <v>9.4935195714656202E-3</v>
      </c>
      <c r="CS87" s="22">
        <f t="shared" ca="1" si="102"/>
        <v>9.61940705016796E-3</v>
      </c>
      <c r="CT87" s="22">
        <f t="shared" ca="1" si="102"/>
        <v>7.3927696703992738E-3</v>
      </c>
      <c r="CU87" s="22">
        <f t="shared" ca="1" si="102"/>
        <v>6.2266272196889443E-3</v>
      </c>
      <c r="CV87" s="22">
        <f t="shared" ca="1" si="102"/>
        <v>1.0018579864567301E-2</v>
      </c>
      <c r="CW87" s="22">
        <f t="shared" ca="1" si="102"/>
        <v>1.0344217173486367E-2</v>
      </c>
      <c r="CX87" s="22">
        <f t="shared" ca="1" si="102"/>
        <v>9.2713154390073431E-3</v>
      </c>
      <c r="CY87" s="22">
        <f t="shared" ca="1" si="102"/>
        <v>8.9626785606963105E-3</v>
      </c>
      <c r="CZ87" s="22">
        <f t="shared" ca="1" si="102"/>
        <v>9.2035613958032121E-3</v>
      </c>
      <c r="DA87" s="22">
        <f t="shared" ca="1" si="102"/>
        <v>9.0351563758906094E-3</v>
      </c>
      <c r="DB87" s="22">
        <f t="shared" ca="1" si="102"/>
        <v>5.5771476285580678E-3</v>
      </c>
      <c r="DC87" s="22">
        <f t="shared" ca="1" si="102"/>
        <v>4.4569831952396225E-3</v>
      </c>
      <c r="DD87" s="22">
        <f t="shared" ca="1" si="102"/>
        <v>4.4607818176992577E-3</v>
      </c>
      <c r="DE87" s="22">
        <f t="shared" ca="1" si="102"/>
        <v>4.1813681768831223E-3</v>
      </c>
      <c r="DF87" s="22">
        <f t="shared" ca="1" si="102"/>
        <v>4.3919514811068972E-3</v>
      </c>
      <c r="DG87" s="22">
        <f t="shared" ca="1" si="102"/>
        <v>4.7792937595639642E-3</v>
      </c>
      <c r="DH87" s="22">
        <f t="shared" ca="1" si="102"/>
        <v>6.0066991530778307E-3</v>
      </c>
      <c r="DI87" s="22">
        <f t="shared" ca="1" si="102"/>
        <v>9.1617937037736241E-3</v>
      </c>
      <c r="DJ87" s="22">
        <f t="shared" ca="1" si="102"/>
        <v>1.1445066676343338E-2</v>
      </c>
      <c r="DK87" s="22">
        <f t="shared" ca="1" si="102"/>
        <v>1.2282756032284597E-2</v>
      </c>
      <c r="DL87" s="22">
        <f t="shared" ca="1" si="102"/>
        <v>1.185963903231918E-2</v>
      </c>
      <c r="DM87" s="22">
        <f t="shared" ca="1" si="102"/>
        <v>1.1128095793984275E-2</v>
      </c>
      <c r="DN87" s="22">
        <f t="shared" ca="1" si="102"/>
        <v>9.9020361467649972E-3</v>
      </c>
      <c r="DO87" s="22">
        <f t="shared" ca="1" si="102"/>
        <v>7.9995906884425712E-3</v>
      </c>
      <c r="DP87" s="22">
        <f t="shared" ca="1" si="102"/>
        <v>6.5099682526382459E-3</v>
      </c>
      <c r="DQ87" s="22">
        <f t="shared" ca="1" si="102"/>
        <v>5.5259481013362208E-3</v>
      </c>
      <c r="DR87" s="22">
        <f t="shared" ca="1" si="102"/>
        <v>5.9389579487264333E-3</v>
      </c>
      <c r="DS87" s="22">
        <f t="shared" ca="1" si="102"/>
        <v>6.4297433458374558E-3</v>
      </c>
      <c r="DT87" s="22">
        <f t="shared" ca="1" si="102"/>
        <v>6.0379223288709915E-3</v>
      </c>
      <c r="DU87" s="22">
        <f t="shared" ca="1" si="102"/>
        <v>4.5012916283550704E-3</v>
      </c>
      <c r="DV87" s="22">
        <f t="shared" ca="1" si="102"/>
        <v>3.777183821282685E-3</v>
      </c>
      <c r="DW87" s="22">
        <f t="shared" ca="1" si="102"/>
        <v>4.8879077275222216E-3</v>
      </c>
      <c r="DX87" s="22">
        <f t="shared" ca="1" si="102"/>
        <v>5.4127190007351913E-3</v>
      </c>
      <c r="DY87" s="22">
        <f t="shared" ca="1" si="102"/>
        <v>5.4373533705315731E-3</v>
      </c>
      <c r="DZ87" s="22">
        <f t="shared" ca="1" si="102"/>
        <v>5.9961591741009707E-3</v>
      </c>
      <c r="EA87" s="22">
        <f t="shared" ca="1" si="102"/>
        <v>6.9986053346185861E-3</v>
      </c>
      <c r="EB87" s="22">
        <f t="shared" ca="1" si="102"/>
        <v>8.7816325062323158E-3</v>
      </c>
      <c r="EC87" s="22" t="str">
        <f t="shared" si="102"/>
        <v/>
      </c>
      <c r="ED87" s="22" t="e">
        <f t="shared" ca="1" si="102"/>
        <v>#DIV/0!</v>
      </c>
      <c r="EE87" s="22" t="e">
        <f t="shared" ca="1" si="102"/>
        <v>#DIV/0!</v>
      </c>
      <c r="EF87" s="22" t="str">
        <f t="shared" si="102"/>
        <v/>
      </c>
      <c r="EG87" s="22" t="e">
        <f t="shared" ca="1" si="102"/>
        <v>#DIV/0!</v>
      </c>
      <c r="EH87" s="22">
        <f t="shared" ca="1" si="102"/>
        <v>2.4206762376037371E-3</v>
      </c>
      <c r="EI87" s="22">
        <f t="shared" ca="1" si="102"/>
        <v>3.852206073927424E-3</v>
      </c>
      <c r="EJ87" s="22">
        <f t="shared" ca="1" si="102"/>
        <v>5.0984924681313059E-3</v>
      </c>
      <c r="EK87" s="22">
        <f t="shared" ca="1" si="102"/>
        <v>5.785229794053188E-3</v>
      </c>
      <c r="EL87" s="22">
        <f t="shared" ca="1" si="102"/>
        <v>6.9082386773188596E-3</v>
      </c>
      <c r="EM87" s="22">
        <f t="shared" ca="1" si="102"/>
        <v>6.3648896248284662E-3</v>
      </c>
      <c r="EN87" s="22">
        <f t="shared" ca="1" si="102"/>
        <v>6.4320431973751077E-3</v>
      </c>
      <c r="EO87" s="22">
        <f t="shared" ca="1" si="102"/>
        <v>5.7460934514150953E-3</v>
      </c>
      <c r="EP87" s="22">
        <f t="shared" ca="1" si="102"/>
        <v>4.8752289462354595E-3</v>
      </c>
      <c r="EQ87" s="22">
        <f t="shared" ca="1" si="102"/>
        <v>6.988321902439143E-3</v>
      </c>
      <c r="ER87" s="22">
        <f t="shared" ca="1" si="102"/>
        <v>5.8754250461886606E-3</v>
      </c>
      <c r="ES87" s="22">
        <f t="shared" ca="1" si="102"/>
        <v>6.8938588210835788E-3</v>
      </c>
      <c r="ET87" s="22">
        <f t="shared" ca="1" si="102"/>
        <v>7.638378832164232E-3</v>
      </c>
      <c r="EU87" s="22">
        <f t="shared" ca="1" si="102"/>
        <v>8.2071723866569656E-3</v>
      </c>
      <c r="EV87" s="22">
        <f t="shared" ca="1" si="102"/>
        <v>8.6201269631363351E-3</v>
      </c>
      <c r="EW87" s="22">
        <f t="shared" ca="1" si="102"/>
        <v>6.113846346444381E-3</v>
      </c>
      <c r="EX87" s="22">
        <f t="shared" ca="1" si="102"/>
        <v>5.8420618606610936E-3</v>
      </c>
      <c r="EY87" s="22">
        <f t="shared" ref="EY87:HJ87" ca="1" si="103">IF(EY7="","",AVERAGE(ES61:EX61)+CONFIDENCE(0.05,STDEV(DZ61:EX61),COUNT(DZ61:EX61)))</f>
        <v>4.5033522481954455E-3</v>
      </c>
      <c r="EZ87" s="22">
        <f t="shared" ca="1" si="103"/>
        <v>4.2318537392430529E-3</v>
      </c>
      <c r="FA87" s="22">
        <f t="shared" ca="1" si="103"/>
        <v>3.6917040506931099E-3</v>
      </c>
      <c r="FB87" s="22">
        <f t="shared" ca="1" si="103"/>
        <v>3.3383398588854485E-3</v>
      </c>
      <c r="FC87" s="22">
        <f t="shared" ca="1" si="103"/>
        <v>3.5884874500494543E-3</v>
      </c>
      <c r="FD87" s="22">
        <f t="shared" ca="1" si="103"/>
        <v>3.9720709019863184E-3</v>
      </c>
      <c r="FE87" s="22">
        <f t="shared" ca="1" si="103"/>
        <v>4.4068092187790247E-3</v>
      </c>
      <c r="FF87" s="22">
        <f t="shared" ca="1" si="103"/>
        <v>4.4972410424110928E-3</v>
      </c>
      <c r="FG87" s="22">
        <f t="shared" ca="1" si="103"/>
        <v>4.941446510159854E-3</v>
      </c>
      <c r="FH87" s="22">
        <f t="shared" ca="1" si="103"/>
        <v>5.8841722200580837E-3</v>
      </c>
      <c r="FI87" s="22">
        <f t="shared" ca="1" si="103"/>
        <v>6.4728549585041893E-3</v>
      </c>
      <c r="FJ87" s="22">
        <f t="shared" ca="1" si="103"/>
        <v>6.4955717966276956E-3</v>
      </c>
      <c r="FK87" s="22">
        <f t="shared" ca="1" si="103"/>
        <v>7.4771485565294938E-3</v>
      </c>
      <c r="FL87" s="22">
        <f t="shared" ca="1" si="103"/>
        <v>7.2449936180033377E-3</v>
      </c>
      <c r="FM87" s="22">
        <f t="shared" ca="1" si="103"/>
        <v>7.7330908064703364E-3</v>
      </c>
      <c r="FN87" s="22">
        <f t="shared" ca="1" si="103"/>
        <v>7.9553857522842806E-3</v>
      </c>
      <c r="FO87" s="22">
        <f t="shared" ca="1" si="103"/>
        <v>8.651873238140732E-3</v>
      </c>
      <c r="FP87" s="22">
        <f t="shared" ca="1" si="103"/>
        <v>7.9102873937051919E-3</v>
      </c>
      <c r="FQ87" s="22">
        <f t="shared" ca="1" si="103"/>
        <v>8.7503672372555436E-3</v>
      </c>
      <c r="FR87" s="22">
        <f t="shared" ca="1" si="103"/>
        <v>9.3291524700622359E-3</v>
      </c>
      <c r="FS87" s="22">
        <f t="shared" ca="1" si="103"/>
        <v>9.1046667725162584E-3</v>
      </c>
      <c r="FT87" s="22">
        <f t="shared" ca="1" si="103"/>
        <v>8.2560623964210694E-3</v>
      </c>
      <c r="FU87" s="22">
        <f t="shared" ca="1" si="103"/>
        <v>6.7695379852717079E-3</v>
      </c>
      <c r="FV87" s="22">
        <f t="shared" ca="1" si="103"/>
        <v>7.2893548532285031E-3</v>
      </c>
      <c r="FW87" s="22">
        <f t="shared" ca="1" si="103"/>
        <v>5.5622825863891508E-3</v>
      </c>
      <c r="FX87" s="22">
        <f t="shared" ca="1" si="103"/>
        <v>4.4928992214573228E-3</v>
      </c>
      <c r="FY87" s="22">
        <f t="shared" ca="1" si="103"/>
        <v>4.8735362788364933E-3</v>
      </c>
      <c r="FZ87" s="22">
        <f t="shared" ca="1" si="103"/>
        <v>5.1686390957800957E-3</v>
      </c>
      <c r="GA87" s="22">
        <f t="shared" ca="1" si="103"/>
        <v>6.940228429097894E-3</v>
      </c>
      <c r="GB87" s="22">
        <f t="shared" ca="1" si="103"/>
        <v>6.1702948612762203E-3</v>
      </c>
      <c r="GC87" s="22">
        <f t="shared" ca="1" si="103"/>
        <v>6.1182075947250085E-3</v>
      </c>
      <c r="GD87" s="22">
        <f t="shared" ca="1" si="103"/>
        <v>6.9087680918134466E-3</v>
      </c>
      <c r="GE87" s="22">
        <f t="shared" ca="1" si="103"/>
        <v>6.5331697446572145E-3</v>
      </c>
      <c r="GF87" s="22">
        <f t="shared" ca="1" si="103"/>
        <v>6.4927246327967699E-3</v>
      </c>
      <c r="GG87" s="22">
        <f t="shared" ca="1" si="103"/>
        <v>4.9337501676759345E-3</v>
      </c>
      <c r="GH87" s="22">
        <f t="shared" ca="1" si="103"/>
        <v>5.2214026069606224E-3</v>
      </c>
      <c r="GI87" s="22">
        <f t="shared" ca="1" si="103"/>
        <v>4.8773372986632528E-3</v>
      </c>
      <c r="GJ87" s="22">
        <f t="shared" ca="1" si="103"/>
        <v>4.3795556292087279E-3</v>
      </c>
      <c r="GK87" s="22">
        <f t="shared" ca="1" si="103"/>
        <v>3.9347058219640742E-3</v>
      </c>
      <c r="GL87" s="22">
        <f t="shared" ca="1" si="103"/>
        <v>7.364455460639914E-3</v>
      </c>
      <c r="GM87" s="22">
        <f t="shared" ca="1" si="103"/>
        <v>1.2656974050415324E-2</v>
      </c>
      <c r="GN87" s="22">
        <f t="shared" ca="1" si="103"/>
        <v>1.5396582389644193E-2</v>
      </c>
      <c r="GO87" s="22">
        <f t="shared" ca="1" si="103"/>
        <v>1.826004313155162E-2</v>
      </c>
      <c r="GP87" s="22">
        <f t="shared" ca="1" si="103"/>
        <v>1.8020675159225993E-2</v>
      </c>
      <c r="GQ87" s="22">
        <f t="shared" ca="1" si="103"/>
        <v>2.4621787397141753E-2</v>
      </c>
      <c r="GR87" s="22">
        <f t="shared" ca="1" si="103"/>
        <v>2.5369185289964815E-2</v>
      </c>
      <c r="GS87" s="22">
        <f t="shared" ca="1" si="103"/>
        <v>2.2640356961595425E-2</v>
      </c>
      <c r="GT87" s="22">
        <f t="shared" ca="1" si="103"/>
        <v>1.9669150976081334E-2</v>
      </c>
      <c r="GU87" s="22">
        <f t="shared" ca="1" si="103"/>
        <v>1.7936914798928619E-2</v>
      </c>
      <c r="GV87" s="22">
        <f t="shared" ca="1" si="103"/>
        <v>2.0458906713338589E-2</v>
      </c>
      <c r="GW87" s="22">
        <f t="shared" ca="1" si="103"/>
        <v>1.5375146515434025E-2</v>
      </c>
      <c r="GX87" s="22">
        <f t="shared" ca="1" si="103"/>
        <v>1.0697265953023748E-2</v>
      </c>
      <c r="GY87" s="22">
        <f t="shared" ca="1" si="103"/>
        <v>7.8433415621362232E-3</v>
      </c>
      <c r="GZ87" s="22">
        <f t="shared" ca="1" si="103"/>
        <v>1.1285666754322391E-2</v>
      </c>
      <c r="HA87" s="22" t="str">
        <f t="shared" si="103"/>
        <v/>
      </c>
      <c r="HB87" s="22" t="str">
        <f t="shared" si="103"/>
        <v/>
      </c>
      <c r="HC87" s="22" t="str">
        <f t="shared" si="103"/>
        <v/>
      </c>
      <c r="HD87" s="22" t="str">
        <f t="shared" si="103"/>
        <v/>
      </c>
      <c r="HE87" s="22" t="str">
        <f t="shared" si="103"/>
        <v/>
      </c>
      <c r="HF87" s="22" t="str">
        <f t="shared" si="103"/>
        <v/>
      </c>
      <c r="HG87" s="22" t="str">
        <f t="shared" si="103"/>
        <v/>
      </c>
      <c r="HH87" s="22" t="str">
        <f t="shared" si="103"/>
        <v/>
      </c>
      <c r="HI87" s="22" t="str">
        <f t="shared" si="103"/>
        <v/>
      </c>
      <c r="HJ87" s="22" t="str">
        <f t="shared" si="103"/>
        <v/>
      </c>
      <c r="HK87" s="22" t="str">
        <f t="shared" ref="HK87:JH87" si="104">IF(HK7="","",AVERAGE(HE61:HJ61)+CONFIDENCE(0.05,STDEV(GL61:HJ61),COUNT(GL61:HJ61)))</f>
        <v/>
      </c>
      <c r="HL87" s="22" t="str">
        <f t="shared" si="104"/>
        <v/>
      </c>
      <c r="HM87" s="22" t="str">
        <f t="shared" si="104"/>
        <v/>
      </c>
      <c r="HN87" s="22" t="str">
        <f t="shared" si="104"/>
        <v/>
      </c>
      <c r="HO87" s="22" t="str">
        <f t="shared" si="104"/>
        <v/>
      </c>
      <c r="HP87" s="22" t="str">
        <f t="shared" si="104"/>
        <v/>
      </c>
      <c r="HQ87" s="22" t="str">
        <f t="shared" si="104"/>
        <v/>
      </c>
      <c r="HR87" s="22" t="str">
        <f t="shared" si="104"/>
        <v/>
      </c>
      <c r="HS87" s="22" t="str">
        <f t="shared" si="104"/>
        <v/>
      </c>
      <c r="HT87" s="22" t="str">
        <f t="shared" si="104"/>
        <v/>
      </c>
      <c r="HU87" s="22" t="str">
        <f t="shared" si="104"/>
        <v/>
      </c>
      <c r="HV87" s="22" t="str">
        <f t="shared" si="104"/>
        <v/>
      </c>
      <c r="HW87" s="22" t="str">
        <f t="shared" si="104"/>
        <v/>
      </c>
      <c r="HX87" s="22" t="str">
        <f t="shared" si="104"/>
        <v/>
      </c>
      <c r="HY87" s="22" t="str">
        <f t="shared" si="104"/>
        <v/>
      </c>
      <c r="HZ87" s="22" t="str">
        <f t="shared" si="104"/>
        <v/>
      </c>
      <c r="IA87" s="22" t="str">
        <f t="shared" si="104"/>
        <v/>
      </c>
      <c r="IB87" s="22" t="str">
        <f t="shared" si="104"/>
        <v/>
      </c>
      <c r="IC87" s="22" t="str">
        <f t="shared" si="104"/>
        <v/>
      </c>
      <c r="ID87" s="22" t="str">
        <f t="shared" si="104"/>
        <v/>
      </c>
      <c r="IE87" s="22" t="str">
        <f t="shared" si="104"/>
        <v/>
      </c>
      <c r="IF87" s="22" t="str">
        <f t="shared" si="104"/>
        <v/>
      </c>
      <c r="IG87" s="22" t="str">
        <f t="shared" si="104"/>
        <v/>
      </c>
      <c r="IH87" s="22" t="str">
        <f t="shared" si="104"/>
        <v/>
      </c>
      <c r="II87" s="22" t="str">
        <f t="shared" si="104"/>
        <v/>
      </c>
      <c r="IJ87" s="22" t="str">
        <f t="shared" si="104"/>
        <v/>
      </c>
      <c r="IK87" s="22" t="str">
        <f t="shared" si="104"/>
        <v/>
      </c>
      <c r="IL87" s="22" t="str">
        <f t="shared" si="104"/>
        <v/>
      </c>
      <c r="IM87" s="22" t="str">
        <f t="shared" si="104"/>
        <v/>
      </c>
      <c r="IN87" s="22" t="str">
        <f t="shared" si="104"/>
        <v/>
      </c>
      <c r="IO87" s="22" t="str">
        <f t="shared" si="104"/>
        <v/>
      </c>
      <c r="IP87" s="22" t="str">
        <f t="shared" si="104"/>
        <v/>
      </c>
      <c r="IQ87" s="22" t="str">
        <f t="shared" si="104"/>
        <v/>
      </c>
      <c r="IR87" s="22" t="str">
        <f t="shared" si="104"/>
        <v/>
      </c>
      <c r="IS87" s="22" t="str">
        <f t="shared" si="104"/>
        <v/>
      </c>
      <c r="IT87" s="22" t="str">
        <f t="shared" si="104"/>
        <v/>
      </c>
      <c r="IU87" s="22" t="str">
        <f t="shared" si="104"/>
        <v/>
      </c>
      <c r="IV87" s="22" t="str">
        <f t="shared" si="104"/>
        <v/>
      </c>
      <c r="IW87" s="22" t="str">
        <f t="shared" si="104"/>
        <v/>
      </c>
      <c r="IX87" s="22" t="str">
        <f t="shared" si="104"/>
        <v/>
      </c>
      <c r="IY87" s="22" t="str">
        <f t="shared" si="104"/>
        <v/>
      </c>
      <c r="IZ87" s="22" t="str">
        <f t="shared" si="104"/>
        <v/>
      </c>
      <c r="JA87" s="22" t="str">
        <f t="shared" si="104"/>
        <v/>
      </c>
      <c r="JB87" s="22" t="str">
        <f t="shared" si="104"/>
        <v/>
      </c>
      <c r="JC87" s="22" t="str">
        <f t="shared" si="104"/>
        <v/>
      </c>
      <c r="JD87" s="22" t="str">
        <f t="shared" si="104"/>
        <v/>
      </c>
      <c r="JE87" s="22" t="str">
        <f t="shared" si="104"/>
        <v/>
      </c>
      <c r="JF87" s="22" t="str">
        <f t="shared" si="104"/>
        <v/>
      </c>
      <c r="JG87" s="22" t="str">
        <f t="shared" si="104"/>
        <v/>
      </c>
      <c r="JH87" s="22" t="str">
        <f t="shared" si="104"/>
        <v/>
      </c>
    </row>
    <row r="88" spans="1:336" x14ac:dyDescent="0.25"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>
        <f t="shared" ref="AA88:CL88" ca="1" si="105">IF(AA8="","",AVERAGE(T62:Z62)+CONFIDENCE(0.05,STDEV(B62:Z62),COUNT(B62:Z62)))</f>
        <v>2.3520699406621524E-3</v>
      </c>
      <c r="AB88" s="22">
        <f t="shared" ca="1" si="105"/>
        <v>2.2411095236745488E-3</v>
      </c>
      <c r="AC88" s="22">
        <f t="shared" ca="1" si="105"/>
        <v>2.3225687884438507E-3</v>
      </c>
      <c r="AD88" s="22">
        <f t="shared" ca="1" si="105"/>
        <v>2.2505629771723619E-3</v>
      </c>
      <c r="AE88" s="22">
        <f t="shared" ca="1" si="105"/>
        <v>2.3888354451220132E-3</v>
      </c>
      <c r="AF88" s="22">
        <f t="shared" ca="1" si="105"/>
        <v>2.5013771351427155E-3</v>
      </c>
      <c r="AG88" s="22">
        <f t="shared" ca="1" si="105"/>
        <v>2.460289726132916E-3</v>
      </c>
      <c r="AH88" s="22">
        <f t="shared" ca="1" si="105"/>
        <v>2.459932886413314E-3</v>
      </c>
      <c r="AI88" s="22">
        <f t="shared" ca="1" si="105"/>
        <v>3.3247414270556686E-3</v>
      </c>
      <c r="AJ88" s="22">
        <f t="shared" ca="1" si="105"/>
        <v>4.4724228187929035E-3</v>
      </c>
      <c r="AK88" s="22">
        <f t="shared" ca="1" si="105"/>
        <v>5.5343025070781387E-3</v>
      </c>
      <c r="AL88" s="22">
        <f t="shared" ca="1" si="105"/>
        <v>6.5047314628275919E-3</v>
      </c>
      <c r="AM88" s="22">
        <f t="shared" ca="1" si="105"/>
        <v>7.4042854348589275E-3</v>
      </c>
      <c r="AN88" s="22">
        <f t="shared" ca="1" si="105"/>
        <v>8.2526462128439584E-3</v>
      </c>
      <c r="AO88" s="22">
        <f t="shared" ca="1" si="105"/>
        <v>8.5803963122710221E-3</v>
      </c>
      <c r="AP88" s="22">
        <f t="shared" ca="1" si="105"/>
        <v>8.0076528537618014E-3</v>
      </c>
      <c r="AQ88" s="22">
        <f t="shared" ca="1" si="105"/>
        <v>7.5298581993330045E-3</v>
      </c>
      <c r="AR88" s="22">
        <f t="shared" ca="1" si="105"/>
        <v>7.1800212994052775E-3</v>
      </c>
      <c r="AS88" s="22">
        <f t="shared" ca="1" si="105"/>
        <v>6.2149243680620098E-3</v>
      </c>
      <c r="AT88" s="22">
        <f t="shared" ca="1" si="105"/>
        <v>5.6699851519842314E-3</v>
      </c>
      <c r="AU88" s="22">
        <f t="shared" ca="1" si="105"/>
        <v>5.7551953869350624E-3</v>
      </c>
      <c r="AV88" s="22">
        <f t="shared" ca="1" si="105"/>
        <v>6.9542942230685634E-3</v>
      </c>
      <c r="AW88" s="22">
        <f t="shared" ca="1" si="105"/>
        <v>9.9375159686337609E-3</v>
      </c>
      <c r="AX88" s="22">
        <f t="shared" ca="1" si="105"/>
        <v>1.3637496814467388E-2</v>
      </c>
      <c r="AY88" s="22">
        <f t="shared" ca="1" si="105"/>
        <v>1.7301660930882371E-2</v>
      </c>
      <c r="AZ88" s="22">
        <f t="shared" ca="1" si="105"/>
        <v>2.138880786742272E-2</v>
      </c>
      <c r="BA88" s="22">
        <f t="shared" ca="1" si="105"/>
        <v>2.4660617796300084E-2</v>
      </c>
      <c r="BB88" s="22">
        <f t="shared" ca="1" si="105"/>
        <v>2.730341455405684E-2</v>
      </c>
      <c r="BC88" s="22">
        <f t="shared" ca="1" si="105"/>
        <v>2.8803188747224737E-2</v>
      </c>
      <c r="BD88" s="22">
        <f t="shared" ca="1" si="105"/>
        <v>2.8098005026557422E-2</v>
      </c>
      <c r="BE88" s="22">
        <f t="shared" ca="1" si="105"/>
        <v>2.6976711736427711E-2</v>
      </c>
      <c r="BF88" s="22">
        <f t="shared" ca="1" si="105"/>
        <v>2.6566438534383049E-2</v>
      </c>
      <c r="BG88" s="22">
        <f t="shared" ca="1" si="105"/>
        <v>2.6278101240897623E-2</v>
      </c>
      <c r="BH88" s="22">
        <f t="shared" ca="1" si="105"/>
        <v>2.6918628695515347E-2</v>
      </c>
      <c r="BI88" s="22">
        <f t="shared" ca="1" si="105"/>
        <v>2.646414671240711E-2</v>
      </c>
      <c r="BJ88" s="22">
        <f t="shared" ca="1" si="105"/>
        <v>2.5330479938035853E-2</v>
      </c>
      <c r="BK88" s="22">
        <f t="shared" ca="1" si="105"/>
        <v>2.3264099892208623E-2</v>
      </c>
      <c r="BL88" s="22">
        <f t="shared" ca="1" si="105"/>
        <v>2.1710472751829236E-2</v>
      </c>
      <c r="BM88" s="22">
        <f t="shared" ca="1" si="105"/>
        <v>2.0971257769601823E-2</v>
      </c>
      <c r="BN88" s="22">
        <f t="shared" ca="1" si="105"/>
        <v>2.1252098398774916E-2</v>
      </c>
      <c r="BO88" s="22">
        <f t="shared" ca="1" si="105"/>
        <v>2.1113300589383172E-2</v>
      </c>
      <c r="BP88" s="22">
        <f t="shared" ca="1" si="105"/>
        <v>2.0657840049480704E-2</v>
      </c>
      <c r="BQ88" s="22">
        <f t="shared" ca="1" si="105"/>
        <v>1.9665657875250334E-2</v>
      </c>
      <c r="BR88" s="22">
        <f t="shared" ca="1" si="105"/>
        <v>2.0702595424508276E-2</v>
      </c>
      <c r="BS88" s="22">
        <f t="shared" ca="1" si="105"/>
        <v>2.0647221262509348E-2</v>
      </c>
      <c r="BT88" s="22">
        <f t="shared" ca="1" si="105"/>
        <v>1.9197716975286761E-2</v>
      </c>
      <c r="BU88" s="22">
        <f t="shared" ca="1" si="105"/>
        <v>1.8136819504072546E-2</v>
      </c>
      <c r="BV88" s="22">
        <f t="shared" ca="1" si="105"/>
        <v>1.5742758082050317E-2</v>
      </c>
      <c r="BW88" s="22">
        <f t="shared" ca="1" si="105"/>
        <v>1.3653314218280636E-2</v>
      </c>
      <c r="BX88" s="22">
        <f t="shared" ca="1" si="105"/>
        <v>1.3627700819103633E-2</v>
      </c>
      <c r="BY88" s="22">
        <f t="shared" ca="1" si="105"/>
        <v>1.4764470896473031E-2</v>
      </c>
      <c r="BZ88" s="22">
        <f t="shared" ca="1" si="105"/>
        <v>1.485496497363622E-2</v>
      </c>
      <c r="CA88" s="22">
        <f t="shared" ca="1" si="105"/>
        <v>1.4063675382555636E-2</v>
      </c>
      <c r="CB88" s="22">
        <f t="shared" ca="1" si="105"/>
        <v>1.2591211440098348E-2</v>
      </c>
      <c r="CC88" s="22">
        <f t="shared" ca="1" si="105"/>
        <v>1.2747547853781443E-2</v>
      </c>
      <c r="CD88" s="22">
        <f t="shared" ca="1" si="105"/>
        <v>1.2987470201040486E-2</v>
      </c>
      <c r="CE88" s="22">
        <f t="shared" ca="1" si="105"/>
        <v>1.2145278896429095E-2</v>
      </c>
      <c r="CF88" s="22">
        <f t="shared" ca="1" si="105"/>
        <v>9.6579927980529039E-3</v>
      </c>
      <c r="CG88" s="22">
        <f t="shared" ca="1" si="105"/>
        <v>8.4177775830020698E-3</v>
      </c>
      <c r="CH88" s="22">
        <f t="shared" ca="1" si="105"/>
        <v>8.4713190408238648E-3</v>
      </c>
      <c r="CI88" s="22">
        <f t="shared" ca="1" si="105"/>
        <v>8.320447344681018E-3</v>
      </c>
      <c r="CJ88" s="22">
        <f t="shared" ca="1" si="105"/>
        <v>6.970269908107919E-3</v>
      </c>
      <c r="CK88" s="22">
        <f t="shared" ca="1" si="105"/>
        <v>7.6727309515103922E-3</v>
      </c>
      <c r="CL88" s="22">
        <f t="shared" ca="1" si="105"/>
        <v>7.8702700194470641E-3</v>
      </c>
      <c r="CM88" s="22">
        <f t="shared" ref="CM88:EX88" ca="1" si="106">IF(CM8="","",AVERAGE(CF62:CL62)+CONFIDENCE(0.05,STDEV(BN62:CL62),COUNT(BN62:CL62)))</f>
        <v>8.471982119996696E-3</v>
      </c>
      <c r="CN88" s="22">
        <f t="shared" ca="1" si="106"/>
        <v>1.0154569498078157E-2</v>
      </c>
      <c r="CO88" s="22">
        <f t="shared" ca="1" si="106"/>
        <v>1.1277469688191492E-2</v>
      </c>
      <c r="CP88" s="22">
        <f t="shared" ca="1" si="106"/>
        <v>1.1706325791695138E-2</v>
      </c>
      <c r="CQ88" s="22">
        <f t="shared" ca="1" si="106"/>
        <v>1.1702314866635859E-2</v>
      </c>
      <c r="CR88" s="22">
        <f t="shared" ca="1" si="106"/>
        <v>1.1104890836200788E-2</v>
      </c>
      <c r="CS88" s="22">
        <f t="shared" ca="1" si="106"/>
        <v>1.1140120136019758E-2</v>
      </c>
      <c r="CT88" s="22">
        <f t="shared" ca="1" si="106"/>
        <v>1.0100223767096649E-2</v>
      </c>
      <c r="CU88" s="22">
        <f t="shared" ca="1" si="106"/>
        <v>8.4527064785168034E-3</v>
      </c>
      <c r="CV88" s="22">
        <f t="shared" ca="1" si="106"/>
        <v>1.141208834194506E-2</v>
      </c>
      <c r="CW88" s="22">
        <f t="shared" ca="1" si="106"/>
        <v>1.0815600262489251E-2</v>
      </c>
      <c r="CX88" s="22">
        <f t="shared" ca="1" si="106"/>
        <v>1.0383421799171413E-2</v>
      </c>
      <c r="CY88" s="22">
        <f t="shared" ca="1" si="106"/>
        <v>9.8799612257976267E-3</v>
      </c>
      <c r="CZ88" s="22">
        <f t="shared" ca="1" si="106"/>
        <v>9.6878774329224732E-3</v>
      </c>
      <c r="DA88" s="22">
        <f t="shared" ca="1" si="106"/>
        <v>9.9790040081981883E-3</v>
      </c>
      <c r="DB88" s="22">
        <f t="shared" ca="1" si="106"/>
        <v>9.7809913194372121E-3</v>
      </c>
      <c r="DC88" s="22">
        <f t="shared" ca="1" si="106"/>
        <v>5.6131423564967893E-3</v>
      </c>
      <c r="DD88" s="22">
        <f t="shared" ca="1" si="106"/>
        <v>4.9469972248270579E-3</v>
      </c>
      <c r="DE88" s="22">
        <f t="shared" ca="1" si="106"/>
        <v>4.978245984720223E-3</v>
      </c>
      <c r="DF88" s="22">
        <f t="shared" ca="1" si="106"/>
        <v>5.3910813540275137E-3</v>
      </c>
      <c r="DG88" s="22">
        <f t="shared" ca="1" si="106"/>
        <v>6.2432479725510956E-3</v>
      </c>
      <c r="DH88" s="22">
        <f t="shared" ca="1" si="106"/>
        <v>8.2402926951293653E-3</v>
      </c>
      <c r="DI88" s="22">
        <f t="shared" ca="1" si="106"/>
        <v>1.0678788546301962E-2</v>
      </c>
      <c r="DJ88" s="22">
        <f t="shared" ca="1" si="106"/>
        <v>1.319145745291499E-2</v>
      </c>
      <c r="DK88" s="22">
        <f t="shared" ca="1" si="106"/>
        <v>1.3967008297739225E-2</v>
      </c>
      <c r="DL88" s="22">
        <f t="shared" ca="1" si="106"/>
        <v>1.403267676697142E-2</v>
      </c>
      <c r="DM88" s="22">
        <f t="shared" ca="1" si="106"/>
        <v>1.3049606925574078E-2</v>
      </c>
      <c r="DN88" s="22">
        <f t="shared" ca="1" si="106"/>
        <v>1.2533511133225815E-2</v>
      </c>
      <c r="DO88" s="22">
        <f t="shared" ca="1" si="106"/>
        <v>1.1352116912155742E-2</v>
      </c>
      <c r="DP88" s="22">
        <f t="shared" ca="1" si="106"/>
        <v>9.3697698984447977E-3</v>
      </c>
      <c r="DQ88" s="22">
        <f t="shared" ca="1" si="106"/>
        <v>7.3089407857538577E-3</v>
      </c>
      <c r="DR88" s="22">
        <f t="shared" ca="1" si="106"/>
        <v>6.5617664078699619E-3</v>
      </c>
      <c r="DS88" s="22">
        <f t="shared" ca="1" si="106"/>
        <v>7.073591657582908E-3</v>
      </c>
      <c r="DT88" s="22">
        <f t="shared" ca="1" si="106"/>
        <v>7.227591248976652E-3</v>
      </c>
      <c r="DU88" s="22">
        <f t="shared" ca="1" si="106"/>
        <v>6.2908973426183679E-3</v>
      </c>
      <c r="DV88" s="22">
        <f t="shared" ca="1" si="106"/>
        <v>5.331845461665102E-3</v>
      </c>
      <c r="DW88" s="22">
        <f t="shared" ca="1" si="106"/>
        <v>5.568847891722929E-3</v>
      </c>
      <c r="DX88" s="22">
        <f t="shared" ca="1" si="106"/>
        <v>5.8144605888764385E-3</v>
      </c>
      <c r="DY88" s="22">
        <f t="shared" ca="1" si="106"/>
        <v>5.9239147434537887E-3</v>
      </c>
      <c r="DZ88" s="22">
        <f t="shared" ca="1" si="106"/>
        <v>5.7509385330570617E-3</v>
      </c>
      <c r="EA88" s="22">
        <f t="shared" ca="1" si="106"/>
        <v>6.7035256118624428E-3</v>
      </c>
      <c r="EB88" s="22">
        <f t="shared" ca="1" si="106"/>
        <v>7.0037941256533755E-3</v>
      </c>
      <c r="EC88" s="22" t="str">
        <f t="shared" si="106"/>
        <v/>
      </c>
      <c r="ED88" s="22" t="e">
        <f t="shared" ca="1" si="106"/>
        <v>#DIV/0!</v>
      </c>
      <c r="EE88" s="22" t="e">
        <f t="shared" ca="1" si="106"/>
        <v>#DIV/0!</v>
      </c>
      <c r="EF88" s="22" t="str">
        <f t="shared" si="106"/>
        <v/>
      </c>
      <c r="EG88" s="22" t="e">
        <f t="shared" ca="1" si="106"/>
        <v>#DIV/0!</v>
      </c>
      <c r="EH88" s="22">
        <f t="shared" ca="1" si="106"/>
        <v>2.4902363425477001E-3</v>
      </c>
      <c r="EI88" s="22">
        <f t="shared" ca="1" si="106"/>
        <v>4.6395788131690582E-3</v>
      </c>
      <c r="EJ88" s="22">
        <f t="shared" ca="1" si="106"/>
        <v>6.1875249138383321E-3</v>
      </c>
      <c r="EK88" s="22">
        <f t="shared" ca="1" si="106"/>
        <v>9.2566389874723827E-3</v>
      </c>
      <c r="EL88" s="22">
        <f t="shared" ca="1" si="106"/>
        <v>8.7170505153309884E-3</v>
      </c>
      <c r="EM88" s="22">
        <f t="shared" ca="1" si="106"/>
        <v>7.7613904962984138E-3</v>
      </c>
      <c r="EN88" s="22">
        <f t="shared" ca="1" si="106"/>
        <v>7.0916959330175923E-3</v>
      </c>
      <c r="EO88" s="22">
        <f t="shared" ca="1" si="106"/>
        <v>7.1363492106949721E-3</v>
      </c>
      <c r="EP88" s="22">
        <f t="shared" ca="1" si="106"/>
        <v>6.5080666250808723E-3</v>
      </c>
      <c r="EQ88" s="22">
        <f t="shared" ca="1" si="106"/>
        <v>8.4056050838045987E-3</v>
      </c>
      <c r="ER88" s="22">
        <f t="shared" ca="1" si="106"/>
        <v>6.6728634846790046E-3</v>
      </c>
      <c r="ES88" s="22">
        <f t="shared" ca="1" si="106"/>
        <v>7.3786779414893233E-3</v>
      </c>
      <c r="ET88" s="22">
        <f t="shared" ca="1" si="106"/>
        <v>8.3626960454791423E-3</v>
      </c>
      <c r="EU88" s="22">
        <f t="shared" ca="1" si="106"/>
        <v>8.752757048717752E-3</v>
      </c>
      <c r="EV88" s="22">
        <f t="shared" ca="1" si="106"/>
        <v>9.2293180173839712E-3</v>
      </c>
      <c r="EW88" s="22">
        <f t="shared" ca="1" si="106"/>
        <v>9.0673979124378176E-3</v>
      </c>
      <c r="EX88" s="22">
        <f t="shared" ca="1" si="106"/>
        <v>6.658985042490807E-3</v>
      </c>
      <c r="EY88" s="22">
        <f t="shared" ref="EY88:HJ88" ca="1" si="107">IF(EY8="","",AVERAGE(ER62:EX62)+CONFIDENCE(0.05,STDEV(DZ62:EX62),COUNT(DZ62:EX62)))</f>
        <v>6.2694267063225558E-3</v>
      </c>
      <c r="EZ88" s="22">
        <f t="shared" ca="1" si="107"/>
        <v>5.5194085288531973E-3</v>
      </c>
      <c r="FA88" s="22">
        <f t="shared" ca="1" si="107"/>
        <v>4.559951238867049E-3</v>
      </c>
      <c r="FB88" s="22">
        <f t="shared" ca="1" si="107"/>
        <v>4.0364989475046489E-3</v>
      </c>
      <c r="FC88" s="22">
        <f t="shared" ca="1" si="107"/>
        <v>3.6770977587472211E-3</v>
      </c>
      <c r="FD88" s="22">
        <f t="shared" ca="1" si="107"/>
        <v>3.6915205219267633E-3</v>
      </c>
      <c r="FE88" s="22">
        <f t="shared" ca="1" si="107"/>
        <v>4.3132643879653003E-3</v>
      </c>
      <c r="FF88" s="22">
        <f t="shared" ca="1" si="107"/>
        <v>4.7892757737152698E-3</v>
      </c>
      <c r="FG88" s="22">
        <f t="shared" ca="1" si="107"/>
        <v>4.581779984930404E-3</v>
      </c>
      <c r="FH88" s="22">
        <f t="shared" ca="1" si="107"/>
        <v>5.7259933808542548E-3</v>
      </c>
      <c r="FI88" s="22">
        <f t="shared" ca="1" si="107"/>
        <v>6.308402934390207E-3</v>
      </c>
      <c r="FJ88" s="22">
        <f t="shared" ca="1" si="107"/>
        <v>6.9554853242777036E-3</v>
      </c>
      <c r="FK88" s="22">
        <f t="shared" ca="1" si="107"/>
        <v>9.1469721019343392E-3</v>
      </c>
      <c r="FL88" s="22">
        <f t="shared" ca="1" si="107"/>
        <v>9.1251644637052043E-3</v>
      </c>
      <c r="FM88" s="22">
        <f t="shared" ca="1" si="107"/>
        <v>9.5184426914691634E-3</v>
      </c>
      <c r="FN88" s="22">
        <f t="shared" ca="1" si="107"/>
        <v>1.0274831498420567E-2</v>
      </c>
      <c r="FO88" s="22">
        <f t="shared" ca="1" si="107"/>
        <v>1.0397505939673753E-2</v>
      </c>
      <c r="FP88" s="22">
        <f t="shared" ca="1" si="107"/>
        <v>9.4814430999305369E-3</v>
      </c>
      <c r="FQ88" s="22">
        <f t="shared" ca="1" si="107"/>
        <v>1.1045051744518882E-2</v>
      </c>
      <c r="FR88" s="22">
        <f t="shared" ca="1" si="107"/>
        <v>1.0014072332642194E-2</v>
      </c>
      <c r="FS88" s="22">
        <f t="shared" ca="1" si="107"/>
        <v>9.8590342255842137E-3</v>
      </c>
      <c r="FT88" s="22">
        <f t="shared" ca="1" si="107"/>
        <v>9.4276948731992112E-3</v>
      </c>
      <c r="FU88" s="22">
        <f t="shared" ca="1" si="107"/>
        <v>8.2622906094370271E-3</v>
      </c>
      <c r="FV88" s="22">
        <f t="shared" ca="1" si="107"/>
        <v>7.3603927010437963E-3</v>
      </c>
      <c r="FW88" s="22">
        <f t="shared" ca="1" si="107"/>
        <v>7.6473105377444566E-3</v>
      </c>
      <c r="FX88" s="22">
        <f t="shared" ca="1" si="107"/>
        <v>5.6973882145713922E-3</v>
      </c>
      <c r="FY88" s="22">
        <f t="shared" ca="1" si="107"/>
        <v>5.6242940491077502E-3</v>
      </c>
      <c r="FZ88" s="22">
        <f t="shared" ca="1" si="107"/>
        <v>5.8638676143907588E-3</v>
      </c>
      <c r="GA88" s="22">
        <f t="shared" ca="1" si="107"/>
        <v>6.8033590898729582E-3</v>
      </c>
      <c r="GB88" s="22">
        <f t="shared" ca="1" si="107"/>
        <v>6.7940497907288001E-3</v>
      </c>
      <c r="GC88" s="22">
        <f t="shared" ca="1" si="107"/>
        <v>6.7742646222232316E-3</v>
      </c>
      <c r="GD88" s="22">
        <f t="shared" ca="1" si="107"/>
        <v>7.3178112237782143E-3</v>
      </c>
      <c r="GE88" s="22">
        <f t="shared" ca="1" si="107"/>
        <v>7.8463918217122914E-3</v>
      </c>
      <c r="GF88" s="22">
        <f t="shared" ca="1" si="107"/>
        <v>7.7267852814148254E-3</v>
      </c>
      <c r="GG88" s="22">
        <f t="shared" ca="1" si="107"/>
        <v>7.1897614018975545E-3</v>
      </c>
      <c r="GH88" s="22">
        <f t="shared" ca="1" si="107"/>
        <v>5.9018890075986435E-3</v>
      </c>
      <c r="GI88" s="22">
        <f t="shared" ca="1" si="107"/>
        <v>6.0650803618053908E-3</v>
      </c>
      <c r="GJ88" s="22">
        <f t="shared" ca="1" si="107"/>
        <v>5.7205028605756564E-3</v>
      </c>
      <c r="GK88" s="22">
        <f t="shared" ca="1" si="107"/>
        <v>8.3889438692555125E-3</v>
      </c>
      <c r="GL88" s="22">
        <f t="shared" ca="1" si="107"/>
        <v>1.0956416007345805E-2</v>
      </c>
      <c r="GM88" s="22">
        <f t="shared" ca="1" si="107"/>
        <v>1.3759415340619979E-2</v>
      </c>
      <c r="GN88" s="22">
        <f t="shared" ca="1" si="107"/>
        <v>1.51025072201988E-2</v>
      </c>
      <c r="GO88" s="22">
        <f t="shared" ca="1" si="107"/>
        <v>1.6880396685412635E-2</v>
      </c>
      <c r="GP88" s="22">
        <f t="shared" ca="1" si="107"/>
        <v>1.7169201002708225E-2</v>
      </c>
      <c r="GQ88" s="22">
        <f t="shared" ca="1" si="107"/>
        <v>2.3602792247926441E-2</v>
      </c>
      <c r="GR88" s="22">
        <f t="shared" ca="1" si="107"/>
        <v>2.4827573619049165E-2</v>
      </c>
      <c r="GS88" s="22">
        <f t="shared" ca="1" si="107"/>
        <v>2.3626525850980379E-2</v>
      </c>
      <c r="GT88" s="22">
        <f t="shared" ca="1" si="107"/>
        <v>2.0596814030262887E-2</v>
      </c>
      <c r="GU88" s="22">
        <f t="shared" ca="1" si="107"/>
        <v>2.150219693293029E-2</v>
      </c>
      <c r="GV88" s="22">
        <f t="shared" ca="1" si="107"/>
        <v>2.2287184031399773E-2</v>
      </c>
      <c r="GW88" s="22">
        <f t="shared" ca="1" si="107"/>
        <v>2.5749002754921136E-2</v>
      </c>
      <c r="GX88" s="22">
        <f t="shared" ca="1" si="107"/>
        <v>1.9672975473639956E-2</v>
      </c>
      <c r="GY88" s="22">
        <f t="shared" ca="1" si="107"/>
        <v>1.3297999855029561E-2</v>
      </c>
      <c r="GZ88" s="22">
        <f t="shared" ca="1" si="107"/>
        <v>8.0496534984868286E-3</v>
      </c>
      <c r="HA88" s="22" t="str">
        <f t="shared" si="107"/>
        <v/>
      </c>
      <c r="HB88" s="22" t="str">
        <f t="shared" si="107"/>
        <v/>
      </c>
      <c r="HC88" s="22" t="str">
        <f t="shared" si="107"/>
        <v/>
      </c>
      <c r="HD88" s="22" t="str">
        <f t="shared" si="107"/>
        <v/>
      </c>
      <c r="HE88" s="22" t="str">
        <f t="shared" si="107"/>
        <v/>
      </c>
      <c r="HF88" s="22" t="str">
        <f t="shared" si="107"/>
        <v/>
      </c>
      <c r="HG88" s="22" t="str">
        <f t="shared" si="107"/>
        <v/>
      </c>
      <c r="HH88" s="22" t="str">
        <f t="shared" si="107"/>
        <v/>
      </c>
      <c r="HI88" s="22" t="str">
        <f t="shared" si="107"/>
        <v/>
      </c>
      <c r="HJ88" s="22" t="str">
        <f t="shared" si="107"/>
        <v/>
      </c>
      <c r="HK88" s="22" t="str">
        <f t="shared" ref="HK88:JH88" si="108">IF(HK8="","",AVERAGE(HD62:HJ62)+CONFIDENCE(0.05,STDEV(GL62:HJ62),COUNT(GL62:HJ62)))</f>
        <v/>
      </c>
      <c r="HL88" s="22" t="str">
        <f t="shared" si="108"/>
        <v/>
      </c>
      <c r="HM88" s="22" t="str">
        <f t="shared" si="108"/>
        <v/>
      </c>
      <c r="HN88" s="22" t="str">
        <f t="shared" si="108"/>
        <v/>
      </c>
      <c r="HO88" s="22" t="str">
        <f t="shared" si="108"/>
        <v/>
      </c>
      <c r="HP88" s="22" t="str">
        <f t="shared" si="108"/>
        <v/>
      </c>
      <c r="HQ88" s="22" t="str">
        <f t="shared" si="108"/>
        <v/>
      </c>
      <c r="HR88" s="22" t="str">
        <f t="shared" si="108"/>
        <v/>
      </c>
      <c r="HS88" s="22" t="str">
        <f t="shared" si="108"/>
        <v/>
      </c>
      <c r="HT88" s="22" t="str">
        <f t="shared" si="108"/>
        <v/>
      </c>
      <c r="HU88" s="22" t="str">
        <f t="shared" si="108"/>
        <v/>
      </c>
      <c r="HV88" s="22" t="str">
        <f t="shared" si="108"/>
        <v/>
      </c>
      <c r="HW88" s="22" t="str">
        <f t="shared" si="108"/>
        <v/>
      </c>
      <c r="HX88" s="22" t="str">
        <f t="shared" si="108"/>
        <v/>
      </c>
      <c r="HY88" s="22" t="str">
        <f t="shared" si="108"/>
        <v/>
      </c>
      <c r="HZ88" s="22" t="str">
        <f t="shared" si="108"/>
        <v/>
      </c>
      <c r="IA88" s="22" t="str">
        <f t="shared" si="108"/>
        <v/>
      </c>
      <c r="IB88" s="22" t="str">
        <f t="shared" si="108"/>
        <v/>
      </c>
      <c r="IC88" s="22" t="str">
        <f t="shared" si="108"/>
        <v/>
      </c>
      <c r="ID88" s="22" t="str">
        <f t="shared" si="108"/>
        <v/>
      </c>
      <c r="IE88" s="22" t="str">
        <f t="shared" si="108"/>
        <v/>
      </c>
      <c r="IF88" s="22" t="str">
        <f t="shared" si="108"/>
        <v/>
      </c>
      <c r="IG88" s="22" t="str">
        <f t="shared" si="108"/>
        <v/>
      </c>
      <c r="IH88" s="22" t="str">
        <f t="shared" si="108"/>
        <v/>
      </c>
      <c r="II88" s="22" t="str">
        <f t="shared" si="108"/>
        <v/>
      </c>
      <c r="IJ88" s="22" t="str">
        <f t="shared" si="108"/>
        <v/>
      </c>
      <c r="IK88" s="22" t="str">
        <f t="shared" si="108"/>
        <v/>
      </c>
      <c r="IL88" s="22" t="str">
        <f t="shared" si="108"/>
        <v/>
      </c>
      <c r="IM88" s="22" t="str">
        <f t="shared" si="108"/>
        <v/>
      </c>
      <c r="IN88" s="22" t="str">
        <f t="shared" si="108"/>
        <v/>
      </c>
      <c r="IO88" s="22" t="str">
        <f t="shared" si="108"/>
        <v/>
      </c>
      <c r="IP88" s="22" t="str">
        <f t="shared" si="108"/>
        <v/>
      </c>
      <c r="IQ88" s="22" t="str">
        <f t="shared" si="108"/>
        <v/>
      </c>
      <c r="IR88" s="22" t="str">
        <f t="shared" si="108"/>
        <v/>
      </c>
      <c r="IS88" s="22" t="str">
        <f t="shared" si="108"/>
        <v/>
      </c>
      <c r="IT88" s="22" t="str">
        <f t="shared" si="108"/>
        <v/>
      </c>
      <c r="IU88" s="22" t="str">
        <f t="shared" si="108"/>
        <v/>
      </c>
      <c r="IV88" s="22" t="str">
        <f t="shared" si="108"/>
        <v/>
      </c>
      <c r="IW88" s="22" t="str">
        <f t="shared" si="108"/>
        <v/>
      </c>
      <c r="IX88" s="22" t="str">
        <f t="shared" si="108"/>
        <v/>
      </c>
      <c r="IY88" s="22" t="str">
        <f t="shared" si="108"/>
        <v/>
      </c>
      <c r="IZ88" s="22" t="str">
        <f t="shared" si="108"/>
        <v/>
      </c>
      <c r="JA88" s="22" t="str">
        <f t="shared" si="108"/>
        <v/>
      </c>
      <c r="JB88" s="22" t="str">
        <f t="shared" si="108"/>
        <v/>
      </c>
      <c r="JC88" s="22" t="str">
        <f t="shared" si="108"/>
        <v/>
      </c>
      <c r="JD88" s="22" t="str">
        <f t="shared" si="108"/>
        <v/>
      </c>
      <c r="JE88" s="22" t="str">
        <f t="shared" si="108"/>
        <v/>
      </c>
      <c r="JF88" s="22" t="str">
        <f t="shared" si="108"/>
        <v/>
      </c>
      <c r="JG88" s="22" t="str">
        <f t="shared" si="108"/>
        <v/>
      </c>
      <c r="JH88" s="22" t="str">
        <f t="shared" si="108"/>
        <v/>
      </c>
    </row>
    <row r="89" spans="1:336" x14ac:dyDescent="0.25"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>
        <f t="shared" ref="AA89:CL89" ca="1" si="109">IF(AA9="","",AVERAGE(S63:Z63)+CONFIDENCE(0.05,STDEV(B63:Z63),COUNT(B63:Z63)))</f>
        <v>2.6818385682596257E-3</v>
      </c>
      <c r="AB89" s="22">
        <f t="shared" ca="1" si="109"/>
        <v>2.3805200161211679E-3</v>
      </c>
      <c r="AC89" s="22">
        <f t="shared" ca="1" si="109"/>
        <v>2.3046855772384501E-3</v>
      </c>
      <c r="AD89" s="22">
        <f t="shared" ca="1" si="109"/>
        <v>2.4505888685818051E-3</v>
      </c>
      <c r="AE89" s="22">
        <f t="shared" ca="1" si="109"/>
        <v>2.655324847626549E-3</v>
      </c>
      <c r="AF89" s="22">
        <f t="shared" ca="1" si="109"/>
        <v>2.935299182494893E-3</v>
      </c>
      <c r="AG89" s="22">
        <f t="shared" ca="1" si="109"/>
        <v>3.2300928430773887E-3</v>
      </c>
      <c r="AH89" s="22">
        <f t="shared" ca="1" si="109"/>
        <v>3.4582457290421812E-3</v>
      </c>
      <c r="AI89" s="22">
        <f t="shared" ca="1" si="109"/>
        <v>4.2857653841550311E-3</v>
      </c>
      <c r="AJ89" s="22">
        <f t="shared" ca="1" si="109"/>
        <v>5.4555123152166436E-3</v>
      </c>
      <c r="AK89" s="22">
        <f t="shared" ca="1" si="109"/>
        <v>6.5521297051406033E-3</v>
      </c>
      <c r="AL89" s="22">
        <f t="shared" ca="1" si="109"/>
        <v>7.7680975932640896E-3</v>
      </c>
      <c r="AM89" s="22">
        <f t="shared" ca="1" si="109"/>
        <v>8.6422075565336497E-3</v>
      </c>
      <c r="AN89" s="22">
        <f t="shared" ca="1" si="109"/>
        <v>9.4695817463690771E-3</v>
      </c>
      <c r="AO89" s="22">
        <f t="shared" ca="1" si="109"/>
        <v>9.8127327842823624E-3</v>
      </c>
      <c r="AP89" s="22">
        <f t="shared" ca="1" si="109"/>
        <v>9.595906302322571E-3</v>
      </c>
      <c r="AQ89" s="22">
        <f t="shared" ca="1" si="109"/>
        <v>9.0375121519840756E-3</v>
      </c>
      <c r="AR89" s="22">
        <f t="shared" ca="1" si="109"/>
        <v>8.3621750562634881E-3</v>
      </c>
      <c r="AS89" s="22">
        <f t="shared" ca="1" si="109"/>
        <v>7.4998265698586041E-3</v>
      </c>
      <c r="AT89" s="22">
        <f t="shared" ca="1" si="109"/>
        <v>7.2744130680318158E-3</v>
      </c>
      <c r="AU89" s="22">
        <f t="shared" ca="1" si="109"/>
        <v>7.7139421991056674E-3</v>
      </c>
      <c r="AV89" s="22">
        <f t="shared" ca="1" si="109"/>
        <v>9.2147156856144351E-3</v>
      </c>
      <c r="AW89" s="22">
        <f t="shared" ca="1" si="109"/>
        <v>1.242843673052397E-2</v>
      </c>
      <c r="AX89" s="22">
        <f t="shared" ca="1" si="109"/>
        <v>1.6896055957823227E-2</v>
      </c>
      <c r="AY89" s="22">
        <f t="shared" ca="1" si="109"/>
        <v>2.1141998424846046E-2</v>
      </c>
      <c r="AZ89" s="22">
        <f t="shared" ca="1" si="109"/>
        <v>2.532180029716722E-2</v>
      </c>
      <c r="BA89" s="22">
        <f t="shared" ca="1" si="109"/>
        <v>2.9221748752814865E-2</v>
      </c>
      <c r="BB89" s="22">
        <f t="shared" ca="1" si="109"/>
        <v>3.264215469108394E-2</v>
      </c>
      <c r="BC89" s="22">
        <f t="shared" ca="1" si="109"/>
        <v>3.5234551512676682E-2</v>
      </c>
      <c r="BD89" s="22">
        <f t="shared" ca="1" si="109"/>
        <v>3.5266430137703031E-2</v>
      </c>
      <c r="BE89" s="22">
        <f t="shared" ca="1" si="109"/>
        <v>3.5122422615391953E-2</v>
      </c>
      <c r="BF89" s="22">
        <f t="shared" ca="1" si="109"/>
        <v>3.4770758227849655E-2</v>
      </c>
      <c r="BG89" s="22">
        <f t="shared" ca="1" si="109"/>
        <v>3.4388942892257343E-2</v>
      </c>
      <c r="BH89" s="22">
        <f t="shared" ca="1" si="109"/>
        <v>3.4619489597387573E-2</v>
      </c>
      <c r="BI89" s="22">
        <f t="shared" ca="1" si="109"/>
        <v>3.3696379680363937E-2</v>
      </c>
      <c r="BJ89" s="22">
        <f t="shared" ca="1" si="109"/>
        <v>3.1040030044982708E-2</v>
      </c>
      <c r="BK89" s="22">
        <f t="shared" ca="1" si="109"/>
        <v>2.7664658809843826E-2</v>
      </c>
      <c r="BL89" s="22">
        <f t="shared" ca="1" si="109"/>
        <v>2.656664269471222E-2</v>
      </c>
      <c r="BM89" s="22">
        <f t="shared" ca="1" si="109"/>
        <v>2.6327175489884874E-2</v>
      </c>
      <c r="BN89" s="22">
        <f t="shared" ca="1" si="109"/>
        <v>2.6504475624395476E-2</v>
      </c>
      <c r="BO89" s="22">
        <f t="shared" ca="1" si="109"/>
        <v>2.7165402450951292E-2</v>
      </c>
      <c r="BP89" s="22">
        <f t="shared" ca="1" si="109"/>
        <v>2.5940161288699116E-2</v>
      </c>
      <c r="BQ89" s="22">
        <f t="shared" ca="1" si="109"/>
        <v>2.415240696653782E-2</v>
      </c>
      <c r="BR89" s="22">
        <f t="shared" ca="1" si="109"/>
        <v>2.3516066834788189E-2</v>
      </c>
      <c r="BS89" s="22">
        <f t="shared" ca="1" si="109"/>
        <v>2.4338867315622705E-2</v>
      </c>
      <c r="BT89" s="22">
        <f t="shared" ca="1" si="109"/>
        <v>2.4770966411749494E-2</v>
      </c>
      <c r="BU89" s="22">
        <f t="shared" ca="1" si="109"/>
        <v>2.4791428945742121E-2</v>
      </c>
      <c r="BV89" s="22">
        <f t="shared" ca="1" si="109"/>
        <v>2.2805737434299762E-2</v>
      </c>
      <c r="BW89" s="22">
        <f t="shared" ca="1" si="109"/>
        <v>1.9203787931592539E-2</v>
      </c>
      <c r="BX89" s="22">
        <f t="shared" ca="1" si="109"/>
        <v>1.7023988372910699E-2</v>
      </c>
      <c r="BY89" s="22">
        <f t="shared" ca="1" si="109"/>
        <v>1.785828608458126E-2</v>
      </c>
      <c r="BZ89" s="22">
        <f t="shared" ca="1" si="109"/>
        <v>1.7842741672731741E-2</v>
      </c>
      <c r="CA89" s="22">
        <f t="shared" ca="1" si="109"/>
        <v>1.7161018419809479E-2</v>
      </c>
      <c r="CB89" s="22">
        <f t="shared" ca="1" si="109"/>
        <v>1.6811415580223501E-2</v>
      </c>
      <c r="CC89" s="22">
        <f t="shared" ca="1" si="109"/>
        <v>1.5529334404041249E-2</v>
      </c>
      <c r="CD89" s="22">
        <f t="shared" ca="1" si="109"/>
        <v>1.4704207035563546E-2</v>
      </c>
      <c r="CE89" s="22">
        <f t="shared" ca="1" si="109"/>
        <v>1.4030313340876677E-2</v>
      </c>
      <c r="CF89" s="22">
        <f t="shared" ca="1" si="109"/>
        <v>1.3055073732214106E-2</v>
      </c>
      <c r="CG89" s="22">
        <f t="shared" ca="1" si="109"/>
        <v>1.0580120330619747E-2</v>
      </c>
      <c r="CH89" s="22">
        <f t="shared" ca="1" si="109"/>
        <v>1.0072920243665887E-2</v>
      </c>
      <c r="CI89" s="22">
        <f t="shared" ca="1" si="109"/>
        <v>1.0597870587409587E-2</v>
      </c>
      <c r="CJ89" s="22">
        <f t="shared" ca="1" si="109"/>
        <v>9.2658182072011628E-3</v>
      </c>
      <c r="CK89" s="22">
        <f t="shared" ca="1" si="109"/>
        <v>9.0335421672563272E-3</v>
      </c>
      <c r="CL89" s="22">
        <f t="shared" ca="1" si="109"/>
        <v>8.4801194149301921E-3</v>
      </c>
      <c r="CM89" s="22">
        <f t="shared" ref="CM89:EX89" ca="1" si="110">IF(CM9="","",AVERAGE(CE63:CL63)+CONFIDENCE(0.05,STDEV(BN63:CL63),COUNT(BN63:CL63)))</f>
        <v>9.1761031183934753E-3</v>
      </c>
      <c r="CN89" s="22">
        <f t="shared" ca="1" si="110"/>
        <v>1.1022945420154999E-2</v>
      </c>
      <c r="CO89" s="22">
        <f t="shared" ca="1" si="110"/>
        <v>1.3478131443821668E-2</v>
      </c>
      <c r="CP89" s="22">
        <f t="shared" ca="1" si="110"/>
        <v>1.4016370211223927E-2</v>
      </c>
      <c r="CQ89" s="22">
        <f t="shared" ca="1" si="110"/>
        <v>1.3227865773128173E-2</v>
      </c>
      <c r="CR89" s="22">
        <f t="shared" ca="1" si="110"/>
        <v>1.3762754335696058E-2</v>
      </c>
      <c r="CS89" s="22">
        <f t="shared" ca="1" si="110"/>
        <v>1.2529781262172931E-2</v>
      </c>
      <c r="CT89" s="22">
        <f t="shared" ca="1" si="110"/>
        <v>1.1788412682919119E-2</v>
      </c>
      <c r="CU89" s="22">
        <f t="shared" ca="1" si="110"/>
        <v>1.1395352040973283E-2</v>
      </c>
      <c r="CV89" s="22">
        <f t="shared" ca="1" si="110"/>
        <v>1.3593216480305171E-2</v>
      </c>
      <c r="CW89" s="22">
        <f t="shared" ca="1" si="110"/>
        <v>1.190269143879967E-2</v>
      </c>
      <c r="CX89" s="22">
        <f t="shared" ca="1" si="110"/>
        <v>1.0682332150456116E-2</v>
      </c>
      <c r="CY89" s="22">
        <f t="shared" ca="1" si="110"/>
        <v>1.0931872126723113E-2</v>
      </c>
      <c r="CZ89" s="22">
        <f t="shared" ca="1" si="110"/>
        <v>1.0521075851962096E-2</v>
      </c>
      <c r="DA89" s="22">
        <f t="shared" ca="1" si="110"/>
        <v>1.0448795768162968E-2</v>
      </c>
      <c r="DB89" s="22">
        <f t="shared" ca="1" si="110"/>
        <v>1.1039778520878847E-2</v>
      </c>
      <c r="DC89" s="22">
        <f t="shared" ca="1" si="110"/>
        <v>1.0419431493161369E-2</v>
      </c>
      <c r="DD89" s="22">
        <f t="shared" ca="1" si="110"/>
        <v>7.1998279577279584E-3</v>
      </c>
      <c r="DE89" s="22">
        <f t="shared" ca="1" si="110"/>
        <v>6.7065990945041308E-3</v>
      </c>
      <c r="DF89" s="22">
        <f t="shared" ca="1" si="110"/>
        <v>7.8318974820938345E-3</v>
      </c>
      <c r="DG89" s="22">
        <f t="shared" ca="1" si="110"/>
        <v>8.8886658291159881E-3</v>
      </c>
      <c r="DH89" s="22">
        <f t="shared" ca="1" si="110"/>
        <v>1.073837151530777E-2</v>
      </c>
      <c r="DI89" s="22">
        <f t="shared" ca="1" si="110"/>
        <v>1.352486865209708E-2</v>
      </c>
      <c r="DJ89" s="22">
        <f t="shared" ca="1" si="110"/>
        <v>1.5273620317593837E-2</v>
      </c>
      <c r="DK89" s="22">
        <f t="shared" ca="1" si="110"/>
        <v>1.6437766038931243E-2</v>
      </c>
      <c r="DL89" s="22">
        <f t="shared" ca="1" si="110"/>
        <v>1.5793685462657372E-2</v>
      </c>
      <c r="DM89" s="22">
        <f t="shared" ca="1" si="110"/>
        <v>1.5249813198055066E-2</v>
      </c>
      <c r="DN89" s="22">
        <f t="shared" ca="1" si="110"/>
        <v>1.4572500084923628E-2</v>
      </c>
      <c r="DO89" s="22">
        <f t="shared" ca="1" si="110"/>
        <v>1.4107258751384138E-2</v>
      </c>
      <c r="DP89" s="22">
        <f t="shared" ca="1" si="110"/>
        <v>1.2925485501046628E-2</v>
      </c>
      <c r="DQ89" s="22">
        <f t="shared" ca="1" si="110"/>
        <v>1.0378300293487623E-2</v>
      </c>
      <c r="DR89" s="22">
        <f t="shared" ca="1" si="110"/>
        <v>8.4217197281297555E-3</v>
      </c>
      <c r="DS89" s="22">
        <f t="shared" ca="1" si="110"/>
        <v>8.0445791805065867E-3</v>
      </c>
      <c r="DT89" s="22">
        <f t="shared" ca="1" si="110"/>
        <v>8.2503780142825379E-3</v>
      </c>
      <c r="DU89" s="22">
        <f t="shared" ca="1" si="110"/>
        <v>8.012471352292147E-3</v>
      </c>
      <c r="DV89" s="22">
        <f t="shared" ca="1" si="110"/>
        <v>7.3175787663008586E-3</v>
      </c>
      <c r="DW89" s="22">
        <f t="shared" ca="1" si="110"/>
        <v>6.7950614629484632E-3</v>
      </c>
      <c r="DX89" s="22">
        <f t="shared" ca="1" si="110"/>
        <v>6.3321476108204686E-3</v>
      </c>
      <c r="DY89" s="22">
        <f t="shared" ca="1" si="110"/>
        <v>6.684862644219189E-3</v>
      </c>
      <c r="DZ89" s="22">
        <f t="shared" ca="1" si="110"/>
        <v>6.6851252663498702E-3</v>
      </c>
      <c r="EA89" s="22">
        <f t="shared" ca="1" si="110"/>
        <v>5.4011702273806111E-3</v>
      </c>
      <c r="EB89" s="22">
        <f t="shared" ca="1" si="110"/>
        <v>5.1391734199424336E-3</v>
      </c>
      <c r="EC89" s="22" t="str">
        <f t="shared" si="110"/>
        <v/>
      </c>
      <c r="ED89" s="22" t="e">
        <f t="shared" ca="1" si="110"/>
        <v>#DIV/0!</v>
      </c>
      <c r="EE89" s="22" t="e">
        <f t="shared" ca="1" si="110"/>
        <v>#DIV/0!</v>
      </c>
      <c r="EF89" s="22" t="str">
        <f t="shared" si="110"/>
        <v/>
      </c>
      <c r="EG89" s="22" t="e">
        <f t="shared" ca="1" si="110"/>
        <v>#DIV/0!</v>
      </c>
      <c r="EH89" s="22">
        <f t="shared" ca="1" si="110"/>
        <v>3.7359116252720995E-3</v>
      </c>
      <c r="EI89" s="22">
        <f t="shared" ca="1" si="110"/>
        <v>5.7836047404481086E-3</v>
      </c>
      <c r="EJ89" s="22">
        <f t="shared" ca="1" si="110"/>
        <v>1.0413482038149515E-2</v>
      </c>
      <c r="EK89" s="22">
        <f t="shared" ca="1" si="110"/>
        <v>1.1300825802191206E-2</v>
      </c>
      <c r="EL89" s="22">
        <f t="shared" ca="1" si="110"/>
        <v>1.0186638916251005E-2</v>
      </c>
      <c r="EM89" s="22">
        <f t="shared" ca="1" si="110"/>
        <v>9.0591213775954478E-3</v>
      </c>
      <c r="EN89" s="22">
        <f t="shared" ca="1" si="110"/>
        <v>8.3451621915362154E-3</v>
      </c>
      <c r="EO89" s="22">
        <f t="shared" ca="1" si="110"/>
        <v>7.701620469530988E-3</v>
      </c>
      <c r="EP89" s="22">
        <f t="shared" ca="1" si="110"/>
        <v>7.815249071980241E-3</v>
      </c>
      <c r="EQ89" s="22">
        <f t="shared" ca="1" si="110"/>
        <v>9.7772423890626538E-3</v>
      </c>
      <c r="ER89" s="22">
        <f t="shared" ca="1" si="110"/>
        <v>8.0038060055453285E-3</v>
      </c>
      <c r="ES89" s="22">
        <f t="shared" ca="1" si="110"/>
        <v>8.309687752505783E-3</v>
      </c>
      <c r="ET89" s="22">
        <f t="shared" ca="1" si="110"/>
        <v>8.751098044399162E-3</v>
      </c>
      <c r="EU89" s="22">
        <f t="shared" ca="1" si="110"/>
        <v>9.1145601136362938E-3</v>
      </c>
      <c r="EV89" s="22">
        <f t="shared" ca="1" si="110"/>
        <v>9.1270261910629709E-3</v>
      </c>
      <c r="EW89" s="22">
        <f t="shared" ca="1" si="110"/>
        <v>9.1060608563553382E-3</v>
      </c>
      <c r="EX89" s="22">
        <f t="shared" ca="1" si="110"/>
        <v>9.0438148114410678E-3</v>
      </c>
      <c r="EY89" s="22">
        <f t="shared" ref="EY89:HJ89" ca="1" si="111">IF(EY9="","",AVERAGE(EQ63:EX63)+CONFIDENCE(0.05,STDEV(DZ63:EX63),COUNT(DZ63:EX63)))</f>
        <v>6.828250753838366E-3</v>
      </c>
      <c r="EZ89" s="22">
        <f t="shared" ca="1" si="111"/>
        <v>7.2517109801345401E-3</v>
      </c>
      <c r="FA89" s="22">
        <f t="shared" ca="1" si="111"/>
        <v>5.8730109784988285E-3</v>
      </c>
      <c r="FB89" s="22">
        <f t="shared" ca="1" si="111"/>
        <v>5.1437395023339154E-3</v>
      </c>
      <c r="FC89" s="22">
        <f t="shared" ca="1" si="111"/>
        <v>4.7076775475548413E-3</v>
      </c>
      <c r="FD89" s="22">
        <f t="shared" ca="1" si="111"/>
        <v>4.2843087001668903E-3</v>
      </c>
      <c r="FE89" s="22">
        <f t="shared" ca="1" si="111"/>
        <v>4.7002417848831073E-3</v>
      </c>
      <c r="FF89" s="22">
        <f t="shared" ca="1" si="111"/>
        <v>4.9458048934578483E-3</v>
      </c>
      <c r="FG89" s="22">
        <f t="shared" ca="1" si="111"/>
        <v>5.4799709582169388E-3</v>
      </c>
      <c r="FH89" s="22">
        <f t="shared" ca="1" si="111"/>
        <v>5.8819459932637121E-3</v>
      </c>
      <c r="FI89" s="22">
        <f t="shared" ca="1" si="111"/>
        <v>5.8496165518424695E-3</v>
      </c>
      <c r="FJ89" s="22">
        <f t="shared" ca="1" si="111"/>
        <v>7.2866802092767403E-3</v>
      </c>
      <c r="FK89" s="22">
        <f t="shared" ca="1" si="111"/>
        <v>9.5910446219057473E-3</v>
      </c>
      <c r="FL89" s="22">
        <f t="shared" ca="1" si="111"/>
        <v>1.0553997591877851E-2</v>
      </c>
      <c r="FM89" s="22">
        <f t="shared" ca="1" si="111"/>
        <v>1.0947703576636866E-2</v>
      </c>
      <c r="FN89" s="22">
        <f t="shared" ca="1" si="111"/>
        <v>1.1588266156552351E-2</v>
      </c>
      <c r="FO89" s="22">
        <f t="shared" ca="1" si="111"/>
        <v>1.2033997312308548E-2</v>
      </c>
      <c r="FP89" s="22">
        <f t="shared" ca="1" si="111"/>
        <v>1.0865060312464501E-2</v>
      </c>
      <c r="FQ89" s="22">
        <f t="shared" ca="1" si="111"/>
        <v>1.2963472362027509E-2</v>
      </c>
      <c r="FR89" s="22">
        <f t="shared" ca="1" si="111"/>
        <v>1.2270948394197565E-2</v>
      </c>
      <c r="FS89" s="22">
        <f t="shared" ca="1" si="111"/>
        <v>1.0753271815060011E-2</v>
      </c>
      <c r="FT89" s="22">
        <f t="shared" ca="1" si="111"/>
        <v>1.0118275359579813E-2</v>
      </c>
      <c r="FU89" s="22">
        <f t="shared" ca="1" si="111"/>
        <v>9.1999535758590153E-3</v>
      </c>
      <c r="FV89" s="22">
        <f t="shared" ca="1" si="111"/>
        <v>8.1792244223630028E-3</v>
      </c>
      <c r="FW89" s="22">
        <f t="shared" ca="1" si="111"/>
        <v>7.2099366718746723E-3</v>
      </c>
      <c r="FX89" s="22">
        <f t="shared" ca="1" si="111"/>
        <v>7.5110206654921416E-3</v>
      </c>
      <c r="FY89" s="22">
        <f t="shared" ca="1" si="111"/>
        <v>6.1576730379850533E-3</v>
      </c>
      <c r="FZ89" s="22">
        <f t="shared" ca="1" si="111"/>
        <v>5.8645257286004081E-3</v>
      </c>
      <c r="GA89" s="22">
        <f t="shared" ca="1" si="111"/>
        <v>6.7034737469091913E-3</v>
      </c>
      <c r="GB89" s="22">
        <f t="shared" ca="1" si="111"/>
        <v>6.6798421365238374E-3</v>
      </c>
      <c r="GC89" s="22">
        <f t="shared" ca="1" si="111"/>
        <v>6.9745291373714078E-3</v>
      </c>
      <c r="GD89" s="22">
        <f t="shared" ca="1" si="111"/>
        <v>7.6509125305721272E-3</v>
      </c>
      <c r="GE89" s="22">
        <f t="shared" ca="1" si="111"/>
        <v>8.5695557893978487E-3</v>
      </c>
      <c r="GF89" s="22">
        <f t="shared" ca="1" si="111"/>
        <v>9.2814879369394095E-3</v>
      </c>
      <c r="GG89" s="22">
        <f t="shared" ca="1" si="111"/>
        <v>8.6388439259790263E-3</v>
      </c>
      <c r="GH89" s="22">
        <f t="shared" ca="1" si="111"/>
        <v>8.3084531241334868E-3</v>
      </c>
      <c r="GI89" s="22">
        <f t="shared" ca="1" si="111"/>
        <v>7.1253461014909774E-3</v>
      </c>
      <c r="GJ89" s="22">
        <f t="shared" ca="1" si="111"/>
        <v>9.5475340463281461E-3</v>
      </c>
      <c r="GK89" s="22">
        <f t="shared" ca="1" si="111"/>
        <v>1.1992745536520365E-2</v>
      </c>
      <c r="GL89" s="22">
        <f t="shared" ca="1" si="111"/>
        <v>1.3277169713733441E-2</v>
      </c>
      <c r="GM89" s="22">
        <f t="shared" ca="1" si="111"/>
        <v>1.4750509478997805E-2</v>
      </c>
      <c r="GN89" s="22">
        <f t="shared" ca="1" si="111"/>
        <v>1.4550823720477151E-2</v>
      </c>
      <c r="GO89" s="22">
        <f t="shared" ca="1" si="111"/>
        <v>1.5922459239127027E-2</v>
      </c>
      <c r="GP89" s="22">
        <f t="shared" ca="1" si="111"/>
        <v>1.6130651623686362E-2</v>
      </c>
      <c r="GQ89" s="22">
        <f t="shared" ca="1" si="111"/>
        <v>2.2415564862724748E-2</v>
      </c>
      <c r="GR89" s="22">
        <f t="shared" ca="1" si="111"/>
        <v>2.409072384547651E-2</v>
      </c>
      <c r="GS89" s="22">
        <f t="shared" ca="1" si="111"/>
        <v>2.3329153953408763E-2</v>
      </c>
      <c r="GT89" s="22">
        <f t="shared" ca="1" si="111"/>
        <v>2.3742179107923669E-2</v>
      </c>
      <c r="GU89" s="22">
        <f t="shared" ca="1" si="111"/>
        <v>2.3931169411854837E-2</v>
      </c>
      <c r="GV89" s="22">
        <f t="shared" ca="1" si="111"/>
        <v>2.6222430656611267E-2</v>
      </c>
      <c r="GW89" s="22">
        <f t="shared" ca="1" si="111"/>
        <v>2.8446033669598057E-2</v>
      </c>
      <c r="GX89" s="22">
        <f t="shared" ca="1" si="111"/>
        <v>3.4569082498520226E-2</v>
      </c>
      <c r="GY89" s="22">
        <f t="shared" ca="1" si="111"/>
        <v>2.8195283010959155E-2</v>
      </c>
      <c r="GZ89" s="22">
        <f t="shared" ca="1" si="111"/>
        <v>2.0224764287594645E-2</v>
      </c>
      <c r="HA89" s="22" t="str">
        <f t="shared" si="111"/>
        <v/>
      </c>
      <c r="HB89" s="22" t="str">
        <f t="shared" si="111"/>
        <v/>
      </c>
      <c r="HC89" s="22" t="str">
        <f t="shared" si="111"/>
        <v/>
      </c>
      <c r="HD89" s="22" t="str">
        <f t="shared" si="111"/>
        <v/>
      </c>
      <c r="HE89" s="22" t="str">
        <f t="shared" si="111"/>
        <v/>
      </c>
      <c r="HF89" s="22" t="str">
        <f t="shared" si="111"/>
        <v/>
      </c>
      <c r="HG89" s="22" t="str">
        <f t="shared" si="111"/>
        <v/>
      </c>
      <c r="HH89" s="22" t="str">
        <f t="shared" si="111"/>
        <v/>
      </c>
      <c r="HI89" s="22" t="str">
        <f t="shared" si="111"/>
        <v/>
      </c>
      <c r="HJ89" s="22" t="str">
        <f t="shared" si="111"/>
        <v/>
      </c>
      <c r="HK89" s="22" t="str">
        <f t="shared" ref="HK89:JH89" si="112">IF(HK9="","",AVERAGE(HC63:HJ63)+CONFIDENCE(0.05,STDEV(GL63:HJ63),COUNT(GL63:HJ63)))</f>
        <v/>
      </c>
      <c r="HL89" s="22" t="str">
        <f t="shared" si="112"/>
        <v/>
      </c>
      <c r="HM89" s="22" t="str">
        <f t="shared" si="112"/>
        <v/>
      </c>
      <c r="HN89" s="22" t="str">
        <f t="shared" si="112"/>
        <v/>
      </c>
      <c r="HO89" s="22" t="str">
        <f t="shared" si="112"/>
        <v/>
      </c>
      <c r="HP89" s="22" t="str">
        <f t="shared" si="112"/>
        <v/>
      </c>
      <c r="HQ89" s="22" t="str">
        <f t="shared" si="112"/>
        <v/>
      </c>
      <c r="HR89" s="22" t="str">
        <f t="shared" si="112"/>
        <v/>
      </c>
      <c r="HS89" s="22" t="str">
        <f t="shared" si="112"/>
        <v/>
      </c>
      <c r="HT89" s="22" t="str">
        <f t="shared" si="112"/>
        <v/>
      </c>
      <c r="HU89" s="22" t="str">
        <f t="shared" si="112"/>
        <v/>
      </c>
      <c r="HV89" s="22" t="str">
        <f t="shared" si="112"/>
        <v/>
      </c>
      <c r="HW89" s="22" t="str">
        <f t="shared" si="112"/>
        <v/>
      </c>
      <c r="HX89" s="22" t="str">
        <f t="shared" si="112"/>
        <v/>
      </c>
      <c r="HY89" s="22" t="str">
        <f t="shared" si="112"/>
        <v/>
      </c>
      <c r="HZ89" s="22" t="str">
        <f t="shared" si="112"/>
        <v/>
      </c>
      <c r="IA89" s="22" t="str">
        <f t="shared" si="112"/>
        <v/>
      </c>
      <c r="IB89" s="22" t="str">
        <f t="shared" si="112"/>
        <v/>
      </c>
      <c r="IC89" s="22" t="str">
        <f t="shared" si="112"/>
        <v/>
      </c>
      <c r="ID89" s="22" t="str">
        <f t="shared" si="112"/>
        <v/>
      </c>
      <c r="IE89" s="22" t="str">
        <f t="shared" si="112"/>
        <v/>
      </c>
      <c r="IF89" s="22" t="str">
        <f t="shared" si="112"/>
        <v/>
      </c>
      <c r="IG89" s="22" t="str">
        <f t="shared" si="112"/>
        <v/>
      </c>
      <c r="IH89" s="22" t="str">
        <f t="shared" si="112"/>
        <v/>
      </c>
      <c r="II89" s="22" t="str">
        <f t="shared" si="112"/>
        <v/>
      </c>
      <c r="IJ89" s="22" t="str">
        <f t="shared" si="112"/>
        <v/>
      </c>
      <c r="IK89" s="22" t="str">
        <f t="shared" si="112"/>
        <v/>
      </c>
      <c r="IL89" s="22" t="str">
        <f t="shared" si="112"/>
        <v/>
      </c>
      <c r="IM89" s="22" t="str">
        <f t="shared" si="112"/>
        <v/>
      </c>
      <c r="IN89" s="22" t="str">
        <f t="shared" si="112"/>
        <v/>
      </c>
      <c r="IO89" s="22" t="str">
        <f t="shared" si="112"/>
        <v/>
      </c>
      <c r="IP89" s="22" t="str">
        <f t="shared" si="112"/>
        <v/>
      </c>
      <c r="IQ89" s="22" t="str">
        <f t="shared" si="112"/>
        <v/>
      </c>
      <c r="IR89" s="22" t="str">
        <f t="shared" si="112"/>
        <v/>
      </c>
      <c r="IS89" s="22" t="str">
        <f t="shared" si="112"/>
        <v/>
      </c>
      <c r="IT89" s="22" t="str">
        <f t="shared" si="112"/>
        <v/>
      </c>
      <c r="IU89" s="22" t="str">
        <f t="shared" si="112"/>
        <v/>
      </c>
      <c r="IV89" s="22" t="str">
        <f t="shared" si="112"/>
        <v/>
      </c>
      <c r="IW89" s="22" t="str">
        <f t="shared" si="112"/>
        <v/>
      </c>
      <c r="IX89" s="22" t="str">
        <f t="shared" si="112"/>
        <v/>
      </c>
      <c r="IY89" s="22" t="str">
        <f t="shared" si="112"/>
        <v/>
      </c>
      <c r="IZ89" s="22" t="str">
        <f t="shared" si="112"/>
        <v/>
      </c>
      <c r="JA89" s="22" t="str">
        <f t="shared" si="112"/>
        <v/>
      </c>
      <c r="JB89" s="22" t="str">
        <f t="shared" si="112"/>
        <v/>
      </c>
      <c r="JC89" s="22" t="str">
        <f t="shared" si="112"/>
        <v/>
      </c>
      <c r="JD89" s="22" t="str">
        <f t="shared" si="112"/>
        <v/>
      </c>
      <c r="JE89" s="22" t="str">
        <f t="shared" si="112"/>
        <v/>
      </c>
      <c r="JF89" s="22" t="str">
        <f t="shared" si="112"/>
        <v/>
      </c>
      <c r="JG89" s="22" t="str">
        <f t="shared" si="112"/>
        <v/>
      </c>
      <c r="JH89" s="22" t="str">
        <f t="shared" si="112"/>
        <v/>
      </c>
    </row>
    <row r="90" spans="1:336" x14ac:dyDescent="0.25"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>
        <f t="shared" ref="AA90:CL90" ca="1" si="113">IF(AA10="","",AVERAGE(R64:Z64)+CONFIDENCE(0.05,STDEV(B64:Z64),COUNT(B64:Z64)))</f>
        <v>3.2524344048613279E-3</v>
      </c>
      <c r="AB90" s="22">
        <f t="shared" ca="1" si="113"/>
        <v>2.7220911519444165E-3</v>
      </c>
      <c r="AC90" s="22">
        <f t="shared" ca="1" si="113"/>
        <v>2.5112827408924517E-3</v>
      </c>
      <c r="AD90" s="22">
        <f t="shared" ca="1" si="113"/>
        <v>2.6376725150939373E-3</v>
      </c>
      <c r="AE90" s="22">
        <f t="shared" ca="1" si="113"/>
        <v>2.9730565775117779E-3</v>
      </c>
      <c r="AF90" s="22">
        <f t="shared" ca="1" si="113"/>
        <v>3.320782240499121E-3</v>
      </c>
      <c r="AG90" s="22">
        <f t="shared" ca="1" si="113"/>
        <v>3.8822356317397533E-3</v>
      </c>
      <c r="AH90" s="22">
        <f t="shared" ca="1" si="113"/>
        <v>4.6100811099001058E-3</v>
      </c>
      <c r="AI90" s="22">
        <f t="shared" ca="1" si="113"/>
        <v>5.3244348520994633E-3</v>
      </c>
      <c r="AJ90" s="22">
        <f t="shared" ca="1" si="113"/>
        <v>6.2586818511546245E-3</v>
      </c>
      <c r="AK90" s="22">
        <f t="shared" ca="1" si="113"/>
        <v>7.5070297558273982E-3</v>
      </c>
      <c r="AL90" s="22">
        <f t="shared" ca="1" si="113"/>
        <v>8.9186925936611521E-3</v>
      </c>
      <c r="AM90" s="22">
        <f t="shared" ca="1" si="113"/>
        <v>9.8763633639243585E-3</v>
      </c>
      <c r="AN90" s="22">
        <f t="shared" ca="1" si="113"/>
        <v>1.0762875956246573E-2</v>
      </c>
      <c r="AO90" s="22">
        <f t="shared" ca="1" si="113"/>
        <v>1.1168103622826123E-2</v>
      </c>
      <c r="AP90" s="22">
        <f t="shared" ca="1" si="113"/>
        <v>1.0836688575172821E-2</v>
      </c>
      <c r="AQ90" s="22">
        <f t="shared" ca="1" si="113"/>
        <v>1.0332091820658694E-2</v>
      </c>
      <c r="AR90" s="22">
        <f t="shared" ca="1" si="113"/>
        <v>9.3780821650502021E-3</v>
      </c>
      <c r="AS90" s="22">
        <f t="shared" ca="1" si="113"/>
        <v>8.8669941597655198E-3</v>
      </c>
      <c r="AT90" s="22">
        <f t="shared" ca="1" si="113"/>
        <v>8.9861611059962963E-3</v>
      </c>
      <c r="AU90" s="22">
        <f t="shared" ca="1" si="113"/>
        <v>9.9256584690678787E-3</v>
      </c>
      <c r="AV90" s="22">
        <f t="shared" ca="1" si="113"/>
        <v>1.2077700839766319E-2</v>
      </c>
      <c r="AW90" s="22">
        <f t="shared" ca="1" si="113"/>
        <v>1.5434562336273019E-2</v>
      </c>
      <c r="AX90" s="22">
        <f t="shared" ca="1" si="113"/>
        <v>1.9944923194234711E-2</v>
      </c>
      <c r="AY90" s="22">
        <f t="shared" ca="1" si="113"/>
        <v>2.482989957574443E-2</v>
      </c>
      <c r="AZ90" s="22">
        <f t="shared" ca="1" si="113"/>
        <v>2.9394580967890462E-2</v>
      </c>
      <c r="BA90" s="22">
        <f t="shared" ca="1" si="113"/>
        <v>3.393696089495199E-2</v>
      </c>
      <c r="BB90" s="22">
        <f t="shared" ca="1" si="113"/>
        <v>3.8585578363138626E-2</v>
      </c>
      <c r="BC90" s="22">
        <f t="shared" ca="1" si="113"/>
        <v>4.176256396601611E-2</v>
      </c>
      <c r="BD90" s="22">
        <f t="shared" ca="1" si="113"/>
        <v>4.2402902559157095E-2</v>
      </c>
      <c r="BE90" s="22">
        <f t="shared" ca="1" si="113"/>
        <v>4.3248595958368226E-2</v>
      </c>
      <c r="BF90" s="22">
        <f t="shared" ca="1" si="113"/>
        <v>4.3520468283120547E-2</v>
      </c>
      <c r="BG90" s="22">
        <f t="shared" ca="1" si="113"/>
        <v>4.3157305394563639E-2</v>
      </c>
      <c r="BH90" s="22">
        <f t="shared" ca="1" si="113"/>
        <v>4.2799159195143287E-2</v>
      </c>
      <c r="BI90" s="22">
        <f t="shared" ca="1" si="113"/>
        <v>4.0854059284948362E-2</v>
      </c>
      <c r="BJ90" s="22">
        <f t="shared" ca="1" si="113"/>
        <v>3.7766202120457795E-2</v>
      </c>
      <c r="BK90" s="22">
        <f t="shared" ca="1" si="113"/>
        <v>3.3751598308373418E-2</v>
      </c>
      <c r="BL90" s="22">
        <f t="shared" ca="1" si="113"/>
        <v>3.0965186611857216E-2</v>
      </c>
      <c r="BM90" s="22">
        <f t="shared" ca="1" si="113"/>
        <v>3.1360393177175323E-2</v>
      </c>
      <c r="BN90" s="22">
        <f t="shared" ca="1" si="113"/>
        <v>3.2130737540242794E-2</v>
      </c>
      <c r="BO90" s="22">
        <f t="shared" ca="1" si="113"/>
        <v>3.3000354059900566E-2</v>
      </c>
      <c r="BP90" s="22">
        <f t="shared" ca="1" si="113"/>
        <v>3.2003737893829251E-2</v>
      </c>
      <c r="BQ90" s="22">
        <f t="shared" ca="1" si="113"/>
        <v>2.8920645463726989E-2</v>
      </c>
      <c r="BR90" s="22">
        <f t="shared" ca="1" si="113"/>
        <v>2.7561755000869933E-2</v>
      </c>
      <c r="BS90" s="22">
        <f t="shared" ca="1" si="113"/>
        <v>2.790075499087372E-2</v>
      </c>
      <c r="BT90" s="22">
        <f t="shared" ca="1" si="113"/>
        <v>2.9293123143089933E-2</v>
      </c>
      <c r="BU90" s="22">
        <f t="shared" ca="1" si="113"/>
        <v>3.0921764953587491E-2</v>
      </c>
      <c r="BV90" s="22">
        <f t="shared" ca="1" si="113"/>
        <v>2.9908875391924047E-2</v>
      </c>
      <c r="BW90" s="22">
        <f t="shared" ca="1" si="113"/>
        <v>2.6376634617866102E-2</v>
      </c>
      <c r="BX90" s="22">
        <f t="shared" ca="1" si="113"/>
        <v>2.2515036913252146E-2</v>
      </c>
      <c r="BY90" s="22">
        <f t="shared" ca="1" si="113"/>
        <v>2.1159706495406085E-2</v>
      </c>
      <c r="BZ90" s="22">
        <f t="shared" ca="1" si="113"/>
        <v>2.0788780435717139E-2</v>
      </c>
      <c r="CA90" s="22">
        <f t="shared" ca="1" si="113"/>
        <v>2.0069492167683677E-2</v>
      </c>
      <c r="CB90" s="22">
        <f t="shared" ca="1" si="113"/>
        <v>1.9909751525414333E-2</v>
      </c>
      <c r="CC90" s="22">
        <f t="shared" ca="1" si="113"/>
        <v>1.964625850864777E-2</v>
      </c>
      <c r="CD90" s="22">
        <f t="shared" ca="1" si="113"/>
        <v>1.736816455681145E-2</v>
      </c>
      <c r="CE90" s="22">
        <f t="shared" ca="1" si="113"/>
        <v>1.5322217189052963E-2</v>
      </c>
      <c r="CF90" s="22">
        <f t="shared" ca="1" si="113"/>
        <v>1.4935843759577152E-2</v>
      </c>
      <c r="CG90" s="22">
        <f t="shared" ca="1" si="113"/>
        <v>1.3938411032947297E-2</v>
      </c>
      <c r="CH90" s="22">
        <f t="shared" ca="1" si="113"/>
        <v>1.2391388485684518E-2</v>
      </c>
      <c r="CI90" s="22">
        <f t="shared" ca="1" si="113"/>
        <v>1.2314700861747525E-2</v>
      </c>
      <c r="CJ90" s="22">
        <f t="shared" ca="1" si="113"/>
        <v>1.18073202850946E-2</v>
      </c>
      <c r="CK90" s="22">
        <f t="shared" ca="1" si="113"/>
        <v>1.1562010284660557E-2</v>
      </c>
      <c r="CL90" s="22">
        <f t="shared" ca="1" si="113"/>
        <v>1.0281761930786389E-2</v>
      </c>
      <c r="CM90" s="22">
        <f t="shared" ref="CM90:EX90" ca="1" si="114">IF(CM10="","",AVERAGE(CD64:CL64)+CONFIDENCE(0.05,STDEV(BN64:CL64),COUNT(BN64:CL64)))</f>
        <v>1.0180605182833202E-2</v>
      </c>
      <c r="CN90" s="22">
        <f t="shared" ca="1" si="114"/>
        <v>1.2934875287690661E-2</v>
      </c>
      <c r="CO90" s="22">
        <f t="shared" ca="1" si="114"/>
        <v>1.4595294260941374E-2</v>
      </c>
      <c r="CP90" s="22">
        <f t="shared" ca="1" si="114"/>
        <v>1.5556240709147158E-2</v>
      </c>
      <c r="CQ90" s="22">
        <f t="shared" ca="1" si="114"/>
        <v>1.512402397985497E-2</v>
      </c>
      <c r="CR90" s="22">
        <f t="shared" ca="1" si="114"/>
        <v>1.4858540500011704E-2</v>
      </c>
      <c r="CS90" s="22">
        <f t="shared" ca="1" si="114"/>
        <v>1.4840283697705821E-2</v>
      </c>
      <c r="CT90" s="22">
        <f t="shared" ca="1" si="114"/>
        <v>1.3338841064330247E-2</v>
      </c>
      <c r="CU90" s="22">
        <f t="shared" ca="1" si="114"/>
        <v>1.3065674868774302E-2</v>
      </c>
      <c r="CV90" s="22">
        <f t="shared" ca="1" si="114"/>
        <v>1.642525887373884E-2</v>
      </c>
      <c r="CW90" s="22">
        <f t="shared" ca="1" si="114"/>
        <v>1.406666124839946E-2</v>
      </c>
      <c r="CX90" s="22">
        <f t="shared" ca="1" si="114"/>
        <v>1.1716608185319969E-2</v>
      </c>
      <c r="CY90" s="22">
        <f t="shared" ca="1" si="114"/>
        <v>1.1043988667440264E-2</v>
      </c>
      <c r="CZ90" s="22">
        <f t="shared" ca="1" si="114"/>
        <v>1.129629481537779E-2</v>
      </c>
      <c r="DA90" s="22">
        <f t="shared" ca="1" si="114"/>
        <v>1.1160715951004851E-2</v>
      </c>
      <c r="DB90" s="22">
        <f t="shared" ca="1" si="114"/>
        <v>1.1566606978957995E-2</v>
      </c>
      <c r="DC90" s="22">
        <f t="shared" ca="1" si="114"/>
        <v>1.1768905424143463E-2</v>
      </c>
      <c r="DD90" s="22">
        <f t="shared" ca="1" si="114"/>
        <v>1.2526959705066426E-2</v>
      </c>
      <c r="DE90" s="22">
        <f t="shared" ca="1" si="114"/>
        <v>9.3081080395612473E-3</v>
      </c>
      <c r="DF90" s="22">
        <f t="shared" ca="1" si="114"/>
        <v>9.8277584540718572E-3</v>
      </c>
      <c r="DG90" s="22">
        <f t="shared" ca="1" si="114"/>
        <v>1.1263189324816972E-2</v>
      </c>
      <c r="DH90" s="22">
        <f t="shared" ca="1" si="114"/>
        <v>1.304389642187923E-2</v>
      </c>
      <c r="DI90" s="22">
        <f t="shared" ca="1" si="114"/>
        <v>1.5918532703527947E-2</v>
      </c>
      <c r="DJ90" s="22">
        <f t="shared" ca="1" si="114"/>
        <v>1.8075622158902516E-2</v>
      </c>
      <c r="DK90" s="22">
        <f t="shared" ca="1" si="114"/>
        <v>1.8801181271888946E-2</v>
      </c>
      <c r="DL90" s="22">
        <f t="shared" ca="1" si="114"/>
        <v>1.8575158148671462E-2</v>
      </c>
      <c r="DM90" s="22">
        <f t="shared" ca="1" si="114"/>
        <v>1.6911687156953542E-2</v>
      </c>
      <c r="DN90" s="22">
        <f t="shared" ca="1" si="114"/>
        <v>1.6808727288433988E-2</v>
      </c>
      <c r="DO90" s="22">
        <f t="shared" ca="1" si="114"/>
        <v>1.6387644995180015E-2</v>
      </c>
      <c r="DP90" s="22">
        <f t="shared" ca="1" si="114"/>
        <v>1.5842868297892446E-2</v>
      </c>
      <c r="DQ90" s="22">
        <f t="shared" ca="1" si="114"/>
        <v>1.3965519492048687E-2</v>
      </c>
      <c r="DR90" s="22">
        <f t="shared" ca="1" si="114"/>
        <v>1.17979049542297E-2</v>
      </c>
      <c r="DS90" s="22">
        <f t="shared" ca="1" si="114"/>
        <v>1.0494775972630346E-2</v>
      </c>
      <c r="DT90" s="22">
        <f t="shared" ca="1" si="114"/>
        <v>9.500839467239279E-3</v>
      </c>
      <c r="DU90" s="22">
        <f t="shared" ca="1" si="114"/>
        <v>9.1281956896666783E-3</v>
      </c>
      <c r="DV90" s="22">
        <f t="shared" ca="1" si="114"/>
        <v>9.9966695471080946E-3</v>
      </c>
      <c r="DW90" s="22">
        <f t="shared" ca="1" si="114"/>
        <v>9.9408550333018285E-3</v>
      </c>
      <c r="DX90" s="22">
        <f t="shared" ca="1" si="114"/>
        <v>9.472646557926491E-3</v>
      </c>
      <c r="DY90" s="22">
        <f t="shared" ca="1" si="114"/>
        <v>9.1124146443376953E-3</v>
      </c>
      <c r="DZ90" s="22">
        <f t="shared" ca="1" si="114"/>
        <v>1.0167116778398301E-2</v>
      </c>
      <c r="EA90" s="22">
        <f t="shared" ca="1" si="114"/>
        <v>1.002370871484155E-2</v>
      </c>
      <c r="EB90" s="22">
        <f t="shared" ca="1" si="114"/>
        <v>7.6809210202245636E-3</v>
      </c>
      <c r="EC90" s="22" t="str">
        <f t="shared" si="114"/>
        <v/>
      </c>
      <c r="ED90" s="22" t="e">
        <f t="shared" ca="1" si="114"/>
        <v>#DIV/0!</v>
      </c>
      <c r="EE90" s="22" t="e">
        <f t="shared" ca="1" si="114"/>
        <v>#DIV/0!</v>
      </c>
      <c r="EF90" s="22" t="str">
        <f t="shared" si="114"/>
        <v/>
      </c>
      <c r="EG90" s="22" t="e">
        <f t="shared" ca="1" si="114"/>
        <v>#DIV/0!</v>
      </c>
      <c r="EH90" s="22">
        <f t="shared" ca="1" si="114"/>
        <v>4.7563468121570307E-3</v>
      </c>
      <c r="EI90" s="22">
        <f t="shared" ca="1" si="114"/>
        <v>1.0933345859521802E-2</v>
      </c>
      <c r="EJ90" s="22">
        <f t="shared" ca="1" si="114"/>
        <v>1.2473954614808871E-2</v>
      </c>
      <c r="EK90" s="22">
        <f t="shared" ca="1" si="114"/>
        <v>1.2847751999577144E-2</v>
      </c>
      <c r="EL90" s="22">
        <f t="shared" ca="1" si="114"/>
        <v>1.1426316882314377E-2</v>
      </c>
      <c r="EM90" s="22">
        <f t="shared" ca="1" si="114"/>
        <v>1.0282946750815765E-2</v>
      </c>
      <c r="EN90" s="22">
        <f t="shared" ca="1" si="114"/>
        <v>9.5814280109144181E-3</v>
      </c>
      <c r="EO90" s="22">
        <f t="shared" ca="1" si="114"/>
        <v>8.9874025574612892E-3</v>
      </c>
      <c r="EP90" s="22">
        <f t="shared" ca="1" si="114"/>
        <v>8.5848672385477401E-3</v>
      </c>
      <c r="EQ90" s="22">
        <f t="shared" ca="1" si="114"/>
        <v>1.0937817999310541E-2</v>
      </c>
      <c r="ER90" s="22">
        <f t="shared" ca="1" si="114"/>
        <v>9.3851862555161016E-3</v>
      </c>
      <c r="ES90" s="22">
        <f t="shared" ca="1" si="114"/>
        <v>9.5634240677527661E-3</v>
      </c>
      <c r="ET90" s="22">
        <f t="shared" ca="1" si="114"/>
        <v>9.058824671358625E-3</v>
      </c>
      <c r="EU90" s="22">
        <f t="shared" ca="1" si="114"/>
        <v>8.8478408356563246E-3</v>
      </c>
      <c r="EV90" s="22">
        <f t="shared" ca="1" si="114"/>
        <v>9.2112901941069272E-3</v>
      </c>
      <c r="EW90" s="22">
        <f t="shared" ca="1" si="114"/>
        <v>8.8850169387285453E-3</v>
      </c>
      <c r="EX90" s="22">
        <f t="shared" ca="1" si="114"/>
        <v>8.9184350908312025E-3</v>
      </c>
      <c r="EY90" s="22">
        <f t="shared" ref="EY90:HJ90" ca="1" si="115">IF(EY10="","",AVERAGE(EP64:EX64)+CONFIDENCE(0.05,STDEV(DZ64:EX64),COUNT(DZ64:EX64)))</f>
        <v>8.650101478084626E-3</v>
      </c>
      <c r="EZ90" s="22">
        <f t="shared" ca="1" si="115"/>
        <v>7.5407454057925729E-3</v>
      </c>
      <c r="FA90" s="22">
        <f t="shared" ca="1" si="115"/>
        <v>7.5163523357907932E-3</v>
      </c>
      <c r="FB90" s="22">
        <f t="shared" ca="1" si="115"/>
        <v>6.6129747791710304E-3</v>
      </c>
      <c r="FC90" s="22">
        <f t="shared" ca="1" si="115"/>
        <v>6.0963329263613274E-3</v>
      </c>
      <c r="FD90" s="22">
        <f t="shared" ca="1" si="115"/>
        <v>5.7453035542295427E-3</v>
      </c>
      <c r="FE90" s="22">
        <f t="shared" ca="1" si="115"/>
        <v>5.6228571718607611E-3</v>
      </c>
      <c r="FF90" s="22">
        <f t="shared" ca="1" si="115"/>
        <v>6.2147750951924863E-3</v>
      </c>
      <c r="FG90" s="22">
        <f t="shared" ca="1" si="115"/>
        <v>6.5256244700101365E-3</v>
      </c>
      <c r="FH90" s="22">
        <f t="shared" ca="1" si="115"/>
        <v>7.2496315565123478E-3</v>
      </c>
      <c r="FI90" s="22">
        <f t="shared" ca="1" si="115"/>
        <v>6.2593317509516888E-3</v>
      </c>
      <c r="FJ90" s="22">
        <f t="shared" ca="1" si="115"/>
        <v>7.8975957626086224E-3</v>
      </c>
      <c r="FK90" s="22">
        <f t="shared" ca="1" si="115"/>
        <v>9.5542376475599537E-3</v>
      </c>
      <c r="FL90" s="22">
        <f t="shared" ca="1" si="115"/>
        <v>1.0187554140604529E-2</v>
      </c>
      <c r="FM90" s="22">
        <f t="shared" ca="1" si="115"/>
        <v>1.0853914727074363E-2</v>
      </c>
      <c r="FN90" s="22">
        <f t="shared" ca="1" si="115"/>
        <v>1.1165470865058315E-2</v>
      </c>
      <c r="FO90" s="22">
        <f t="shared" ca="1" si="115"/>
        <v>1.137472903046653E-2</v>
      </c>
      <c r="FP90" s="22">
        <f t="shared" ca="1" si="115"/>
        <v>1.0748486949283017E-2</v>
      </c>
      <c r="FQ90" s="22">
        <f t="shared" ca="1" si="115"/>
        <v>1.221269832862216E-2</v>
      </c>
      <c r="FR90" s="22">
        <f t="shared" ca="1" si="115"/>
        <v>1.3143339923749432E-2</v>
      </c>
      <c r="FS90" s="22">
        <f t="shared" ca="1" si="115"/>
        <v>1.1982359063985431E-2</v>
      </c>
      <c r="FT90" s="22">
        <f t="shared" ca="1" si="115"/>
        <v>1.0554694186236944E-2</v>
      </c>
      <c r="FU90" s="22">
        <f t="shared" ca="1" si="115"/>
        <v>9.6769744769247632E-3</v>
      </c>
      <c r="FV90" s="22">
        <f t="shared" ca="1" si="115"/>
        <v>8.8405052522209787E-3</v>
      </c>
      <c r="FW90" s="22">
        <f t="shared" ca="1" si="115"/>
        <v>7.971931967522633E-3</v>
      </c>
      <c r="FX90" s="22">
        <f t="shared" ca="1" si="115"/>
        <v>7.5884236175077311E-3</v>
      </c>
      <c r="FY90" s="22">
        <f t="shared" ca="1" si="115"/>
        <v>8.1981591306990297E-3</v>
      </c>
      <c r="FZ90" s="22">
        <f t="shared" ca="1" si="115"/>
        <v>6.6799209607960909E-3</v>
      </c>
      <c r="GA90" s="22">
        <f t="shared" ca="1" si="115"/>
        <v>6.9990864487996015E-3</v>
      </c>
      <c r="GB90" s="22">
        <f t="shared" ca="1" si="115"/>
        <v>6.9016022400322213E-3</v>
      </c>
      <c r="GC90" s="22">
        <f t="shared" ca="1" si="115"/>
        <v>6.7354222542271719E-3</v>
      </c>
      <c r="GD90" s="22">
        <f t="shared" ca="1" si="115"/>
        <v>7.6122873002711661E-3</v>
      </c>
      <c r="GE90" s="22">
        <f t="shared" ca="1" si="115"/>
        <v>8.9208996475574395E-3</v>
      </c>
      <c r="GF90" s="22">
        <f t="shared" ca="1" si="115"/>
        <v>9.9913239350014494E-3</v>
      </c>
      <c r="GG90" s="22">
        <f t="shared" ca="1" si="115"/>
        <v>9.853886836606613E-3</v>
      </c>
      <c r="GH90" s="22">
        <f t="shared" ca="1" si="115"/>
        <v>9.2552607616618928E-3</v>
      </c>
      <c r="GI90" s="22">
        <f t="shared" ca="1" si="115"/>
        <v>1.0904808505835724E-2</v>
      </c>
      <c r="GJ90" s="22">
        <f t="shared" ca="1" si="115"/>
        <v>1.1837700490474142E-2</v>
      </c>
      <c r="GK90" s="22">
        <f t="shared" ca="1" si="115"/>
        <v>1.3184846986895976E-2</v>
      </c>
      <c r="GL90" s="22">
        <f t="shared" ca="1" si="115"/>
        <v>1.3938578447738582E-2</v>
      </c>
      <c r="GM90" s="22">
        <f t="shared" ca="1" si="115"/>
        <v>1.4877996582222233E-2</v>
      </c>
      <c r="GN90" s="22">
        <f t="shared" ca="1" si="115"/>
        <v>1.4379298563143537E-2</v>
      </c>
      <c r="GO90" s="22">
        <f t="shared" ca="1" si="115"/>
        <v>1.4797657160960646E-2</v>
      </c>
      <c r="GP90" s="22">
        <f t="shared" ca="1" si="115"/>
        <v>1.5040115902299056E-2</v>
      </c>
      <c r="GQ90" s="22">
        <f t="shared" ca="1" si="115"/>
        <v>2.1352409784984282E-2</v>
      </c>
      <c r="GR90" s="22">
        <f t="shared" ca="1" si="115"/>
        <v>2.3378272826171803E-2</v>
      </c>
      <c r="GS90" s="22">
        <f t="shared" ca="1" si="115"/>
        <v>2.3434974942394826E-2</v>
      </c>
      <c r="GT90" s="22">
        <f t="shared" ca="1" si="115"/>
        <v>2.4046212819443798E-2</v>
      </c>
      <c r="GU90" s="22">
        <f t="shared" ca="1" si="115"/>
        <v>2.5516214067208845E-2</v>
      </c>
      <c r="GV90" s="22">
        <f t="shared" ca="1" si="115"/>
        <v>2.6500791979386484E-2</v>
      </c>
      <c r="GW90" s="22">
        <f t="shared" ca="1" si="115"/>
        <v>3.0280739295826684E-2</v>
      </c>
      <c r="GX90" s="22">
        <f t="shared" ca="1" si="115"/>
        <v>3.428570557474761E-2</v>
      </c>
      <c r="GY90" s="22">
        <f t="shared" ca="1" si="115"/>
        <v>4.5415946403650563E-2</v>
      </c>
      <c r="GZ90" s="22">
        <f t="shared" ca="1" si="115"/>
        <v>3.9897265820450917E-2</v>
      </c>
      <c r="HA90" s="22" t="str">
        <f t="shared" si="115"/>
        <v/>
      </c>
      <c r="HB90" s="22" t="str">
        <f t="shared" si="115"/>
        <v/>
      </c>
      <c r="HC90" s="22" t="str">
        <f t="shared" si="115"/>
        <v/>
      </c>
      <c r="HD90" s="22" t="str">
        <f t="shared" si="115"/>
        <v/>
      </c>
      <c r="HE90" s="22" t="str">
        <f t="shared" si="115"/>
        <v/>
      </c>
      <c r="HF90" s="22" t="str">
        <f t="shared" si="115"/>
        <v/>
      </c>
      <c r="HG90" s="22" t="str">
        <f t="shared" si="115"/>
        <v/>
      </c>
      <c r="HH90" s="22" t="str">
        <f t="shared" si="115"/>
        <v/>
      </c>
      <c r="HI90" s="22" t="str">
        <f t="shared" si="115"/>
        <v/>
      </c>
      <c r="HJ90" s="22" t="str">
        <f t="shared" si="115"/>
        <v/>
      </c>
      <c r="HK90" s="22" t="str">
        <f t="shared" ref="HK90:JH90" si="116">IF(HK10="","",AVERAGE(HB64:HJ64)+CONFIDENCE(0.05,STDEV(GL64:HJ64),COUNT(GL64:HJ64)))</f>
        <v/>
      </c>
      <c r="HL90" s="22" t="str">
        <f t="shared" si="116"/>
        <v/>
      </c>
      <c r="HM90" s="22" t="str">
        <f t="shared" si="116"/>
        <v/>
      </c>
      <c r="HN90" s="22" t="str">
        <f t="shared" si="116"/>
        <v/>
      </c>
      <c r="HO90" s="22" t="str">
        <f t="shared" si="116"/>
        <v/>
      </c>
      <c r="HP90" s="22" t="str">
        <f t="shared" si="116"/>
        <v/>
      </c>
      <c r="HQ90" s="22" t="str">
        <f t="shared" si="116"/>
        <v/>
      </c>
      <c r="HR90" s="22" t="str">
        <f t="shared" si="116"/>
        <v/>
      </c>
      <c r="HS90" s="22" t="str">
        <f t="shared" si="116"/>
        <v/>
      </c>
      <c r="HT90" s="22" t="str">
        <f t="shared" si="116"/>
        <v/>
      </c>
      <c r="HU90" s="22" t="str">
        <f t="shared" si="116"/>
        <v/>
      </c>
      <c r="HV90" s="22" t="str">
        <f t="shared" si="116"/>
        <v/>
      </c>
      <c r="HW90" s="22" t="str">
        <f t="shared" si="116"/>
        <v/>
      </c>
      <c r="HX90" s="22" t="str">
        <f t="shared" si="116"/>
        <v/>
      </c>
      <c r="HY90" s="22" t="str">
        <f t="shared" si="116"/>
        <v/>
      </c>
      <c r="HZ90" s="22" t="str">
        <f t="shared" si="116"/>
        <v/>
      </c>
      <c r="IA90" s="22" t="str">
        <f t="shared" si="116"/>
        <v/>
      </c>
      <c r="IB90" s="22" t="str">
        <f t="shared" si="116"/>
        <v/>
      </c>
      <c r="IC90" s="22" t="str">
        <f t="shared" si="116"/>
        <v/>
      </c>
      <c r="ID90" s="22" t="str">
        <f t="shared" si="116"/>
        <v/>
      </c>
      <c r="IE90" s="22" t="str">
        <f t="shared" si="116"/>
        <v/>
      </c>
      <c r="IF90" s="22" t="str">
        <f t="shared" si="116"/>
        <v/>
      </c>
      <c r="IG90" s="22" t="str">
        <f t="shared" si="116"/>
        <v/>
      </c>
      <c r="IH90" s="22" t="str">
        <f t="shared" si="116"/>
        <v/>
      </c>
      <c r="II90" s="22" t="str">
        <f t="shared" si="116"/>
        <v/>
      </c>
      <c r="IJ90" s="22" t="str">
        <f t="shared" si="116"/>
        <v/>
      </c>
      <c r="IK90" s="22" t="str">
        <f t="shared" si="116"/>
        <v/>
      </c>
      <c r="IL90" s="22" t="str">
        <f t="shared" si="116"/>
        <v/>
      </c>
      <c r="IM90" s="22" t="str">
        <f t="shared" si="116"/>
        <v/>
      </c>
      <c r="IN90" s="22" t="str">
        <f t="shared" si="116"/>
        <v/>
      </c>
      <c r="IO90" s="22" t="str">
        <f t="shared" si="116"/>
        <v/>
      </c>
      <c r="IP90" s="22" t="str">
        <f t="shared" si="116"/>
        <v/>
      </c>
      <c r="IQ90" s="22" t="str">
        <f t="shared" si="116"/>
        <v/>
      </c>
      <c r="IR90" s="22" t="str">
        <f t="shared" si="116"/>
        <v/>
      </c>
      <c r="IS90" s="22" t="str">
        <f t="shared" si="116"/>
        <v/>
      </c>
      <c r="IT90" s="22" t="str">
        <f t="shared" si="116"/>
        <v/>
      </c>
      <c r="IU90" s="22" t="str">
        <f t="shared" si="116"/>
        <v/>
      </c>
      <c r="IV90" s="22" t="str">
        <f t="shared" si="116"/>
        <v/>
      </c>
      <c r="IW90" s="22" t="str">
        <f t="shared" si="116"/>
        <v/>
      </c>
      <c r="IX90" s="22" t="str">
        <f t="shared" si="116"/>
        <v/>
      </c>
      <c r="IY90" s="22" t="str">
        <f t="shared" si="116"/>
        <v/>
      </c>
      <c r="IZ90" s="22" t="str">
        <f t="shared" si="116"/>
        <v/>
      </c>
      <c r="JA90" s="22" t="str">
        <f t="shared" si="116"/>
        <v/>
      </c>
      <c r="JB90" s="22" t="str">
        <f t="shared" si="116"/>
        <v/>
      </c>
      <c r="JC90" s="22" t="str">
        <f t="shared" si="116"/>
        <v/>
      </c>
      <c r="JD90" s="22" t="str">
        <f t="shared" si="116"/>
        <v/>
      </c>
      <c r="JE90" s="22" t="str">
        <f t="shared" si="116"/>
        <v/>
      </c>
      <c r="JF90" s="22" t="str">
        <f t="shared" si="116"/>
        <v/>
      </c>
      <c r="JG90" s="22" t="str">
        <f t="shared" si="116"/>
        <v/>
      </c>
      <c r="JH90" s="22" t="str">
        <f t="shared" si="116"/>
        <v/>
      </c>
    </row>
    <row r="91" spans="1:336" x14ac:dyDescent="0.25"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>
        <f t="shared" ref="AA91:CL91" ca="1" si="117">IF(AA11="","",AVERAGE(Q65:Z65)+CONFIDENCE(0.05,STDEV(B65:Z65),COUNT(B65:Z65)))</f>
        <v>4.1279400348875712E-3</v>
      </c>
      <c r="AB91" s="22">
        <f t="shared" ca="1" si="117"/>
        <v>3.5549329949853574E-3</v>
      </c>
      <c r="AC91" s="22">
        <f t="shared" ca="1" si="117"/>
        <v>2.9682007317174356E-3</v>
      </c>
      <c r="AD91" s="22">
        <f t="shared" ca="1" si="117"/>
        <v>3.0752992534084471E-3</v>
      </c>
      <c r="AE91" s="22">
        <f t="shared" ca="1" si="117"/>
        <v>3.3858613667272636E-3</v>
      </c>
      <c r="AF91" s="22">
        <f t="shared" ca="1" si="117"/>
        <v>3.9909703189653263E-3</v>
      </c>
      <c r="AG91" s="22">
        <f t="shared" ca="1" si="117"/>
        <v>4.8123290050671209E-3</v>
      </c>
      <c r="AH91" s="22">
        <f t="shared" ca="1" si="117"/>
        <v>5.536423894702186E-3</v>
      </c>
      <c r="AI91" s="22">
        <f t="shared" ca="1" si="117"/>
        <v>6.5363407788697021E-3</v>
      </c>
      <c r="AJ91" s="22">
        <f t="shared" ca="1" si="117"/>
        <v>7.5078106197836118E-3</v>
      </c>
      <c r="AK91" s="22">
        <f t="shared" ca="1" si="117"/>
        <v>8.5671260663336968E-3</v>
      </c>
      <c r="AL91" s="22">
        <f t="shared" ca="1" si="117"/>
        <v>9.8266047648652381E-3</v>
      </c>
      <c r="AM91" s="22">
        <f t="shared" ca="1" si="117"/>
        <v>1.1046008741258842E-2</v>
      </c>
      <c r="AN91" s="22">
        <f t="shared" ca="1" si="117"/>
        <v>1.2058062072565762E-2</v>
      </c>
      <c r="AO91" s="22">
        <f t="shared" ca="1" si="117"/>
        <v>1.2328949729402516E-2</v>
      </c>
      <c r="AP91" s="22">
        <f t="shared" ca="1" si="117"/>
        <v>1.1837864233272152E-2</v>
      </c>
      <c r="AQ91" s="22">
        <f t="shared" ca="1" si="117"/>
        <v>1.1105771847779659E-2</v>
      </c>
      <c r="AR91" s="22">
        <f t="shared" ca="1" si="117"/>
        <v>1.0573213253939187E-2</v>
      </c>
      <c r="AS91" s="22">
        <f t="shared" ca="1" si="117"/>
        <v>1.0259864695477109E-2</v>
      </c>
      <c r="AT91" s="22">
        <f t="shared" ca="1" si="117"/>
        <v>1.0998264417777596E-2</v>
      </c>
      <c r="AU91" s="22">
        <f t="shared" ca="1" si="117"/>
        <v>1.2565368110393767E-2</v>
      </c>
      <c r="AV91" s="22">
        <f t="shared" ca="1" si="117"/>
        <v>1.5114998194171374E-2</v>
      </c>
      <c r="AW91" s="22">
        <f t="shared" ca="1" si="117"/>
        <v>1.8926775438941737E-2</v>
      </c>
      <c r="AX91" s="22">
        <f t="shared" ca="1" si="117"/>
        <v>2.3525730832759464E-2</v>
      </c>
      <c r="AY91" s="22">
        <f t="shared" ca="1" si="117"/>
        <v>2.8288862262726075E-2</v>
      </c>
      <c r="AZ91" s="22">
        <f t="shared" ca="1" si="117"/>
        <v>3.3548321647248573E-2</v>
      </c>
      <c r="BA91" s="22">
        <f t="shared" ca="1" si="117"/>
        <v>3.8869384071352299E-2</v>
      </c>
      <c r="BB91" s="22">
        <f t="shared" ca="1" si="117"/>
        <v>4.4229352702074266E-2</v>
      </c>
      <c r="BC91" s="22">
        <f t="shared" ca="1" si="117"/>
        <v>4.8331739432311137E-2</v>
      </c>
      <c r="BD91" s="22">
        <f t="shared" ca="1" si="117"/>
        <v>4.9405711921588227E-2</v>
      </c>
      <c r="BE91" s="22">
        <f t="shared" ca="1" si="117"/>
        <v>5.0859948085909469E-2</v>
      </c>
      <c r="BF91" s="22">
        <f t="shared" ca="1" si="117"/>
        <v>5.1896255298290249E-2</v>
      </c>
      <c r="BG91" s="22">
        <f t="shared" ca="1" si="117"/>
        <v>5.1824696211849049E-2</v>
      </c>
      <c r="BH91" s="22">
        <f t="shared" ca="1" si="117"/>
        <v>5.0697922350355508E-2</v>
      </c>
      <c r="BI91" s="22">
        <f t="shared" ca="1" si="117"/>
        <v>4.8127633887005014E-2</v>
      </c>
      <c r="BJ91" s="22">
        <f t="shared" ca="1" si="117"/>
        <v>4.4359467756041035E-2</v>
      </c>
      <c r="BK91" s="22">
        <f t="shared" ca="1" si="117"/>
        <v>4.058359293735754E-2</v>
      </c>
      <c r="BL91" s="22">
        <f t="shared" ca="1" si="117"/>
        <v>3.7025124629484284E-2</v>
      </c>
      <c r="BM91" s="22">
        <f t="shared" ca="1" si="117"/>
        <v>3.5899438925289975E-2</v>
      </c>
      <c r="BN91" s="22">
        <f t="shared" ca="1" si="117"/>
        <v>3.7812965697550396E-2</v>
      </c>
      <c r="BO91" s="22">
        <f t="shared" ca="1" si="117"/>
        <v>3.886011189067972E-2</v>
      </c>
      <c r="BP91" s="22">
        <f t="shared" ca="1" si="117"/>
        <v>3.7584162755924626E-2</v>
      </c>
      <c r="BQ91" s="22">
        <f t="shared" ca="1" si="117"/>
        <v>3.4717943691527794E-2</v>
      </c>
      <c r="BR91" s="22">
        <f t="shared" ca="1" si="117"/>
        <v>3.2443178659824767E-2</v>
      </c>
      <c r="BS91" s="22">
        <f t="shared" ca="1" si="117"/>
        <v>3.2109267565999473E-2</v>
      </c>
      <c r="BT91" s="22">
        <f t="shared" ca="1" si="117"/>
        <v>3.3630261835094717E-2</v>
      </c>
      <c r="BU91" s="22">
        <f t="shared" ca="1" si="117"/>
        <v>3.5766482872186325E-2</v>
      </c>
      <c r="BV91" s="22">
        <f t="shared" ca="1" si="117"/>
        <v>3.6173952100895329E-2</v>
      </c>
      <c r="BW91" s="22">
        <f t="shared" ca="1" si="117"/>
        <v>3.344835406374138E-2</v>
      </c>
      <c r="BX91" s="22">
        <f t="shared" ca="1" si="117"/>
        <v>2.9701915443577184E-2</v>
      </c>
      <c r="BY91" s="22">
        <f t="shared" ca="1" si="117"/>
        <v>2.6447280834312824E-2</v>
      </c>
      <c r="BZ91" s="22">
        <f t="shared" ca="1" si="117"/>
        <v>2.3776004821428828E-2</v>
      </c>
      <c r="CA91" s="22">
        <f t="shared" ca="1" si="117"/>
        <v>2.3023793217484469E-2</v>
      </c>
      <c r="CB91" s="22">
        <f t="shared" ca="1" si="117"/>
        <v>2.2907611645454184E-2</v>
      </c>
      <c r="CC91" s="22">
        <f t="shared" ca="1" si="117"/>
        <v>2.2717583850996488E-2</v>
      </c>
      <c r="CD91" s="22">
        <f t="shared" ca="1" si="117"/>
        <v>2.0998383324972038E-2</v>
      </c>
      <c r="CE91" s="22">
        <f t="shared" ca="1" si="117"/>
        <v>1.800571488039121E-2</v>
      </c>
      <c r="CF91" s="22">
        <f t="shared" ca="1" si="117"/>
        <v>1.6327433108589858E-2</v>
      </c>
      <c r="CG91" s="22">
        <f t="shared" ca="1" si="117"/>
        <v>1.5765484141276504E-2</v>
      </c>
      <c r="CH91" s="22">
        <f t="shared" ca="1" si="117"/>
        <v>1.5176369750777713E-2</v>
      </c>
      <c r="CI91" s="22">
        <f t="shared" ca="1" si="117"/>
        <v>1.3987061130331949E-2</v>
      </c>
      <c r="CJ91" s="22">
        <f t="shared" ca="1" si="117"/>
        <v>1.3440933055693573E-2</v>
      </c>
      <c r="CK91" s="22">
        <f t="shared" ca="1" si="117"/>
        <v>1.3767114810535719E-2</v>
      </c>
      <c r="CL91" s="22">
        <f t="shared" ca="1" si="117"/>
        <v>1.2654895143938642E-2</v>
      </c>
      <c r="CM91" s="22">
        <f t="shared" ref="CM91:EX91" ca="1" si="118">IF(CM11="","",AVERAGE(CC65:CL65)+CONFIDENCE(0.05,STDEV(BN65:CL65),COUNT(BN65:CL65)))</f>
        <v>1.2281707084218295E-2</v>
      </c>
      <c r="CN91" s="22">
        <f t="shared" ca="1" si="118"/>
        <v>1.3715280212302564E-2</v>
      </c>
      <c r="CO91" s="22">
        <f t="shared" ca="1" si="118"/>
        <v>1.5390583447465786E-2</v>
      </c>
      <c r="CP91" s="22">
        <f t="shared" ca="1" si="118"/>
        <v>1.5898921387221661E-2</v>
      </c>
      <c r="CQ91" s="22">
        <f t="shared" ca="1" si="118"/>
        <v>1.5965365021013141E-2</v>
      </c>
      <c r="CR91" s="22">
        <f t="shared" ca="1" si="118"/>
        <v>1.601079771432792E-2</v>
      </c>
      <c r="CS91" s="22">
        <f t="shared" ca="1" si="118"/>
        <v>1.522654695080726E-2</v>
      </c>
      <c r="CT91" s="22">
        <f t="shared" ca="1" si="118"/>
        <v>1.4925061860425132E-2</v>
      </c>
      <c r="CU91" s="22">
        <f t="shared" ca="1" si="118"/>
        <v>1.400011773489724E-2</v>
      </c>
      <c r="CV91" s="22">
        <f t="shared" ca="1" si="118"/>
        <v>1.7894943188047401E-2</v>
      </c>
      <c r="CW91" s="22">
        <f t="shared" ca="1" si="118"/>
        <v>1.6719493847825329E-2</v>
      </c>
      <c r="CX91" s="22">
        <f t="shared" ca="1" si="118"/>
        <v>1.3613680524327106E-2</v>
      </c>
      <c r="CY91" s="22">
        <f t="shared" ca="1" si="118"/>
        <v>1.1805776434734643E-2</v>
      </c>
      <c r="CZ91" s="22">
        <f t="shared" ca="1" si="118"/>
        <v>1.1355320894366798E-2</v>
      </c>
      <c r="DA91" s="22">
        <f t="shared" ca="1" si="118"/>
        <v>1.1669198277914305E-2</v>
      </c>
      <c r="DB91" s="22">
        <f t="shared" ca="1" si="118"/>
        <v>1.1645179188246112E-2</v>
      </c>
      <c r="DC91" s="22">
        <f t="shared" ca="1" si="118"/>
        <v>1.2460220428478976E-2</v>
      </c>
      <c r="DD91" s="22">
        <f t="shared" ca="1" si="118"/>
        <v>1.4051607586377253E-2</v>
      </c>
      <c r="DE91" s="22">
        <f t="shared" ca="1" si="118"/>
        <v>1.4710989153942396E-2</v>
      </c>
      <c r="DF91" s="22">
        <f t="shared" ca="1" si="118"/>
        <v>1.2129632424089602E-2</v>
      </c>
      <c r="DG91" s="22">
        <f t="shared" ca="1" si="118"/>
        <v>1.268309876800049E-2</v>
      </c>
      <c r="DH91" s="22">
        <f t="shared" ca="1" si="118"/>
        <v>1.5087413698221072E-2</v>
      </c>
      <c r="DI91" s="22">
        <f t="shared" ca="1" si="118"/>
        <v>1.8039028049343972E-2</v>
      </c>
      <c r="DJ91" s="22">
        <f t="shared" ca="1" si="118"/>
        <v>2.0219392936859024E-2</v>
      </c>
      <c r="DK91" s="22">
        <f t="shared" ca="1" si="118"/>
        <v>2.1264522576602489E-2</v>
      </c>
      <c r="DL91" s="22">
        <f t="shared" ca="1" si="118"/>
        <v>2.1021165976934215E-2</v>
      </c>
      <c r="DM91" s="22">
        <f t="shared" ca="1" si="118"/>
        <v>1.9997843997607304E-2</v>
      </c>
      <c r="DN91" s="22">
        <f t="shared" ca="1" si="118"/>
        <v>1.8900374143965996E-2</v>
      </c>
      <c r="DO91" s="22">
        <f t="shared" ca="1" si="118"/>
        <v>1.8912321403872043E-2</v>
      </c>
      <c r="DP91" s="22">
        <f t="shared" ca="1" si="118"/>
        <v>1.8229414728264184E-2</v>
      </c>
      <c r="DQ91" s="22">
        <f t="shared" ca="1" si="118"/>
        <v>1.6783657476389446E-2</v>
      </c>
      <c r="DR91" s="22">
        <f t="shared" ca="1" si="118"/>
        <v>1.5540890620392645E-2</v>
      </c>
      <c r="DS91" s="22">
        <f t="shared" ca="1" si="118"/>
        <v>1.362631059901653E-2</v>
      </c>
      <c r="DT91" s="22">
        <f t="shared" ca="1" si="118"/>
        <v>1.1481922859970333E-2</v>
      </c>
      <c r="DU91" s="22">
        <f t="shared" ca="1" si="118"/>
        <v>1.0043616270039749E-2</v>
      </c>
      <c r="DV91" s="22">
        <f t="shared" ca="1" si="118"/>
        <v>1.0821397145919358E-2</v>
      </c>
      <c r="DW91" s="22">
        <f t="shared" ca="1" si="118"/>
        <v>1.1728721379345386E-2</v>
      </c>
      <c r="DX91" s="22">
        <f t="shared" ca="1" si="118"/>
        <v>1.1942868196820692E-2</v>
      </c>
      <c r="DY91" s="22">
        <f t="shared" ca="1" si="118"/>
        <v>1.1402297594802348E-2</v>
      </c>
      <c r="DZ91" s="22">
        <f t="shared" ca="1" si="118"/>
        <v>1.1104107323513041E-2</v>
      </c>
      <c r="EA91" s="22">
        <f t="shared" ca="1" si="118"/>
        <v>1.3520730972277156E-2</v>
      </c>
      <c r="EB91" s="22">
        <f t="shared" ca="1" si="118"/>
        <v>1.2878003290244796E-2</v>
      </c>
      <c r="EC91" s="22" t="str">
        <f t="shared" si="118"/>
        <v/>
      </c>
      <c r="ED91" s="22" t="e">
        <f t="shared" ca="1" si="118"/>
        <v>#DIV/0!</v>
      </c>
      <c r="EE91" s="22" t="e">
        <f t="shared" ca="1" si="118"/>
        <v>#DIV/0!</v>
      </c>
      <c r="EF91" s="22" t="str">
        <f t="shared" si="118"/>
        <v/>
      </c>
      <c r="EG91" s="22" t="e">
        <f t="shared" ca="1" si="118"/>
        <v>#DIV/0!</v>
      </c>
      <c r="EH91" s="22">
        <f t="shared" ca="1" si="118"/>
        <v>1.3002900956566754E-2</v>
      </c>
      <c r="EI91" s="22">
        <f t="shared" ca="1" si="118"/>
        <v>1.3562317867008317E-2</v>
      </c>
      <c r="EJ91" s="22">
        <f t="shared" ca="1" si="118"/>
        <v>1.40894486175599E-2</v>
      </c>
      <c r="EK91" s="22">
        <f t="shared" ca="1" si="118"/>
        <v>1.4252415765997558E-2</v>
      </c>
      <c r="EL91" s="22">
        <f t="shared" ca="1" si="118"/>
        <v>1.258431709228015E-2</v>
      </c>
      <c r="EM91" s="22">
        <f t="shared" ca="1" si="118"/>
        <v>1.1437846705169586E-2</v>
      </c>
      <c r="EN91" s="22">
        <f t="shared" ca="1" si="118"/>
        <v>1.0742167800495375E-2</v>
      </c>
      <c r="EO91" s="22">
        <f t="shared" ca="1" si="118"/>
        <v>1.016533432520195E-2</v>
      </c>
      <c r="EP91" s="22">
        <f t="shared" ca="1" si="118"/>
        <v>9.6268787520264031E-3</v>
      </c>
      <c r="EQ91" s="22">
        <f t="shared" ca="1" si="118"/>
        <v>1.1204165417250132E-2</v>
      </c>
      <c r="ER91" s="22">
        <f t="shared" ca="1" si="118"/>
        <v>1.0500248464776079E-2</v>
      </c>
      <c r="ES91" s="22">
        <f t="shared" ca="1" si="118"/>
        <v>1.0720197530414468E-2</v>
      </c>
      <c r="ET91" s="22">
        <f t="shared" ca="1" si="118"/>
        <v>1.0011246954379487E-2</v>
      </c>
      <c r="EU91" s="22">
        <f t="shared" ca="1" si="118"/>
        <v>9.2632246279177061E-3</v>
      </c>
      <c r="EV91" s="22">
        <f t="shared" ca="1" si="118"/>
        <v>9.2050637201306004E-3</v>
      </c>
      <c r="EW91" s="22">
        <f t="shared" ca="1" si="118"/>
        <v>9.102528164476209E-3</v>
      </c>
      <c r="EX91" s="22">
        <f t="shared" ca="1" si="118"/>
        <v>9.0180341228811491E-3</v>
      </c>
      <c r="EY91" s="22">
        <f t="shared" ref="EY91:HJ91" ca="1" si="119">IF(EY11="","",AVERAGE(EO65:EX65)+CONFIDENCE(0.05,STDEV(DZ65:EX65),COUNT(DZ65:EX65)))</f>
        <v>8.9589424473940811E-3</v>
      </c>
      <c r="EZ91" s="22">
        <f t="shared" ca="1" si="119"/>
        <v>9.3404647179609838E-3</v>
      </c>
      <c r="FA91" s="22">
        <f t="shared" ca="1" si="119"/>
        <v>7.6250591438374801E-3</v>
      </c>
      <c r="FB91" s="22">
        <f t="shared" ca="1" si="119"/>
        <v>8.2162777530536794E-3</v>
      </c>
      <c r="FC91" s="22">
        <f t="shared" ca="1" si="119"/>
        <v>7.0346834923356982E-3</v>
      </c>
      <c r="FD91" s="22">
        <f t="shared" ca="1" si="119"/>
        <v>6.3838801022276358E-3</v>
      </c>
      <c r="FE91" s="22">
        <f t="shared" ca="1" si="119"/>
        <v>6.242137132928211E-3</v>
      </c>
      <c r="FF91" s="22">
        <f t="shared" ca="1" si="119"/>
        <v>6.2665134474674854E-3</v>
      </c>
      <c r="FG91" s="22">
        <f t="shared" ca="1" si="119"/>
        <v>6.7236123034585017E-3</v>
      </c>
      <c r="FH91" s="22">
        <f t="shared" ca="1" si="119"/>
        <v>6.7870293171543652E-3</v>
      </c>
      <c r="FI91" s="22">
        <f t="shared" ca="1" si="119"/>
        <v>6.608681901834188E-3</v>
      </c>
      <c r="FJ91" s="22">
        <f t="shared" ca="1" si="119"/>
        <v>7.4672881805392874E-3</v>
      </c>
      <c r="FK91" s="22">
        <f t="shared" ca="1" si="119"/>
        <v>9.6148925150147807E-3</v>
      </c>
      <c r="FL91" s="22">
        <f t="shared" ca="1" si="119"/>
        <v>9.6593990589631997E-3</v>
      </c>
      <c r="FM91" s="22">
        <f t="shared" ca="1" si="119"/>
        <v>1.0053959699424922E-2</v>
      </c>
      <c r="FN91" s="22">
        <f t="shared" ca="1" si="119"/>
        <v>1.0517000462271428E-2</v>
      </c>
      <c r="FO91" s="22">
        <f t="shared" ca="1" si="119"/>
        <v>1.0788270567191784E-2</v>
      </c>
      <c r="FP91" s="22">
        <f t="shared" ca="1" si="119"/>
        <v>1.0108459983914735E-2</v>
      </c>
      <c r="FQ91" s="22">
        <f t="shared" ca="1" si="119"/>
        <v>1.216409664852456E-2</v>
      </c>
      <c r="FR91" s="22">
        <f t="shared" ca="1" si="119"/>
        <v>1.2534690806846762E-2</v>
      </c>
      <c r="FS91" s="22">
        <f t="shared" ca="1" si="119"/>
        <v>1.3139628784610348E-2</v>
      </c>
      <c r="FT91" s="22">
        <f t="shared" ca="1" si="119"/>
        <v>1.2115941229546325E-2</v>
      </c>
      <c r="FU91" s="22">
        <f t="shared" ca="1" si="119"/>
        <v>1.0432726129991372E-2</v>
      </c>
      <c r="FV91" s="22">
        <f t="shared" ca="1" si="119"/>
        <v>9.5414520038795865E-3</v>
      </c>
      <c r="FW91" s="22">
        <f t="shared" ca="1" si="119"/>
        <v>9.0407060251260427E-3</v>
      </c>
      <c r="FX91" s="22">
        <f t="shared" ca="1" si="119"/>
        <v>8.6364635750943233E-3</v>
      </c>
      <c r="FY91" s="22">
        <f t="shared" ca="1" si="119"/>
        <v>8.5136650518181419E-3</v>
      </c>
      <c r="FZ91" s="22">
        <f t="shared" ca="1" si="119"/>
        <v>8.9494348920099304E-3</v>
      </c>
      <c r="GA91" s="22">
        <f t="shared" ca="1" si="119"/>
        <v>7.9894725763782655E-3</v>
      </c>
      <c r="GB91" s="22">
        <f t="shared" ca="1" si="119"/>
        <v>7.5509619100001778E-3</v>
      </c>
      <c r="GC91" s="22">
        <f t="shared" ca="1" si="119"/>
        <v>7.3184160582117587E-3</v>
      </c>
      <c r="GD91" s="22">
        <f t="shared" ca="1" si="119"/>
        <v>7.7892904829732134E-3</v>
      </c>
      <c r="GE91" s="22">
        <f t="shared" ca="1" si="119"/>
        <v>8.7578904420898673E-3</v>
      </c>
      <c r="GF91" s="22">
        <f t="shared" ca="1" si="119"/>
        <v>1.0066806891190898E-2</v>
      </c>
      <c r="GG91" s="22">
        <f t="shared" ca="1" si="119"/>
        <v>1.0202837690759197E-2</v>
      </c>
      <c r="GH91" s="22">
        <f t="shared" ca="1" si="119"/>
        <v>1.2172438072630768E-2</v>
      </c>
      <c r="GI91" s="22">
        <f t="shared" ca="1" si="119"/>
        <v>1.3382025932522612E-2</v>
      </c>
      <c r="GJ91" s="22">
        <f t="shared" ca="1" si="119"/>
        <v>1.4080718560509339E-2</v>
      </c>
      <c r="GK91" s="22">
        <f t="shared" ca="1" si="119"/>
        <v>1.3749565125898894E-2</v>
      </c>
      <c r="GL91" s="22">
        <f t="shared" ca="1" si="119"/>
        <v>1.4011351470708719E-2</v>
      </c>
      <c r="GM91" s="22">
        <f t="shared" ca="1" si="119"/>
        <v>1.5108571704169765E-2</v>
      </c>
      <c r="GN91" s="22">
        <f t="shared" ca="1" si="119"/>
        <v>1.4771589321626746E-2</v>
      </c>
      <c r="GO91" s="22">
        <f t="shared" ca="1" si="119"/>
        <v>1.4965058010609537E-2</v>
      </c>
      <c r="GP91" s="22">
        <f t="shared" ca="1" si="119"/>
        <v>1.4404294082818769E-2</v>
      </c>
      <c r="GQ91" s="22">
        <f t="shared" ca="1" si="119"/>
        <v>2.0296309275190026E-2</v>
      </c>
      <c r="GR91" s="22">
        <f t="shared" ca="1" si="119"/>
        <v>1.9936221185535504E-2</v>
      </c>
      <c r="GS91" s="22">
        <f t="shared" ca="1" si="119"/>
        <v>1.9650065863598482E-2</v>
      </c>
      <c r="GT91" s="22">
        <f t="shared" ca="1" si="119"/>
        <v>1.9950711779525392E-2</v>
      </c>
      <c r="GU91" s="22">
        <f t="shared" ca="1" si="119"/>
        <v>2.1136213860406022E-2</v>
      </c>
      <c r="GV91" s="22">
        <f t="shared" ca="1" si="119"/>
        <v>2.3003262606494202E-2</v>
      </c>
      <c r="GW91" s="22">
        <f t="shared" ca="1" si="119"/>
        <v>2.3852231875898178E-2</v>
      </c>
      <c r="GX91" s="22">
        <f t="shared" ca="1" si="119"/>
        <v>2.8079428767347241E-2</v>
      </c>
      <c r="GY91" s="22">
        <f t="shared" ca="1" si="119"/>
        <v>3.2799808215434503E-2</v>
      </c>
      <c r="GZ91" s="22">
        <f t="shared" ca="1" si="119"/>
        <v>5.1206409079091679E-2</v>
      </c>
      <c r="HA91" s="22" t="str">
        <f t="shared" si="119"/>
        <v/>
      </c>
      <c r="HB91" s="22" t="str">
        <f t="shared" si="119"/>
        <v/>
      </c>
      <c r="HC91" s="22" t="str">
        <f t="shared" si="119"/>
        <v/>
      </c>
      <c r="HD91" s="22" t="str">
        <f t="shared" si="119"/>
        <v/>
      </c>
      <c r="HE91" s="22" t="str">
        <f t="shared" si="119"/>
        <v/>
      </c>
      <c r="HF91" s="22" t="str">
        <f t="shared" si="119"/>
        <v/>
      </c>
      <c r="HG91" s="22" t="str">
        <f t="shared" si="119"/>
        <v/>
      </c>
      <c r="HH91" s="22" t="str">
        <f t="shared" si="119"/>
        <v/>
      </c>
      <c r="HI91" s="22" t="str">
        <f t="shared" si="119"/>
        <v/>
      </c>
      <c r="HJ91" s="22" t="str">
        <f t="shared" si="119"/>
        <v/>
      </c>
      <c r="HK91" s="22" t="str">
        <f t="shared" ref="HK91:JH91" si="120">IF(HK11="","",AVERAGE(HA65:HJ65)+CONFIDENCE(0.05,STDEV(GL65:HJ65),COUNT(GL65:HJ65)))</f>
        <v/>
      </c>
      <c r="HL91" s="22" t="str">
        <f t="shared" si="120"/>
        <v/>
      </c>
      <c r="HM91" s="22" t="str">
        <f t="shared" si="120"/>
        <v/>
      </c>
      <c r="HN91" s="22" t="str">
        <f t="shared" si="120"/>
        <v/>
      </c>
      <c r="HO91" s="22" t="str">
        <f t="shared" si="120"/>
        <v/>
      </c>
      <c r="HP91" s="22" t="str">
        <f t="shared" si="120"/>
        <v/>
      </c>
      <c r="HQ91" s="22" t="str">
        <f t="shared" si="120"/>
        <v/>
      </c>
      <c r="HR91" s="22" t="str">
        <f t="shared" si="120"/>
        <v/>
      </c>
      <c r="HS91" s="22" t="str">
        <f t="shared" si="120"/>
        <v/>
      </c>
      <c r="HT91" s="22" t="str">
        <f t="shared" si="120"/>
        <v/>
      </c>
      <c r="HU91" s="22" t="str">
        <f t="shared" si="120"/>
        <v/>
      </c>
      <c r="HV91" s="22" t="str">
        <f t="shared" si="120"/>
        <v/>
      </c>
      <c r="HW91" s="22" t="str">
        <f t="shared" si="120"/>
        <v/>
      </c>
      <c r="HX91" s="22" t="str">
        <f t="shared" si="120"/>
        <v/>
      </c>
      <c r="HY91" s="22" t="str">
        <f t="shared" si="120"/>
        <v/>
      </c>
      <c r="HZ91" s="22" t="str">
        <f t="shared" si="120"/>
        <v/>
      </c>
      <c r="IA91" s="22" t="str">
        <f t="shared" si="120"/>
        <v/>
      </c>
      <c r="IB91" s="22" t="str">
        <f t="shared" si="120"/>
        <v/>
      </c>
      <c r="IC91" s="22" t="str">
        <f t="shared" si="120"/>
        <v/>
      </c>
      <c r="ID91" s="22" t="str">
        <f t="shared" si="120"/>
        <v/>
      </c>
      <c r="IE91" s="22" t="str">
        <f t="shared" si="120"/>
        <v/>
      </c>
      <c r="IF91" s="22" t="str">
        <f t="shared" si="120"/>
        <v/>
      </c>
      <c r="IG91" s="22" t="str">
        <f t="shared" si="120"/>
        <v/>
      </c>
      <c r="IH91" s="22" t="str">
        <f t="shared" si="120"/>
        <v/>
      </c>
      <c r="II91" s="22" t="str">
        <f t="shared" si="120"/>
        <v/>
      </c>
      <c r="IJ91" s="22" t="str">
        <f t="shared" si="120"/>
        <v/>
      </c>
      <c r="IK91" s="22" t="str">
        <f t="shared" si="120"/>
        <v/>
      </c>
      <c r="IL91" s="22" t="str">
        <f t="shared" si="120"/>
        <v/>
      </c>
      <c r="IM91" s="22" t="str">
        <f t="shared" si="120"/>
        <v/>
      </c>
      <c r="IN91" s="22" t="str">
        <f t="shared" si="120"/>
        <v/>
      </c>
      <c r="IO91" s="22" t="str">
        <f t="shared" si="120"/>
        <v/>
      </c>
      <c r="IP91" s="22" t="str">
        <f t="shared" si="120"/>
        <v/>
      </c>
      <c r="IQ91" s="22" t="str">
        <f t="shared" si="120"/>
        <v/>
      </c>
      <c r="IR91" s="22" t="str">
        <f t="shared" si="120"/>
        <v/>
      </c>
      <c r="IS91" s="22" t="str">
        <f t="shared" si="120"/>
        <v/>
      </c>
      <c r="IT91" s="22" t="str">
        <f t="shared" si="120"/>
        <v/>
      </c>
      <c r="IU91" s="22" t="str">
        <f t="shared" si="120"/>
        <v/>
      </c>
      <c r="IV91" s="22" t="str">
        <f t="shared" si="120"/>
        <v/>
      </c>
      <c r="IW91" s="22" t="str">
        <f t="shared" si="120"/>
        <v/>
      </c>
      <c r="IX91" s="22" t="str">
        <f t="shared" si="120"/>
        <v/>
      </c>
      <c r="IY91" s="22" t="str">
        <f t="shared" si="120"/>
        <v/>
      </c>
      <c r="IZ91" s="22" t="str">
        <f t="shared" si="120"/>
        <v/>
      </c>
      <c r="JA91" s="22" t="str">
        <f t="shared" si="120"/>
        <v/>
      </c>
      <c r="JB91" s="22" t="str">
        <f t="shared" si="120"/>
        <v/>
      </c>
      <c r="JC91" s="22" t="str">
        <f t="shared" si="120"/>
        <v/>
      </c>
      <c r="JD91" s="22" t="str">
        <f t="shared" si="120"/>
        <v/>
      </c>
      <c r="JE91" s="22" t="str">
        <f t="shared" si="120"/>
        <v/>
      </c>
      <c r="JF91" s="22" t="str">
        <f t="shared" si="120"/>
        <v/>
      </c>
      <c r="JG91" s="22" t="str">
        <f t="shared" si="120"/>
        <v/>
      </c>
      <c r="JH91" s="22" t="str">
        <f t="shared" si="120"/>
        <v/>
      </c>
    </row>
    <row r="92" spans="1:336" x14ac:dyDescent="0.25"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>
        <f t="shared" ref="AA92:CL92" ca="1" si="121">IF(AA12="","",AVERAGE(P66:Z66)+CONFIDENCE(0.05,STDEV(B66:Z66),COUNT(B66:Z66)))</f>
        <v>4.9650719691002434E-3</v>
      </c>
      <c r="AB92" s="22">
        <f t="shared" ca="1" si="121"/>
        <v>4.2371034844829762E-3</v>
      </c>
      <c r="AC92" s="22">
        <f t="shared" ca="1" si="121"/>
        <v>3.7185202912676011E-3</v>
      </c>
      <c r="AD92" s="22">
        <f t="shared" ca="1" si="121"/>
        <v>3.6097048777703317E-3</v>
      </c>
      <c r="AE92" s="22">
        <f t="shared" ca="1" si="121"/>
        <v>4.0112642837359372E-3</v>
      </c>
      <c r="AF92" s="22">
        <f t="shared" ca="1" si="121"/>
        <v>4.7230260750123132E-3</v>
      </c>
      <c r="AG92" s="22">
        <f t="shared" ca="1" si="121"/>
        <v>5.6191955943453407E-3</v>
      </c>
      <c r="AH92" s="22">
        <f t="shared" ca="1" si="121"/>
        <v>6.3949868025712717E-3</v>
      </c>
      <c r="AI92" s="22">
        <f t="shared" ca="1" si="121"/>
        <v>7.6216018221019286E-3</v>
      </c>
      <c r="AJ92" s="22">
        <f t="shared" ca="1" si="121"/>
        <v>8.9205688473741329E-3</v>
      </c>
      <c r="AK92" s="22">
        <f t="shared" ca="1" si="121"/>
        <v>9.8734614689319593E-3</v>
      </c>
      <c r="AL92" s="22">
        <f t="shared" ca="1" si="121"/>
        <v>1.101078397472435E-2</v>
      </c>
      <c r="AM92" s="22">
        <f t="shared" ca="1" si="121"/>
        <v>1.2105849018050617E-2</v>
      </c>
      <c r="AN92" s="22">
        <f t="shared" ca="1" si="121"/>
        <v>1.3205949199855639E-2</v>
      </c>
      <c r="AO92" s="22">
        <f t="shared" ca="1" si="121"/>
        <v>1.3299260800329293E-2</v>
      </c>
      <c r="AP92" s="22">
        <f t="shared" ca="1" si="121"/>
        <v>1.2754031825744649E-2</v>
      </c>
      <c r="AQ92" s="22">
        <f t="shared" ca="1" si="121"/>
        <v>1.2289806177814028E-2</v>
      </c>
      <c r="AR92" s="22">
        <f t="shared" ca="1" si="121"/>
        <v>1.1967799645895935E-2</v>
      </c>
      <c r="AS92" s="22">
        <f t="shared" ca="1" si="121"/>
        <v>1.2474820201170019E-2</v>
      </c>
      <c r="AT92" s="22">
        <f t="shared" ca="1" si="121"/>
        <v>1.3795785292884281E-2</v>
      </c>
      <c r="AU92" s="22">
        <f t="shared" ca="1" si="121"/>
        <v>1.5916460679058997E-2</v>
      </c>
      <c r="AV92" s="22">
        <f t="shared" ca="1" si="121"/>
        <v>1.8971732276300481E-2</v>
      </c>
      <c r="AW92" s="22">
        <f t="shared" ca="1" si="121"/>
        <v>2.3113902623142259E-2</v>
      </c>
      <c r="AX92" s="22">
        <f t="shared" ca="1" si="121"/>
        <v>2.8043337704666355E-2</v>
      </c>
      <c r="AY92" s="22">
        <f t="shared" ca="1" si="121"/>
        <v>3.2962014125738598E-2</v>
      </c>
      <c r="AZ92" s="22">
        <f t="shared" ca="1" si="121"/>
        <v>3.8500828022676979E-2</v>
      </c>
      <c r="BA92" s="22">
        <f t="shared" ca="1" si="121"/>
        <v>4.4229181443668018E-2</v>
      </c>
      <c r="BB92" s="22">
        <f t="shared" ca="1" si="121"/>
        <v>5.005368345287483E-2</v>
      </c>
      <c r="BC92" s="22">
        <f t="shared" ca="1" si="121"/>
        <v>5.4871644255772421E-2</v>
      </c>
      <c r="BD92" s="22">
        <f t="shared" ca="1" si="121"/>
        <v>5.6711049721488827E-2</v>
      </c>
      <c r="BE92" s="22">
        <f t="shared" ca="1" si="121"/>
        <v>5.8617926293793442E-2</v>
      </c>
      <c r="BF92" s="22">
        <f t="shared" ca="1" si="121"/>
        <v>5.9910080095993766E-2</v>
      </c>
      <c r="BG92" s="22">
        <f t="shared" ca="1" si="121"/>
        <v>5.9975081662661085E-2</v>
      </c>
      <c r="BH92" s="22">
        <f t="shared" ca="1" si="121"/>
        <v>5.892476623178642E-2</v>
      </c>
      <c r="BI92" s="22">
        <f t="shared" ca="1" si="121"/>
        <v>5.5773211750318033E-2</v>
      </c>
      <c r="BJ92" s="22">
        <f t="shared" ca="1" si="121"/>
        <v>5.1429714533853282E-2</v>
      </c>
      <c r="BK92" s="22">
        <f t="shared" ca="1" si="121"/>
        <v>4.7384673027478327E-2</v>
      </c>
      <c r="BL92" s="22">
        <f t="shared" ca="1" si="121"/>
        <v>4.4149249498216456E-2</v>
      </c>
      <c r="BM92" s="22">
        <f t="shared" ca="1" si="121"/>
        <v>4.2445213828027045E-2</v>
      </c>
      <c r="BN92" s="22">
        <f t="shared" ca="1" si="121"/>
        <v>4.249191109144046E-2</v>
      </c>
      <c r="BO92" s="22">
        <f t="shared" ca="1" si="121"/>
        <v>4.4111645501495031E-2</v>
      </c>
      <c r="BP92" s="22">
        <f t="shared" ca="1" si="121"/>
        <v>4.3084971188487781E-2</v>
      </c>
      <c r="BQ92" s="22">
        <f t="shared" ca="1" si="121"/>
        <v>4.0406975636528904E-2</v>
      </c>
      <c r="BR92" s="22">
        <f t="shared" ca="1" si="121"/>
        <v>3.8488631904085108E-2</v>
      </c>
      <c r="BS92" s="22">
        <f t="shared" ca="1" si="121"/>
        <v>3.7187746430621817E-2</v>
      </c>
      <c r="BT92" s="22">
        <f t="shared" ca="1" si="121"/>
        <v>3.7902160020195842E-2</v>
      </c>
      <c r="BU92" s="22">
        <f t="shared" ca="1" si="121"/>
        <v>4.0314970627896837E-2</v>
      </c>
      <c r="BV92" s="22">
        <f t="shared" ca="1" si="121"/>
        <v>4.1164071404422714E-2</v>
      </c>
      <c r="BW92" s="22">
        <f t="shared" ca="1" si="121"/>
        <v>4.0030731619689779E-2</v>
      </c>
      <c r="BX92" s="22">
        <f t="shared" ca="1" si="121"/>
        <v>3.7048731884256204E-2</v>
      </c>
      <c r="BY92" s="22">
        <f t="shared" ca="1" si="121"/>
        <v>3.3465180300987711E-2</v>
      </c>
      <c r="BZ92" s="22">
        <f t="shared" ca="1" si="121"/>
        <v>2.8879023771516098E-2</v>
      </c>
      <c r="CA92" s="22">
        <f t="shared" ca="1" si="121"/>
        <v>2.6104010326129724E-2</v>
      </c>
      <c r="CB92" s="22">
        <f t="shared" ca="1" si="121"/>
        <v>2.5602797568733619E-2</v>
      </c>
      <c r="CC92" s="22">
        <f t="shared" ca="1" si="121"/>
        <v>2.5369781436278081E-2</v>
      </c>
      <c r="CD92" s="22">
        <f t="shared" ca="1" si="121"/>
        <v>2.3763216435982261E-2</v>
      </c>
      <c r="CE92" s="22">
        <f t="shared" ca="1" si="121"/>
        <v>2.1325753553830477E-2</v>
      </c>
      <c r="CF92" s="22">
        <f t="shared" ca="1" si="121"/>
        <v>1.8572409878685334E-2</v>
      </c>
      <c r="CG92" s="22">
        <f t="shared" ca="1" si="121"/>
        <v>1.6672271209986253E-2</v>
      </c>
      <c r="CH92" s="22">
        <f t="shared" ca="1" si="121"/>
        <v>1.6377887979306442E-2</v>
      </c>
      <c r="CI92" s="22">
        <f t="shared" ca="1" si="121"/>
        <v>1.61017897267191E-2</v>
      </c>
      <c r="CJ92" s="22">
        <f t="shared" ca="1" si="121"/>
        <v>1.4394161921372212E-2</v>
      </c>
      <c r="CK92" s="22">
        <f t="shared" ca="1" si="121"/>
        <v>1.4860838741220073E-2</v>
      </c>
      <c r="CL92" s="22">
        <f t="shared" ca="1" si="121"/>
        <v>1.4962567231852759E-2</v>
      </c>
      <c r="CM92" s="22">
        <f t="shared" ref="CM92:EX92" ca="1" si="122">IF(CM12="","",AVERAGE(CB66:CL66)+CONFIDENCE(0.05,STDEV(BN66:CL66),COUNT(BN66:CL66)))</f>
        <v>1.4274525336268896E-2</v>
      </c>
      <c r="CN92" s="22">
        <f t="shared" ca="1" si="122"/>
        <v>1.4477648080230603E-2</v>
      </c>
      <c r="CO92" s="22">
        <f t="shared" ca="1" si="122"/>
        <v>1.557126258693781E-2</v>
      </c>
      <c r="CP92" s="22">
        <f t="shared" ca="1" si="122"/>
        <v>1.6128899326661093E-2</v>
      </c>
      <c r="CQ92" s="22">
        <f t="shared" ca="1" si="122"/>
        <v>1.5932947439925373E-2</v>
      </c>
      <c r="CR92" s="22">
        <f t="shared" ca="1" si="122"/>
        <v>1.6161784227812597E-2</v>
      </c>
      <c r="CS92" s="22">
        <f t="shared" ca="1" si="122"/>
        <v>1.593392636988044E-2</v>
      </c>
      <c r="CT92" s="22">
        <f t="shared" ca="1" si="122"/>
        <v>1.4878251767613022E-2</v>
      </c>
      <c r="CU92" s="22">
        <f t="shared" ca="1" si="122"/>
        <v>1.5298813319612713E-2</v>
      </c>
      <c r="CV92" s="22">
        <f t="shared" ca="1" si="122"/>
        <v>1.8945075035302263E-2</v>
      </c>
      <c r="CW92" s="22">
        <f t="shared" ca="1" si="122"/>
        <v>1.8254099045290486E-2</v>
      </c>
      <c r="CX92" s="22">
        <f t="shared" ca="1" si="122"/>
        <v>1.6371060770652764E-2</v>
      </c>
      <c r="CY92" s="22">
        <f t="shared" ca="1" si="122"/>
        <v>1.3999162080377279E-2</v>
      </c>
      <c r="CZ92" s="22">
        <f t="shared" ca="1" si="122"/>
        <v>1.2317025820306119E-2</v>
      </c>
      <c r="DA92" s="22">
        <f t="shared" ca="1" si="122"/>
        <v>1.1616515587454886E-2</v>
      </c>
      <c r="DB92" s="22">
        <f t="shared" ca="1" si="122"/>
        <v>1.1562138717795451E-2</v>
      </c>
      <c r="DC92" s="22">
        <f t="shared" ca="1" si="122"/>
        <v>1.2560228321150477E-2</v>
      </c>
      <c r="DD92" s="22">
        <f t="shared" ca="1" si="122"/>
        <v>1.4470083498273858E-2</v>
      </c>
      <c r="DE92" s="22">
        <f t="shared" ca="1" si="122"/>
        <v>1.5508984847967271E-2</v>
      </c>
      <c r="DF92" s="22">
        <f t="shared" ca="1" si="122"/>
        <v>1.6550236562359214E-2</v>
      </c>
      <c r="DG92" s="22">
        <f t="shared" ca="1" si="122"/>
        <v>1.4306721754330034E-2</v>
      </c>
      <c r="DH92" s="22">
        <f t="shared" ca="1" si="122"/>
        <v>1.5942982385139179E-2</v>
      </c>
      <c r="DI92" s="22">
        <f t="shared" ca="1" si="122"/>
        <v>1.9447348077558241E-2</v>
      </c>
      <c r="DJ92" s="22">
        <f t="shared" ca="1" si="122"/>
        <v>2.1368202483673899E-2</v>
      </c>
      <c r="DK92" s="22">
        <f t="shared" ca="1" si="122"/>
        <v>2.2329420529625409E-2</v>
      </c>
      <c r="DL92" s="22">
        <f t="shared" ca="1" si="122"/>
        <v>2.2326335584734392E-2</v>
      </c>
      <c r="DM92" s="22">
        <f t="shared" ca="1" si="122"/>
        <v>2.2186595241929334E-2</v>
      </c>
      <c r="DN92" s="22">
        <f t="shared" ca="1" si="122"/>
        <v>2.1605759150882066E-2</v>
      </c>
      <c r="DO92" s="22">
        <f t="shared" ca="1" si="122"/>
        <v>2.0715853929385394E-2</v>
      </c>
      <c r="DP92" s="22">
        <f t="shared" ca="1" si="122"/>
        <v>2.0211263818959647E-2</v>
      </c>
      <c r="DQ92" s="22">
        <f t="shared" ca="1" si="122"/>
        <v>1.8873777502078283E-2</v>
      </c>
      <c r="DR92" s="22">
        <f t="shared" ca="1" si="122"/>
        <v>1.8305533538115964E-2</v>
      </c>
      <c r="DS92" s="22">
        <f t="shared" ca="1" si="122"/>
        <v>1.7056809500966805E-2</v>
      </c>
      <c r="DT92" s="22">
        <f t="shared" ca="1" si="122"/>
        <v>1.4851095976176771E-2</v>
      </c>
      <c r="DU92" s="22">
        <f t="shared" ca="1" si="122"/>
        <v>1.2477650724437017E-2</v>
      </c>
      <c r="DV92" s="22">
        <f t="shared" ca="1" si="122"/>
        <v>1.1816453613842445E-2</v>
      </c>
      <c r="DW92" s="22">
        <f t="shared" ca="1" si="122"/>
        <v>1.2804611224439717E-2</v>
      </c>
      <c r="DX92" s="22">
        <f t="shared" ca="1" si="122"/>
        <v>1.4187799395737163E-2</v>
      </c>
      <c r="DY92" s="22">
        <f t="shared" ca="1" si="122"/>
        <v>1.4552915651929461E-2</v>
      </c>
      <c r="DZ92" s="22">
        <f t="shared" ca="1" si="122"/>
        <v>1.395430912825911E-2</v>
      </c>
      <c r="EA92" s="22">
        <f t="shared" ca="1" si="122"/>
        <v>1.4620327133411682E-2</v>
      </c>
      <c r="EB92" s="22">
        <f t="shared" ca="1" si="122"/>
        <v>1.8444761603145884E-2</v>
      </c>
      <c r="EC92" s="22" t="str">
        <f t="shared" si="122"/>
        <v/>
      </c>
      <c r="ED92" s="22" t="e">
        <f t="shared" ca="1" si="122"/>
        <v>#DIV/0!</v>
      </c>
      <c r="EE92" s="22" t="e">
        <f t="shared" ca="1" si="122"/>
        <v>#DIV/0!</v>
      </c>
      <c r="EF92" s="22" t="str">
        <f t="shared" si="122"/>
        <v/>
      </c>
      <c r="EG92" s="22" t="e">
        <f t="shared" ca="1" si="122"/>
        <v>#DIV/0!</v>
      </c>
      <c r="EH92" s="22">
        <f t="shared" ca="1" si="122"/>
        <v>9.0853239166071402E-3</v>
      </c>
      <c r="EI92" s="22">
        <f t="shared" ca="1" si="122"/>
        <v>1.1555121794002645E-2</v>
      </c>
      <c r="EJ92" s="22">
        <f t="shared" ca="1" si="122"/>
        <v>1.3411215736512936E-2</v>
      </c>
      <c r="EK92" s="22">
        <f t="shared" ca="1" si="122"/>
        <v>1.3995010205259601E-2</v>
      </c>
      <c r="EL92" s="22">
        <f t="shared" ca="1" si="122"/>
        <v>1.2504076868319513E-2</v>
      </c>
      <c r="EM92" s="22">
        <f t="shared" ca="1" si="122"/>
        <v>1.1617760609598578E-2</v>
      </c>
      <c r="EN92" s="22">
        <f t="shared" ca="1" si="122"/>
        <v>1.104395361144229E-2</v>
      </c>
      <c r="EO92" s="22">
        <f t="shared" ca="1" si="122"/>
        <v>1.0580388636872598E-2</v>
      </c>
      <c r="EP92" s="22">
        <f t="shared" ca="1" si="122"/>
        <v>1.0264202879083067E-2</v>
      </c>
      <c r="EQ92" s="22">
        <f t="shared" ca="1" si="122"/>
        <v>1.2097204045699084E-2</v>
      </c>
      <c r="ER92" s="22">
        <f t="shared" ca="1" si="122"/>
        <v>1.1551167752246261E-2</v>
      </c>
      <c r="ES92" s="22">
        <f t="shared" ca="1" si="122"/>
        <v>1.2399259274293327E-2</v>
      </c>
      <c r="ET92" s="22">
        <f t="shared" ca="1" si="122"/>
        <v>1.1849480454270322E-2</v>
      </c>
      <c r="EU92" s="22">
        <f t="shared" ca="1" si="122"/>
        <v>1.0992727722869466E-2</v>
      </c>
      <c r="EV92" s="22">
        <f t="shared" ca="1" si="122"/>
        <v>1.0103330153563539E-2</v>
      </c>
      <c r="EW92" s="22">
        <f t="shared" ca="1" si="122"/>
        <v>9.6961228026681001E-3</v>
      </c>
      <c r="EX92" s="22">
        <f t="shared" ca="1" si="122"/>
        <v>9.751943473076178E-3</v>
      </c>
      <c r="EY92" s="22">
        <f t="shared" ref="EY92:HJ92" ca="1" si="123">IF(EY12="","",AVERAGE(EN66:EX66)+CONFIDENCE(0.05,STDEV(DZ66:EX66),COUNT(DZ66:EX66)))</f>
        <v>9.4568988307247616E-3</v>
      </c>
      <c r="EZ92" s="22">
        <f t="shared" ca="1" si="123"/>
        <v>9.6701332081826647E-3</v>
      </c>
      <c r="FA92" s="22">
        <f t="shared" ca="1" si="123"/>
        <v>9.3094640037038774E-3</v>
      </c>
      <c r="FB92" s="22">
        <f t="shared" ca="1" si="123"/>
        <v>8.15467574601326E-3</v>
      </c>
      <c r="FC92" s="22">
        <f t="shared" ca="1" si="123"/>
        <v>8.1099255855103924E-3</v>
      </c>
      <c r="FD92" s="22">
        <f t="shared" ca="1" si="123"/>
        <v>6.8572649000694635E-3</v>
      </c>
      <c r="FE92" s="22">
        <f t="shared" ca="1" si="123"/>
        <v>6.5545760285249015E-3</v>
      </c>
      <c r="FF92" s="22">
        <f t="shared" ca="1" si="123"/>
        <v>6.258079809267179E-3</v>
      </c>
      <c r="FG92" s="22">
        <f t="shared" ca="1" si="123"/>
        <v>5.912774153355985E-3</v>
      </c>
      <c r="FH92" s="22">
        <f t="shared" ca="1" si="123"/>
        <v>6.1907178120780924E-3</v>
      </c>
      <c r="FI92" s="22">
        <f t="shared" ca="1" si="123"/>
        <v>5.7869120280778473E-3</v>
      </c>
      <c r="FJ92" s="22">
        <f t="shared" ca="1" si="123"/>
        <v>7.3865046797316064E-3</v>
      </c>
      <c r="FK92" s="22">
        <f t="shared" ca="1" si="123"/>
        <v>8.9267823525567124E-3</v>
      </c>
      <c r="FL92" s="22">
        <f t="shared" ca="1" si="123"/>
        <v>9.353175547699745E-3</v>
      </c>
      <c r="FM92" s="22">
        <f t="shared" ca="1" si="123"/>
        <v>9.0993960394279965E-3</v>
      </c>
      <c r="FN92" s="22">
        <f t="shared" ca="1" si="123"/>
        <v>9.5751781070103625E-3</v>
      </c>
      <c r="FO92" s="22">
        <f t="shared" ca="1" si="123"/>
        <v>1.0454523996445534E-2</v>
      </c>
      <c r="FP92" s="22">
        <f t="shared" ca="1" si="123"/>
        <v>9.815654077555214E-3</v>
      </c>
      <c r="FQ92" s="22">
        <f t="shared" ca="1" si="123"/>
        <v>1.1857755228338606E-2</v>
      </c>
      <c r="FR92" s="22">
        <f t="shared" ca="1" si="123"/>
        <v>1.2858555157240761E-2</v>
      </c>
      <c r="FS92" s="22">
        <f t="shared" ca="1" si="123"/>
        <v>1.3098569945417256E-2</v>
      </c>
      <c r="FT92" s="22">
        <f t="shared" ca="1" si="123"/>
        <v>1.3759911574639457E-2</v>
      </c>
      <c r="FU92" s="22">
        <f t="shared" ca="1" si="123"/>
        <v>1.2494021612488967E-2</v>
      </c>
      <c r="FV92" s="22">
        <f t="shared" ca="1" si="123"/>
        <v>1.0696676990664903E-2</v>
      </c>
      <c r="FW92" s="22">
        <f t="shared" ca="1" si="123"/>
        <v>1.0242866590137321E-2</v>
      </c>
      <c r="FX92" s="22">
        <f t="shared" ca="1" si="123"/>
        <v>9.9855027016000075E-3</v>
      </c>
      <c r="FY92" s="22">
        <f t="shared" ca="1" si="123"/>
        <v>9.9877750453268195E-3</v>
      </c>
      <c r="FZ92" s="22">
        <f t="shared" ca="1" si="123"/>
        <v>9.5085738423636053E-3</v>
      </c>
      <c r="GA92" s="22">
        <f t="shared" ca="1" si="123"/>
        <v>1.048032552896782E-2</v>
      </c>
      <c r="GB92" s="22">
        <f t="shared" ca="1" si="123"/>
        <v>8.954165434400781E-3</v>
      </c>
      <c r="GC92" s="22">
        <f t="shared" ca="1" si="123"/>
        <v>8.3880123181745113E-3</v>
      </c>
      <c r="GD92" s="22">
        <f t="shared" ca="1" si="123"/>
        <v>8.693365780045325E-3</v>
      </c>
      <c r="GE92" s="22">
        <f t="shared" ca="1" si="123"/>
        <v>9.3378225016205393E-3</v>
      </c>
      <c r="GF92" s="22">
        <f t="shared" ca="1" si="123"/>
        <v>9.6268751365314389E-3</v>
      </c>
      <c r="GG92" s="22">
        <f t="shared" ca="1" si="123"/>
        <v>1.1617840650128029E-2</v>
      </c>
      <c r="GH92" s="22">
        <f t="shared" ca="1" si="123"/>
        <v>1.3324124086210981E-2</v>
      </c>
      <c r="GI92" s="22">
        <f t="shared" ca="1" si="123"/>
        <v>1.4272196926591344E-2</v>
      </c>
      <c r="GJ92" s="22">
        <f t="shared" ca="1" si="123"/>
        <v>1.4166320194624389E-2</v>
      </c>
      <c r="GK92" s="22">
        <f t="shared" ca="1" si="123"/>
        <v>1.4140887619752726E-2</v>
      </c>
      <c r="GL92" s="22">
        <f t="shared" ca="1" si="123"/>
        <v>1.3615791544504485E-2</v>
      </c>
      <c r="GM92" s="22">
        <f t="shared" ca="1" si="123"/>
        <v>1.4562496757720292E-2</v>
      </c>
      <c r="GN92" s="22">
        <f t="shared" ca="1" si="123"/>
        <v>1.4576292851543817E-2</v>
      </c>
      <c r="GO92" s="22">
        <f t="shared" ca="1" si="123"/>
        <v>1.4791505601532529E-2</v>
      </c>
      <c r="GP92" s="22">
        <f t="shared" ca="1" si="123"/>
        <v>1.4117915109682355E-2</v>
      </c>
      <c r="GQ92" s="22">
        <f t="shared" ca="1" si="123"/>
        <v>1.4610577413245613E-2</v>
      </c>
      <c r="GR92" s="22">
        <f t="shared" ca="1" si="123"/>
        <v>1.3774562037595806E-2</v>
      </c>
      <c r="GS92" s="22">
        <f t="shared" ca="1" si="123"/>
        <v>1.2756172890364462E-2</v>
      </c>
      <c r="GT92" s="22">
        <f t="shared" ca="1" si="123"/>
        <v>1.2294954888501353E-2</v>
      </c>
      <c r="GU92" s="22">
        <f t="shared" ca="1" si="123"/>
        <v>1.2462231843787573E-2</v>
      </c>
      <c r="GV92" s="22">
        <f t="shared" ca="1" si="123"/>
        <v>1.3314165284075257E-2</v>
      </c>
      <c r="GW92" s="22">
        <f t="shared" ca="1" si="123"/>
        <v>1.4341880778118831E-2</v>
      </c>
      <c r="GX92" s="22">
        <f t="shared" ca="1" si="123"/>
        <v>1.2965027891417628E-2</v>
      </c>
      <c r="GY92" s="22">
        <f t="shared" ca="1" si="123"/>
        <v>1.465146105346256E-2</v>
      </c>
      <c r="GZ92" s="22">
        <f t="shared" ca="1" si="123"/>
        <v>1.3299333495374467E-2</v>
      </c>
      <c r="HA92" s="22" t="str">
        <f t="shared" si="123"/>
        <v/>
      </c>
      <c r="HB92" s="22" t="str">
        <f t="shared" si="123"/>
        <v/>
      </c>
      <c r="HC92" s="22" t="str">
        <f t="shared" si="123"/>
        <v/>
      </c>
      <c r="HD92" s="22" t="str">
        <f t="shared" si="123"/>
        <v/>
      </c>
      <c r="HE92" s="22" t="str">
        <f t="shared" si="123"/>
        <v/>
      </c>
      <c r="HF92" s="22" t="str">
        <f t="shared" si="123"/>
        <v/>
      </c>
      <c r="HG92" s="22" t="str">
        <f t="shared" si="123"/>
        <v/>
      </c>
      <c r="HH92" s="22" t="str">
        <f t="shared" si="123"/>
        <v/>
      </c>
      <c r="HI92" s="22" t="str">
        <f t="shared" si="123"/>
        <v/>
      </c>
      <c r="HJ92" s="22" t="str">
        <f t="shared" si="123"/>
        <v/>
      </c>
      <c r="HK92" s="22" t="str">
        <f t="shared" ref="HK92:JH92" si="124">IF(HK12="","",AVERAGE(GZ66:HJ66)+CONFIDENCE(0.05,STDEV(GL66:HJ66),COUNT(GL66:HJ66)))</f>
        <v/>
      </c>
      <c r="HL92" s="22" t="str">
        <f t="shared" si="124"/>
        <v/>
      </c>
      <c r="HM92" s="22" t="str">
        <f t="shared" si="124"/>
        <v/>
      </c>
      <c r="HN92" s="22" t="str">
        <f t="shared" si="124"/>
        <v/>
      </c>
      <c r="HO92" s="22" t="str">
        <f t="shared" si="124"/>
        <v/>
      </c>
      <c r="HP92" s="22" t="str">
        <f t="shared" si="124"/>
        <v/>
      </c>
      <c r="HQ92" s="22" t="str">
        <f t="shared" si="124"/>
        <v/>
      </c>
      <c r="HR92" s="22" t="str">
        <f t="shared" si="124"/>
        <v/>
      </c>
      <c r="HS92" s="22" t="str">
        <f t="shared" si="124"/>
        <v/>
      </c>
      <c r="HT92" s="22" t="str">
        <f t="shared" si="124"/>
        <v/>
      </c>
      <c r="HU92" s="22" t="str">
        <f t="shared" si="124"/>
        <v/>
      </c>
      <c r="HV92" s="22" t="str">
        <f t="shared" si="124"/>
        <v/>
      </c>
      <c r="HW92" s="22" t="str">
        <f t="shared" si="124"/>
        <v/>
      </c>
      <c r="HX92" s="22" t="str">
        <f t="shared" si="124"/>
        <v/>
      </c>
      <c r="HY92" s="22" t="str">
        <f t="shared" si="124"/>
        <v/>
      </c>
      <c r="HZ92" s="22" t="str">
        <f t="shared" si="124"/>
        <v/>
      </c>
      <c r="IA92" s="22" t="str">
        <f t="shared" si="124"/>
        <v/>
      </c>
      <c r="IB92" s="22" t="str">
        <f t="shared" si="124"/>
        <v/>
      </c>
      <c r="IC92" s="22" t="str">
        <f t="shared" si="124"/>
        <v/>
      </c>
      <c r="ID92" s="22" t="str">
        <f t="shared" si="124"/>
        <v/>
      </c>
      <c r="IE92" s="22" t="str">
        <f t="shared" si="124"/>
        <v/>
      </c>
      <c r="IF92" s="22" t="str">
        <f t="shared" si="124"/>
        <v/>
      </c>
      <c r="IG92" s="22" t="str">
        <f t="shared" si="124"/>
        <v/>
      </c>
      <c r="IH92" s="22" t="str">
        <f t="shared" si="124"/>
        <v/>
      </c>
      <c r="II92" s="22" t="str">
        <f t="shared" si="124"/>
        <v/>
      </c>
      <c r="IJ92" s="22" t="str">
        <f t="shared" si="124"/>
        <v/>
      </c>
      <c r="IK92" s="22" t="str">
        <f t="shared" si="124"/>
        <v/>
      </c>
      <c r="IL92" s="22" t="str">
        <f t="shared" si="124"/>
        <v/>
      </c>
      <c r="IM92" s="22" t="str">
        <f t="shared" si="124"/>
        <v/>
      </c>
      <c r="IN92" s="22" t="str">
        <f t="shared" si="124"/>
        <v/>
      </c>
      <c r="IO92" s="22" t="str">
        <f t="shared" si="124"/>
        <v/>
      </c>
      <c r="IP92" s="22" t="str">
        <f t="shared" si="124"/>
        <v/>
      </c>
      <c r="IQ92" s="22" t="str">
        <f t="shared" si="124"/>
        <v/>
      </c>
      <c r="IR92" s="22" t="str">
        <f t="shared" si="124"/>
        <v/>
      </c>
      <c r="IS92" s="22" t="str">
        <f t="shared" si="124"/>
        <v/>
      </c>
      <c r="IT92" s="22" t="str">
        <f t="shared" si="124"/>
        <v/>
      </c>
      <c r="IU92" s="22" t="str">
        <f t="shared" si="124"/>
        <v/>
      </c>
      <c r="IV92" s="22" t="str">
        <f t="shared" si="124"/>
        <v/>
      </c>
      <c r="IW92" s="22" t="str">
        <f t="shared" si="124"/>
        <v/>
      </c>
      <c r="IX92" s="22" t="str">
        <f t="shared" si="124"/>
        <v/>
      </c>
      <c r="IY92" s="22" t="str">
        <f t="shared" si="124"/>
        <v/>
      </c>
      <c r="IZ92" s="22" t="str">
        <f t="shared" si="124"/>
        <v/>
      </c>
      <c r="JA92" s="22" t="str">
        <f t="shared" si="124"/>
        <v/>
      </c>
      <c r="JB92" s="22" t="str">
        <f t="shared" si="124"/>
        <v/>
      </c>
      <c r="JC92" s="22" t="str">
        <f t="shared" si="124"/>
        <v/>
      </c>
      <c r="JD92" s="22" t="str">
        <f t="shared" si="124"/>
        <v/>
      </c>
      <c r="JE92" s="22" t="str">
        <f t="shared" si="124"/>
        <v/>
      </c>
      <c r="JF92" s="22" t="str">
        <f t="shared" si="124"/>
        <v/>
      </c>
      <c r="JG92" s="22" t="str">
        <f t="shared" si="124"/>
        <v/>
      </c>
      <c r="JH92" s="22" t="str">
        <f t="shared" si="124"/>
        <v/>
      </c>
    </row>
    <row r="93" spans="1:336" x14ac:dyDescent="0.25"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>
        <f t="shared" ref="AA93:CL93" ca="1" si="125">IF(AA13="","",AVERAGE(O67:Z67)+CONFIDENCE(0.05,STDEV(B67:Z67),COUNT(B67:Z67)))</f>
        <v>5.9319398006325878E-3</v>
      </c>
      <c r="AB93" s="22">
        <f t="shared" ca="1" si="125"/>
        <v>5.2404923741662434E-3</v>
      </c>
      <c r="AC93" s="22">
        <f t="shared" ca="1" si="125"/>
        <v>4.6194155124534867E-3</v>
      </c>
      <c r="AD93" s="22">
        <f t="shared" ca="1" si="125"/>
        <v>4.5761466832566818E-3</v>
      </c>
      <c r="AE93" s="22">
        <f t="shared" ca="1" si="125"/>
        <v>4.905921680302204E-3</v>
      </c>
      <c r="AF93" s="22">
        <f t="shared" ca="1" si="125"/>
        <v>5.5217853892634942E-3</v>
      </c>
      <c r="AG93" s="22">
        <f t="shared" ca="1" si="125"/>
        <v>6.3366834982508556E-3</v>
      </c>
      <c r="AH93" s="22">
        <f t="shared" ca="1" si="125"/>
        <v>7.399422832899627E-3</v>
      </c>
      <c r="AI93" s="22">
        <f t="shared" ca="1" si="125"/>
        <v>8.7227912665114298E-3</v>
      </c>
      <c r="AJ93" s="22">
        <f t="shared" ca="1" si="125"/>
        <v>1.0053800427925546E-2</v>
      </c>
      <c r="AK93" s="22">
        <f t="shared" ca="1" si="125"/>
        <v>1.1354957432440957E-2</v>
      </c>
      <c r="AL93" s="22">
        <f t="shared" ca="1" si="125"/>
        <v>1.2404942012829833E-2</v>
      </c>
      <c r="AM93" s="22">
        <f t="shared" ca="1" si="125"/>
        <v>1.3211289207580662E-2</v>
      </c>
      <c r="AN93" s="22">
        <f t="shared" ca="1" si="125"/>
        <v>1.3870020274892803E-2</v>
      </c>
      <c r="AO93" s="22">
        <f t="shared" ca="1" si="125"/>
        <v>1.3992088206604367E-2</v>
      </c>
      <c r="AP93" s="22">
        <f t="shared" ca="1" si="125"/>
        <v>1.3850134478433558E-2</v>
      </c>
      <c r="AQ93" s="22">
        <f t="shared" ca="1" si="125"/>
        <v>1.3604938701168799E-2</v>
      </c>
      <c r="AR93" s="22">
        <f t="shared" ca="1" si="125"/>
        <v>1.3779517046896235E-2</v>
      </c>
      <c r="AS93" s="22">
        <f t="shared" ca="1" si="125"/>
        <v>1.4845073666688932E-2</v>
      </c>
      <c r="AT93" s="22">
        <f t="shared" ca="1" si="125"/>
        <v>1.7015026888791251E-2</v>
      </c>
      <c r="AU93" s="22">
        <f t="shared" ca="1" si="125"/>
        <v>1.9626473841240531E-2</v>
      </c>
      <c r="AV93" s="22">
        <f t="shared" ca="1" si="125"/>
        <v>2.3148923068736015E-2</v>
      </c>
      <c r="AW93" s="22">
        <f t="shared" ca="1" si="125"/>
        <v>2.7681429373853629E-2</v>
      </c>
      <c r="AX93" s="22">
        <f t="shared" ca="1" si="125"/>
        <v>3.2930688578393971E-2</v>
      </c>
      <c r="AY93" s="22">
        <f t="shared" ca="1" si="125"/>
        <v>3.8619245275458111E-2</v>
      </c>
      <c r="AZ93" s="22">
        <f t="shared" ca="1" si="125"/>
        <v>4.4121595621837886E-2</v>
      </c>
      <c r="BA93" s="22">
        <f t="shared" ca="1" si="125"/>
        <v>5.0117077575411083E-2</v>
      </c>
      <c r="BB93" s="22">
        <f t="shared" ca="1" si="125"/>
        <v>5.6292930408568573E-2</v>
      </c>
      <c r="BC93" s="22">
        <f t="shared" ca="1" si="125"/>
        <v>6.1494487270982431E-2</v>
      </c>
      <c r="BD93" s="22">
        <f t="shared" ca="1" si="125"/>
        <v>6.3798089070859904E-2</v>
      </c>
      <c r="BE93" s="22">
        <f t="shared" ca="1" si="125"/>
        <v>6.6094569521365762E-2</v>
      </c>
      <c r="BF93" s="22">
        <f t="shared" ca="1" si="125"/>
        <v>6.728641853396386E-2</v>
      </c>
      <c r="BG93" s="22">
        <f t="shared" ca="1" si="125"/>
        <v>6.742115086182944E-2</v>
      </c>
      <c r="BH93" s="22">
        <f t="shared" ca="1" si="125"/>
        <v>6.6713783585093819E-2</v>
      </c>
      <c r="BI93" s="22">
        <f t="shared" ca="1" si="125"/>
        <v>6.3710878009413496E-2</v>
      </c>
      <c r="BJ93" s="22">
        <f t="shared" ca="1" si="125"/>
        <v>5.9060066437113298E-2</v>
      </c>
      <c r="BK93" s="22">
        <f t="shared" ca="1" si="125"/>
        <v>5.4928674447433157E-2</v>
      </c>
      <c r="BL93" s="22">
        <f t="shared" ca="1" si="125"/>
        <v>5.1631320495114735E-2</v>
      </c>
      <c r="BM93" s="22">
        <f t="shared" ca="1" si="125"/>
        <v>5.0170765537096436E-2</v>
      </c>
      <c r="BN93" s="22">
        <f t="shared" ca="1" si="125"/>
        <v>4.9216274932688958E-2</v>
      </c>
      <c r="BO93" s="22">
        <f t="shared" ca="1" si="125"/>
        <v>4.8862030495751545E-2</v>
      </c>
      <c r="BP93" s="22">
        <f t="shared" ca="1" si="125"/>
        <v>4.8865234739480151E-2</v>
      </c>
      <c r="BQ93" s="22">
        <f t="shared" ca="1" si="125"/>
        <v>4.6595776418866967E-2</v>
      </c>
      <c r="BR93" s="22">
        <f t="shared" ca="1" si="125"/>
        <v>4.4775165233457384E-2</v>
      </c>
      <c r="BS93" s="22">
        <f t="shared" ca="1" si="125"/>
        <v>4.3650498034568656E-2</v>
      </c>
      <c r="BT93" s="22">
        <f t="shared" ca="1" si="125"/>
        <v>4.3116859951174806E-2</v>
      </c>
      <c r="BU93" s="22">
        <f t="shared" ca="1" si="125"/>
        <v>4.4448780689891727E-2</v>
      </c>
      <c r="BV93" s="22">
        <f t="shared" ca="1" si="125"/>
        <v>4.5920725936191599E-2</v>
      </c>
      <c r="BW93" s="22">
        <f t="shared" ca="1" si="125"/>
        <v>4.5221672318203704E-2</v>
      </c>
      <c r="BX93" s="22">
        <f t="shared" ca="1" si="125"/>
        <v>4.3619236234389791E-2</v>
      </c>
      <c r="BY93" s="22">
        <f t="shared" ca="1" si="125"/>
        <v>4.0828621590978081E-2</v>
      </c>
      <c r="BZ93" s="22">
        <f t="shared" ca="1" si="125"/>
        <v>3.5852536707179188E-2</v>
      </c>
      <c r="CA93" s="22">
        <f t="shared" ca="1" si="125"/>
        <v>3.0978036386201814E-2</v>
      </c>
      <c r="CB93" s="22">
        <f t="shared" ca="1" si="125"/>
        <v>2.813467272560876E-2</v>
      </c>
      <c r="CC93" s="22">
        <f t="shared" ca="1" si="125"/>
        <v>2.7511249718058135E-2</v>
      </c>
      <c r="CD93" s="22">
        <f t="shared" ca="1" si="125"/>
        <v>2.5884538021609206E-2</v>
      </c>
      <c r="CE93" s="22">
        <f t="shared" ca="1" si="125"/>
        <v>2.3898007768919333E-2</v>
      </c>
      <c r="CF93" s="22">
        <f t="shared" ca="1" si="125"/>
        <v>2.1457180148106471E-2</v>
      </c>
      <c r="CG93" s="22">
        <f t="shared" ca="1" si="125"/>
        <v>1.8577401898930684E-2</v>
      </c>
      <c r="CH93" s="22">
        <f t="shared" ca="1" si="125"/>
        <v>1.6879286067610515E-2</v>
      </c>
      <c r="CI93" s="22">
        <f t="shared" ca="1" si="125"/>
        <v>1.6791936338086757E-2</v>
      </c>
      <c r="CJ93" s="22">
        <f t="shared" ca="1" si="125"/>
        <v>1.6168414604330411E-2</v>
      </c>
      <c r="CK93" s="22">
        <f t="shared" ca="1" si="125"/>
        <v>1.4725865919449613E-2</v>
      </c>
      <c r="CL93" s="22">
        <f t="shared" ca="1" si="125"/>
        <v>1.5338834057006329E-2</v>
      </c>
      <c r="CM93" s="22">
        <f t="shared" ref="CM93:EX93" ca="1" si="126">IF(CM13="","",AVERAGE(CA67:CL67)+CONFIDENCE(0.05,STDEV(BN67:CL67),COUNT(BN67:CL67)))</f>
        <v>1.5127287112438915E-2</v>
      </c>
      <c r="CN93" s="22">
        <f t="shared" ca="1" si="126"/>
        <v>1.5072655836544498E-2</v>
      </c>
      <c r="CO93" s="22">
        <f t="shared" ca="1" si="126"/>
        <v>1.4937829834918809E-2</v>
      </c>
      <c r="CP93" s="22">
        <f t="shared" ca="1" si="126"/>
        <v>1.5156642107548576E-2</v>
      </c>
      <c r="CQ93" s="22">
        <f t="shared" ca="1" si="126"/>
        <v>1.5129819157805105E-2</v>
      </c>
      <c r="CR93" s="22">
        <f t="shared" ca="1" si="126"/>
        <v>1.5280119771647508E-2</v>
      </c>
      <c r="CS93" s="22">
        <f t="shared" ca="1" si="126"/>
        <v>1.5220654221707187E-2</v>
      </c>
      <c r="CT93" s="22">
        <f t="shared" ca="1" si="126"/>
        <v>1.4699268322368567E-2</v>
      </c>
      <c r="CU93" s="22">
        <f t="shared" ca="1" si="126"/>
        <v>1.4495579468932436E-2</v>
      </c>
      <c r="CV93" s="22">
        <f t="shared" ca="1" si="126"/>
        <v>1.9127420994318304E-2</v>
      </c>
      <c r="CW93" s="22">
        <f t="shared" ca="1" si="126"/>
        <v>1.9609675927591157E-2</v>
      </c>
      <c r="CX93" s="22">
        <f t="shared" ca="1" si="126"/>
        <v>1.8198813605469037E-2</v>
      </c>
      <c r="CY93" s="22">
        <f t="shared" ca="1" si="126"/>
        <v>1.6852562269530569E-2</v>
      </c>
      <c r="CZ93" s="22">
        <f t="shared" ca="1" si="126"/>
        <v>1.4400594297949119E-2</v>
      </c>
      <c r="DA93" s="22">
        <f t="shared" ca="1" si="126"/>
        <v>1.2501430094751815E-2</v>
      </c>
      <c r="DB93" s="22">
        <f t="shared" ca="1" si="126"/>
        <v>1.1871058210548555E-2</v>
      </c>
      <c r="DC93" s="22">
        <f t="shared" ca="1" si="126"/>
        <v>1.3310077928129974E-2</v>
      </c>
      <c r="DD93" s="22">
        <f t="shared" ca="1" si="126"/>
        <v>1.4976328146189318E-2</v>
      </c>
      <c r="DE93" s="22">
        <f t="shared" ca="1" si="126"/>
        <v>1.580530567163867E-2</v>
      </c>
      <c r="DF93" s="22">
        <f t="shared" ca="1" si="126"/>
        <v>1.7432178877951961E-2</v>
      </c>
      <c r="DG93" s="22">
        <f t="shared" ca="1" si="126"/>
        <v>1.8683487693621412E-2</v>
      </c>
      <c r="DH93" s="22">
        <f t="shared" ca="1" si="126"/>
        <v>1.7685281505318506E-2</v>
      </c>
      <c r="DI93" s="22">
        <f t="shared" ca="1" si="126"/>
        <v>2.0378747583326865E-2</v>
      </c>
      <c r="DJ93" s="22">
        <f t="shared" ca="1" si="126"/>
        <v>2.2708530266218305E-2</v>
      </c>
      <c r="DK93" s="22">
        <f t="shared" ca="1" si="126"/>
        <v>2.3557637859191516E-2</v>
      </c>
      <c r="DL93" s="22">
        <f t="shared" ca="1" si="126"/>
        <v>2.3599786094082104E-2</v>
      </c>
      <c r="DM93" s="22">
        <f t="shared" ca="1" si="126"/>
        <v>2.3590194606032257E-2</v>
      </c>
      <c r="DN93" s="22">
        <f t="shared" ca="1" si="126"/>
        <v>2.4149703164914993E-2</v>
      </c>
      <c r="DO93" s="22">
        <f t="shared" ca="1" si="126"/>
        <v>2.349991444650636E-2</v>
      </c>
      <c r="DP93" s="22">
        <f t="shared" ca="1" si="126"/>
        <v>2.1926279773861614E-2</v>
      </c>
      <c r="DQ93" s="22">
        <f t="shared" ca="1" si="126"/>
        <v>2.1052033457172631E-2</v>
      </c>
      <c r="DR93" s="22">
        <f t="shared" ca="1" si="126"/>
        <v>2.039150801328652E-2</v>
      </c>
      <c r="DS93" s="22">
        <f t="shared" ca="1" si="126"/>
        <v>1.9937429790811201E-2</v>
      </c>
      <c r="DT93" s="22">
        <f t="shared" ca="1" si="126"/>
        <v>1.8515101427676421E-2</v>
      </c>
      <c r="DU93" s="22">
        <f t="shared" ca="1" si="126"/>
        <v>1.5054362113384952E-2</v>
      </c>
      <c r="DV93" s="22">
        <f t="shared" ca="1" si="126"/>
        <v>1.2967726870065548E-2</v>
      </c>
      <c r="DW93" s="22">
        <f t="shared" ca="1" si="126"/>
        <v>1.197672523419941E-2</v>
      </c>
      <c r="DX93" s="22">
        <f t="shared" ca="1" si="126"/>
        <v>1.2990220942289341E-2</v>
      </c>
      <c r="DY93" s="22">
        <f t="shared" ca="1" si="126"/>
        <v>1.4071398302833393E-2</v>
      </c>
      <c r="DZ93" s="22">
        <f t="shared" ca="1" si="126"/>
        <v>1.3896187258187328E-2</v>
      </c>
      <c r="EA93" s="22">
        <f t="shared" ca="1" si="126"/>
        <v>1.3109530124957133E-2</v>
      </c>
      <c r="EB93" s="22">
        <f t="shared" ca="1" si="126"/>
        <v>1.4480593589485858E-2</v>
      </c>
      <c r="EC93" s="22" t="str">
        <f t="shared" si="126"/>
        <v/>
      </c>
      <c r="ED93" s="22" t="e">
        <f t="shared" ca="1" si="126"/>
        <v>#DIV/0!</v>
      </c>
      <c r="EE93" s="22" t="e">
        <f t="shared" ca="1" si="126"/>
        <v>#DIV/0!</v>
      </c>
      <c r="EF93" s="22" t="str">
        <f t="shared" si="126"/>
        <v/>
      </c>
      <c r="EG93" s="22" t="e">
        <f t="shared" ca="1" si="126"/>
        <v>#DIV/0!</v>
      </c>
      <c r="EH93" s="22">
        <f t="shared" ca="1" si="126"/>
        <v>9.0339992251500904E-3</v>
      </c>
      <c r="EI93" s="22">
        <f t="shared" ca="1" si="126"/>
        <v>1.1467408665231766E-2</v>
      </c>
      <c r="EJ93" s="22">
        <f t="shared" ca="1" si="126"/>
        <v>1.3834702947773973E-2</v>
      </c>
      <c r="EK93" s="22">
        <f t="shared" ca="1" si="126"/>
        <v>1.487643851268438E-2</v>
      </c>
      <c r="EL93" s="22">
        <f t="shared" ca="1" si="126"/>
        <v>1.3660012993635414E-2</v>
      </c>
      <c r="EM93" s="22">
        <f t="shared" ca="1" si="126"/>
        <v>1.2705803409067006E-2</v>
      </c>
      <c r="EN93" s="22">
        <f t="shared" ca="1" si="126"/>
        <v>1.2148875952380166E-2</v>
      </c>
      <c r="EO93" s="22">
        <f t="shared" ca="1" si="126"/>
        <v>1.1668719449214026E-2</v>
      </c>
      <c r="EP93" s="22">
        <f t="shared" ca="1" si="126"/>
        <v>1.1262981481604617E-2</v>
      </c>
      <c r="EQ93" s="22">
        <f t="shared" ca="1" si="126"/>
        <v>1.3443081835381433E-2</v>
      </c>
      <c r="ER93" s="22">
        <f t="shared" ca="1" si="126"/>
        <v>1.2626847519676264E-2</v>
      </c>
      <c r="ES93" s="22">
        <f t="shared" ca="1" si="126"/>
        <v>1.3280005760540127E-2</v>
      </c>
      <c r="ET93" s="22">
        <f t="shared" ca="1" si="126"/>
        <v>1.3377407007806373E-2</v>
      </c>
      <c r="EU93" s="22">
        <f t="shared" ca="1" si="126"/>
        <v>1.268846240123723E-2</v>
      </c>
      <c r="EV93" s="22">
        <f t="shared" ca="1" si="126"/>
        <v>1.1667788698669556E-2</v>
      </c>
      <c r="EW93" s="22">
        <f t="shared" ca="1" si="126"/>
        <v>1.0518941202538025E-2</v>
      </c>
      <c r="EX93" s="22">
        <f t="shared" ca="1" si="126"/>
        <v>1.0163429485363636E-2</v>
      </c>
      <c r="EY93" s="22">
        <f t="shared" ref="EY93:HJ93" ca="1" si="127">IF(EY13="","",AVERAGE(EM67:EX67)+CONFIDENCE(0.05,STDEV(DZ67:EX67),COUNT(DZ67:EX67)))</f>
        <v>9.9033282180387011E-3</v>
      </c>
      <c r="EZ93" s="22">
        <f t="shared" ca="1" si="127"/>
        <v>9.7338660723377581E-3</v>
      </c>
      <c r="FA93" s="22">
        <f t="shared" ca="1" si="127"/>
        <v>9.4188513506816719E-3</v>
      </c>
      <c r="FB93" s="22">
        <f t="shared" ca="1" si="127"/>
        <v>9.5860435848131378E-3</v>
      </c>
      <c r="FC93" s="22">
        <f t="shared" ca="1" si="127"/>
        <v>7.9778340207637983E-3</v>
      </c>
      <c r="FD93" s="22">
        <f t="shared" ca="1" si="127"/>
        <v>7.9551337040430544E-3</v>
      </c>
      <c r="FE93" s="22">
        <f t="shared" ca="1" si="127"/>
        <v>6.885483480174712E-3</v>
      </c>
      <c r="FF93" s="22">
        <f t="shared" ca="1" si="127"/>
        <v>6.2085485854895262E-3</v>
      </c>
      <c r="FG93" s="22">
        <f t="shared" ca="1" si="127"/>
        <v>5.6799360161950904E-3</v>
      </c>
      <c r="FH93" s="22">
        <f t="shared" ca="1" si="127"/>
        <v>5.5746863843154221E-3</v>
      </c>
      <c r="FI93" s="22">
        <f t="shared" ca="1" si="127"/>
        <v>5.4360245071040317E-3</v>
      </c>
      <c r="FJ93" s="22">
        <f t="shared" ca="1" si="127"/>
        <v>6.6966635511199347E-3</v>
      </c>
      <c r="FK93" s="22">
        <f t="shared" ca="1" si="127"/>
        <v>8.6432914053924895E-3</v>
      </c>
      <c r="FL93" s="22">
        <f t="shared" ca="1" si="127"/>
        <v>8.7646912804786661E-3</v>
      </c>
      <c r="FM93" s="22">
        <f t="shared" ca="1" si="127"/>
        <v>9.1267675232642783E-3</v>
      </c>
      <c r="FN93" s="22">
        <f t="shared" ca="1" si="127"/>
        <v>9.1477037661297916E-3</v>
      </c>
      <c r="FO93" s="22">
        <f t="shared" ca="1" si="127"/>
        <v>9.8460835772963273E-3</v>
      </c>
      <c r="FP93" s="22">
        <f t="shared" ca="1" si="127"/>
        <v>9.501854541900466E-3</v>
      </c>
      <c r="FQ93" s="22">
        <f t="shared" ca="1" si="127"/>
        <v>1.1930189079103863E-2</v>
      </c>
      <c r="FR93" s="22">
        <f t="shared" ca="1" si="127"/>
        <v>1.3153828272405868E-2</v>
      </c>
      <c r="FS93" s="22">
        <f t="shared" ca="1" si="127"/>
        <v>1.3935785545182639E-2</v>
      </c>
      <c r="FT93" s="22">
        <f t="shared" ca="1" si="127"/>
        <v>1.4414972274943124E-2</v>
      </c>
      <c r="FU93" s="22">
        <f t="shared" ca="1" si="127"/>
        <v>1.4644707203996446E-2</v>
      </c>
      <c r="FV93" s="22">
        <f t="shared" ca="1" si="127"/>
        <v>1.3203984715927881E-2</v>
      </c>
      <c r="FW93" s="22">
        <f t="shared" ca="1" si="127"/>
        <v>1.169075752465642E-2</v>
      </c>
      <c r="FX93" s="22">
        <f t="shared" ca="1" si="127"/>
        <v>1.141634945528776E-2</v>
      </c>
      <c r="FY93" s="22">
        <f t="shared" ca="1" si="127"/>
        <v>1.1556888732705866E-2</v>
      </c>
      <c r="FZ93" s="22">
        <f t="shared" ca="1" si="127"/>
        <v>1.1213906785905007E-2</v>
      </c>
      <c r="GA93" s="22">
        <f t="shared" ca="1" si="127"/>
        <v>1.1308947362942691E-2</v>
      </c>
      <c r="GB93" s="22">
        <f t="shared" ca="1" si="127"/>
        <v>1.2016140086296237E-2</v>
      </c>
      <c r="GC93" s="22">
        <f t="shared" ca="1" si="127"/>
        <v>1.0029546158691038E-2</v>
      </c>
      <c r="GD93" s="22">
        <f t="shared" ca="1" si="127"/>
        <v>9.8683906804128453E-3</v>
      </c>
      <c r="GE93" s="22">
        <f t="shared" ca="1" si="127"/>
        <v>9.8161851133480235E-3</v>
      </c>
      <c r="GF93" s="22">
        <f t="shared" ca="1" si="127"/>
        <v>9.7264622756122257E-3</v>
      </c>
      <c r="GG93" s="22">
        <f t="shared" ca="1" si="127"/>
        <v>1.1085892630541373E-2</v>
      </c>
      <c r="GH93" s="22">
        <f t="shared" ca="1" si="127"/>
        <v>1.2054588841339919E-2</v>
      </c>
      <c r="GI93" s="22">
        <f t="shared" ca="1" si="127"/>
        <v>1.2454240428291468E-2</v>
      </c>
      <c r="GJ93" s="22">
        <f t="shared" ca="1" si="127"/>
        <v>1.2438479034000402E-2</v>
      </c>
      <c r="GK93" s="22">
        <f t="shared" ca="1" si="127"/>
        <v>1.2170686795951931E-2</v>
      </c>
      <c r="GL93" s="22">
        <f t="shared" ca="1" si="127"/>
        <v>1.2261320993509177E-2</v>
      </c>
      <c r="GM93" s="22">
        <f t="shared" ca="1" si="127"/>
        <v>1.2727684724478673E-2</v>
      </c>
      <c r="GN93" s="22">
        <f t="shared" ca="1" si="127"/>
        <v>1.2423417842733309E-2</v>
      </c>
      <c r="GO93" s="22">
        <f t="shared" ca="1" si="127"/>
        <v>1.3168066992008254E-2</v>
      </c>
      <c r="GP93" s="22">
        <f t="shared" ca="1" si="127"/>
        <v>1.2452039085557821E-2</v>
      </c>
      <c r="GQ93" s="22">
        <f t="shared" ca="1" si="127"/>
        <v>1.2492049718836083E-2</v>
      </c>
      <c r="GR93" s="22">
        <f t="shared" ca="1" si="127"/>
        <v>1.2601934752367625E-2</v>
      </c>
      <c r="GS93" s="22">
        <f t="shared" ca="1" si="127"/>
        <v>1.1569737752425631E-2</v>
      </c>
      <c r="GT93" s="22">
        <f t="shared" ca="1" si="127"/>
        <v>1.1083126414033523E-2</v>
      </c>
      <c r="GU93" s="22">
        <f t="shared" ca="1" si="127"/>
        <v>1.1155469258795906E-2</v>
      </c>
      <c r="GV93" s="22">
        <f t="shared" ca="1" si="127"/>
        <v>1.1923256452126061E-2</v>
      </c>
      <c r="GW93" s="22">
        <f t="shared" ca="1" si="127"/>
        <v>1.3218691979940385E-2</v>
      </c>
      <c r="GX93" s="22">
        <f t="shared" ca="1" si="127"/>
        <v>1.4758873323729511E-2</v>
      </c>
      <c r="GY93" s="22">
        <f t="shared" ca="1" si="127"/>
        <v>1.2576657406276448E-2</v>
      </c>
      <c r="GZ93" s="22">
        <f t="shared" ca="1" si="127"/>
        <v>1.6861370041973051E-2</v>
      </c>
      <c r="HA93" s="22" t="str">
        <f t="shared" si="127"/>
        <v/>
      </c>
      <c r="HB93" s="22" t="str">
        <f t="shared" si="127"/>
        <v/>
      </c>
      <c r="HC93" s="22" t="str">
        <f t="shared" si="127"/>
        <v/>
      </c>
      <c r="HD93" s="22" t="str">
        <f t="shared" si="127"/>
        <v/>
      </c>
      <c r="HE93" s="22" t="str">
        <f t="shared" si="127"/>
        <v/>
      </c>
      <c r="HF93" s="22" t="str">
        <f t="shared" si="127"/>
        <v/>
      </c>
      <c r="HG93" s="22" t="str">
        <f t="shared" si="127"/>
        <v/>
      </c>
      <c r="HH93" s="22" t="str">
        <f t="shared" si="127"/>
        <v/>
      </c>
      <c r="HI93" s="22" t="str">
        <f t="shared" si="127"/>
        <v/>
      </c>
      <c r="HJ93" s="22" t="str">
        <f t="shared" si="127"/>
        <v/>
      </c>
      <c r="HK93" s="22" t="str">
        <f t="shared" ref="HK93:JH93" si="128">IF(HK13="","",AVERAGE(GY67:HJ67)+CONFIDENCE(0.05,STDEV(GL67:HJ67),COUNT(GL67:HJ67)))</f>
        <v/>
      </c>
      <c r="HL93" s="22" t="str">
        <f t="shared" si="128"/>
        <v/>
      </c>
      <c r="HM93" s="22" t="str">
        <f t="shared" si="128"/>
        <v/>
      </c>
      <c r="HN93" s="22" t="str">
        <f t="shared" si="128"/>
        <v/>
      </c>
      <c r="HO93" s="22" t="str">
        <f t="shared" si="128"/>
        <v/>
      </c>
      <c r="HP93" s="22" t="str">
        <f t="shared" si="128"/>
        <v/>
      </c>
      <c r="HQ93" s="22" t="str">
        <f t="shared" si="128"/>
        <v/>
      </c>
      <c r="HR93" s="22" t="str">
        <f t="shared" si="128"/>
        <v/>
      </c>
      <c r="HS93" s="22" t="str">
        <f t="shared" si="128"/>
        <v/>
      </c>
      <c r="HT93" s="22" t="str">
        <f t="shared" si="128"/>
        <v/>
      </c>
      <c r="HU93" s="22" t="str">
        <f t="shared" si="128"/>
        <v/>
      </c>
      <c r="HV93" s="22" t="str">
        <f t="shared" si="128"/>
        <v/>
      </c>
      <c r="HW93" s="22" t="str">
        <f t="shared" si="128"/>
        <v/>
      </c>
      <c r="HX93" s="22" t="str">
        <f t="shared" si="128"/>
        <v/>
      </c>
      <c r="HY93" s="22" t="str">
        <f t="shared" si="128"/>
        <v/>
      </c>
      <c r="HZ93" s="22" t="str">
        <f t="shared" si="128"/>
        <v/>
      </c>
      <c r="IA93" s="22" t="str">
        <f t="shared" si="128"/>
        <v/>
      </c>
      <c r="IB93" s="22" t="str">
        <f t="shared" si="128"/>
        <v/>
      </c>
      <c r="IC93" s="22" t="str">
        <f t="shared" si="128"/>
        <v/>
      </c>
      <c r="ID93" s="22" t="str">
        <f t="shared" si="128"/>
        <v/>
      </c>
      <c r="IE93" s="22" t="str">
        <f t="shared" si="128"/>
        <v/>
      </c>
      <c r="IF93" s="22" t="str">
        <f t="shared" si="128"/>
        <v/>
      </c>
      <c r="IG93" s="22" t="str">
        <f t="shared" si="128"/>
        <v/>
      </c>
      <c r="IH93" s="22" t="str">
        <f t="shared" si="128"/>
        <v/>
      </c>
      <c r="II93" s="22" t="str">
        <f t="shared" si="128"/>
        <v/>
      </c>
      <c r="IJ93" s="22" t="str">
        <f t="shared" si="128"/>
        <v/>
      </c>
      <c r="IK93" s="22" t="str">
        <f t="shared" si="128"/>
        <v/>
      </c>
      <c r="IL93" s="22" t="str">
        <f t="shared" si="128"/>
        <v/>
      </c>
      <c r="IM93" s="22" t="str">
        <f t="shared" si="128"/>
        <v/>
      </c>
      <c r="IN93" s="22" t="str">
        <f t="shared" si="128"/>
        <v/>
      </c>
      <c r="IO93" s="22" t="str">
        <f t="shared" si="128"/>
        <v/>
      </c>
      <c r="IP93" s="22" t="str">
        <f t="shared" si="128"/>
        <v/>
      </c>
      <c r="IQ93" s="22" t="str">
        <f t="shared" si="128"/>
        <v/>
      </c>
      <c r="IR93" s="22" t="str">
        <f t="shared" si="128"/>
        <v/>
      </c>
      <c r="IS93" s="22" t="str">
        <f t="shared" si="128"/>
        <v/>
      </c>
      <c r="IT93" s="22" t="str">
        <f t="shared" si="128"/>
        <v/>
      </c>
      <c r="IU93" s="22" t="str">
        <f t="shared" si="128"/>
        <v/>
      </c>
      <c r="IV93" s="22" t="str">
        <f t="shared" si="128"/>
        <v/>
      </c>
      <c r="IW93" s="22" t="str">
        <f t="shared" si="128"/>
        <v/>
      </c>
      <c r="IX93" s="22" t="str">
        <f t="shared" si="128"/>
        <v/>
      </c>
      <c r="IY93" s="22" t="str">
        <f t="shared" si="128"/>
        <v/>
      </c>
      <c r="IZ93" s="22" t="str">
        <f t="shared" si="128"/>
        <v/>
      </c>
      <c r="JA93" s="22" t="str">
        <f t="shared" si="128"/>
        <v/>
      </c>
      <c r="JB93" s="22" t="str">
        <f t="shared" si="128"/>
        <v/>
      </c>
      <c r="JC93" s="22" t="str">
        <f t="shared" si="128"/>
        <v/>
      </c>
      <c r="JD93" s="22" t="str">
        <f t="shared" si="128"/>
        <v/>
      </c>
      <c r="JE93" s="22" t="str">
        <f t="shared" si="128"/>
        <v/>
      </c>
      <c r="JF93" s="22" t="str">
        <f t="shared" si="128"/>
        <v/>
      </c>
      <c r="JG93" s="22" t="str">
        <f t="shared" si="128"/>
        <v/>
      </c>
      <c r="JH93" s="22" t="str">
        <f t="shared" si="128"/>
        <v/>
      </c>
    </row>
    <row r="94" spans="1:336" x14ac:dyDescent="0.25"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>
        <f t="shared" ref="AA94:CL94" ca="1" si="129">IF(AA14="","",AVERAGE(N68:Z68)+CONFIDENCE(0.05,STDEV(B68:Z68),COUNT(B68:Z68)))</f>
        <v>6.3620385561048405E-3</v>
      </c>
      <c r="AB94" s="22">
        <f t="shared" ca="1" si="129"/>
        <v>6.2164853577028872E-3</v>
      </c>
      <c r="AC94" s="22">
        <f t="shared" ca="1" si="129"/>
        <v>5.7159011066891981E-3</v>
      </c>
      <c r="AD94" s="22">
        <f t="shared" ca="1" si="129"/>
        <v>5.6783205208978723E-3</v>
      </c>
      <c r="AE94" s="22">
        <f t="shared" ca="1" si="129"/>
        <v>5.9497347327056253E-3</v>
      </c>
      <c r="AF94" s="22">
        <f t="shared" ca="1" si="129"/>
        <v>6.3803899585458028E-3</v>
      </c>
      <c r="AG94" s="22">
        <f t="shared" ca="1" si="129"/>
        <v>7.2184459151295385E-3</v>
      </c>
      <c r="AH94" s="22">
        <f t="shared" ca="1" si="129"/>
        <v>8.2084781581772733E-3</v>
      </c>
      <c r="AI94" s="22">
        <f t="shared" ca="1" si="129"/>
        <v>9.6927114125648813E-3</v>
      </c>
      <c r="AJ94" s="22">
        <f t="shared" ca="1" si="129"/>
        <v>1.1199829411096898E-2</v>
      </c>
      <c r="AK94" s="22">
        <f t="shared" ca="1" si="129"/>
        <v>1.257782787396073E-2</v>
      </c>
      <c r="AL94" s="22">
        <f t="shared" ca="1" si="129"/>
        <v>1.3809648099460399E-2</v>
      </c>
      <c r="AM94" s="22">
        <f t="shared" ca="1" si="129"/>
        <v>1.4283696177450374E-2</v>
      </c>
      <c r="AN94" s="22">
        <f t="shared" ca="1" si="129"/>
        <v>1.4550770004992776E-2</v>
      </c>
      <c r="AO94" s="22">
        <f t="shared" ca="1" si="129"/>
        <v>1.4310144659374595E-2</v>
      </c>
      <c r="AP94" s="22">
        <f t="shared" ca="1" si="129"/>
        <v>1.4556659141143038E-2</v>
      </c>
      <c r="AQ94" s="22">
        <f t="shared" ca="1" si="129"/>
        <v>1.480745778199084E-2</v>
      </c>
      <c r="AR94" s="22">
        <f t="shared" ca="1" si="129"/>
        <v>1.5453218022106894E-2</v>
      </c>
      <c r="AS94" s="22">
        <f t="shared" ca="1" si="129"/>
        <v>1.7068612401542255E-2</v>
      </c>
      <c r="AT94" s="22">
        <f t="shared" ca="1" si="129"/>
        <v>1.9729454135737338E-2</v>
      </c>
      <c r="AU94" s="22">
        <f t="shared" ca="1" si="129"/>
        <v>2.3067632842606198E-2</v>
      </c>
      <c r="AV94" s="22">
        <f t="shared" ca="1" si="129"/>
        <v>2.6901530535437274E-2</v>
      </c>
      <c r="AW94" s="22">
        <f t="shared" ca="1" si="129"/>
        <v>3.1927823372492212E-2</v>
      </c>
      <c r="AX94" s="22">
        <f t="shared" ca="1" si="129"/>
        <v>3.789155315945221E-2</v>
      </c>
      <c r="AY94" s="22">
        <f t="shared" ca="1" si="129"/>
        <v>4.3809449743057255E-2</v>
      </c>
      <c r="AZ94" s="22">
        <f t="shared" ca="1" si="129"/>
        <v>4.9818177382478381E-2</v>
      </c>
      <c r="BA94" s="22">
        <f t="shared" ca="1" si="129"/>
        <v>5.5834192100560218E-2</v>
      </c>
      <c r="BB94" s="22">
        <f t="shared" ca="1" si="129"/>
        <v>6.2792294619857691E-2</v>
      </c>
      <c r="BC94" s="22">
        <f t="shared" ca="1" si="129"/>
        <v>6.8103480977157668E-2</v>
      </c>
      <c r="BD94" s="22">
        <f t="shared" ca="1" si="129"/>
        <v>7.0288265140033196E-2</v>
      </c>
      <c r="BE94" s="22">
        <f t="shared" ca="1" si="129"/>
        <v>7.2676806921307152E-2</v>
      </c>
      <c r="BF94" s="22">
        <f t="shared" ca="1" si="129"/>
        <v>7.4167690586808777E-2</v>
      </c>
      <c r="BG94" s="22">
        <f t="shared" ca="1" si="129"/>
        <v>7.4347952529744202E-2</v>
      </c>
      <c r="BH94" s="22">
        <f t="shared" ca="1" si="129"/>
        <v>7.3812303573636134E-2</v>
      </c>
      <c r="BI94" s="22">
        <f t="shared" ca="1" si="129"/>
        <v>7.1345472456170594E-2</v>
      </c>
      <c r="BJ94" s="22">
        <f t="shared" ca="1" si="129"/>
        <v>6.6872912315593294E-2</v>
      </c>
      <c r="BK94" s="22">
        <f t="shared" ca="1" si="129"/>
        <v>6.2896713179938057E-2</v>
      </c>
      <c r="BL94" s="22">
        <f t="shared" ca="1" si="129"/>
        <v>5.9414007172869029E-2</v>
      </c>
      <c r="BM94" s="22">
        <f t="shared" ca="1" si="129"/>
        <v>5.7600448201434368E-2</v>
      </c>
      <c r="BN94" s="22">
        <f t="shared" ca="1" si="129"/>
        <v>5.6668086553079013E-2</v>
      </c>
      <c r="BO94" s="22">
        <f t="shared" ca="1" si="129"/>
        <v>5.5756726405780527E-2</v>
      </c>
      <c r="BP94" s="22">
        <f t="shared" ca="1" si="129"/>
        <v>5.3846949151023504E-2</v>
      </c>
      <c r="BQ94" s="22">
        <f t="shared" ca="1" si="129"/>
        <v>5.2654888078066911E-2</v>
      </c>
      <c r="BR94" s="22">
        <f t="shared" ca="1" si="129"/>
        <v>5.1079246471687399E-2</v>
      </c>
      <c r="BS94" s="22">
        <f t="shared" ca="1" si="129"/>
        <v>4.9744087841120159E-2</v>
      </c>
      <c r="BT94" s="22">
        <f t="shared" ca="1" si="129"/>
        <v>4.9288414453631094E-2</v>
      </c>
      <c r="BU94" s="22">
        <f t="shared" ca="1" si="129"/>
        <v>4.9287467093381394E-2</v>
      </c>
      <c r="BV94" s="22">
        <f t="shared" ca="1" si="129"/>
        <v>4.963892454533262E-2</v>
      </c>
      <c r="BW94" s="22">
        <f t="shared" ca="1" si="129"/>
        <v>5.0102206050066302E-2</v>
      </c>
      <c r="BX94" s="22">
        <f t="shared" ca="1" si="129"/>
        <v>4.8886895737441032E-2</v>
      </c>
      <c r="BY94" s="22">
        <f t="shared" ca="1" si="129"/>
        <v>4.7459062825447013E-2</v>
      </c>
      <c r="BZ94" s="22">
        <f t="shared" ca="1" si="129"/>
        <v>4.3293340179268766E-2</v>
      </c>
      <c r="CA94" s="22">
        <f t="shared" ca="1" si="129"/>
        <v>3.8053257526459987E-2</v>
      </c>
      <c r="CB94" s="22">
        <f t="shared" ca="1" si="129"/>
        <v>3.3096235925842377E-2</v>
      </c>
      <c r="CC94" s="22">
        <f t="shared" ca="1" si="129"/>
        <v>3.029404299685539E-2</v>
      </c>
      <c r="CD94" s="22">
        <f t="shared" ca="1" si="129"/>
        <v>2.8604265162380963E-2</v>
      </c>
      <c r="CE94" s="22">
        <f t="shared" ca="1" si="129"/>
        <v>2.6503244927208472E-2</v>
      </c>
      <c r="CF94" s="22">
        <f t="shared" ca="1" si="129"/>
        <v>2.4564442559856577E-2</v>
      </c>
      <c r="CG94" s="22">
        <f t="shared" ca="1" si="129"/>
        <v>2.2157268782815456E-2</v>
      </c>
      <c r="CH94" s="22">
        <f t="shared" ca="1" si="129"/>
        <v>1.929906218928696E-2</v>
      </c>
      <c r="CI94" s="22">
        <f t="shared" ca="1" si="129"/>
        <v>1.772922337666414E-2</v>
      </c>
      <c r="CJ94" s="22">
        <f t="shared" ca="1" si="129"/>
        <v>1.7803557206431789E-2</v>
      </c>
      <c r="CK94" s="22">
        <f t="shared" ca="1" si="129"/>
        <v>1.7515435613955792E-2</v>
      </c>
      <c r="CL94" s="22">
        <f t="shared" ca="1" si="129"/>
        <v>1.6588213867874214E-2</v>
      </c>
      <c r="CM94" s="22">
        <f t="shared" ref="CM94:EX94" ca="1" si="130">IF(CM14="","",AVERAGE(BZ68:CL68)+CONFIDENCE(0.05,STDEV(BN68:CL68),COUNT(BN68:CL68)))</f>
        <v>1.648371497291682E-2</v>
      </c>
      <c r="CN94" s="22">
        <f t="shared" ca="1" si="130"/>
        <v>1.6584176454191232E-2</v>
      </c>
      <c r="CO94" s="22">
        <f t="shared" ca="1" si="130"/>
        <v>1.6382748728561915E-2</v>
      </c>
      <c r="CP94" s="22">
        <f t="shared" ca="1" si="130"/>
        <v>1.5567486831190433E-2</v>
      </c>
      <c r="CQ94" s="22">
        <f t="shared" ca="1" si="130"/>
        <v>1.5091672426911246E-2</v>
      </c>
      <c r="CR94" s="22">
        <f t="shared" ca="1" si="130"/>
        <v>1.5446086918852568E-2</v>
      </c>
      <c r="CS94" s="22">
        <f t="shared" ca="1" si="130"/>
        <v>1.5280256910811238E-2</v>
      </c>
      <c r="CT94" s="22">
        <f t="shared" ca="1" si="130"/>
        <v>1.45684231626526E-2</v>
      </c>
      <c r="CU94" s="22">
        <f t="shared" ca="1" si="130"/>
        <v>1.4930167092398467E-2</v>
      </c>
      <c r="CV94" s="22">
        <f t="shared" ca="1" si="130"/>
        <v>1.9063484658263137E-2</v>
      </c>
      <c r="CW94" s="22">
        <f t="shared" ca="1" si="130"/>
        <v>1.9198307677145067E-2</v>
      </c>
      <c r="CX94" s="22">
        <f t="shared" ca="1" si="130"/>
        <v>1.8715117722321973E-2</v>
      </c>
      <c r="CY94" s="22">
        <f t="shared" ca="1" si="130"/>
        <v>1.7636546341077069E-2</v>
      </c>
      <c r="CZ94" s="22">
        <f t="shared" ca="1" si="130"/>
        <v>1.6147242254288045E-2</v>
      </c>
      <c r="DA94" s="22">
        <f t="shared" ca="1" si="130"/>
        <v>1.4005649105619293E-2</v>
      </c>
      <c r="DB94" s="22">
        <f t="shared" ca="1" si="130"/>
        <v>1.2460322344324232E-2</v>
      </c>
      <c r="DC94" s="22">
        <f t="shared" ca="1" si="130"/>
        <v>1.333431577227312E-2</v>
      </c>
      <c r="DD94" s="22">
        <f t="shared" ca="1" si="130"/>
        <v>1.5318303803998666E-2</v>
      </c>
      <c r="DE94" s="22">
        <f t="shared" ca="1" si="130"/>
        <v>1.6108807998862912E-2</v>
      </c>
      <c r="DF94" s="22">
        <f t="shared" ca="1" si="130"/>
        <v>1.7787664632388043E-2</v>
      </c>
      <c r="DG94" s="22">
        <f t="shared" ca="1" si="130"/>
        <v>1.9564786517317977E-2</v>
      </c>
      <c r="DH94" s="22">
        <f t="shared" ca="1" si="130"/>
        <v>2.1743220831623021E-2</v>
      </c>
      <c r="DI94" s="22">
        <f t="shared" ca="1" si="130"/>
        <v>2.1907086564790075E-2</v>
      </c>
      <c r="DJ94" s="22">
        <f t="shared" ca="1" si="130"/>
        <v>2.3642285070375451E-2</v>
      </c>
      <c r="DK94" s="22">
        <f t="shared" ca="1" si="130"/>
        <v>2.4963839417234415E-2</v>
      </c>
      <c r="DL94" s="22">
        <f t="shared" ca="1" si="130"/>
        <v>2.4947143718071167E-2</v>
      </c>
      <c r="DM94" s="22">
        <f t="shared" ca="1" si="130"/>
        <v>2.5135442989839919E-2</v>
      </c>
      <c r="DN94" s="22">
        <f t="shared" ca="1" si="130"/>
        <v>2.5628878990972777E-2</v>
      </c>
      <c r="DO94" s="22">
        <f t="shared" ca="1" si="130"/>
        <v>2.5907842310973515E-2</v>
      </c>
      <c r="DP94" s="22">
        <f t="shared" ca="1" si="130"/>
        <v>2.4788856657103862E-2</v>
      </c>
      <c r="DQ94" s="22">
        <f t="shared" ca="1" si="130"/>
        <v>2.3133828095244523E-2</v>
      </c>
      <c r="DR94" s="22">
        <f t="shared" ca="1" si="130"/>
        <v>2.3298523757840493E-2</v>
      </c>
      <c r="DS94" s="22">
        <f t="shared" ca="1" si="130"/>
        <v>2.274097455450521E-2</v>
      </c>
      <c r="DT94" s="22">
        <f t="shared" ca="1" si="130"/>
        <v>2.2171867547780638E-2</v>
      </c>
      <c r="DU94" s="22">
        <f t="shared" ca="1" si="130"/>
        <v>1.9778548206047179E-2</v>
      </c>
      <c r="DV94" s="22">
        <f t="shared" ca="1" si="130"/>
        <v>1.6501127602753886E-2</v>
      </c>
      <c r="DW94" s="22">
        <f t="shared" ca="1" si="130"/>
        <v>1.3789948604291669E-2</v>
      </c>
      <c r="DX94" s="22">
        <f t="shared" ca="1" si="130"/>
        <v>1.2307211564423076E-2</v>
      </c>
      <c r="DY94" s="22">
        <f t="shared" ca="1" si="130"/>
        <v>1.3276267533574571E-2</v>
      </c>
      <c r="DZ94" s="22">
        <f t="shared" ca="1" si="130"/>
        <v>1.4146810291272426E-2</v>
      </c>
      <c r="EA94" s="22">
        <f t="shared" ca="1" si="130"/>
        <v>1.2880479029887834E-2</v>
      </c>
      <c r="EB94" s="22">
        <f t="shared" ca="1" si="130"/>
        <v>1.1758930330843118E-2</v>
      </c>
      <c r="EC94" s="22" t="str">
        <f t="shared" si="130"/>
        <v/>
      </c>
      <c r="ED94" s="22" t="e">
        <f t="shared" ca="1" si="130"/>
        <v>#DIV/0!</v>
      </c>
      <c r="EE94" s="22" t="e">
        <f t="shared" ca="1" si="130"/>
        <v>#DIV/0!</v>
      </c>
      <c r="EF94" s="22" t="str">
        <f t="shared" si="130"/>
        <v/>
      </c>
      <c r="EG94" s="22" t="e">
        <f t="shared" ca="1" si="130"/>
        <v>#DIV/0!</v>
      </c>
      <c r="EH94" s="22">
        <f t="shared" ca="1" si="130"/>
        <v>1.0048206327151078E-2</v>
      </c>
      <c r="EI94" s="22">
        <f t="shared" ca="1" si="130"/>
        <v>1.1749633925762282E-2</v>
      </c>
      <c r="EJ94" s="22">
        <f t="shared" ca="1" si="130"/>
        <v>1.4565228188192841E-2</v>
      </c>
      <c r="EK94" s="22">
        <f t="shared" ca="1" si="130"/>
        <v>1.6243602162140946E-2</v>
      </c>
      <c r="EL94" s="22">
        <f t="shared" ca="1" si="130"/>
        <v>1.5075669988111691E-2</v>
      </c>
      <c r="EM94" s="22">
        <f t="shared" ca="1" si="130"/>
        <v>1.39479659932252E-2</v>
      </c>
      <c r="EN94" s="22">
        <f t="shared" ca="1" si="130"/>
        <v>1.3489808994553357E-2</v>
      </c>
      <c r="EO94" s="22">
        <f t="shared" ca="1" si="130"/>
        <v>1.2898395535229795E-2</v>
      </c>
      <c r="EP94" s="22">
        <f t="shared" ca="1" si="130"/>
        <v>1.2416002376377138E-2</v>
      </c>
      <c r="EQ94" s="22">
        <f t="shared" ca="1" si="130"/>
        <v>1.4291266105781776E-2</v>
      </c>
      <c r="ER94" s="22">
        <f t="shared" ca="1" si="130"/>
        <v>1.3440650457918427E-2</v>
      </c>
      <c r="ES94" s="22">
        <f t="shared" ca="1" si="130"/>
        <v>1.3977536275655112E-2</v>
      </c>
      <c r="ET94" s="22">
        <f t="shared" ca="1" si="130"/>
        <v>1.3580884538982152E-2</v>
      </c>
      <c r="EU94" s="22">
        <f t="shared" ca="1" si="130"/>
        <v>1.3568205156572267E-2</v>
      </c>
      <c r="EV94" s="22">
        <f t="shared" ca="1" si="130"/>
        <v>1.2792543657057957E-2</v>
      </c>
      <c r="EW94" s="22">
        <f t="shared" ca="1" si="130"/>
        <v>1.15333597033274E-2</v>
      </c>
      <c r="EX94" s="22">
        <f t="shared" ca="1" si="130"/>
        <v>1.0247789672492746E-2</v>
      </c>
      <c r="EY94" s="22">
        <f t="shared" ref="EY94:HJ94" ca="1" si="131">IF(EY14="","",AVERAGE(EL68:EX68)+CONFIDENCE(0.05,STDEV(DZ68:EX68),COUNT(DZ68:EX68)))</f>
        <v>9.7287450992569156E-3</v>
      </c>
      <c r="EZ94" s="22">
        <f t="shared" ca="1" si="131"/>
        <v>9.6928274916217062E-3</v>
      </c>
      <c r="FA94" s="22">
        <f t="shared" ca="1" si="131"/>
        <v>9.2271612994449317E-3</v>
      </c>
      <c r="FB94" s="22">
        <f t="shared" ca="1" si="131"/>
        <v>9.5554938646219226E-3</v>
      </c>
      <c r="FC94" s="22">
        <f t="shared" ca="1" si="131"/>
        <v>9.3386749489616054E-3</v>
      </c>
      <c r="FD94" s="22">
        <f t="shared" ca="1" si="131"/>
        <v>7.9209628383578555E-3</v>
      </c>
      <c r="FE94" s="22">
        <f t="shared" ca="1" si="131"/>
        <v>7.792786774774128E-3</v>
      </c>
      <c r="FF94" s="22">
        <f t="shared" ca="1" si="131"/>
        <v>6.4632468289502016E-3</v>
      </c>
      <c r="FG94" s="22">
        <f t="shared" ca="1" si="131"/>
        <v>5.8839574576056092E-3</v>
      </c>
      <c r="FH94" s="22">
        <f t="shared" ca="1" si="131"/>
        <v>5.6633820219765176E-3</v>
      </c>
      <c r="FI94" s="22">
        <f t="shared" ca="1" si="131"/>
        <v>5.2812667636825111E-3</v>
      </c>
      <c r="FJ94" s="22">
        <f t="shared" ca="1" si="131"/>
        <v>6.5414743937954921E-3</v>
      </c>
      <c r="FK94" s="22">
        <f t="shared" ca="1" si="131"/>
        <v>8.3533362672104077E-3</v>
      </c>
      <c r="FL94" s="22">
        <f t="shared" ca="1" si="131"/>
        <v>8.7295915160956351E-3</v>
      </c>
      <c r="FM94" s="22">
        <f t="shared" ca="1" si="131"/>
        <v>8.9258300810471508E-3</v>
      </c>
      <c r="FN94" s="22">
        <f t="shared" ca="1" si="131"/>
        <v>9.487638346948447E-3</v>
      </c>
      <c r="FO94" s="22">
        <f t="shared" ca="1" si="131"/>
        <v>9.7063857639791661E-3</v>
      </c>
      <c r="FP94" s="22">
        <f t="shared" ca="1" si="131"/>
        <v>9.4170627315724748E-3</v>
      </c>
      <c r="FQ94" s="22">
        <f t="shared" ca="1" si="131"/>
        <v>1.2066881217161481E-2</v>
      </c>
      <c r="FR94" s="22">
        <f t="shared" ca="1" si="131"/>
        <v>1.3479899751332815E-2</v>
      </c>
      <c r="FS94" s="22">
        <f t="shared" ca="1" si="131"/>
        <v>1.4338903335078864E-2</v>
      </c>
      <c r="FT94" s="22">
        <f t="shared" ca="1" si="131"/>
        <v>1.5104298250316627E-2</v>
      </c>
      <c r="FU94" s="22">
        <f t="shared" ca="1" si="131"/>
        <v>1.5035214825071717E-2</v>
      </c>
      <c r="FV94" s="22">
        <f t="shared" ca="1" si="131"/>
        <v>1.511223347492127E-2</v>
      </c>
      <c r="FW94" s="22">
        <f t="shared" ca="1" si="131"/>
        <v>1.3953013327690746E-2</v>
      </c>
      <c r="FX94" s="22">
        <f t="shared" ca="1" si="131"/>
        <v>1.2572239859568707E-2</v>
      </c>
      <c r="FY94" s="22">
        <f t="shared" ca="1" si="131"/>
        <v>1.2588480658966322E-2</v>
      </c>
      <c r="FZ94" s="22">
        <f t="shared" ca="1" si="131"/>
        <v>1.2368802772320888E-2</v>
      </c>
      <c r="GA94" s="22">
        <f t="shared" ca="1" si="131"/>
        <v>1.2446496858605249E-2</v>
      </c>
      <c r="GB94" s="22">
        <f t="shared" ca="1" si="131"/>
        <v>1.2251074757808973E-2</v>
      </c>
      <c r="GC94" s="22">
        <f t="shared" ca="1" si="131"/>
        <v>1.2459893956800253E-2</v>
      </c>
      <c r="GD94" s="22">
        <f t="shared" ca="1" si="131"/>
        <v>1.068475531697478E-2</v>
      </c>
      <c r="GE94" s="22">
        <f t="shared" ca="1" si="131"/>
        <v>9.7484400594508667E-3</v>
      </c>
      <c r="GF94" s="22">
        <f t="shared" ca="1" si="131"/>
        <v>9.4843409695204023E-3</v>
      </c>
      <c r="GG94" s="22">
        <f t="shared" ca="1" si="131"/>
        <v>9.6914760998551789E-3</v>
      </c>
      <c r="GH94" s="22">
        <f t="shared" ca="1" si="131"/>
        <v>9.9002897054447456E-3</v>
      </c>
      <c r="GI94" s="22">
        <f t="shared" ca="1" si="131"/>
        <v>1.00449936704562E-2</v>
      </c>
      <c r="GJ94" s="22">
        <f t="shared" ca="1" si="131"/>
        <v>9.9679950508364829E-3</v>
      </c>
      <c r="GK94" s="22">
        <f t="shared" ca="1" si="131"/>
        <v>1.011964796772253E-2</v>
      </c>
      <c r="GL94" s="22">
        <f t="shared" ca="1" si="131"/>
        <v>1.004881751325019E-2</v>
      </c>
      <c r="GM94" s="22">
        <f t="shared" ca="1" si="131"/>
        <v>1.0978653813004967E-2</v>
      </c>
      <c r="GN94" s="22">
        <f t="shared" ca="1" si="131"/>
        <v>1.0649723423169152E-2</v>
      </c>
      <c r="GO94" s="22">
        <f t="shared" ca="1" si="131"/>
        <v>1.0535394682645307E-2</v>
      </c>
      <c r="GP94" s="22">
        <f t="shared" ca="1" si="131"/>
        <v>9.8824350071235623E-3</v>
      </c>
      <c r="GQ94" s="22">
        <f t="shared" ca="1" si="131"/>
        <v>9.6159480748460417E-3</v>
      </c>
      <c r="GR94" s="22">
        <f t="shared" ca="1" si="131"/>
        <v>9.6510996860420251E-3</v>
      </c>
      <c r="GS94" s="22">
        <f t="shared" ca="1" si="131"/>
        <v>9.5529041797056367E-3</v>
      </c>
      <c r="GT94" s="22">
        <f t="shared" ca="1" si="131"/>
        <v>8.7935381150718653E-3</v>
      </c>
      <c r="GU94" s="22">
        <f t="shared" ca="1" si="131"/>
        <v>8.7302233361370701E-3</v>
      </c>
      <c r="GV94" s="22">
        <f t="shared" ca="1" si="131"/>
        <v>9.2193500021668807E-3</v>
      </c>
      <c r="GW94" s="22">
        <f t="shared" ca="1" si="131"/>
        <v>1.0213945953604968E-2</v>
      </c>
      <c r="GX94" s="22">
        <f t="shared" ca="1" si="131"/>
        <v>1.1493043452502813E-2</v>
      </c>
      <c r="GY94" s="22">
        <f t="shared" ca="1" si="131"/>
        <v>1.3088488042934608E-2</v>
      </c>
      <c r="GZ94" s="22">
        <f t="shared" ca="1" si="131"/>
        <v>8.1541525852223355E-3</v>
      </c>
      <c r="HA94" s="22" t="str">
        <f t="shared" si="131"/>
        <v/>
      </c>
      <c r="HB94" s="22" t="str">
        <f t="shared" si="131"/>
        <v/>
      </c>
      <c r="HC94" s="22" t="str">
        <f t="shared" si="131"/>
        <v/>
      </c>
      <c r="HD94" s="22" t="str">
        <f t="shared" si="131"/>
        <v/>
      </c>
      <c r="HE94" s="22" t="str">
        <f t="shared" si="131"/>
        <v/>
      </c>
      <c r="HF94" s="22" t="str">
        <f t="shared" si="131"/>
        <v/>
      </c>
      <c r="HG94" s="22" t="str">
        <f t="shared" si="131"/>
        <v/>
      </c>
      <c r="HH94" s="22" t="str">
        <f t="shared" si="131"/>
        <v/>
      </c>
      <c r="HI94" s="22" t="str">
        <f t="shared" si="131"/>
        <v/>
      </c>
      <c r="HJ94" s="22" t="str">
        <f t="shared" si="131"/>
        <v/>
      </c>
      <c r="HK94" s="22" t="str">
        <f t="shared" ref="HK94:JH94" si="132">IF(HK14="","",AVERAGE(GX68:HJ68)+CONFIDENCE(0.05,STDEV(GL68:HJ68),COUNT(GL68:HJ68)))</f>
        <v/>
      </c>
      <c r="HL94" s="22" t="str">
        <f t="shared" si="132"/>
        <v/>
      </c>
      <c r="HM94" s="22" t="str">
        <f t="shared" si="132"/>
        <v/>
      </c>
      <c r="HN94" s="22" t="str">
        <f t="shared" si="132"/>
        <v/>
      </c>
      <c r="HO94" s="22" t="str">
        <f t="shared" si="132"/>
        <v/>
      </c>
      <c r="HP94" s="22" t="str">
        <f t="shared" si="132"/>
        <v/>
      </c>
      <c r="HQ94" s="22" t="str">
        <f t="shared" si="132"/>
        <v/>
      </c>
      <c r="HR94" s="22" t="str">
        <f t="shared" si="132"/>
        <v/>
      </c>
      <c r="HS94" s="22" t="str">
        <f t="shared" si="132"/>
        <v/>
      </c>
      <c r="HT94" s="22" t="str">
        <f t="shared" si="132"/>
        <v/>
      </c>
      <c r="HU94" s="22" t="str">
        <f t="shared" si="132"/>
        <v/>
      </c>
      <c r="HV94" s="22" t="str">
        <f t="shared" si="132"/>
        <v/>
      </c>
      <c r="HW94" s="22" t="str">
        <f t="shared" si="132"/>
        <v/>
      </c>
      <c r="HX94" s="22" t="str">
        <f t="shared" si="132"/>
        <v/>
      </c>
      <c r="HY94" s="22" t="str">
        <f t="shared" si="132"/>
        <v/>
      </c>
      <c r="HZ94" s="22" t="str">
        <f t="shared" si="132"/>
        <v/>
      </c>
      <c r="IA94" s="22" t="str">
        <f t="shared" si="132"/>
        <v/>
      </c>
      <c r="IB94" s="22" t="str">
        <f t="shared" si="132"/>
        <v/>
      </c>
      <c r="IC94" s="22" t="str">
        <f t="shared" si="132"/>
        <v/>
      </c>
      <c r="ID94" s="22" t="str">
        <f t="shared" si="132"/>
        <v/>
      </c>
      <c r="IE94" s="22" t="str">
        <f t="shared" si="132"/>
        <v/>
      </c>
      <c r="IF94" s="22" t="str">
        <f t="shared" si="132"/>
        <v/>
      </c>
      <c r="IG94" s="22" t="str">
        <f t="shared" si="132"/>
        <v/>
      </c>
      <c r="IH94" s="22" t="str">
        <f t="shared" si="132"/>
        <v/>
      </c>
      <c r="II94" s="22" t="str">
        <f t="shared" si="132"/>
        <v/>
      </c>
      <c r="IJ94" s="22" t="str">
        <f t="shared" si="132"/>
        <v/>
      </c>
      <c r="IK94" s="22" t="str">
        <f t="shared" si="132"/>
        <v/>
      </c>
      <c r="IL94" s="22" t="str">
        <f t="shared" si="132"/>
        <v/>
      </c>
      <c r="IM94" s="22" t="str">
        <f t="shared" si="132"/>
        <v/>
      </c>
      <c r="IN94" s="22" t="str">
        <f t="shared" si="132"/>
        <v/>
      </c>
      <c r="IO94" s="22" t="str">
        <f t="shared" si="132"/>
        <v/>
      </c>
      <c r="IP94" s="22" t="str">
        <f t="shared" si="132"/>
        <v/>
      </c>
      <c r="IQ94" s="22" t="str">
        <f t="shared" si="132"/>
        <v/>
      </c>
      <c r="IR94" s="22" t="str">
        <f t="shared" si="132"/>
        <v/>
      </c>
      <c r="IS94" s="22" t="str">
        <f t="shared" si="132"/>
        <v/>
      </c>
      <c r="IT94" s="22" t="str">
        <f t="shared" si="132"/>
        <v/>
      </c>
      <c r="IU94" s="22" t="str">
        <f t="shared" si="132"/>
        <v/>
      </c>
      <c r="IV94" s="22" t="str">
        <f t="shared" si="132"/>
        <v/>
      </c>
      <c r="IW94" s="22" t="str">
        <f t="shared" si="132"/>
        <v/>
      </c>
      <c r="IX94" s="22" t="str">
        <f t="shared" si="132"/>
        <v/>
      </c>
      <c r="IY94" s="22" t="str">
        <f t="shared" si="132"/>
        <v/>
      </c>
      <c r="IZ94" s="22" t="str">
        <f t="shared" si="132"/>
        <v/>
      </c>
      <c r="JA94" s="22" t="str">
        <f t="shared" si="132"/>
        <v/>
      </c>
      <c r="JB94" s="22" t="str">
        <f t="shared" si="132"/>
        <v/>
      </c>
      <c r="JC94" s="22" t="str">
        <f t="shared" si="132"/>
        <v/>
      </c>
      <c r="JD94" s="22" t="str">
        <f t="shared" si="132"/>
        <v/>
      </c>
      <c r="JE94" s="22" t="str">
        <f t="shared" si="132"/>
        <v/>
      </c>
      <c r="JF94" s="22" t="str">
        <f t="shared" si="132"/>
        <v/>
      </c>
      <c r="JG94" s="22" t="str">
        <f t="shared" si="132"/>
        <v/>
      </c>
      <c r="JH94" s="22" t="str">
        <f t="shared" si="132"/>
        <v/>
      </c>
    </row>
  </sheetData>
  <conditionalFormatting sqref="B30:JH41">
    <cfRule type="expression" dxfId="3" priority="6">
      <formula>B30&gt;$JN30</formula>
    </cfRule>
    <cfRule type="expression" dxfId="2" priority="7">
      <formula>B30&lt;-$JN30</formula>
    </cfRule>
  </conditionalFormatting>
  <conditionalFormatting sqref="B30:JH41 B57:JH68">
    <cfRule type="cellIs" dxfId="1" priority="5" operator="equal">
      <formula>""</formula>
    </cfRule>
  </conditionalFormatting>
  <conditionalFormatting sqref="B57:JH68">
    <cfRule type="expression" dxfId="0" priority="8">
      <formula>B57&gt;$CB57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445"/>
  <sheetViews>
    <sheetView topLeftCell="A58" workbookViewId="0">
      <selection activeCell="E63" sqref="E63"/>
    </sheetView>
  </sheetViews>
  <sheetFormatPr baseColWidth="10" defaultRowHeight="15" x14ac:dyDescent="0.25"/>
  <cols>
    <col min="1" max="1" width="10.7109375" style="2" bestFit="1" customWidth="1"/>
    <col min="2" max="2" width="17.140625" bestFit="1" customWidth="1"/>
    <col min="3" max="3" width="12.7109375" bestFit="1" customWidth="1"/>
  </cols>
  <sheetData>
    <row r="1" spans="1:2" x14ac:dyDescent="0.25">
      <c r="A1" s="2" t="s">
        <v>0</v>
      </c>
      <c r="B1" t="s">
        <v>9</v>
      </c>
    </row>
    <row r="2" spans="1:2" x14ac:dyDescent="0.25">
      <c r="A2" s="2">
        <v>35095</v>
      </c>
      <c r="B2" s="1"/>
    </row>
    <row r="3" spans="1:2" x14ac:dyDescent="0.25">
      <c r="A3" s="2">
        <v>35124</v>
      </c>
      <c r="B3" s="1"/>
    </row>
    <row r="4" spans="1:2" x14ac:dyDescent="0.25">
      <c r="A4" s="2">
        <v>35155</v>
      </c>
      <c r="B4" s="1"/>
    </row>
    <row r="5" spans="1:2" x14ac:dyDescent="0.25">
      <c r="A5" s="2">
        <v>35185</v>
      </c>
      <c r="B5" s="1"/>
    </row>
    <row r="6" spans="1:2" x14ac:dyDescent="0.25">
      <c r="A6" s="2">
        <v>35216</v>
      </c>
      <c r="B6" s="1"/>
    </row>
    <row r="7" spans="1:2" x14ac:dyDescent="0.25">
      <c r="A7" s="2">
        <v>35246</v>
      </c>
      <c r="B7" s="1"/>
    </row>
    <row r="8" spans="1:2" x14ac:dyDescent="0.25">
      <c r="A8" s="2">
        <v>35277</v>
      </c>
      <c r="B8" s="1"/>
    </row>
    <row r="9" spans="1:2" x14ac:dyDescent="0.25">
      <c r="A9" s="2">
        <v>35308</v>
      </c>
      <c r="B9" s="1"/>
    </row>
    <row r="10" spans="1:2" x14ac:dyDescent="0.25">
      <c r="A10" s="2">
        <v>35338</v>
      </c>
      <c r="B10" s="1"/>
    </row>
    <row r="11" spans="1:2" x14ac:dyDescent="0.25">
      <c r="A11" s="2">
        <v>35369</v>
      </c>
      <c r="B11" s="1"/>
    </row>
    <row r="12" spans="1:2" x14ac:dyDescent="0.25">
      <c r="A12" s="2">
        <v>35399</v>
      </c>
      <c r="B12" s="1"/>
    </row>
    <row r="13" spans="1:2" x14ac:dyDescent="0.25">
      <c r="A13" s="2">
        <v>35430</v>
      </c>
      <c r="B13" s="1"/>
    </row>
    <row r="14" spans="1:2" x14ac:dyDescent="0.25">
      <c r="A14" s="2">
        <v>35461</v>
      </c>
      <c r="B14" s="1"/>
    </row>
    <row r="15" spans="1:2" x14ac:dyDescent="0.25">
      <c r="A15" s="2">
        <v>35489</v>
      </c>
      <c r="B15" s="1"/>
    </row>
    <row r="16" spans="1:2" x14ac:dyDescent="0.25">
      <c r="A16" s="2">
        <v>35520</v>
      </c>
      <c r="B16" s="1"/>
    </row>
    <row r="17" spans="1:2" x14ac:dyDescent="0.25">
      <c r="A17" s="2">
        <v>35550</v>
      </c>
      <c r="B17" s="1"/>
    </row>
    <row r="18" spans="1:2" x14ac:dyDescent="0.25">
      <c r="A18" s="2">
        <v>35581</v>
      </c>
      <c r="B18" s="1"/>
    </row>
    <row r="19" spans="1:2" x14ac:dyDescent="0.25">
      <c r="A19" s="2">
        <v>35611</v>
      </c>
      <c r="B19" s="1"/>
    </row>
    <row r="20" spans="1:2" x14ac:dyDescent="0.25">
      <c r="A20" s="2">
        <v>35642</v>
      </c>
      <c r="B20" s="1"/>
    </row>
    <row r="21" spans="1:2" x14ac:dyDescent="0.25">
      <c r="A21" s="2">
        <v>35673</v>
      </c>
      <c r="B21" s="1"/>
    </row>
    <row r="22" spans="1:2" x14ac:dyDescent="0.25">
      <c r="A22" s="2">
        <v>35703</v>
      </c>
      <c r="B22" s="1"/>
    </row>
    <row r="23" spans="1:2" x14ac:dyDescent="0.25">
      <c r="A23" s="2">
        <v>35734</v>
      </c>
      <c r="B23" s="1"/>
    </row>
    <row r="24" spans="1:2" x14ac:dyDescent="0.25">
      <c r="A24" s="2">
        <v>35764</v>
      </c>
      <c r="B24" s="1"/>
    </row>
    <row r="25" spans="1:2" x14ac:dyDescent="0.25">
      <c r="A25" s="2">
        <v>35795</v>
      </c>
      <c r="B25" s="1"/>
    </row>
    <row r="26" spans="1:2" x14ac:dyDescent="0.25">
      <c r="A26" s="2">
        <v>35826</v>
      </c>
      <c r="B26" s="1"/>
    </row>
    <row r="27" spans="1:2" x14ac:dyDescent="0.25">
      <c r="A27" s="2">
        <v>35854</v>
      </c>
      <c r="B27" s="1"/>
    </row>
    <row r="28" spans="1:2" x14ac:dyDescent="0.25">
      <c r="A28" s="2">
        <v>35885</v>
      </c>
      <c r="B28" s="1"/>
    </row>
    <row r="29" spans="1:2" x14ac:dyDescent="0.25">
      <c r="A29" s="2">
        <v>35915</v>
      </c>
      <c r="B29" s="1"/>
    </row>
    <row r="30" spans="1:2" x14ac:dyDescent="0.25">
      <c r="A30" s="2">
        <v>35946</v>
      </c>
      <c r="B30" s="1"/>
    </row>
    <row r="31" spans="1:2" x14ac:dyDescent="0.25">
      <c r="A31" s="2">
        <v>35976</v>
      </c>
      <c r="B31" s="1"/>
    </row>
    <row r="32" spans="1:2" x14ac:dyDescent="0.25">
      <c r="A32" s="2">
        <v>36007</v>
      </c>
      <c r="B32" s="1"/>
    </row>
    <row r="33" spans="1:2" x14ac:dyDescent="0.25">
      <c r="A33" s="2">
        <v>36038</v>
      </c>
      <c r="B33" s="1"/>
    </row>
    <row r="34" spans="1:2" x14ac:dyDescent="0.25">
      <c r="A34" s="2">
        <v>36068</v>
      </c>
      <c r="B34" s="1"/>
    </row>
    <row r="35" spans="1:2" x14ac:dyDescent="0.25">
      <c r="A35" s="2">
        <v>36099</v>
      </c>
      <c r="B35" s="1"/>
    </row>
    <row r="36" spans="1:2" x14ac:dyDescent="0.25">
      <c r="A36" s="2">
        <v>36129</v>
      </c>
      <c r="B36" s="1"/>
    </row>
    <row r="37" spans="1:2" x14ac:dyDescent="0.25">
      <c r="A37" s="2">
        <v>36160</v>
      </c>
      <c r="B37" s="1"/>
    </row>
    <row r="38" spans="1:2" x14ac:dyDescent="0.25">
      <c r="A38" s="2">
        <v>36191</v>
      </c>
      <c r="B38" s="1"/>
    </row>
    <row r="39" spans="1:2" x14ac:dyDescent="0.25">
      <c r="A39" s="2">
        <v>36219</v>
      </c>
      <c r="B39" s="1"/>
    </row>
    <row r="40" spans="1:2" x14ac:dyDescent="0.25">
      <c r="A40" s="2">
        <v>36250</v>
      </c>
      <c r="B40" s="1"/>
    </row>
    <row r="41" spans="1:2" x14ac:dyDescent="0.25">
      <c r="A41" s="2">
        <v>36280</v>
      </c>
      <c r="B41" s="1"/>
    </row>
    <row r="42" spans="1:2" x14ac:dyDescent="0.25">
      <c r="A42" s="2">
        <v>36311</v>
      </c>
      <c r="B42" s="1"/>
    </row>
    <row r="43" spans="1:2" x14ac:dyDescent="0.25">
      <c r="A43" s="2">
        <v>36341</v>
      </c>
      <c r="B43" s="1"/>
    </row>
    <row r="44" spans="1:2" x14ac:dyDescent="0.25">
      <c r="A44" s="2">
        <v>36372</v>
      </c>
      <c r="B44" s="1"/>
    </row>
    <row r="45" spans="1:2" x14ac:dyDescent="0.25">
      <c r="A45" s="2">
        <v>36403</v>
      </c>
      <c r="B45" s="1"/>
    </row>
    <row r="46" spans="1:2" x14ac:dyDescent="0.25">
      <c r="A46" s="2">
        <v>36433</v>
      </c>
      <c r="B46" s="1"/>
    </row>
    <row r="47" spans="1:2" x14ac:dyDescent="0.25">
      <c r="A47" s="2">
        <v>36464</v>
      </c>
      <c r="B47" s="1"/>
    </row>
    <row r="48" spans="1:2" x14ac:dyDescent="0.25">
      <c r="A48" s="2">
        <v>36494</v>
      </c>
      <c r="B48" s="1"/>
    </row>
    <row r="49" spans="1:6" x14ac:dyDescent="0.25">
      <c r="A49" s="2">
        <v>36525</v>
      </c>
      <c r="B49" s="1"/>
    </row>
    <row r="50" spans="1:6" x14ac:dyDescent="0.25">
      <c r="A50" s="2">
        <v>36556</v>
      </c>
      <c r="B50" s="1"/>
    </row>
    <row r="51" spans="1:6" x14ac:dyDescent="0.25">
      <c r="A51" s="2">
        <v>36585</v>
      </c>
      <c r="B51" s="1"/>
    </row>
    <row r="52" spans="1:6" x14ac:dyDescent="0.25">
      <c r="A52" s="2">
        <v>36616</v>
      </c>
      <c r="B52" s="1"/>
    </row>
    <row r="53" spans="1:6" x14ac:dyDescent="0.25">
      <c r="A53" s="2">
        <v>36646</v>
      </c>
      <c r="B53" s="1"/>
    </row>
    <row r="54" spans="1:6" x14ac:dyDescent="0.25">
      <c r="A54" s="2">
        <v>36677</v>
      </c>
      <c r="B54" s="1"/>
    </row>
    <row r="55" spans="1:6" x14ac:dyDescent="0.25">
      <c r="A55" s="2">
        <v>36707</v>
      </c>
      <c r="B55" s="1"/>
    </row>
    <row r="56" spans="1:6" x14ac:dyDescent="0.25">
      <c r="A56" s="2">
        <v>36738</v>
      </c>
      <c r="B56" s="1"/>
    </row>
    <row r="57" spans="1:6" x14ac:dyDescent="0.25">
      <c r="A57" s="2">
        <v>36769</v>
      </c>
      <c r="B57" s="1"/>
    </row>
    <row r="58" spans="1:6" x14ac:dyDescent="0.25">
      <c r="A58" s="2">
        <v>36799</v>
      </c>
      <c r="B58" s="1"/>
    </row>
    <row r="59" spans="1:6" x14ac:dyDescent="0.25">
      <c r="A59" s="2">
        <v>36830</v>
      </c>
      <c r="B59" s="1"/>
    </row>
    <row r="60" spans="1:6" x14ac:dyDescent="0.25">
      <c r="A60" s="2">
        <v>36860</v>
      </c>
      <c r="B60" s="1"/>
    </row>
    <row r="61" spans="1:6" x14ac:dyDescent="0.25">
      <c r="A61" s="2">
        <v>36891</v>
      </c>
      <c r="B61" s="1" t="s">
        <v>8</v>
      </c>
      <c r="C61" s="1" t="s">
        <v>7</v>
      </c>
      <c r="E61" t="s">
        <v>11</v>
      </c>
      <c r="F61" t="s">
        <v>10</v>
      </c>
    </row>
    <row r="62" spans="1:6" x14ac:dyDescent="0.25">
      <c r="A62" s="2">
        <v>36922</v>
      </c>
      <c r="B62" s="21">
        <f>IF([1]Rseries!F7="","",[1]Rseries!F7)</f>
        <v>131140.02614999999</v>
      </c>
      <c r="C62" s="1">
        <v>111591</v>
      </c>
      <c r="D62" s="1"/>
      <c r="E62">
        <f>COUNT(Mediana!3:3)-Amplitud</f>
        <v>170</v>
      </c>
      <c r="F62">
        <v>36</v>
      </c>
    </row>
    <row r="63" spans="1:6" x14ac:dyDescent="0.25">
      <c r="A63" s="2">
        <v>36950</v>
      </c>
      <c r="B63" s="21">
        <f>IF([1]Rseries!F8="","",[1]Rseries!F8)</f>
        <v>131509.02614999999</v>
      </c>
      <c r="C63" s="1">
        <v>111960</v>
      </c>
      <c r="D63" s="1"/>
    </row>
    <row r="64" spans="1:6" x14ac:dyDescent="0.25">
      <c r="A64" s="2">
        <v>36981</v>
      </c>
      <c r="B64" s="21">
        <f>IF([1]Rseries!F9="","",[1]Rseries!F9)</f>
        <v>131945.02614999999</v>
      </c>
      <c r="C64" s="1">
        <v>112396</v>
      </c>
      <c r="D64" s="1"/>
    </row>
    <row r="65" spans="1:4" x14ac:dyDescent="0.25">
      <c r="A65" s="2">
        <v>37011</v>
      </c>
      <c r="B65" s="21">
        <f>IF([1]Rseries!F10="","",[1]Rseries!F10)</f>
        <v>132353.02614999999</v>
      </c>
      <c r="C65" s="1">
        <v>112804</v>
      </c>
      <c r="D65" s="1"/>
    </row>
    <row r="66" spans="1:4" x14ac:dyDescent="0.25">
      <c r="A66" s="2">
        <v>37042</v>
      </c>
      <c r="B66" s="21">
        <f>IF([1]Rseries!F11="","",[1]Rseries!F11)</f>
        <v>132963.02614999999</v>
      </c>
      <c r="C66" s="1">
        <v>113414</v>
      </c>
      <c r="D66" s="1"/>
    </row>
    <row r="67" spans="1:4" x14ac:dyDescent="0.25">
      <c r="A67" s="2">
        <v>37072</v>
      </c>
      <c r="B67" s="21">
        <f>IF([1]Rseries!F12="","",[1]Rseries!F12)</f>
        <v>133189.02614999999</v>
      </c>
      <c r="C67" s="1">
        <v>113640</v>
      </c>
      <c r="D67" s="1"/>
    </row>
    <row r="68" spans="1:4" x14ac:dyDescent="0.25">
      <c r="A68" s="2">
        <v>37103</v>
      </c>
      <c r="B68" s="21">
        <f>IF([1]Rseries!F13="","",[1]Rseries!F13)</f>
        <v>133403.02614999999</v>
      </c>
      <c r="C68" s="1">
        <v>113854</v>
      </c>
      <c r="D68" s="1"/>
    </row>
    <row r="69" spans="1:4" x14ac:dyDescent="0.25">
      <c r="A69" s="2">
        <v>37134</v>
      </c>
      <c r="B69" s="21">
        <f>IF([1]Rseries!F14="","",[1]Rseries!F14)</f>
        <v>133346.02614999999</v>
      </c>
      <c r="C69" s="1">
        <v>113797</v>
      </c>
      <c r="D69" s="1"/>
    </row>
    <row r="70" spans="1:4" x14ac:dyDescent="0.25">
      <c r="A70" s="2">
        <v>37164</v>
      </c>
      <c r="B70" s="21">
        <f>IF([1]Rseries!F15="","",[1]Rseries!F15)</f>
        <v>132881.02614999999</v>
      </c>
      <c r="C70" s="1">
        <v>113332</v>
      </c>
      <c r="D70" s="1"/>
    </row>
    <row r="71" spans="1:4" x14ac:dyDescent="0.25">
      <c r="A71" s="2">
        <v>37195</v>
      </c>
      <c r="B71" s="21">
        <f>IF([1]Rseries!F16="","",[1]Rseries!F16)</f>
        <v>133197.02614999999</v>
      </c>
      <c r="C71" s="1">
        <v>113648</v>
      </c>
      <c r="D71" s="1"/>
    </row>
    <row r="72" spans="1:4" x14ac:dyDescent="0.25">
      <c r="A72" s="2">
        <v>37225</v>
      </c>
      <c r="B72" s="21">
        <f>IF([1]Rseries!F17="","",[1]Rseries!F17)</f>
        <v>133477.02614999999</v>
      </c>
      <c r="C72" s="1">
        <v>113928</v>
      </c>
      <c r="D72" s="1"/>
    </row>
    <row r="73" spans="1:4" x14ac:dyDescent="0.25">
      <c r="A73" s="2">
        <v>37256</v>
      </c>
      <c r="B73" s="21">
        <f>IF([1]Rseries!F18="","",[1]Rseries!F18)</f>
        <v>133477.02614999999</v>
      </c>
      <c r="C73" s="1">
        <v>113928</v>
      </c>
      <c r="D73" s="1"/>
    </row>
    <row r="74" spans="1:4" x14ac:dyDescent="0.25">
      <c r="A74" s="2">
        <v>37287</v>
      </c>
      <c r="B74" s="21">
        <f>IF([1]Rseries!F19="","",[1]Rseries!F19)</f>
        <v>132819.02614999999</v>
      </c>
      <c r="C74" s="1">
        <v>113270</v>
      </c>
      <c r="D74" s="1"/>
    </row>
    <row r="75" spans="1:4" x14ac:dyDescent="0.25">
      <c r="A75" s="2">
        <v>37315</v>
      </c>
      <c r="B75" s="21">
        <f>IF([1]Rseries!F20="","",[1]Rseries!F20)</f>
        <v>133184.02614999999</v>
      </c>
      <c r="C75" s="1">
        <v>113635</v>
      </c>
      <c r="D75" s="1"/>
    </row>
    <row r="76" spans="1:4" x14ac:dyDescent="0.25">
      <c r="A76" s="2">
        <v>37346</v>
      </c>
      <c r="B76" s="21">
        <f>IF([1]Rseries!F21="","",[1]Rseries!F21)</f>
        <v>133631.02614999999</v>
      </c>
      <c r="C76" s="1">
        <v>114082</v>
      </c>
      <c r="D76" s="1"/>
    </row>
    <row r="77" spans="1:4" x14ac:dyDescent="0.25">
      <c r="A77" s="2">
        <v>37376</v>
      </c>
      <c r="B77" s="21">
        <f>IF([1]Rseries!F22="","",[1]Rseries!F22)</f>
        <v>134256.02614999999</v>
      </c>
      <c r="C77" s="1">
        <v>114707</v>
      </c>
      <c r="D77" s="1"/>
    </row>
    <row r="78" spans="1:4" x14ac:dyDescent="0.25">
      <c r="A78" s="2">
        <v>37407</v>
      </c>
      <c r="B78" s="21">
        <f>IF([1]Rseries!F23="","",[1]Rseries!F23)</f>
        <v>134788.02614999999</v>
      </c>
      <c r="C78" s="1">
        <v>115239</v>
      </c>
      <c r="D78" s="1"/>
    </row>
    <row r="79" spans="1:4" x14ac:dyDescent="0.25">
      <c r="A79" s="2">
        <v>37437</v>
      </c>
      <c r="B79" s="21">
        <f>IF([1]Rseries!F24="","",[1]Rseries!F24)</f>
        <v>134971.02614999999</v>
      </c>
      <c r="C79" s="1">
        <v>115422</v>
      </c>
      <c r="D79" s="1"/>
    </row>
    <row r="80" spans="1:4" x14ac:dyDescent="0.25">
      <c r="A80" s="2">
        <v>37468</v>
      </c>
      <c r="B80" s="21">
        <f>IF([1]Rseries!F25="","",[1]Rseries!F25)</f>
        <v>135252.02614999999</v>
      </c>
      <c r="C80" s="1">
        <v>115703</v>
      </c>
      <c r="D80" s="1"/>
    </row>
    <row r="81" spans="1:4" x14ac:dyDescent="0.25">
      <c r="A81" s="2">
        <v>37499</v>
      </c>
      <c r="B81" s="21">
        <f>IF([1]Rseries!F26="","",[1]Rseries!F26)</f>
        <v>135401.02614999999</v>
      </c>
      <c r="C81" s="1">
        <v>115852</v>
      </c>
      <c r="D81" s="1"/>
    </row>
    <row r="82" spans="1:4" x14ac:dyDescent="0.25">
      <c r="A82" s="2">
        <v>37529</v>
      </c>
      <c r="B82" s="21">
        <f>IF([1]Rseries!F27="","",[1]Rseries!F27)</f>
        <v>135332.02614999999</v>
      </c>
      <c r="C82" s="1">
        <v>115783</v>
      </c>
      <c r="D82" s="1"/>
    </row>
    <row r="83" spans="1:4" x14ac:dyDescent="0.25">
      <c r="A83" s="2">
        <v>37560</v>
      </c>
      <c r="B83" s="21">
        <f>IF([1]Rseries!F28="","",[1]Rseries!F28)</f>
        <v>135461.02614999999</v>
      </c>
      <c r="C83" s="1">
        <v>115912</v>
      </c>
      <c r="D83" s="1"/>
    </row>
    <row r="84" spans="1:4" x14ac:dyDescent="0.25">
      <c r="A84" s="2">
        <v>37590</v>
      </c>
      <c r="B84" s="21">
        <f>IF([1]Rseries!F29="","",[1]Rseries!F29)</f>
        <v>135752.02614999999</v>
      </c>
      <c r="C84" s="1">
        <v>116203</v>
      </c>
      <c r="D84" s="1"/>
    </row>
    <row r="85" spans="1:4" x14ac:dyDescent="0.25">
      <c r="A85" s="2">
        <v>37621</v>
      </c>
      <c r="B85" s="21">
        <f>IF([1]Rseries!F30="","",[1]Rseries!F30)</f>
        <v>135946.02614999999</v>
      </c>
      <c r="C85" s="1">
        <v>116397</v>
      </c>
      <c r="D85" s="1"/>
    </row>
    <row r="86" spans="1:4" x14ac:dyDescent="0.25">
      <c r="A86" s="2">
        <v>37652</v>
      </c>
      <c r="B86" s="21">
        <f>IF([1]Rseries!F31="","",[1]Rseries!F31)</f>
        <v>135620.02614999999</v>
      </c>
      <c r="C86" s="1">
        <v>116071</v>
      </c>
      <c r="D86" s="1"/>
    </row>
    <row r="87" spans="1:4" x14ac:dyDescent="0.25">
      <c r="A87" s="2">
        <v>37680</v>
      </c>
      <c r="B87" s="21">
        <f>IF([1]Rseries!F32="","",[1]Rseries!F32)</f>
        <v>136149.02614999999</v>
      </c>
      <c r="C87" s="1">
        <v>116600</v>
      </c>
      <c r="D87" s="1"/>
    </row>
    <row r="88" spans="1:4" x14ac:dyDescent="0.25">
      <c r="A88" s="2">
        <v>37711</v>
      </c>
      <c r="B88" s="21">
        <f>IF([1]Rseries!F33="","",[1]Rseries!F33)</f>
        <v>136691.02614999999</v>
      </c>
      <c r="C88" s="1">
        <v>117142</v>
      </c>
      <c r="D88" s="1"/>
    </row>
    <row r="89" spans="1:4" x14ac:dyDescent="0.25">
      <c r="A89" s="2">
        <v>37741</v>
      </c>
      <c r="B89" s="21">
        <f>IF([1]Rseries!F34="","",[1]Rseries!F34)</f>
        <v>137537.02614999999</v>
      </c>
      <c r="C89" s="1">
        <v>117988</v>
      </c>
      <c r="D89" s="1"/>
    </row>
    <row r="90" spans="1:4" x14ac:dyDescent="0.25">
      <c r="A90" s="2">
        <v>37772</v>
      </c>
      <c r="B90" s="21">
        <f>IF([1]Rseries!F35="","",[1]Rseries!F35)</f>
        <v>137977.02614999999</v>
      </c>
      <c r="C90" s="1">
        <v>118428</v>
      </c>
      <c r="D90" s="1"/>
    </row>
    <row r="91" spans="1:4" x14ac:dyDescent="0.25">
      <c r="A91" s="2">
        <v>37802</v>
      </c>
      <c r="B91" s="21">
        <f>IF([1]Rseries!F36="","",[1]Rseries!F36)</f>
        <v>138501.02614999999</v>
      </c>
      <c r="C91" s="1">
        <v>118952</v>
      </c>
      <c r="D91" s="1"/>
    </row>
    <row r="92" spans="1:4" x14ac:dyDescent="0.25">
      <c r="A92" s="2">
        <v>37833</v>
      </c>
      <c r="B92" s="21">
        <f>IF([1]Rseries!F37="","",[1]Rseries!F37)</f>
        <v>138877.02614999999</v>
      </c>
      <c r="C92" s="1">
        <v>119328</v>
      </c>
      <c r="D92" s="1"/>
    </row>
    <row r="93" spans="1:4" x14ac:dyDescent="0.25">
      <c r="A93" s="2">
        <v>37864</v>
      </c>
      <c r="B93" s="21">
        <f>IF([1]Rseries!F38="","",[1]Rseries!F38)</f>
        <v>139257.02614999999</v>
      </c>
      <c r="C93" s="1">
        <v>119708</v>
      </c>
      <c r="D93" s="1"/>
    </row>
    <row r="94" spans="1:4" x14ac:dyDescent="0.25">
      <c r="A94" s="2">
        <v>37894</v>
      </c>
      <c r="B94" s="21">
        <f>IF([1]Rseries!F39="","",[1]Rseries!F39)</f>
        <v>139258.02614999999</v>
      </c>
      <c r="C94" s="1">
        <v>119709</v>
      </c>
      <c r="D94" s="1"/>
    </row>
    <row r="95" spans="1:4" x14ac:dyDescent="0.25">
      <c r="A95" s="2">
        <v>37925</v>
      </c>
      <c r="B95" s="21">
        <f>IF([1]Rseries!F40="","",[1]Rseries!F40)</f>
        <v>139666.02614999999</v>
      </c>
      <c r="C95" s="1">
        <v>120117</v>
      </c>
      <c r="D95" s="1"/>
    </row>
    <row r="96" spans="1:4" x14ac:dyDescent="0.25">
      <c r="A96" s="2">
        <v>37955</v>
      </c>
      <c r="B96" s="21">
        <f>IF([1]Rseries!F41="","",[1]Rseries!F41)</f>
        <v>140276.02614999999</v>
      </c>
      <c r="C96" s="1">
        <v>120727</v>
      </c>
      <c r="D96" s="1"/>
    </row>
    <row r="97" spans="1:4" x14ac:dyDescent="0.25">
      <c r="A97" s="2">
        <v>37986</v>
      </c>
      <c r="B97" s="21">
        <f>IF([1]Rseries!F42="","",[1]Rseries!F42)</f>
        <v>140409.02614999999</v>
      </c>
      <c r="C97" s="1">
        <v>120860</v>
      </c>
      <c r="D97" s="1"/>
    </row>
    <row r="98" spans="1:4" x14ac:dyDescent="0.25">
      <c r="A98" s="2">
        <v>38017</v>
      </c>
      <c r="B98" s="21">
        <f>IF([1]Rseries!F43="","",[1]Rseries!F43)</f>
        <v>140241.89712000001</v>
      </c>
      <c r="C98" s="1">
        <v>120692.87096774194</v>
      </c>
      <c r="D98" s="1"/>
    </row>
    <row r="99" spans="1:4" x14ac:dyDescent="0.25">
      <c r="A99" s="2">
        <v>38046</v>
      </c>
      <c r="B99" s="21">
        <f>IF([1]Rseries!F44="","",[1]Rseries!F44)</f>
        <v>140651.30201000001</v>
      </c>
      <c r="C99" s="1">
        <v>121102.27586206896</v>
      </c>
      <c r="D99" s="1"/>
    </row>
    <row r="100" spans="1:4" x14ac:dyDescent="0.25">
      <c r="A100" s="2">
        <v>38077</v>
      </c>
      <c r="B100" s="21">
        <f>IF([1]Rseries!F45="","",[1]Rseries!F45)</f>
        <v>141517.4455</v>
      </c>
      <c r="C100" s="1">
        <v>121968.41935483871</v>
      </c>
      <c r="D100" s="1"/>
    </row>
    <row r="101" spans="1:4" x14ac:dyDescent="0.25">
      <c r="A101" s="2">
        <v>38107</v>
      </c>
      <c r="B101" s="21">
        <f>IF([1]Rseries!F46="","",[1]Rseries!F46)</f>
        <v>142292.89282000001</v>
      </c>
      <c r="C101" s="1">
        <v>122743.86666666667</v>
      </c>
      <c r="D101" s="1"/>
    </row>
    <row r="102" spans="1:4" x14ac:dyDescent="0.25">
      <c r="A102" s="2">
        <v>38138</v>
      </c>
      <c r="B102" s="21">
        <f>IF([1]Rseries!F47="","",[1]Rseries!F47)</f>
        <v>143069.76809</v>
      </c>
      <c r="C102" s="1">
        <v>123520.74193548386</v>
      </c>
      <c r="D102" s="1"/>
    </row>
    <row r="103" spans="1:4" x14ac:dyDescent="0.25">
      <c r="A103" s="2">
        <v>38168</v>
      </c>
      <c r="B103" s="21">
        <f>IF([1]Rseries!F48="","",[1]Rseries!F48)</f>
        <v>143740.22615</v>
      </c>
      <c r="C103" s="1">
        <v>124191.2</v>
      </c>
      <c r="D103" s="1"/>
    </row>
    <row r="104" spans="1:4" x14ac:dyDescent="0.25">
      <c r="A104" s="2">
        <v>38199</v>
      </c>
      <c r="B104" s="21">
        <f>IF([1]Rseries!F49="","",[1]Rseries!F49)</f>
        <v>144228.12291999999</v>
      </c>
      <c r="C104" s="1">
        <v>124679.09677419355</v>
      </c>
      <c r="D104" s="1"/>
    </row>
    <row r="105" spans="1:4" x14ac:dyDescent="0.25">
      <c r="A105" s="2">
        <v>38230</v>
      </c>
      <c r="B105" s="21">
        <f>IF([1]Rseries!F50="","",[1]Rseries!F50)</f>
        <v>144578.42615000001</v>
      </c>
      <c r="C105" s="1">
        <v>125029.4</v>
      </c>
      <c r="D105" s="1"/>
    </row>
    <row r="106" spans="1:4" x14ac:dyDescent="0.25">
      <c r="A106" s="2">
        <v>38260</v>
      </c>
      <c r="B106" s="21">
        <f>IF([1]Rseries!F51="","",[1]Rseries!F51)</f>
        <v>144679.45947999999</v>
      </c>
      <c r="C106" s="1">
        <v>125130.43333333333</v>
      </c>
      <c r="D106" s="1"/>
    </row>
    <row r="107" spans="1:4" x14ac:dyDescent="0.25">
      <c r="A107" s="2">
        <v>38291</v>
      </c>
      <c r="B107" s="21">
        <f>IF([1]Rseries!F52="","",[1]Rseries!F52)</f>
        <v>144962.92615000001</v>
      </c>
      <c r="C107" s="1">
        <v>125413.9</v>
      </c>
      <c r="D107" s="1"/>
    </row>
    <row r="108" spans="1:4" x14ac:dyDescent="0.25">
      <c r="A108" s="2">
        <v>38321</v>
      </c>
      <c r="B108" s="21">
        <f>IF([1]Rseries!F53="","",[1]Rseries!F53)</f>
        <v>145591.72615</v>
      </c>
      <c r="C108" s="1">
        <v>126042.7</v>
      </c>
      <c r="D108" s="1"/>
    </row>
    <row r="109" spans="1:4" x14ac:dyDescent="0.25">
      <c r="A109" s="2">
        <v>38352</v>
      </c>
      <c r="B109" s="21">
        <f>IF([1]Rseries!F54="","",[1]Rseries!F54)</f>
        <v>145994.42615000001</v>
      </c>
      <c r="C109" s="1">
        <v>126445.4</v>
      </c>
      <c r="D109" s="1"/>
    </row>
    <row r="110" spans="1:4" x14ac:dyDescent="0.25">
      <c r="A110" s="2">
        <v>38383</v>
      </c>
      <c r="B110" s="21">
        <f>IF([1]Rseries!F55="","",[1]Rseries!F55)</f>
        <v>146076.02614999999</v>
      </c>
      <c r="C110" s="1">
        <v>126527</v>
      </c>
      <c r="D110" s="1"/>
    </row>
    <row r="111" spans="1:4" x14ac:dyDescent="0.25">
      <c r="A111" s="2">
        <v>38411</v>
      </c>
      <c r="B111" s="21">
        <f>IF([1]Rseries!F56="","",[1]Rseries!F56)</f>
        <v>146480.12615</v>
      </c>
      <c r="C111" s="1">
        <v>126931.1</v>
      </c>
      <c r="D111" s="1"/>
    </row>
    <row r="112" spans="1:4" x14ac:dyDescent="0.25">
      <c r="A112" s="2">
        <v>38442</v>
      </c>
      <c r="B112" s="21">
        <f>IF([1]Rseries!F57="","",[1]Rseries!F57)</f>
        <v>147183.02614999999</v>
      </c>
      <c r="C112" s="1">
        <v>127634</v>
      </c>
      <c r="D112" s="1"/>
    </row>
    <row r="113" spans="1:4" x14ac:dyDescent="0.25">
      <c r="A113" s="2">
        <v>38472</v>
      </c>
      <c r="B113" s="21">
        <f>IF([1]Rseries!F58="","",[1]Rseries!F58)</f>
        <v>147838.02614999999</v>
      </c>
      <c r="C113" s="1">
        <v>128289</v>
      </c>
      <c r="D113" s="1"/>
    </row>
    <row r="114" spans="1:4" x14ac:dyDescent="0.25">
      <c r="A114" s="2">
        <v>38503</v>
      </c>
      <c r="B114" s="21">
        <f>IF([1]Rseries!F59="","",[1]Rseries!F59)</f>
        <v>148422.02614999999</v>
      </c>
      <c r="C114" s="1">
        <v>128873</v>
      </c>
      <c r="D114" s="1"/>
    </row>
    <row r="115" spans="1:4" x14ac:dyDescent="0.25">
      <c r="A115" s="2">
        <v>38533</v>
      </c>
      <c r="B115" s="21">
        <f>IF([1]Rseries!F60="","",[1]Rseries!F60)</f>
        <v>148975.02614999999</v>
      </c>
      <c r="C115" s="1">
        <v>129426</v>
      </c>
      <c r="D115" s="1"/>
    </row>
    <row r="116" spans="1:4" x14ac:dyDescent="0.25">
      <c r="A116" s="2">
        <v>38564</v>
      </c>
      <c r="B116" s="21">
        <f>IF([1]Rseries!F61="","",[1]Rseries!F61)</f>
        <v>149348.02614999999</v>
      </c>
      <c r="C116" s="1">
        <v>129799</v>
      </c>
      <c r="D116" s="1"/>
    </row>
    <row r="117" spans="1:4" x14ac:dyDescent="0.25">
      <c r="A117" s="2">
        <v>38595</v>
      </c>
      <c r="B117" s="21">
        <f>IF([1]Rseries!F62="","",[1]Rseries!F62)</f>
        <v>149592.02614999999</v>
      </c>
      <c r="C117" s="1">
        <v>130043</v>
      </c>
      <c r="D117" s="1"/>
    </row>
    <row r="118" spans="1:4" x14ac:dyDescent="0.25">
      <c r="A118" s="2">
        <v>38625</v>
      </c>
      <c r="B118" s="21">
        <f>IF([1]Rseries!F63="","",[1]Rseries!F63)</f>
        <v>149601.02614999999</v>
      </c>
      <c r="C118" s="1">
        <v>130052</v>
      </c>
      <c r="D118" s="1"/>
    </row>
    <row r="119" spans="1:4" x14ac:dyDescent="0.25">
      <c r="A119" s="2">
        <v>38656</v>
      </c>
      <c r="B119" s="21">
        <f>IF([1]Rseries!F64="","",[1]Rseries!F64)</f>
        <v>149876.02614999999</v>
      </c>
      <c r="C119" s="1">
        <v>130327</v>
      </c>
      <c r="D119" s="1"/>
    </row>
    <row r="120" spans="1:4" x14ac:dyDescent="0.25">
      <c r="A120" s="2">
        <v>38686</v>
      </c>
      <c r="B120" s="21">
        <f>IF([1]Rseries!F65="","",[1]Rseries!F65)</f>
        <v>150332.02614999999</v>
      </c>
      <c r="C120" s="1">
        <v>130783</v>
      </c>
      <c r="D120" s="1"/>
    </row>
    <row r="121" spans="1:4" x14ac:dyDescent="0.25">
      <c r="A121" s="2">
        <v>38717</v>
      </c>
      <c r="B121" s="21">
        <f>IF([1]Rseries!F66="","",[1]Rseries!F66)</f>
        <v>150678.02614999999</v>
      </c>
      <c r="C121" s="1">
        <v>131129</v>
      </c>
      <c r="D121" s="1"/>
    </row>
    <row r="122" spans="1:4" x14ac:dyDescent="0.25">
      <c r="A122" s="2">
        <v>38748</v>
      </c>
      <c r="B122" s="21">
        <f>IF([1]Rseries!F67="","",[1]Rseries!F67)</f>
        <v>150665.02614999999</v>
      </c>
      <c r="C122" s="1">
        <v>131116</v>
      </c>
      <c r="D122" s="1"/>
    </row>
    <row r="123" spans="1:4" x14ac:dyDescent="0.25">
      <c r="A123" s="2">
        <v>38776</v>
      </c>
      <c r="B123" s="21">
        <f>IF([1]Rseries!F68="","",[1]Rseries!F68)</f>
        <v>151170.02614999999</v>
      </c>
      <c r="C123" s="1">
        <v>131621</v>
      </c>
      <c r="D123" s="1"/>
    </row>
    <row r="124" spans="1:4" x14ac:dyDescent="0.25">
      <c r="A124" s="2">
        <v>38807</v>
      </c>
      <c r="B124" s="21">
        <f>IF([1]Rseries!F69="","",[1]Rseries!F69)</f>
        <v>151798.02614999999</v>
      </c>
      <c r="C124" s="1">
        <v>132249</v>
      </c>
      <c r="D124" s="1"/>
    </row>
    <row r="125" spans="1:4" x14ac:dyDescent="0.25">
      <c r="A125" s="2">
        <v>38837</v>
      </c>
      <c r="B125" s="21">
        <f>IF([1]Rseries!F70="","",[1]Rseries!F70)</f>
        <v>152500.02614999999</v>
      </c>
      <c r="C125" s="1">
        <v>132951</v>
      </c>
      <c r="D125" s="1"/>
    </row>
    <row r="126" spans="1:4" x14ac:dyDescent="0.25">
      <c r="A126" s="2">
        <v>38868</v>
      </c>
      <c r="B126" s="21">
        <f>IF([1]Rseries!F71="","",[1]Rseries!F71)</f>
        <v>153155.02614999999</v>
      </c>
      <c r="C126" s="1">
        <v>133606</v>
      </c>
      <c r="D126" s="1"/>
    </row>
    <row r="127" spans="1:4" x14ac:dyDescent="0.25">
      <c r="A127" s="2">
        <v>38898</v>
      </c>
      <c r="B127" s="21">
        <f>IF([1]Rseries!F72="","",[1]Rseries!F72)</f>
        <v>153744.02614999999</v>
      </c>
      <c r="C127" s="1">
        <v>134195</v>
      </c>
      <c r="D127" s="1"/>
    </row>
    <row r="128" spans="1:4" x14ac:dyDescent="0.25">
      <c r="A128" s="2">
        <v>38929</v>
      </c>
      <c r="B128" s="21">
        <f>IF([1]Rseries!F73="","",[1]Rseries!F73)</f>
        <v>154249.02614999999</v>
      </c>
      <c r="C128" s="1">
        <v>134700</v>
      </c>
      <c r="D128" s="1"/>
    </row>
    <row r="129" spans="1:4" x14ac:dyDescent="0.25">
      <c r="A129" s="2">
        <v>38960</v>
      </c>
      <c r="B129" s="21">
        <f>IF([1]Rseries!F74="","",[1]Rseries!F74)</f>
        <v>154395.02614999999</v>
      </c>
      <c r="C129" s="1">
        <v>134846</v>
      </c>
      <c r="D129" s="1"/>
    </row>
    <row r="130" spans="1:4" x14ac:dyDescent="0.25">
      <c r="A130" s="2">
        <v>38990</v>
      </c>
      <c r="B130" s="21">
        <f>IF([1]Rseries!F75="","",[1]Rseries!F75)</f>
        <v>154502.02614999999</v>
      </c>
      <c r="C130" s="1">
        <v>134953</v>
      </c>
      <c r="D130" s="1"/>
    </row>
    <row r="131" spans="1:4" x14ac:dyDescent="0.25">
      <c r="A131" s="2">
        <v>39021</v>
      </c>
      <c r="B131" s="21">
        <f>IF([1]Rseries!F76="","",[1]Rseries!F76)</f>
        <v>154927.02614999999</v>
      </c>
      <c r="C131" s="1">
        <v>135378</v>
      </c>
      <c r="D131" s="1"/>
    </row>
    <row r="132" spans="1:4" x14ac:dyDescent="0.25">
      <c r="A132" s="2">
        <v>39051</v>
      </c>
      <c r="B132" s="21">
        <f>IF([1]Rseries!F77="","",[1]Rseries!F77)</f>
        <v>155507.02614999999</v>
      </c>
      <c r="C132" s="1">
        <v>135958</v>
      </c>
      <c r="D132" s="1"/>
    </row>
    <row r="133" spans="1:4" x14ac:dyDescent="0.25">
      <c r="A133" s="2">
        <v>39082</v>
      </c>
      <c r="B133" s="21">
        <f>IF([1]Rseries!F78="","",[1]Rseries!F78)</f>
        <v>156022.02614999999</v>
      </c>
      <c r="C133" s="1">
        <v>136473</v>
      </c>
      <c r="D133" s="1"/>
    </row>
    <row r="134" spans="1:4" x14ac:dyDescent="0.25">
      <c r="A134" s="2">
        <v>39113</v>
      </c>
      <c r="B134" s="21">
        <f>IF([1]Rseries!F79="","",[1]Rseries!F79)</f>
        <v>156140.02614999999</v>
      </c>
      <c r="C134" s="1">
        <v>136591</v>
      </c>
      <c r="D134" s="1"/>
    </row>
    <row r="135" spans="1:4" x14ac:dyDescent="0.25">
      <c r="A135" s="2">
        <v>39141</v>
      </c>
      <c r="B135" s="21">
        <f>IF([1]Rseries!F80="","",[1]Rseries!F80)</f>
        <v>156990.02614999999</v>
      </c>
      <c r="C135" s="1">
        <v>137441</v>
      </c>
      <c r="D135" s="1"/>
    </row>
    <row r="136" spans="1:4" x14ac:dyDescent="0.25">
      <c r="A136" s="2">
        <v>39172</v>
      </c>
      <c r="B136" s="21">
        <f>IF([1]Rseries!F81="","",[1]Rseries!F81)</f>
        <v>158079.02614999999</v>
      </c>
      <c r="C136" s="1">
        <v>138530</v>
      </c>
      <c r="D136" s="1"/>
    </row>
    <row r="137" spans="1:4" x14ac:dyDescent="0.25">
      <c r="A137" s="2">
        <v>39202</v>
      </c>
      <c r="B137" s="21">
        <f>IF([1]Rseries!F82="","",[1]Rseries!F82)</f>
        <v>158969.02614999999</v>
      </c>
      <c r="C137" s="1">
        <v>139420</v>
      </c>
      <c r="D137" s="1"/>
    </row>
    <row r="138" spans="1:4" x14ac:dyDescent="0.25">
      <c r="A138" s="2">
        <v>39233</v>
      </c>
      <c r="B138" s="21">
        <f>IF([1]Rseries!F83="","",[1]Rseries!F83)</f>
        <v>159785.02614999999</v>
      </c>
      <c r="C138" s="1">
        <v>140236</v>
      </c>
      <c r="D138" s="1"/>
    </row>
    <row r="139" spans="1:4" x14ac:dyDescent="0.25">
      <c r="A139" s="2">
        <v>39263</v>
      </c>
      <c r="B139" s="21">
        <f>IF([1]Rseries!F84="","",[1]Rseries!F84)</f>
        <v>160783.02614999999</v>
      </c>
      <c r="C139" s="1">
        <v>141234</v>
      </c>
      <c r="D139" s="1"/>
    </row>
    <row r="140" spans="1:4" x14ac:dyDescent="0.25">
      <c r="A140" s="2">
        <v>39294</v>
      </c>
      <c r="B140" s="21">
        <f>IF([1]Rseries!F85="","",[1]Rseries!F85)</f>
        <v>161537.02614999999</v>
      </c>
      <c r="C140" s="1">
        <v>141988</v>
      </c>
      <c r="D140" s="1"/>
    </row>
    <row r="141" spans="1:4" x14ac:dyDescent="0.25">
      <c r="A141" s="2">
        <v>39325</v>
      </c>
      <c r="B141" s="21">
        <f>IF([1]Rseries!F86="","",[1]Rseries!F86)</f>
        <v>162000.02614999999</v>
      </c>
      <c r="C141" s="1">
        <v>142451</v>
      </c>
      <c r="D141" s="1"/>
    </row>
    <row r="142" spans="1:4" x14ac:dyDescent="0.25">
      <c r="A142" s="2">
        <v>39355</v>
      </c>
      <c r="B142" s="21">
        <f>IF([1]Rseries!F87="","",[1]Rseries!F87)</f>
        <v>162429.02614999999</v>
      </c>
      <c r="C142" s="1">
        <v>142880</v>
      </c>
      <c r="D142" s="1"/>
    </row>
    <row r="143" spans="1:4" x14ac:dyDescent="0.25">
      <c r="A143" s="2">
        <v>39386</v>
      </c>
      <c r="B143" s="21">
        <f>IF([1]Rseries!F88="","",[1]Rseries!F88)</f>
        <v>163162.02614999999</v>
      </c>
      <c r="C143" s="1">
        <v>143613</v>
      </c>
      <c r="D143" s="1"/>
    </row>
    <row r="144" spans="1:4" x14ac:dyDescent="0.25">
      <c r="A144" s="2">
        <v>39416</v>
      </c>
      <c r="B144" s="21">
        <f>IF([1]Rseries!F89="","",[1]Rseries!F89)</f>
        <v>163856.02614999999</v>
      </c>
      <c r="C144" s="1">
        <v>144307</v>
      </c>
      <c r="D144" s="1"/>
    </row>
    <row r="145" spans="1:4" x14ac:dyDescent="0.25">
      <c r="A145" s="2">
        <v>39447</v>
      </c>
      <c r="B145" s="21">
        <f>IF([1]Rseries!F90="","",[1]Rseries!F90)</f>
        <v>164157.02614999999</v>
      </c>
      <c r="C145" s="1">
        <v>144608</v>
      </c>
      <c r="D145" s="1"/>
    </row>
    <row r="146" spans="1:4" x14ac:dyDescent="0.25">
      <c r="A146" s="2">
        <v>39478</v>
      </c>
      <c r="B146" s="21">
        <f>IF([1]Rseries!F91="","",[1]Rseries!F91)</f>
        <v>163951</v>
      </c>
      <c r="C146" s="1"/>
      <c r="D146" s="1"/>
    </row>
    <row r="147" spans="1:4" x14ac:dyDescent="0.25">
      <c r="A147" s="2">
        <v>39507</v>
      </c>
      <c r="B147" s="21">
        <f>IF([1]Rseries!F92="","",[1]Rseries!F92)</f>
        <v>164030</v>
      </c>
      <c r="C147" s="1"/>
      <c r="D147" s="1"/>
    </row>
    <row r="148" spans="1:4" x14ac:dyDescent="0.25">
      <c r="A148" s="2">
        <v>39538</v>
      </c>
      <c r="B148" s="21">
        <f>IF([1]Rseries!F93="","",[1]Rseries!F93)</f>
        <v>164578</v>
      </c>
      <c r="C148" s="1"/>
      <c r="D148" s="1"/>
    </row>
    <row r="149" spans="1:4" x14ac:dyDescent="0.25">
      <c r="A149" s="2">
        <v>39568</v>
      </c>
      <c r="B149" s="21">
        <f>IF([1]Rseries!F94="","",[1]Rseries!F94)</f>
        <v>164573</v>
      </c>
      <c r="C149" s="1"/>
      <c r="D149" s="1"/>
    </row>
    <row r="150" spans="1:4" x14ac:dyDescent="0.25">
      <c r="A150" s="2">
        <v>39599</v>
      </c>
      <c r="B150" s="21">
        <f>IF([1]Rseries!F95="","",[1]Rseries!F95)</f>
        <v>164457</v>
      </c>
      <c r="C150" s="1"/>
      <c r="D150" s="1"/>
    </row>
    <row r="151" spans="1:4" x14ac:dyDescent="0.25">
      <c r="A151" s="2">
        <v>39629</v>
      </c>
      <c r="B151" s="21">
        <f>IF([1]Rseries!F96="","",[1]Rseries!F96)</f>
        <v>164260</v>
      </c>
      <c r="C151" s="1"/>
      <c r="D151" s="1"/>
    </row>
    <row r="152" spans="1:4" x14ac:dyDescent="0.25">
      <c r="A152" s="2">
        <v>39660</v>
      </c>
      <c r="B152" s="21">
        <f>IF([1]Rseries!F97="","",[1]Rseries!F97)</f>
        <v>163928.32999999999</v>
      </c>
      <c r="C152" s="1"/>
      <c r="D152" s="1"/>
    </row>
    <row r="153" spans="1:4" x14ac:dyDescent="0.25">
      <c r="A153" s="2">
        <v>39691</v>
      </c>
      <c r="B153" s="21">
        <f>IF([1]Rseries!F98="","",[1]Rseries!F98)</f>
        <v>163235</v>
      </c>
      <c r="C153" s="1"/>
      <c r="D153" s="1"/>
    </row>
    <row r="154" spans="1:4" x14ac:dyDescent="0.25">
      <c r="A154" s="2">
        <v>39721</v>
      </c>
      <c r="B154" s="21">
        <f>IF([1]Rseries!F99="","",[1]Rseries!F99)</f>
        <v>162539.79</v>
      </c>
      <c r="C154" s="1"/>
      <c r="D154" s="1"/>
    </row>
    <row r="155" spans="1:4" x14ac:dyDescent="0.25">
      <c r="A155" s="2">
        <v>39752</v>
      </c>
      <c r="B155" s="21">
        <f>IF([1]Rseries!F100="","",[1]Rseries!F100)</f>
        <v>161696.43</v>
      </c>
      <c r="C155" s="1"/>
      <c r="D155" s="1"/>
    </row>
    <row r="156" spans="1:4" x14ac:dyDescent="0.25">
      <c r="A156" s="2">
        <v>39782</v>
      </c>
      <c r="B156" s="21">
        <f>IF([1]Rseries!F101="","",[1]Rseries!F101)</f>
        <v>160586.29999999999</v>
      </c>
      <c r="C156" s="1"/>
      <c r="D156" s="1"/>
    </row>
    <row r="157" spans="1:4" x14ac:dyDescent="0.25">
      <c r="A157" s="2">
        <v>39813</v>
      </c>
      <c r="B157" s="21">
        <f>IF([1]Rseries!F102="","",[1]Rseries!F102)</f>
        <v>159530.89000000001</v>
      </c>
      <c r="C157" s="1"/>
      <c r="D157" s="1"/>
    </row>
    <row r="158" spans="1:4" x14ac:dyDescent="0.25">
      <c r="A158" s="2">
        <v>39844</v>
      </c>
      <c r="B158" s="21">
        <f>IF([1]Rseries!F103="","",[1]Rseries!F103)</f>
        <v>157958.20000000001</v>
      </c>
      <c r="C158" s="1"/>
      <c r="D158" s="1"/>
    </row>
    <row r="159" spans="1:4" x14ac:dyDescent="0.25">
      <c r="A159" s="2">
        <v>39872</v>
      </c>
      <c r="B159" s="21">
        <f>IF([1]Rseries!F104="","",[1]Rseries!F104)</f>
        <v>156731.6</v>
      </c>
      <c r="C159" s="1"/>
      <c r="D159" s="1"/>
    </row>
    <row r="160" spans="1:4" x14ac:dyDescent="0.25">
      <c r="A160" s="2">
        <v>39903</v>
      </c>
      <c r="B160" s="21">
        <f>IF([1]Rseries!F105="","",[1]Rseries!F105)</f>
        <v>155827.94</v>
      </c>
      <c r="C160" s="1"/>
      <c r="D160" s="1"/>
    </row>
    <row r="161" spans="1:4" x14ac:dyDescent="0.25">
      <c r="A161" s="2">
        <v>39933</v>
      </c>
      <c r="B161" s="21">
        <f>IF([1]Rseries!F106="","",[1]Rseries!F106)</f>
        <v>154870.5</v>
      </c>
      <c r="C161" s="1"/>
      <c r="D161" s="1"/>
    </row>
    <row r="162" spans="1:4" x14ac:dyDescent="0.25">
      <c r="A162" s="2">
        <v>39964</v>
      </c>
      <c r="B162" s="21">
        <f>IF([1]Rseries!F107="","",[1]Rseries!F107)</f>
        <v>154228.15</v>
      </c>
      <c r="C162" s="1"/>
      <c r="D162" s="1"/>
    </row>
    <row r="163" spans="1:4" x14ac:dyDescent="0.25">
      <c r="A163" s="2">
        <v>39994</v>
      </c>
      <c r="B163" s="21">
        <f>IF([1]Rseries!F108="","",[1]Rseries!F108)</f>
        <v>153944.44</v>
      </c>
      <c r="C163" s="1"/>
      <c r="D163" s="1"/>
    </row>
    <row r="164" spans="1:4" x14ac:dyDescent="0.25">
      <c r="A164" s="2">
        <v>40025</v>
      </c>
      <c r="B164" s="21">
        <f>IF([1]Rseries!F109="","",[1]Rseries!F109)</f>
        <v>153458.03</v>
      </c>
      <c r="C164" s="1"/>
      <c r="D164" s="1"/>
    </row>
    <row r="165" spans="1:4" x14ac:dyDescent="0.25">
      <c r="A165" s="2">
        <v>40056</v>
      </c>
      <c r="B165" s="21">
        <f>IF([1]Rseries!F110="","",[1]Rseries!F110)</f>
        <v>152777.95000000001</v>
      </c>
      <c r="C165" s="1"/>
      <c r="D165" s="1"/>
    </row>
    <row r="166" spans="1:4" x14ac:dyDescent="0.25">
      <c r="A166" s="2">
        <v>40086</v>
      </c>
      <c r="B166" s="21">
        <f>IF([1]Rseries!F111="","",[1]Rseries!F111)</f>
        <v>152087.07999999999</v>
      </c>
      <c r="C166" s="1"/>
      <c r="D166" s="1"/>
    </row>
    <row r="167" spans="1:4" x14ac:dyDescent="0.25">
      <c r="A167" s="2">
        <v>40117</v>
      </c>
      <c r="B167" s="21">
        <f>IF([1]Rseries!F112="","",[1]Rseries!F112)</f>
        <v>151273.99</v>
      </c>
      <c r="C167" s="1"/>
      <c r="D167" s="1"/>
    </row>
    <row r="168" spans="1:4" x14ac:dyDescent="0.25">
      <c r="A168" s="2">
        <v>40147</v>
      </c>
      <c r="B168" s="21">
        <f>IF([1]Rseries!F113="","",[1]Rseries!F113)</f>
        <v>150904.18</v>
      </c>
      <c r="C168" s="1"/>
      <c r="D168" s="1"/>
    </row>
    <row r="169" spans="1:4" x14ac:dyDescent="0.25">
      <c r="A169" s="2">
        <v>40178</v>
      </c>
      <c r="B169" s="21">
        <f>IF([1]Rseries!F114="","",[1]Rseries!F114)</f>
        <v>150583.63</v>
      </c>
      <c r="C169" s="1"/>
      <c r="D169" s="1"/>
    </row>
    <row r="170" spans="1:4" x14ac:dyDescent="0.25">
      <c r="A170" s="2">
        <v>40209</v>
      </c>
      <c r="B170" s="21">
        <f>IF([1]Rseries!F115="","",[1]Rseries!F115)</f>
        <v>149795.67000000001</v>
      </c>
      <c r="C170" s="1"/>
      <c r="D170" s="1"/>
    </row>
    <row r="171" spans="1:4" x14ac:dyDescent="0.25">
      <c r="A171" s="2">
        <v>40237</v>
      </c>
      <c r="B171" s="21">
        <f>IF([1]Rseries!F116="","",[1]Rseries!F116)</f>
        <v>149122.85</v>
      </c>
      <c r="C171" s="1"/>
      <c r="D171" s="1"/>
    </row>
    <row r="172" spans="1:4" x14ac:dyDescent="0.25">
      <c r="A172" s="2">
        <v>40268</v>
      </c>
      <c r="B172" s="21">
        <f>IF([1]Rseries!F117="","",[1]Rseries!F117)</f>
        <v>149014.69</v>
      </c>
      <c r="C172" s="1"/>
      <c r="D172" s="1"/>
    </row>
    <row r="173" spans="1:4" x14ac:dyDescent="0.25">
      <c r="A173" s="2">
        <v>40298</v>
      </c>
      <c r="B173" s="21">
        <f>IF([1]Rseries!F118="","",[1]Rseries!F118)</f>
        <v>149125.95000000001</v>
      </c>
      <c r="C173" s="1"/>
      <c r="D173" s="1"/>
    </row>
    <row r="174" spans="1:4" x14ac:dyDescent="0.25">
      <c r="A174" s="2">
        <v>40329</v>
      </c>
      <c r="B174" s="21">
        <f>IF([1]Rseries!F119="","",[1]Rseries!F119)</f>
        <v>149313.51999999999</v>
      </c>
      <c r="C174" s="1"/>
      <c r="D174" s="1"/>
    </row>
    <row r="175" spans="1:4" x14ac:dyDescent="0.25">
      <c r="A175" s="2">
        <v>40359</v>
      </c>
      <c r="B175" s="21">
        <f>IF([1]Rseries!F120="","",[1]Rseries!F120)</f>
        <v>149579.67000000001</v>
      </c>
      <c r="C175" s="1"/>
      <c r="D175" s="1"/>
    </row>
    <row r="176" spans="1:4" x14ac:dyDescent="0.25">
      <c r="A176" s="2">
        <v>40390</v>
      </c>
      <c r="B176" s="21">
        <f>IF([1]Rseries!F121="","",[1]Rseries!F121)</f>
        <v>149609.9</v>
      </c>
      <c r="C176" s="1"/>
      <c r="D176" s="1"/>
    </row>
    <row r="177" spans="1:4" x14ac:dyDescent="0.25">
      <c r="A177" s="2">
        <v>40421</v>
      </c>
      <c r="B177" s="21">
        <f>IF([1]Rseries!F122="","",[1]Rseries!F122)</f>
        <v>149251.81</v>
      </c>
      <c r="C177" s="1"/>
      <c r="D177" s="1"/>
    </row>
    <row r="178" spans="1:4" x14ac:dyDescent="0.25">
      <c r="A178" s="2">
        <v>40451</v>
      </c>
      <c r="B178" s="21">
        <f>IF([1]Rseries!F123="","",[1]Rseries!F123)</f>
        <v>148872.35999999999</v>
      </c>
      <c r="C178" s="1"/>
      <c r="D178" s="1"/>
    </row>
    <row r="179" spans="1:4" x14ac:dyDescent="0.25">
      <c r="A179" s="2">
        <v>40482</v>
      </c>
      <c r="B179" s="21">
        <f>IF([1]Rseries!F124="","",[1]Rseries!F124)</f>
        <v>148593.45000000001</v>
      </c>
      <c r="C179" s="1"/>
      <c r="D179" s="1"/>
    </row>
    <row r="180" spans="1:4" x14ac:dyDescent="0.25">
      <c r="A180" s="2">
        <v>40512</v>
      </c>
      <c r="B180" s="21">
        <f>IF([1]Rseries!F125="","",[1]Rseries!F125)</f>
        <v>148287.76</v>
      </c>
      <c r="C180" s="1"/>
      <c r="D180" s="1"/>
    </row>
    <row r="181" spans="1:4" x14ac:dyDescent="0.25">
      <c r="A181" s="2">
        <v>40543</v>
      </c>
      <c r="B181" s="21">
        <f>IF([1]Rseries!F126="","",[1]Rseries!F126)</f>
        <v>147909.15</v>
      </c>
      <c r="C181" s="1"/>
      <c r="D181" s="1"/>
    </row>
    <row r="182" spans="1:4" x14ac:dyDescent="0.25">
      <c r="A182" s="2">
        <v>40574</v>
      </c>
      <c r="B182" s="21">
        <f>IF([1]Rseries!F127="","",[1]Rseries!F127)</f>
        <v>147286.39999999999</v>
      </c>
      <c r="C182" s="1"/>
      <c r="D182" s="1"/>
    </row>
    <row r="183" spans="1:4" x14ac:dyDescent="0.25">
      <c r="A183" s="2">
        <v>40602</v>
      </c>
      <c r="B183" s="21">
        <f>IF([1]Rseries!F128="","",[1]Rseries!F128)</f>
        <v>146645.85</v>
      </c>
      <c r="C183" s="1"/>
      <c r="D183" s="1"/>
    </row>
    <row r="184" spans="1:4" x14ac:dyDescent="0.25">
      <c r="A184" s="2">
        <v>40633</v>
      </c>
      <c r="B184" s="21">
        <f>IF([1]Rseries!F129="","",[1]Rseries!F129)</f>
        <v>146910.82</v>
      </c>
      <c r="C184" s="1"/>
      <c r="D184" s="1"/>
    </row>
    <row r="185" spans="1:4" x14ac:dyDescent="0.25">
      <c r="A185" s="2">
        <v>40663</v>
      </c>
      <c r="B185" s="21">
        <f>IF([1]Rseries!F130="","",[1]Rseries!F130)</f>
        <v>147073.47</v>
      </c>
      <c r="C185" s="1"/>
      <c r="D185" s="1"/>
    </row>
    <row r="186" spans="1:4" x14ac:dyDescent="0.25">
      <c r="A186" s="2">
        <v>40694</v>
      </c>
      <c r="B186" s="21">
        <f>IF([1]Rseries!F131="","",[1]Rseries!F131)</f>
        <v>147544.35</v>
      </c>
      <c r="C186" s="1"/>
      <c r="D186" s="1"/>
    </row>
    <row r="187" spans="1:4" x14ac:dyDescent="0.25">
      <c r="A187" s="2">
        <v>40724</v>
      </c>
      <c r="B187" s="21">
        <f>IF([1]Rseries!F132="","",[1]Rseries!F132)</f>
        <v>147826.44</v>
      </c>
      <c r="C187" s="1"/>
      <c r="D187" s="1"/>
    </row>
    <row r="188" spans="1:4" x14ac:dyDescent="0.25">
      <c r="A188" s="2">
        <v>40755</v>
      </c>
      <c r="B188" s="21">
        <f>IF([1]Rseries!F133="","",[1]Rseries!F133)</f>
        <v>147736.85</v>
      </c>
      <c r="C188" s="1"/>
      <c r="D188" s="1"/>
    </row>
    <row r="189" spans="1:4" x14ac:dyDescent="0.25">
      <c r="A189" s="2">
        <v>40786</v>
      </c>
      <c r="B189" s="21">
        <f>IF([1]Rseries!F134="","",[1]Rseries!F134)</f>
        <v>147249.99</v>
      </c>
      <c r="C189" s="1"/>
      <c r="D189" s="1"/>
    </row>
    <row r="190" spans="1:4" x14ac:dyDescent="0.25">
      <c r="A190" s="2">
        <v>40816</v>
      </c>
      <c r="B190" s="21">
        <f>IF([1]Rseries!F135="","",[1]Rseries!F135)</f>
        <v>146904.85</v>
      </c>
      <c r="C190" s="1"/>
      <c r="D190" s="1"/>
    </row>
    <row r="191" spans="1:4" x14ac:dyDescent="0.25">
      <c r="A191" s="2">
        <v>40847</v>
      </c>
      <c r="B191" s="21">
        <f>IF([1]Rseries!F136="","",[1]Rseries!F136)</f>
        <v>146512.20000000001</v>
      </c>
      <c r="C191" s="1"/>
      <c r="D191" s="1"/>
    </row>
    <row r="192" spans="1:4" x14ac:dyDescent="0.25">
      <c r="A192" s="2">
        <v>40877</v>
      </c>
      <c r="B192" s="21">
        <f>IF([1]Rseries!F137="","",[1]Rseries!F137)</f>
        <v>146132.18</v>
      </c>
      <c r="C192" s="1"/>
      <c r="D192" s="1"/>
    </row>
    <row r="193" spans="1:4" x14ac:dyDescent="0.25">
      <c r="A193" s="2">
        <v>40908</v>
      </c>
      <c r="B193" s="21">
        <f>IF([1]Rseries!F138="","",[1]Rseries!F138)</f>
        <v>145651.1</v>
      </c>
      <c r="C193" s="1"/>
      <c r="D193" s="1"/>
    </row>
    <row r="194" spans="1:4" x14ac:dyDescent="0.25">
      <c r="A194" s="2">
        <v>40939</v>
      </c>
      <c r="B194" s="21">
        <f>IF([1]Rseries!F139="","",[1]Rseries!F139)</f>
        <v>144144.32000000001</v>
      </c>
      <c r="C194" s="1"/>
      <c r="D194" s="1"/>
    </row>
    <row r="195" spans="1:4" x14ac:dyDescent="0.25">
      <c r="A195" s="2">
        <v>40968</v>
      </c>
      <c r="B195" s="21">
        <f>IF([1]Rseries!F140="","",[1]Rseries!F140)</f>
        <v>144020.47</v>
      </c>
      <c r="C195" s="1"/>
      <c r="D195" s="1"/>
    </row>
    <row r="196" spans="1:4" x14ac:dyDescent="0.25">
      <c r="A196" s="2">
        <v>40999</v>
      </c>
      <c r="B196" s="21">
        <f>IF([1]Rseries!F141="","",[1]Rseries!F141)</f>
        <v>144150.62</v>
      </c>
      <c r="C196" s="1"/>
      <c r="D196" s="1"/>
    </row>
    <row r="197" spans="1:4" x14ac:dyDescent="0.25">
      <c r="A197" s="2">
        <v>41029</v>
      </c>
      <c r="B197" s="21">
        <f>IF([1]Rseries!F142="","",[1]Rseries!F142)</f>
        <v>144386.94</v>
      </c>
      <c r="C197" s="1"/>
      <c r="D197" s="1"/>
    </row>
    <row r="198" spans="1:4" x14ac:dyDescent="0.25">
      <c r="A198" s="2">
        <v>41060</v>
      </c>
      <c r="B198" s="21">
        <f>IF([1]Rseries!F143="","",[1]Rseries!F143)</f>
        <v>144690.31</v>
      </c>
      <c r="C198" s="1"/>
      <c r="D198" s="1"/>
    </row>
    <row r="199" spans="1:4" x14ac:dyDescent="0.25">
      <c r="A199" s="2">
        <v>41090</v>
      </c>
      <c r="B199" s="21">
        <f>IF([1]Rseries!F144="","",[1]Rseries!F144)</f>
        <v>144916.66</v>
      </c>
      <c r="C199" s="1"/>
      <c r="D199" s="1"/>
    </row>
    <row r="200" spans="1:4" x14ac:dyDescent="0.25">
      <c r="A200" s="2">
        <v>41121</v>
      </c>
      <c r="B200" s="21">
        <f>IF([1]Rseries!F145="","",[1]Rseries!F145)</f>
        <v>144940.49</v>
      </c>
      <c r="C200" s="1"/>
      <c r="D200" s="1"/>
    </row>
    <row r="201" spans="1:4" x14ac:dyDescent="0.25">
      <c r="A201" s="2">
        <v>41152</v>
      </c>
      <c r="B201" s="21">
        <f>IF([1]Rseries!F146="","",[1]Rseries!F146)</f>
        <v>144416.71</v>
      </c>
      <c r="C201" s="1"/>
      <c r="D201" s="1"/>
    </row>
    <row r="202" spans="1:4" x14ac:dyDescent="0.25">
      <c r="A202" s="2">
        <v>41182</v>
      </c>
      <c r="B202" s="21">
        <f>IF([1]Rseries!F147="","",[1]Rseries!F147)</f>
        <v>143941.79999999999</v>
      </c>
      <c r="C202" s="1"/>
      <c r="D202" s="1"/>
    </row>
    <row r="203" spans="1:4" x14ac:dyDescent="0.25">
      <c r="A203" s="2">
        <v>41213</v>
      </c>
      <c r="B203" s="21">
        <f>IF([1]Rseries!F148="","",[1]Rseries!F148)</f>
        <v>143685</v>
      </c>
    </row>
    <row r="204" spans="1:4" x14ac:dyDescent="0.25">
      <c r="A204" s="2">
        <v>41243</v>
      </c>
      <c r="B204" s="21">
        <f>IF([1]Rseries!F149="","",[1]Rseries!F149)</f>
        <v>143338</v>
      </c>
    </row>
    <row r="205" spans="1:4" x14ac:dyDescent="0.25">
      <c r="A205" s="2">
        <v>41274</v>
      </c>
      <c r="B205" s="21">
        <f>IF([1]Rseries!F150="","",[1]Rseries!F150)</f>
        <v>143014</v>
      </c>
    </row>
    <row r="206" spans="1:4" x14ac:dyDescent="0.25">
      <c r="A206" s="2">
        <v>41305</v>
      </c>
      <c r="B206" s="21">
        <f>IF([1]Rseries!F151="","",[1]Rseries!F151)</f>
        <v>142194</v>
      </c>
    </row>
    <row r="207" spans="1:4" x14ac:dyDescent="0.25">
      <c r="A207" s="2">
        <v>41333</v>
      </c>
      <c r="B207" s="21">
        <f>IF([1]Rseries!F152="","",[1]Rseries!F152)</f>
        <v>141640</v>
      </c>
    </row>
    <row r="208" spans="1:4" x14ac:dyDescent="0.25">
      <c r="A208" s="2">
        <v>41364</v>
      </c>
      <c r="B208" s="21">
        <f>IF([1]Rseries!F153="","",[1]Rseries!F153)</f>
        <v>141877</v>
      </c>
    </row>
    <row r="209" spans="1:2" x14ac:dyDescent="0.25">
      <c r="A209" s="2">
        <v>41394</v>
      </c>
      <c r="B209" s="21">
        <f>IF([1]Rseries!F154="","",[1]Rseries!F154)</f>
        <v>142327</v>
      </c>
    </row>
    <row r="210" spans="1:2" x14ac:dyDescent="0.25">
      <c r="A210" s="2">
        <v>41425</v>
      </c>
      <c r="B210" s="21">
        <f>IF([1]Rseries!F155="","",[1]Rseries!F155)</f>
        <v>143069</v>
      </c>
    </row>
    <row r="211" spans="1:2" x14ac:dyDescent="0.25">
      <c r="A211" s="2">
        <v>41455</v>
      </c>
      <c r="B211" s="21">
        <f>IF([1]Rseries!F156="","",[1]Rseries!F156)</f>
        <v>143753</v>
      </c>
    </row>
    <row r="212" spans="1:2" x14ac:dyDescent="0.25">
      <c r="A212" s="2">
        <v>41486</v>
      </c>
      <c r="B212" s="21">
        <f>IF([1]Rseries!F157="","",[1]Rseries!F157)</f>
        <v>144323</v>
      </c>
    </row>
    <row r="213" spans="1:2" x14ac:dyDescent="0.25">
      <c r="A213" s="2">
        <v>41517</v>
      </c>
      <c r="B213" s="21">
        <f>IF([1]Rseries!F158="","",[1]Rseries!F158)</f>
        <v>144014</v>
      </c>
    </row>
    <row r="214" spans="1:2" x14ac:dyDescent="0.25">
      <c r="A214" s="2">
        <v>41547</v>
      </c>
      <c r="B214" s="21">
        <f>IF([1]Rseries!F159="","",[1]Rseries!F159)</f>
        <v>143958</v>
      </c>
    </row>
    <row r="215" spans="1:2" x14ac:dyDescent="0.25">
      <c r="A215" s="2">
        <v>41578</v>
      </c>
      <c r="B215" s="21">
        <f>IF([1]Rseries!F160="","",[1]Rseries!F160)</f>
        <v>144129</v>
      </c>
    </row>
    <row r="216" spans="1:2" x14ac:dyDescent="0.25">
      <c r="A216" s="2">
        <v>41608</v>
      </c>
      <c r="B216" s="21">
        <f>IF([1]Rseries!F161="","",[1]Rseries!F161)</f>
        <v>144412</v>
      </c>
    </row>
    <row r="217" spans="1:2" x14ac:dyDescent="0.25">
      <c r="A217" s="2">
        <v>41639</v>
      </c>
      <c r="B217" s="21">
        <f>IF([1]Rseries!F162="","",[1]Rseries!F162)</f>
        <v>144614</v>
      </c>
    </row>
    <row r="218" spans="1:2" x14ac:dyDescent="0.25">
      <c r="A218" s="2">
        <v>41670</v>
      </c>
      <c r="B218" s="21">
        <f>IF([1]Rseries!F163="","",[1]Rseries!F163)</f>
        <v>144155</v>
      </c>
    </row>
    <row r="219" spans="1:2" x14ac:dyDescent="0.25">
      <c r="A219" s="2">
        <v>41698</v>
      </c>
      <c r="B219" s="21">
        <f>IF([1]Rseries!F164="","",[1]Rseries!F164)</f>
        <v>144103</v>
      </c>
    </row>
    <row r="220" spans="1:2" x14ac:dyDescent="0.25">
      <c r="A220" s="2">
        <v>41729</v>
      </c>
      <c r="B220" s="21">
        <f>IF([1]Rseries!F165="","",[1]Rseries!F165)</f>
        <v>144566</v>
      </c>
    </row>
    <row r="221" spans="1:2" x14ac:dyDescent="0.25">
      <c r="A221" s="2">
        <v>41759</v>
      </c>
      <c r="B221" s="21">
        <f>IF([1]Rseries!F166="","",[1]Rseries!F166)</f>
        <v>145312</v>
      </c>
    </row>
    <row r="222" spans="1:2" x14ac:dyDescent="0.25">
      <c r="A222" s="2">
        <v>41790</v>
      </c>
      <c r="B222" s="21">
        <f>IF([1]Rseries!F167="","",[1]Rseries!F167)</f>
        <v>146059</v>
      </c>
    </row>
    <row r="223" spans="1:2" x14ac:dyDescent="0.25">
      <c r="A223" s="2">
        <v>41820</v>
      </c>
      <c r="B223" s="21">
        <f>IF([1]Rseries!F168="","",[1]Rseries!F168)</f>
        <v>146769</v>
      </c>
    </row>
    <row r="224" spans="1:2" x14ac:dyDescent="0.25">
      <c r="A224" s="2">
        <v>41851</v>
      </c>
      <c r="B224" s="21">
        <f>IF([1]Rseries!F169="","",[1]Rseries!F169)</f>
        <v>146945</v>
      </c>
    </row>
    <row r="225" spans="1:2" x14ac:dyDescent="0.25">
      <c r="A225" s="2">
        <v>41882</v>
      </c>
      <c r="B225" s="21">
        <f>IF([1]Rseries!F170="","",[1]Rseries!F170)</f>
        <v>146608</v>
      </c>
    </row>
    <row r="226" spans="1:2" x14ac:dyDescent="0.25">
      <c r="A226" s="2">
        <v>41912</v>
      </c>
      <c r="B226" s="21">
        <f>IF([1]Rseries!F171="","",[1]Rseries!F171)</f>
        <v>146638</v>
      </c>
    </row>
    <row r="227" spans="1:2" x14ac:dyDescent="0.25">
      <c r="A227" s="2">
        <v>41943</v>
      </c>
      <c r="B227" s="21">
        <f>IF([1]Rseries!F172="","",[1]Rseries!F172)</f>
        <v>146858</v>
      </c>
    </row>
    <row r="228" spans="1:2" x14ac:dyDescent="0.25">
      <c r="A228" s="2">
        <v>41973</v>
      </c>
      <c r="B228" s="21">
        <f>IF([1]Rseries!F173="","",[1]Rseries!F173)</f>
        <v>147040</v>
      </c>
    </row>
    <row r="229" spans="1:2" x14ac:dyDescent="0.25">
      <c r="A229" s="2">
        <v>42004</v>
      </c>
      <c r="B229" s="21">
        <f>IF([1]Rseries!F174="","",[1]Rseries!F174)</f>
        <v>146997</v>
      </c>
    </row>
    <row r="230" spans="1:2" x14ac:dyDescent="0.25">
      <c r="A230" s="2">
        <v>42035</v>
      </c>
      <c r="B230" s="21">
        <f>IF([1]Rseries!F175="","",[1]Rseries!F175)</f>
        <v>146411</v>
      </c>
    </row>
    <row r="231" spans="1:2" x14ac:dyDescent="0.25">
      <c r="A231" s="2">
        <v>42063</v>
      </c>
      <c r="B231" s="21">
        <f>IF([1]Rseries!F176="","",[1]Rseries!F176)</f>
        <v>146279</v>
      </c>
    </row>
    <row r="232" spans="1:2" x14ac:dyDescent="0.25">
      <c r="A232" s="2">
        <v>42094</v>
      </c>
      <c r="B232" s="21">
        <f>IF([1]Rseries!F177="","",[1]Rseries!F177)</f>
        <v>146804</v>
      </c>
    </row>
    <row r="233" spans="1:2" x14ac:dyDescent="0.25">
      <c r="A233" s="2">
        <v>42124</v>
      </c>
      <c r="B233" s="21">
        <f>IF([1]Rseries!F178="","",[1]Rseries!F178)</f>
        <v>147566</v>
      </c>
    </row>
    <row r="234" spans="1:2" x14ac:dyDescent="0.25">
      <c r="A234" s="2">
        <v>42155</v>
      </c>
      <c r="B234" s="21">
        <f>IF([1]Rseries!F179="","",[1]Rseries!F179)</f>
        <v>148404</v>
      </c>
    </row>
    <row r="235" spans="1:2" x14ac:dyDescent="0.25">
      <c r="A235" s="2">
        <v>42185</v>
      </c>
      <c r="B235" s="21">
        <f>IF([1]Rseries!F180="","",[1]Rseries!F180)</f>
        <v>149160</v>
      </c>
    </row>
    <row r="236" spans="1:2" x14ac:dyDescent="0.25">
      <c r="A236" s="2">
        <v>42216</v>
      </c>
      <c r="B236" s="21">
        <f>IF([1]Rseries!F181="","",[1]Rseries!F181)</f>
        <v>149368</v>
      </c>
    </row>
    <row r="237" spans="1:2" x14ac:dyDescent="0.25">
      <c r="A237" s="2">
        <v>42247</v>
      </c>
      <c r="B237" s="21">
        <f>IF([1]Rseries!F182="","",[1]Rseries!F182)</f>
        <v>148997</v>
      </c>
    </row>
    <row r="238" spans="1:2" x14ac:dyDescent="0.25">
      <c r="A238" s="2">
        <v>42277</v>
      </c>
      <c r="B238" s="21">
        <f>IF([1]Rseries!F183="","",[1]Rseries!F183)</f>
        <v>148864</v>
      </c>
    </row>
    <row r="239" spans="1:2" x14ac:dyDescent="0.25">
      <c r="A239" s="2">
        <v>42308</v>
      </c>
      <c r="B239" s="21">
        <f>IF([1]Rseries!F184="","",[1]Rseries!F184)</f>
        <v>148860</v>
      </c>
    </row>
    <row r="240" spans="1:2" x14ac:dyDescent="0.25">
      <c r="A240" s="2">
        <v>42338</v>
      </c>
      <c r="B240" s="21">
        <f>IF([1]Rseries!F185="","",[1]Rseries!F185)</f>
        <v>148921</v>
      </c>
    </row>
    <row r="241" spans="1:2" x14ac:dyDescent="0.25">
      <c r="A241" s="2">
        <v>42369</v>
      </c>
      <c r="B241" s="21">
        <f>IF([1]Rseries!F186="","",[1]Rseries!F186)</f>
        <v>147806</v>
      </c>
    </row>
    <row r="242" spans="1:2" x14ac:dyDescent="0.25">
      <c r="A242" s="2">
        <v>42400</v>
      </c>
      <c r="B242" s="21">
        <f>IF([1]Rseries!F187="","",[1]Rseries!F187)</f>
        <v>147886</v>
      </c>
    </row>
    <row r="243" spans="1:2" x14ac:dyDescent="0.25">
      <c r="A243" s="2">
        <v>42429</v>
      </c>
      <c r="B243" s="21">
        <f>IF([1]Rseries!F188="","",[1]Rseries!F188)</f>
        <v>147901</v>
      </c>
    </row>
    <row r="244" spans="1:2" x14ac:dyDescent="0.25">
      <c r="A244" s="2">
        <v>42460</v>
      </c>
      <c r="B244" s="21">
        <f>IF([1]Rseries!F189="","",[1]Rseries!F189)</f>
        <v>148292</v>
      </c>
    </row>
    <row r="245" spans="1:2" x14ac:dyDescent="0.25">
      <c r="A245" s="2">
        <v>42490</v>
      </c>
      <c r="B245" s="21">
        <f>IF([1]Rseries!F190="","",[1]Rseries!F190)</f>
        <v>148819</v>
      </c>
    </row>
    <row r="246" spans="1:2" x14ac:dyDescent="0.25">
      <c r="A246" s="2">
        <v>42521</v>
      </c>
      <c r="B246" s="21">
        <f>IF([1]Rseries!F191="","",[1]Rseries!F191)</f>
        <v>149398</v>
      </c>
    </row>
    <row r="247" spans="1:2" x14ac:dyDescent="0.25">
      <c r="A247" s="2">
        <v>42551</v>
      </c>
      <c r="B247" s="21">
        <f>IF([1]Rseries!F192="","",[1]Rseries!F192)</f>
        <v>149817</v>
      </c>
    </row>
    <row r="248" spans="1:2" x14ac:dyDescent="0.25">
      <c r="A248" s="2">
        <v>42582</v>
      </c>
      <c r="B248" s="21">
        <f>IF([1]Rseries!F193="","",[1]Rseries!F193)</f>
        <v>149883</v>
      </c>
    </row>
    <row r="249" spans="1:2" x14ac:dyDescent="0.25">
      <c r="A249" s="2">
        <v>42613</v>
      </c>
      <c r="B249" s="21">
        <f>IF([1]Rseries!F194="","",[1]Rseries!F194)</f>
        <v>149441</v>
      </c>
    </row>
    <row r="250" spans="1:2" x14ac:dyDescent="0.25">
      <c r="A250" s="2">
        <v>42643</v>
      </c>
      <c r="B250" s="21">
        <f>IF([1]Rseries!F195="","",[1]Rseries!F195)</f>
        <v>149062</v>
      </c>
    </row>
    <row r="251" spans="1:2" x14ac:dyDescent="0.25">
      <c r="A251" s="2">
        <v>42674</v>
      </c>
      <c r="B251" s="21">
        <f>IF([1]Rseries!F196="","",[1]Rseries!F196)</f>
        <v>149089</v>
      </c>
    </row>
    <row r="252" spans="1:2" x14ac:dyDescent="0.25">
      <c r="A252" s="2">
        <v>42704</v>
      </c>
      <c r="B252" s="21">
        <f>IF([1]Rseries!F197="","",[1]Rseries!F197)</f>
        <v>149200</v>
      </c>
    </row>
    <row r="253" spans="1:2" x14ac:dyDescent="0.25">
      <c r="A253" s="2">
        <v>42735</v>
      </c>
      <c r="B253" s="21">
        <f>IF([1]Rseries!F198="","",[1]Rseries!F198)</f>
        <v>148893</v>
      </c>
    </row>
    <row r="254" spans="1:2" x14ac:dyDescent="0.25">
      <c r="A254" s="2">
        <v>42766</v>
      </c>
      <c r="B254" s="21">
        <f>IF([1]Rseries!F199="","",[1]Rseries!F199)</f>
        <v>148034</v>
      </c>
    </row>
    <row r="255" spans="1:2" x14ac:dyDescent="0.25">
      <c r="A255" s="2">
        <v>42794</v>
      </c>
      <c r="B255" s="21">
        <f>IF([1]Rseries!F200="","",[1]Rseries!F200)</f>
        <v>148017.75</v>
      </c>
    </row>
    <row r="256" spans="1:2" x14ac:dyDescent="0.25">
      <c r="A256" s="2">
        <v>42825</v>
      </c>
      <c r="B256" s="21">
        <f>IF([1]Rseries!F201="","",[1]Rseries!F201)</f>
        <v>148384.68</v>
      </c>
    </row>
    <row r="257" spans="1:2" x14ac:dyDescent="0.25">
      <c r="A257" s="2">
        <v>42855</v>
      </c>
      <c r="B257" s="21">
        <f>IF([1]Rseries!F202="","",[1]Rseries!F202)</f>
        <v>148928</v>
      </c>
    </row>
    <row r="258" spans="1:2" x14ac:dyDescent="0.25">
      <c r="A258" s="2">
        <v>42886</v>
      </c>
      <c r="B258" s="21">
        <f>IF([1]Rseries!F203="","",[1]Rseries!F203)</f>
        <v>149616</v>
      </c>
    </row>
    <row r="259" spans="1:2" x14ac:dyDescent="0.25">
      <c r="A259" s="2">
        <v>42916</v>
      </c>
      <c r="B259" s="21">
        <f>IF([1]Rseries!F204="","",[1]Rseries!F204)</f>
        <v>149970</v>
      </c>
    </row>
    <row r="260" spans="1:2" x14ac:dyDescent="0.25">
      <c r="A260" s="2">
        <v>42947</v>
      </c>
      <c r="B260" s="21">
        <f>IF([1]Rseries!F205="","",[1]Rseries!F205)</f>
        <v>149605</v>
      </c>
    </row>
    <row r="261" spans="1:2" x14ac:dyDescent="0.25">
      <c r="A261" s="2">
        <v>42978</v>
      </c>
      <c r="B261" s="21">
        <f>IF([1]Rseries!F206="","",[1]Rseries!F206)</f>
        <v>148912</v>
      </c>
    </row>
    <row r="262" spans="1:2" x14ac:dyDescent="0.25">
      <c r="A262" s="2">
        <v>43008</v>
      </c>
      <c r="B262" s="21">
        <f>IF([1]Rseries!F207="","",[1]Rseries!F207)</f>
        <v>148762</v>
      </c>
    </row>
    <row r="263" spans="1:2" x14ac:dyDescent="0.25">
      <c r="A263" s="2">
        <v>43039</v>
      </c>
      <c r="B263" s="21">
        <f>IF([1]Rseries!F208="","",[1]Rseries!F208)</f>
        <v>148679</v>
      </c>
    </row>
    <row r="264" spans="1:2" x14ac:dyDescent="0.25">
      <c r="A264" s="2">
        <v>43069</v>
      </c>
      <c r="B264" s="21">
        <f>IF([1]Rseries!F209="","",[1]Rseries!F209)</f>
        <v>148566</v>
      </c>
    </row>
    <row r="265" spans="1:2" x14ac:dyDescent="0.25">
      <c r="A265" s="2">
        <v>43100</v>
      </c>
      <c r="B265" s="21">
        <f>IF([1]Rseries!F210="","",[1]Rseries!F210)</f>
        <v>148218</v>
      </c>
    </row>
    <row r="266" spans="1:2" x14ac:dyDescent="0.25">
      <c r="A266" s="2">
        <v>43131</v>
      </c>
      <c r="B266" s="21">
        <f>IF([1]Rseries!F211="","",[1]Rseries!F211)</f>
        <v>147784</v>
      </c>
    </row>
    <row r="267" spans="1:2" x14ac:dyDescent="0.25">
      <c r="A267" s="2">
        <v>43159</v>
      </c>
      <c r="B267" s="21">
        <f>IF([1]Rseries!F212="","",[1]Rseries!F212)</f>
        <v>148305</v>
      </c>
    </row>
    <row r="268" spans="1:2" x14ac:dyDescent="0.25">
      <c r="A268" s="2">
        <v>43190</v>
      </c>
      <c r="B268" s="21">
        <f>IF([1]Rseries!F213="","",[1]Rseries!F213)</f>
        <v>148744</v>
      </c>
    </row>
    <row r="269" spans="1:2" x14ac:dyDescent="0.25">
      <c r="A269" s="2">
        <v>43220</v>
      </c>
      <c r="B269" s="21">
        <f>IF([1]Rseries!F214="","",[1]Rseries!F214)</f>
        <v>149238</v>
      </c>
    </row>
    <row r="270" spans="1:2" x14ac:dyDescent="0.25">
      <c r="A270" s="2">
        <v>43251</v>
      </c>
      <c r="B270" s="21">
        <f>IF([1]Rseries!F215="","",[1]Rseries!F215)</f>
        <v>149870</v>
      </c>
    </row>
    <row r="271" spans="1:2" x14ac:dyDescent="0.25">
      <c r="A271" s="2">
        <v>43281</v>
      </c>
      <c r="B271" s="21">
        <f>IF([1]Rseries!F216="","",[1]Rseries!F216)</f>
        <v>150225</v>
      </c>
    </row>
    <row r="272" spans="1:2" x14ac:dyDescent="0.25">
      <c r="A272" s="2">
        <v>43312</v>
      </c>
      <c r="B272" s="21">
        <f>IF([1]Rseries!F217="","",[1]Rseries!F217)</f>
        <v>149958</v>
      </c>
    </row>
    <row r="273" spans="1:2" x14ac:dyDescent="0.25">
      <c r="A273" s="2">
        <v>43343</v>
      </c>
      <c r="B273" s="21">
        <f>IF([1]Rseries!F218="","",[1]Rseries!F218)</f>
        <v>149352</v>
      </c>
    </row>
    <row r="274" spans="1:2" x14ac:dyDescent="0.25">
      <c r="A274" s="2">
        <v>43373</v>
      </c>
      <c r="B274" s="21">
        <f>IF([1]Rseries!F219="","",[1]Rseries!F219)</f>
        <v>149207</v>
      </c>
    </row>
    <row r="275" spans="1:2" x14ac:dyDescent="0.25">
      <c r="A275" s="2">
        <v>43404</v>
      </c>
      <c r="B275" s="21">
        <f>IF([1]Rseries!F220="","",[1]Rseries!F220)</f>
        <v>149350</v>
      </c>
    </row>
    <row r="276" spans="1:2" x14ac:dyDescent="0.25">
      <c r="A276" s="2">
        <v>43434</v>
      </c>
      <c r="B276" s="21">
        <f>IF([1]Rseries!F221="","",[1]Rseries!F221)</f>
        <v>149316</v>
      </c>
    </row>
    <row r="277" spans="1:2" x14ac:dyDescent="0.25">
      <c r="A277" s="2">
        <v>43465</v>
      </c>
      <c r="B277" s="21">
        <f>IF([1]Rseries!F222="","",[1]Rseries!F222)</f>
        <v>149183</v>
      </c>
    </row>
    <row r="278" spans="1:2" x14ac:dyDescent="0.25">
      <c r="A278" s="2">
        <v>43496</v>
      </c>
      <c r="B278" s="21">
        <f>IF([1]Rseries!F223="","",[1]Rseries!F223)</f>
        <v>148252</v>
      </c>
    </row>
    <row r="279" spans="1:2" x14ac:dyDescent="0.25">
      <c r="A279" s="2">
        <v>43524</v>
      </c>
      <c r="B279" s="21">
        <f>IF([1]Rseries!F224="","",[1]Rseries!F224)</f>
        <v>148238</v>
      </c>
    </row>
    <row r="280" spans="1:2" x14ac:dyDescent="0.25">
      <c r="A280" s="2">
        <v>43555</v>
      </c>
      <c r="B280" s="21">
        <f>IF([1]Rseries!F225="","",[1]Rseries!F225)</f>
        <v>148311</v>
      </c>
    </row>
    <row r="281" spans="1:2" x14ac:dyDescent="0.25">
      <c r="A281" s="2">
        <v>43585</v>
      </c>
      <c r="B281" s="21">
        <f>IF([1]Rseries!F226="","",[1]Rseries!F226)</f>
        <v>148609</v>
      </c>
    </row>
    <row r="282" spans="1:2" x14ac:dyDescent="0.25">
      <c r="A282" s="2">
        <v>43616</v>
      </c>
      <c r="B282" s="21">
        <f>IF([1]Rseries!F227="","",[1]Rseries!F227)</f>
        <v>149121</v>
      </c>
    </row>
    <row r="283" spans="1:2" x14ac:dyDescent="0.25">
      <c r="A283" s="2">
        <v>43646</v>
      </c>
      <c r="B283" s="21">
        <f>IF([1]Rseries!F228="","",[1]Rseries!F228)</f>
        <v>149647</v>
      </c>
    </row>
    <row r="284" spans="1:2" x14ac:dyDescent="0.25">
      <c r="A284" s="2">
        <v>43677</v>
      </c>
      <c r="B284" s="21">
        <f>IF([1]Rseries!F229="","",[1]Rseries!F229)</f>
        <v>149536</v>
      </c>
    </row>
    <row r="285" spans="1:2" x14ac:dyDescent="0.25">
      <c r="A285" s="2">
        <v>43708</v>
      </c>
      <c r="B285" s="21">
        <f>IF([1]Rseries!F230="","",[1]Rseries!F230)</f>
        <v>149110</v>
      </c>
    </row>
    <row r="286" spans="1:2" x14ac:dyDescent="0.25">
      <c r="A286" s="2">
        <v>43738</v>
      </c>
      <c r="B286" s="21">
        <f>IF([1]Rseries!F231="","",[1]Rseries!F231)</f>
        <v>148943</v>
      </c>
    </row>
    <row r="287" spans="1:2" x14ac:dyDescent="0.25">
      <c r="A287" s="2">
        <v>43769</v>
      </c>
      <c r="B287" s="21">
        <f>IF([1]Rseries!F232="","",[1]Rseries!F232)</f>
        <v>149045</v>
      </c>
    </row>
    <row r="288" spans="1:2" x14ac:dyDescent="0.25">
      <c r="A288" s="2">
        <v>43799</v>
      </c>
      <c r="B288" s="21">
        <f>IF([1]Rseries!F233="","",[1]Rseries!F233)</f>
        <v>149111</v>
      </c>
    </row>
    <row r="289" spans="1:2" x14ac:dyDescent="0.25">
      <c r="A289" s="2">
        <v>43830</v>
      </c>
      <c r="B289" s="21">
        <f>IF([1]Rseries!F234="","",[1]Rseries!F234)</f>
        <v>149178</v>
      </c>
    </row>
    <row r="290" spans="1:2" x14ac:dyDescent="0.25">
      <c r="A290" s="2">
        <v>43861</v>
      </c>
      <c r="B290" s="21">
        <f>IF([1]Rseries!F235="","",[1]Rseries!F235)</f>
        <v>148410</v>
      </c>
    </row>
    <row r="291" spans="1:2" x14ac:dyDescent="0.25">
      <c r="A291" s="2">
        <v>43890</v>
      </c>
      <c r="B291" s="21">
        <f>IF([1]Rseries!F236="","",[1]Rseries!F236)</f>
        <v>148753.65</v>
      </c>
    </row>
    <row r="292" spans="1:2" x14ac:dyDescent="0.25">
      <c r="A292" s="2">
        <v>43921</v>
      </c>
      <c r="B292" s="21">
        <f>IF([1]Rseries!F237="","",[1]Rseries!F237)</f>
        <v>148152.91</v>
      </c>
    </row>
    <row r="293" spans="1:2" x14ac:dyDescent="0.25">
      <c r="A293" s="2">
        <v>43951</v>
      </c>
      <c r="B293" s="21">
        <f>IF([1]Rseries!F238="","",[1]Rseries!F238)</f>
        <v>145858.75</v>
      </c>
    </row>
    <row r="294" spans="1:2" x14ac:dyDescent="0.25">
      <c r="A294" s="2">
        <v>43982</v>
      </c>
      <c r="B294" s="21">
        <f>IF([1]Rseries!F239="","",[1]Rseries!F239)</f>
        <v>146536.75</v>
      </c>
    </row>
    <row r="295" spans="1:2" x14ac:dyDescent="0.25">
      <c r="A295" s="2">
        <v>44012</v>
      </c>
      <c r="B295" s="21">
        <f>IF([1]Rseries!F240="","",[1]Rseries!F240)</f>
        <v>147823.18182</v>
      </c>
    </row>
    <row r="296" spans="1:2" x14ac:dyDescent="0.25">
      <c r="A296" s="2">
        <v>44043</v>
      </c>
      <c r="B296" s="21">
        <f>IF([1]Rseries!F241="","",[1]Rseries!F241)</f>
        <v>148637.82</v>
      </c>
    </row>
    <row r="297" spans="1:2" x14ac:dyDescent="0.25">
      <c r="A297" s="2">
        <v>44074</v>
      </c>
      <c r="B297" s="21">
        <f>IF([1]Rseries!F242="","",[1]Rseries!F242)</f>
        <v>148683.81</v>
      </c>
    </row>
    <row r="298" spans="1:2" x14ac:dyDescent="0.25">
      <c r="A298" s="2">
        <v>44104</v>
      </c>
      <c r="B298" s="21">
        <f>IF([1]Rseries!F243="","",[1]Rseries!F243)</f>
        <v>148722.82</v>
      </c>
    </row>
    <row r="299" spans="1:2" x14ac:dyDescent="0.25">
      <c r="A299" s="2">
        <v>44135</v>
      </c>
      <c r="B299" s="21">
        <f>IF([1]Rseries!F244="","",[1]Rseries!F244)</f>
        <v>148780.34000000003</v>
      </c>
    </row>
    <row r="300" spans="1:2" x14ac:dyDescent="0.25">
      <c r="A300" s="2">
        <v>44165</v>
      </c>
      <c r="B300" s="21">
        <f>IF([1]Rseries!F245="","",[1]Rseries!F245)</f>
        <v>148838.14000000001</v>
      </c>
    </row>
    <row r="301" spans="1:2" x14ac:dyDescent="0.25">
      <c r="A301" s="2">
        <v>44196</v>
      </c>
      <c r="B301" s="21">
        <f>IF([1]Rseries!F246="","",[1]Rseries!F246)</f>
        <v>148830.17000000001</v>
      </c>
    </row>
    <row r="302" spans="1:2" x14ac:dyDescent="0.25">
      <c r="A302" s="2">
        <v>44227</v>
      </c>
      <c r="B302" s="21">
        <f>IF([1]Rseries!F247="","",[1]Rseries!F247)</f>
        <v>148169.48000000001</v>
      </c>
    </row>
    <row r="303" spans="1:2" x14ac:dyDescent="0.25">
      <c r="A303" s="2">
        <v>44255</v>
      </c>
      <c r="B303" s="21">
        <f>IF([1]Rseries!F248="","",[1]Rseries!F248)</f>
        <v>148480.75</v>
      </c>
    </row>
    <row r="304" spans="1:2" x14ac:dyDescent="0.25">
      <c r="A304" s="2">
        <v>44286</v>
      </c>
      <c r="B304" s="21" t="str">
        <f>IF([1]Rseries!F249="","",[1]Rseries!F249)</f>
        <v/>
      </c>
    </row>
    <row r="305" spans="1:2" x14ac:dyDescent="0.25">
      <c r="A305" s="2">
        <v>44316</v>
      </c>
      <c r="B305" s="21" t="str">
        <f>IF([1]Rseries!F250="","",[1]Rseries!F250)</f>
        <v/>
      </c>
    </row>
    <row r="306" spans="1:2" x14ac:dyDescent="0.25">
      <c r="A306" s="2">
        <v>44347</v>
      </c>
      <c r="B306" s="21" t="str">
        <f>IF([1]Rseries!F251="","",[1]Rseries!F251)</f>
        <v/>
      </c>
    </row>
    <row r="307" spans="1:2" x14ac:dyDescent="0.25">
      <c r="A307" s="2">
        <v>44377</v>
      </c>
      <c r="B307" s="21" t="str">
        <f>IF([1]Rseries!F252="","",[1]Rseries!F252)</f>
        <v/>
      </c>
    </row>
    <row r="308" spans="1:2" x14ac:dyDescent="0.25">
      <c r="A308" s="2">
        <v>44408</v>
      </c>
      <c r="B308" s="21" t="str">
        <f>IF([1]Rseries!F253="","",[1]Rseries!F253)</f>
        <v/>
      </c>
    </row>
    <row r="309" spans="1:2" x14ac:dyDescent="0.25">
      <c r="A309" s="2">
        <v>44439</v>
      </c>
      <c r="B309" s="21" t="str">
        <f>IF([1]Rseries!F254="","",[1]Rseries!F254)</f>
        <v/>
      </c>
    </row>
    <row r="310" spans="1:2" x14ac:dyDescent="0.25">
      <c r="A310" s="2">
        <v>44469</v>
      </c>
      <c r="B310" s="21" t="str">
        <f>IF([1]Rseries!F255="","",[1]Rseries!F255)</f>
        <v/>
      </c>
    </row>
    <row r="311" spans="1:2" x14ac:dyDescent="0.25">
      <c r="A311" s="2">
        <v>44500</v>
      </c>
      <c r="B311" s="21" t="str">
        <f>IF([1]Rseries!F256="","",[1]Rseries!F256)</f>
        <v/>
      </c>
    </row>
    <row r="312" spans="1:2" x14ac:dyDescent="0.25">
      <c r="A312" s="2">
        <v>44530</v>
      </c>
      <c r="B312" s="21" t="str">
        <f>IF([1]Rseries!F257="","",[1]Rseries!F257)</f>
        <v/>
      </c>
    </row>
    <row r="313" spans="1:2" x14ac:dyDescent="0.25">
      <c r="A313" s="2">
        <v>44561</v>
      </c>
      <c r="B313" s="21" t="str">
        <f>IF([1]Rseries!F258="","",[1]Rseries!F258)</f>
        <v/>
      </c>
    </row>
    <row r="314" spans="1:2" x14ac:dyDescent="0.25">
      <c r="A314" s="2">
        <v>44592</v>
      </c>
      <c r="B314" s="21" t="str">
        <f>IF([1]Rseries!F259="","",[1]Rseries!F259)</f>
        <v/>
      </c>
    </row>
    <row r="315" spans="1:2" x14ac:dyDescent="0.25">
      <c r="A315" s="2">
        <v>44620</v>
      </c>
      <c r="B315" s="21" t="str">
        <f>IF([1]Rseries!F260="","",[1]Rseries!F260)</f>
        <v/>
      </c>
    </row>
    <row r="316" spans="1:2" x14ac:dyDescent="0.25">
      <c r="A316" s="2">
        <v>44651</v>
      </c>
      <c r="B316" s="21" t="str">
        <f>IF([1]Rseries!F261="","",[1]Rseries!F261)</f>
        <v/>
      </c>
    </row>
    <row r="317" spans="1:2" x14ac:dyDescent="0.25">
      <c r="A317" s="2">
        <v>44681</v>
      </c>
      <c r="B317" s="21" t="str">
        <f>IF([1]Rseries!F262="","",[1]Rseries!F262)</f>
        <v/>
      </c>
    </row>
    <row r="318" spans="1:2" x14ac:dyDescent="0.25">
      <c r="A318" s="2">
        <v>44712</v>
      </c>
      <c r="B318" s="21" t="str">
        <f>IF([1]Rseries!F263="","",[1]Rseries!F263)</f>
        <v/>
      </c>
    </row>
    <row r="319" spans="1:2" x14ac:dyDescent="0.25">
      <c r="A319" s="2">
        <v>44742</v>
      </c>
      <c r="B319" s="21" t="str">
        <f>IF([1]Rseries!F264="","",[1]Rseries!F264)</f>
        <v/>
      </c>
    </row>
    <row r="320" spans="1:2" x14ac:dyDescent="0.25">
      <c r="A320" s="2">
        <v>44773</v>
      </c>
      <c r="B320" s="21" t="str">
        <f>IF([1]Rseries!F265="","",[1]Rseries!F265)</f>
        <v/>
      </c>
    </row>
    <row r="321" spans="1:2" x14ac:dyDescent="0.25">
      <c r="A321" s="2">
        <v>44804</v>
      </c>
      <c r="B321" s="21" t="str">
        <f>IF([1]Rseries!F266="","",[1]Rseries!F266)</f>
        <v/>
      </c>
    </row>
    <row r="322" spans="1:2" x14ac:dyDescent="0.25">
      <c r="A322" s="2">
        <v>44834</v>
      </c>
      <c r="B322" s="21" t="str">
        <f>IF([1]Rseries!F267="","",[1]Rseries!F267)</f>
        <v/>
      </c>
    </row>
    <row r="323" spans="1:2" x14ac:dyDescent="0.25">
      <c r="A323" s="2">
        <v>44865</v>
      </c>
      <c r="B323" s="21" t="str">
        <f>IF([1]Rseries!F268="","",[1]Rseries!F268)</f>
        <v/>
      </c>
    </row>
    <row r="324" spans="1:2" x14ac:dyDescent="0.25">
      <c r="A324" s="2">
        <v>44895</v>
      </c>
      <c r="B324" s="21" t="str">
        <f>IF([1]Rseries!F269="","",[1]Rseries!F269)</f>
        <v/>
      </c>
    </row>
    <row r="325" spans="1:2" x14ac:dyDescent="0.25">
      <c r="A325" s="2">
        <v>44926</v>
      </c>
      <c r="B325" s="21" t="str">
        <f>IF([1]Rseries!F270="","",[1]Rseries!F270)</f>
        <v/>
      </c>
    </row>
    <row r="326" spans="1:2" x14ac:dyDescent="0.25">
      <c r="A326" s="2">
        <v>44957</v>
      </c>
      <c r="B326" s="21" t="str">
        <f>IF([1]Rseries!F271="","",[1]Rseries!F271)</f>
        <v/>
      </c>
    </row>
    <row r="327" spans="1:2" x14ac:dyDescent="0.25">
      <c r="A327" s="2">
        <v>44985</v>
      </c>
      <c r="B327" s="21" t="str">
        <f>IF([1]Rseries!F272="","",[1]Rseries!F272)</f>
        <v/>
      </c>
    </row>
    <row r="328" spans="1:2" x14ac:dyDescent="0.25">
      <c r="A328" s="2">
        <v>45016</v>
      </c>
      <c r="B328" s="21" t="str">
        <f>IF([1]Rseries!F273="","",[1]Rseries!F273)</f>
        <v/>
      </c>
    </row>
    <row r="329" spans="1:2" x14ac:dyDescent="0.25">
      <c r="A329" s="2">
        <v>45046</v>
      </c>
      <c r="B329" s="21" t="str">
        <f>IF([1]Rseries!F274="","",[1]Rseries!F274)</f>
        <v/>
      </c>
    </row>
    <row r="330" spans="1:2" x14ac:dyDescent="0.25">
      <c r="A330" s="2">
        <v>45077</v>
      </c>
      <c r="B330" s="21" t="str">
        <f>IF([1]Rseries!F275="","",[1]Rseries!F275)</f>
        <v/>
      </c>
    </row>
    <row r="331" spans="1:2" x14ac:dyDescent="0.25">
      <c r="A331" s="2">
        <v>45107</v>
      </c>
      <c r="B331" s="21" t="str">
        <f>IF([1]Rseries!F276="","",[1]Rseries!F276)</f>
        <v/>
      </c>
    </row>
    <row r="332" spans="1:2" x14ac:dyDescent="0.25">
      <c r="A332" s="2">
        <v>45138</v>
      </c>
      <c r="B332" s="21" t="str">
        <f>IF([1]Rseries!F277="","",[1]Rseries!F277)</f>
        <v/>
      </c>
    </row>
    <row r="333" spans="1:2" x14ac:dyDescent="0.25">
      <c r="A333" s="2">
        <v>45169</v>
      </c>
      <c r="B333" s="21" t="str">
        <f>IF([1]Rseries!F278="","",[1]Rseries!F278)</f>
        <v/>
      </c>
    </row>
    <row r="334" spans="1:2" x14ac:dyDescent="0.25">
      <c r="A334" s="2">
        <v>45199</v>
      </c>
      <c r="B334" s="21" t="str">
        <f>IF([1]Rseries!F279="","",[1]Rseries!F279)</f>
        <v/>
      </c>
    </row>
    <row r="335" spans="1:2" x14ac:dyDescent="0.25">
      <c r="A335" s="2">
        <v>45230</v>
      </c>
      <c r="B335" s="21" t="str">
        <f>IF([1]Rseries!F280="","",[1]Rseries!F280)</f>
        <v/>
      </c>
    </row>
    <row r="336" spans="1:2" x14ac:dyDescent="0.25">
      <c r="A336" s="2">
        <v>45260</v>
      </c>
      <c r="B336" s="21" t="str">
        <f>IF([1]Rseries!F281="","",[1]Rseries!F281)</f>
        <v/>
      </c>
    </row>
    <row r="337" spans="1:2" x14ac:dyDescent="0.25">
      <c r="A337" s="2">
        <v>45291</v>
      </c>
      <c r="B337" s="21" t="str">
        <f>IF([1]Rseries!F282="","",[1]Rseries!F282)</f>
        <v/>
      </c>
    </row>
    <row r="338" spans="1:2" x14ac:dyDescent="0.25">
      <c r="A338" s="2">
        <v>45322</v>
      </c>
      <c r="B338" s="21" t="str">
        <f>IF([1]Rseries!F283="","",[1]Rseries!F283)</f>
        <v/>
      </c>
    </row>
    <row r="339" spans="1:2" x14ac:dyDescent="0.25">
      <c r="A339" s="2">
        <v>45351</v>
      </c>
      <c r="B339" s="21" t="str">
        <f>IF([1]Rseries!F284="","",[1]Rseries!F284)</f>
        <v/>
      </c>
    </row>
    <row r="340" spans="1:2" x14ac:dyDescent="0.25">
      <c r="A340" s="2">
        <v>45382</v>
      </c>
      <c r="B340" s="21" t="str">
        <f>IF([1]Rseries!F285="","",[1]Rseries!F285)</f>
        <v/>
      </c>
    </row>
    <row r="341" spans="1:2" x14ac:dyDescent="0.25">
      <c r="A341" s="2">
        <v>45412</v>
      </c>
      <c r="B341" s="21" t="str">
        <f>IF([1]Rseries!F286="","",[1]Rseries!F286)</f>
        <v/>
      </c>
    </row>
    <row r="342" spans="1:2" x14ac:dyDescent="0.25">
      <c r="A342" s="2">
        <v>45443</v>
      </c>
      <c r="B342" s="21" t="str">
        <f>IF([1]Rseries!F287="","",[1]Rseries!F287)</f>
        <v/>
      </c>
    </row>
    <row r="343" spans="1:2" x14ac:dyDescent="0.25">
      <c r="A343" s="2">
        <v>45473</v>
      </c>
      <c r="B343" s="21" t="str">
        <f>IF([1]Rseries!F288="","",[1]Rseries!F288)</f>
        <v/>
      </c>
    </row>
    <row r="344" spans="1:2" x14ac:dyDescent="0.25">
      <c r="A344" s="2">
        <v>45504</v>
      </c>
      <c r="B344" s="21" t="str">
        <f>IF([1]Rseries!F289="","",[1]Rseries!F289)</f>
        <v/>
      </c>
    </row>
    <row r="345" spans="1:2" x14ac:dyDescent="0.25">
      <c r="A345" s="2">
        <v>45535</v>
      </c>
      <c r="B345" s="21" t="str">
        <f>IF([1]Rseries!F290="","",[1]Rseries!F290)</f>
        <v/>
      </c>
    </row>
    <row r="346" spans="1:2" x14ac:dyDescent="0.25">
      <c r="A346" s="2">
        <v>45565</v>
      </c>
      <c r="B346" s="21" t="str">
        <f>IF([1]Rseries!F291="","",[1]Rseries!F291)</f>
        <v/>
      </c>
    </row>
    <row r="347" spans="1:2" x14ac:dyDescent="0.25">
      <c r="A347" s="2">
        <v>45596</v>
      </c>
      <c r="B347" s="21" t="str">
        <f>IF([1]Rseries!F292="","",[1]Rseries!F292)</f>
        <v/>
      </c>
    </row>
    <row r="348" spans="1:2" x14ac:dyDescent="0.25">
      <c r="A348" s="2">
        <v>45626</v>
      </c>
      <c r="B348" s="21" t="str">
        <f>IF([1]Rseries!F293="","",[1]Rseries!F293)</f>
        <v/>
      </c>
    </row>
    <row r="349" spans="1:2" x14ac:dyDescent="0.25">
      <c r="A349" s="2">
        <v>45657</v>
      </c>
      <c r="B349" s="21" t="str">
        <f>IF([1]Rseries!F294="","",[1]Rseries!F294)</f>
        <v/>
      </c>
    </row>
    <row r="350" spans="1:2" x14ac:dyDescent="0.25">
      <c r="A350" s="2">
        <v>45688</v>
      </c>
      <c r="B350" s="21" t="str">
        <f>IF([1]Rseries!F295="","",[1]Rseries!F295)</f>
        <v/>
      </c>
    </row>
    <row r="351" spans="1:2" x14ac:dyDescent="0.25">
      <c r="A351" s="2">
        <v>45716</v>
      </c>
      <c r="B351" s="21" t="str">
        <f>IF([1]Rseries!F296="","",[1]Rseries!F296)</f>
        <v/>
      </c>
    </row>
    <row r="352" spans="1:2" x14ac:dyDescent="0.25">
      <c r="A352" s="2">
        <v>45747</v>
      </c>
      <c r="B352" s="21" t="str">
        <f>IF([1]Rseries!F297="","",[1]Rseries!F297)</f>
        <v/>
      </c>
    </row>
    <row r="353" spans="1:2" x14ac:dyDescent="0.25">
      <c r="A353" s="2">
        <v>45777</v>
      </c>
      <c r="B353" s="21" t="str">
        <f>IF([1]Rseries!F298="","",[1]Rseries!F298)</f>
        <v/>
      </c>
    </row>
    <row r="354" spans="1:2" x14ac:dyDescent="0.25">
      <c r="A354" s="2">
        <v>45808</v>
      </c>
      <c r="B354" s="21" t="str">
        <f>IF([1]Rseries!F299="","",[1]Rseries!F299)</f>
        <v/>
      </c>
    </row>
    <row r="355" spans="1:2" x14ac:dyDescent="0.25">
      <c r="A355" s="2">
        <v>45838</v>
      </c>
      <c r="B355" s="21" t="str">
        <f>IF([1]Rseries!F300="","",[1]Rseries!F300)</f>
        <v/>
      </c>
    </row>
    <row r="356" spans="1:2" x14ac:dyDescent="0.25">
      <c r="A356" s="2">
        <v>45869</v>
      </c>
      <c r="B356" s="21" t="str">
        <f>IF([1]Rseries!F301="","",[1]Rseries!F301)</f>
        <v/>
      </c>
    </row>
    <row r="357" spans="1:2" x14ac:dyDescent="0.25">
      <c r="A357" s="2">
        <v>45900</v>
      </c>
      <c r="B357" s="21" t="str">
        <f>IF([1]Rseries!F302="","",[1]Rseries!F302)</f>
        <v/>
      </c>
    </row>
    <row r="358" spans="1:2" x14ac:dyDescent="0.25">
      <c r="A358" s="2">
        <v>45930</v>
      </c>
      <c r="B358" s="21" t="str">
        <f>IF([1]Rseries!F303="","",[1]Rseries!F303)</f>
        <v/>
      </c>
    </row>
    <row r="359" spans="1:2" x14ac:dyDescent="0.25">
      <c r="A359" s="2">
        <v>45961</v>
      </c>
      <c r="B359" s="21" t="str">
        <f>IF([1]Rseries!F304="","",[1]Rseries!F304)</f>
        <v/>
      </c>
    </row>
    <row r="360" spans="1:2" x14ac:dyDescent="0.25">
      <c r="A360" s="2">
        <v>45991</v>
      </c>
      <c r="B360" s="21" t="str">
        <f>IF([1]Rseries!F305="","",[1]Rseries!F305)</f>
        <v/>
      </c>
    </row>
    <row r="361" spans="1:2" x14ac:dyDescent="0.25">
      <c r="A361" s="2">
        <v>46022</v>
      </c>
      <c r="B361" s="21" t="str">
        <f>IF([1]Rseries!F306="","",[1]Rseries!F306)</f>
        <v/>
      </c>
    </row>
    <row r="362" spans="1:2" x14ac:dyDescent="0.25">
      <c r="A362" s="2">
        <v>46053</v>
      </c>
      <c r="B362" s="21" t="str">
        <f>IF([1]Rseries!F307="","",[1]Rseries!F307)</f>
        <v/>
      </c>
    </row>
    <row r="363" spans="1:2" x14ac:dyDescent="0.25">
      <c r="A363" s="2">
        <v>46081</v>
      </c>
      <c r="B363" s="21" t="str">
        <f>IF([1]Rseries!F308="","",[1]Rseries!F308)</f>
        <v/>
      </c>
    </row>
    <row r="364" spans="1:2" x14ac:dyDescent="0.25">
      <c r="A364" s="2">
        <v>46112</v>
      </c>
      <c r="B364" s="21" t="str">
        <f>IF([1]Rseries!F309="","",[1]Rseries!F309)</f>
        <v/>
      </c>
    </row>
    <row r="365" spans="1:2" x14ac:dyDescent="0.25">
      <c r="A365" s="2">
        <v>46142</v>
      </c>
      <c r="B365" s="21" t="str">
        <f>IF([1]Rseries!F310="","",[1]Rseries!F310)</f>
        <v/>
      </c>
    </row>
    <row r="366" spans="1:2" x14ac:dyDescent="0.25">
      <c r="A366" s="2">
        <v>46173</v>
      </c>
      <c r="B366" s="21" t="str">
        <f>IF([1]Rseries!F311="","",[1]Rseries!F311)</f>
        <v/>
      </c>
    </row>
    <row r="367" spans="1:2" x14ac:dyDescent="0.25">
      <c r="A367" s="2">
        <v>46203</v>
      </c>
      <c r="B367" s="21" t="str">
        <f>IF([1]Rseries!F312="","",[1]Rseries!F312)</f>
        <v/>
      </c>
    </row>
    <row r="368" spans="1:2" x14ac:dyDescent="0.25">
      <c r="A368" s="2">
        <v>46234</v>
      </c>
      <c r="B368" s="21" t="str">
        <f>IF([1]Rseries!F313="","",[1]Rseries!F313)</f>
        <v/>
      </c>
    </row>
    <row r="369" spans="1:2" x14ac:dyDescent="0.25">
      <c r="A369" s="2">
        <v>46265</v>
      </c>
      <c r="B369" s="21" t="str">
        <f>IF([1]Rseries!F314="","",[1]Rseries!F314)</f>
        <v/>
      </c>
    </row>
    <row r="370" spans="1:2" x14ac:dyDescent="0.25">
      <c r="A370" s="2">
        <v>46295</v>
      </c>
      <c r="B370" s="21" t="str">
        <f>IF([1]Rseries!F315="","",[1]Rseries!F315)</f>
        <v/>
      </c>
    </row>
    <row r="371" spans="1:2" x14ac:dyDescent="0.25">
      <c r="A371" s="2">
        <v>46326</v>
      </c>
      <c r="B371" s="21" t="str">
        <f>IF([1]Rseries!F316="","",[1]Rseries!F316)</f>
        <v/>
      </c>
    </row>
    <row r="372" spans="1:2" x14ac:dyDescent="0.25">
      <c r="A372" s="2">
        <v>46356</v>
      </c>
      <c r="B372" s="21" t="str">
        <f>IF([1]Rseries!F317="","",[1]Rseries!F317)</f>
        <v/>
      </c>
    </row>
    <row r="373" spans="1:2" x14ac:dyDescent="0.25">
      <c r="A373" s="2">
        <v>46387</v>
      </c>
      <c r="B373" s="21" t="str">
        <f>IF([1]Rseries!F318="","",[1]Rseries!F318)</f>
        <v/>
      </c>
    </row>
    <row r="374" spans="1:2" x14ac:dyDescent="0.25">
      <c r="A374" s="2">
        <v>46418</v>
      </c>
      <c r="B374" s="21" t="str">
        <f>IF([1]Rseries!F319="","",[1]Rseries!F319)</f>
        <v/>
      </c>
    </row>
    <row r="375" spans="1:2" x14ac:dyDescent="0.25">
      <c r="A375" s="2">
        <v>46446</v>
      </c>
      <c r="B375" s="21" t="str">
        <f>IF([1]Rseries!F320="","",[1]Rseries!F320)</f>
        <v/>
      </c>
    </row>
    <row r="376" spans="1:2" x14ac:dyDescent="0.25">
      <c r="A376" s="2">
        <v>46477</v>
      </c>
      <c r="B376" s="21" t="str">
        <f>IF([1]Rseries!F321="","",[1]Rseries!F321)</f>
        <v/>
      </c>
    </row>
    <row r="377" spans="1:2" x14ac:dyDescent="0.25">
      <c r="A377" s="2">
        <v>46507</v>
      </c>
      <c r="B377" s="21" t="str">
        <f>IF([1]Rseries!F322="","",[1]Rseries!F322)</f>
        <v/>
      </c>
    </row>
    <row r="378" spans="1:2" x14ac:dyDescent="0.25">
      <c r="A378" s="2">
        <v>46538</v>
      </c>
      <c r="B378" s="21" t="str">
        <f>IF([1]Rseries!F323="","",[1]Rseries!F323)</f>
        <v/>
      </c>
    </row>
    <row r="379" spans="1:2" x14ac:dyDescent="0.25">
      <c r="A379" s="2">
        <v>46568</v>
      </c>
      <c r="B379" s="21" t="str">
        <f>IF([1]Rseries!F324="","",[1]Rseries!F324)</f>
        <v/>
      </c>
    </row>
    <row r="380" spans="1:2" x14ac:dyDescent="0.25">
      <c r="A380" s="2">
        <v>46599</v>
      </c>
      <c r="B380" s="21" t="str">
        <f>IF([1]Rseries!F325="","",[1]Rseries!F325)</f>
        <v/>
      </c>
    </row>
    <row r="381" spans="1:2" x14ac:dyDescent="0.25">
      <c r="A381" s="2">
        <v>46630</v>
      </c>
      <c r="B381" s="21" t="str">
        <f>IF([1]Rseries!F326="","",[1]Rseries!F326)</f>
        <v/>
      </c>
    </row>
    <row r="382" spans="1:2" x14ac:dyDescent="0.25">
      <c r="A382" s="2">
        <v>46660</v>
      </c>
      <c r="B382" s="21" t="str">
        <f>IF([1]Rseries!F327="","",[1]Rseries!F327)</f>
        <v/>
      </c>
    </row>
    <row r="383" spans="1:2" x14ac:dyDescent="0.25">
      <c r="A383" s="2">
        <v>46691</v>
      </c>
      <c r="B383" s="21" t="str">
        <f>IF([1]Rseries!F328="","",[1]Rseries!F328)</f>
        <v/>
      </c>
    </row>
    <row r="384" spans="1:2" x14ac:dyDescent="0.25">
      <c r="A384" s="2">
        <v>46721</v>
      </c>
      <c r="B384" s="21" t="str">
        <f>IF([1]Rseries!F329="","",[1]Rseries!F329)</f>
        <v/>
      </c>
    </row>
    <row r="385" spans="1:2" x14ac:dyDescent="0.25">
      <c r="A385" s="2">
        <v>46752</v>
      </c>
      <c r="B385" s="21" t="str">
        <f>IF([1]Rseries!F330="","",[1]Rseries!F330)</f>
        <v/>
      </c>
    </row>
    <row r="386" spans="1:2" x14ac:dyDescent="0.25">
      <c r="A386" s="2">
        <v>46783</v>
      </c>
      <c r="B386" s="21" t="str">
        <f>IF([1]Rseries!F331="","",[1]Rseries!F331)</f>
        <v/>
      </c>
    </row>
    <row r="387" spans="1:2" x14ac:dyDescent="0.25">
      <c r="A387" s="2">
        <v>46812</v>
      </c>
      <c r="B387" s="21" t="str">
        <f>IF([1]Rseries!F332="","",[1]Rseries!F332)</f>
        <v/>
      </c>
    </row>
    <row r="388" spans="1:2" x14ac:dyDescent="0.25">
      <c r="A388" s="2">
        <v>46843</v>
      </c>
      <c r="B388" s="21" t="str">
        <f>IF([1]Rseries!F333="","",[1]Rseries!F333)</f>
        <v/>
      </c>
    </row>
    <row r="389" spans="1:2" x14ac:dyDescent="0.25">
      <c r="A389" s="2">
        <v>46873</v>
      </c>
      <c r="B389" s="21" t="str">
        <f>IF([1]Rseries!F334="","",[1]Rseries!F334)</f>
        <v/>
      </c>
    </row>
    <row r="390" spans="1:2" x14ac:dyDescent="0.25">
      <c r="A390" s="2">
        <v>46904</v>
      </c>
      <c r="B390" s="21" t="str">
        <f>IF([1]Rseries!F335="","",[1]Rseries!F335)</f>
        <v/>
      </c>
    </row>
    <row r="391" spans="1:2" x14ac:dyDescent="0.25">
      <c r="A391" s="2">
        <v>46934</v>
      </c>
      <c r="B391" s="21" t="str">
        <f>IF([1]Rseries!F336="","",[1]Rseries!F336)</f>
        <v/>
      </c>
    </row>
    <row r="392" spans="1:2" x14ac:dyDescent="0.25">
      <c r="A392" s="2">
        <v>46965</v>
      </c>
      <c r="B392" s="21" t="str">
        <f>IF([1]Rseries!F337="","",[1]Rseries!F337)</f>
        <v/>
      </c>
    </row>
    <row r="393" spans="1:2" x14ac:dyDescent="0.25">
      <c r="A393" s="2">
        <v>46996</v>
      </c>
      <c r="B393" s="21" t="str">
        <f>IF([1]Rseries!F338="","",[1]Rseries!F338)</f>
        <v/>
      </c>
    </row>
    <row r="394" spans="1:2" x14ac:dyDescent="0.25">
      <c r="A394" s="2">
        <v>47026</v>
      </c>
      <c r="B394" s="21" t="str">
        <f>IF([1]Rseries!F339="","",[1]Rseries!F339)</f>
        <v/>
      </c>
    </row>
    <row r="395" spans="1:2" x14ac:dyDescent="0.25">
      <c r="A395" s="2">
        <v>47057</v>
      </c>
      <c r="B395" s="21" t="str">
        <f>IF([1]Rseries!F340="","",[1]Rseries!F340)</f>
        <v/>
      </c>
    </row>
    <row r="396" spans="1:2" x14ac:dyDescent="0.25">
      <c r="A396" s="2">
        <v>47087</v>
      </c>
      <c r="B396" s="21" t="str">
        <f>IF([1]Rseries!F341="","",[1]Rseries!F341)</f>
        <v/>
      </c>
    </row>
    <row r="397" spans="1:2" x14ac:dyDescent="0.25">
      <c r="A397" s="2">
        <v>47118</v>
      </c>
      <c r="B397" s="21" t="str">
        <f>IF([1]Rseries!F342="","",[1]Rseries!F342)</f>
        <v/>
      </c>
    </row>
    <row r="398" spans="1:2" x14ac:dyDescent="0.25">
      <c r="A398" s="2">
        <v>47149</v>
      </c>
      <c r="B398" s="21" t="str">
        <f>IF([1]Rseries!F343="","",[1]Rseries!F343)</f>
        <v/>
      </c>
    </row>
    <row r="399" spans="1:2" x14ac:dyDescent="0.25">
      <c r="A399" s="2">
        <v>47177</v>
      </c>
      <c r="B399" s="21" t="str">
        <f>IF([1]Rseries!F344="","",[1]Rseries!F344)</f>
        <v/>
      </c>
    </row>
    <row r="400" spans="1:2" x14ac:dyDescent="0.25">
      <c r="A400" s="2">
        <v>47208</v>
      </c>
      <c r="B400" s="21" t="str">
        <f>IF([1]Rseries!F345="","",[1]Rseries!F345)</f>
        <v/>
      </c>
    </row>
    <row r="401" spans="1:2" x14ac:dyDescent="0.25">
      <c r="A401" s="2">
        <v>47238</v>
      </c>
      <c r="B401" s="21" t="str">
        <f>IF([1]Rseries!F346="","",[1]Rseries!F346)</f>
        <v/>
      </c>
    </row>
    <row r="402" spans="1:2" x14ac:dyDescent="0.25">
      <c r="A402" s="2">
        <v>47269</v>
      </c>
      <c r="B402" s="21" t="str">
        <f>IF([1]Rseries!F347="","",[1]Rseries!F347)</f>
        <v/>
      </c>
    </row>
    <row r="403" spans="1:2" x14ac:dyDescent="0.25">
      <c r="A403" s="2">
        <v>47299</v>
      </c>
      <c r="B403" s="21" t="str">
        <f>IF([1]Rseries!F348="","",[1]Rseries!F348)</f>
        <v/>
      </c>
    </row>
    <row r="404" spans="1:2" x14ac:dyDescent="0.25">
      <c r="A404" s="2">
        <v>47330</v>
      </c>
      <c r="B404" s="21" t="str">
        <f>IF([1]Rseries!F349="","",[1]Rseries!F349)</f>
        <v/>
      </c>
    </row>
    <row r="405" spans="1:2" x14ac:dyDescent="0.25">
      <c r="A405" s="2">
        <v>47361</v>
      </c>
      <c r="B405" s="21" t="str">
        <f>IF([1]Rseries!F350="","",[1]Rseries!F350)</f>
        <v/>
      </c>
    </row>
    <row r="406" spans="1:2" x14ac:dyDescent="0.25">
      <c r="A406" s="2">
        <v>47391</v>
      </c>
      <c r="B406" s="21" t="str">
        <f>IF([1]Rseries!F351="","",[1]Rseries!F351)</f>
        <v/>
      </c>
    </row>
    <row r="407" spans="1:2" x14ac:dyDescent="0.25">
      <c r="A407" s="2">
        <v>47422</v>
      </c>
      <c r="B407" s="21" t="str">
        <f>IF([1]Rseries!F352="","",[1]Rseries!F352)</f>
        <v/>
      </c>
    </row>
    <row r="408" spans="1:2" x14ac:dyDescent="0.25">
      <c r="A408" s="2">
        <v>47452</v>
      </c>
      <c r="B408" s="21" t="str">
        <f>IF([1]Rseries!F353="","",[1]Rseries!F353)</f>
        <v/>
      </c>
    </row>
    <row r="409" spans="1:2" x14ac:dyDescent="0.25">
      <c r="A409" s="2">
        <v>47483</v>
      </c>
      <c r="B409" s="21" t="str">
        <f>IF([1]Rseries!F354="","",[1]Rseries!F354)</f>
        <v/>
      </c>
    </row>
    <row r="410" spans="1:2" x14ac:dyDescent="0.25">
      <c r="A410" s="2">
        <v>47514</v>
      </c>
      <c r="B410" s="21" t="str">
        <f>IF([1]Rseries!F355="","",[1]Rseries!F355)</f>
        <v/>
      </c>
    </row>
    <row r="411" spans="1:2" x14ac:dyDescent="0.25">
      <c r="A411" s="2">
        <v>47542</v>
      </c>
      <c r="B411" s="21" t="str">
        <f>IF([1]Rseries!F356="","",[1]Rseries!F356)</f>
        <v/>
      </c>
    </row>
    <row r="412" spans="1:2" x14ac:dyDescent="0.25">
      <c r="A412" s="2">
        <v>47573</v>
      </c>
      <c r="B412" s="21" t="str">
        <f>IF([1]Rseries!F357="","",[1]Rseries!F357)</f>
        <v/>
      </c>
    </row>
    <row r="413" spans="1:2" x14ac:dyDescent="0.25">
      <c r="A413" s="2">
        <v>47603</v>
      </c>
      <c r="B413" s="21" t="str">
        <f>IF([1]Rseries!F358="","",[1]Rseries!F358)</f>
        <v/>
      </c>
    </row>
    <row r="414" spans="1:2" x14ac:dyDescent="0.25">
      <c r="A414" s="2">
        <v>47634</v>
      </c>
      <c r="B414" s="21" t="str">
        <f>IF([1]Rseries!F359="","",[1]Rseries!F359)</f>
        <v/>
      </c>
    </row>
    <row r="415" spans="1:2" x14ac:dyDescent="0.25">
      <c r="A415" s="2">
        <v>47664</v>
      </c>
      <c r="B415" s="21" t="str">
        <f>IF([1]Rseries!F360="","",[1]Rseries!F360)</f>
        <v/>
      </c>
    </row>
    <row r="416" spans="1:2" x14ac:dyDescent="0.25">
      <c r="A416" s="2">
        <v>47695</v>
      </c>
      <c r="B416" s="21" t="str">
        <f>IF([1]Rseries!F361="","",[1]Rseries!F361)</f>
        <v/>
      </c>
    </row>
    <row r="417" spans="1:2" x14ac:dyDescent="0.25">
      <c r="A417" s="2">
        <v>47726</v>
      </c>
      <c r="B417" s="21" t="str">
        <f>IF([1]Rseries!F362="","",[1]Rseries!F362)</f>
        <v/>
      </c>
    </row>
    <row r="418" spans="1:2" x14ac:dyDescent="0.25">
      <c r="A418" s="2">
        <v>47756</v>
      </c>
      <c r="B418" s="21" t="str">
        <f>IF([1]Rseries!F363="","",[1]Rseries!F363)</f>
        <v/>
      </c>
    </row>
    <row r="419" spans="1:2" x14ac:dyDescent="0.25">
      <c r="A419" s="2">
        <v>47787</v>
      </c>
      <c r="B419" s="21" t="str">
        <f>IF([1]Rseries!F364="","",[1]Rseries!F364)</f>
        <v/>
      </c>
    </row>
    <row r="420" spans="1:2" x14ac:dyDescent="0.25">
      <c r="A420" s="2">
        <v>47817</v>
      </c>
      <c r="B420" s="21" t="str">
        <f>IF([1]Rseries!F365="","",[1]Rseries!F365)</f>
        <v/>
      </c>
    </row>
    <row r="421" spans="1:2" x14ac:dyDescent="0.25">
      <c r="A421" s="2">
        <v>47848</v>
      </c>
      <c r="B421" s="21" t="str">
        <f>IF([1]Rseries!F366="","",[1]Rseries!F366)</f>
        <v/>
      </c>
    </row>
    <row r="422" spans="1:2" x14ac:dyDescent="0.25">
      <c r="A422" s="2">
        <v>47879</v>
      </c>
      <c r="B422" s="21" t="str">
        <f>IF([1]Rseries!F367="","",[1]Rseries!F367)</f>
        <v/>
      </c>
    </row>
    <row r="423" spans="1:2" x14ac:dyDescent="0.25">
      <c r="A423" s="2">
        <v>47907</v>
      </c>
      <c r="B423" s="21" t="str">
        <f>IF([1]Rseries!F368="","",[1]Rseries!F368)</f>
        <v/>
      </c>
    </row>
    <row r="424" spans="1:2" x14ac:dyDescent="0.25">
      <c r="A424" s="2">
        <v>47938</v>
      </c>
      <c r="B424" s="21" t="str">
        <f>IF([1]Rseries!F369="","",[1]Rseries!F369)</f>
        <v/>
      </c>
    </row>
    <row r="425" spans="1:2" x14ac:dyDescent="0.25">
      <c r="A425" s="2">
        <v>47968</v>
      </c>
      <c r="B425" s="21" t="str">
        <f>IF([1]Rseries!F370="","",[1]Rseries!F370)</f>
        <v/>
      </c>
    </row>
    <row r="426" spans="1:2" x14ac:dyDescent="0.25">
      <c r="A426" s="2">
        <v>47999</v>
      </c>
      <c r="B426" s="21" t="str">
        <f>IF([1]Rseries!F371="","",[1]Rseries!F371)</f>
        <v/>
      </c>
    </row>
    <row r="427" spans="1:2" x14ac:dyDescent="0.25">
      <c r="A427" s="2">
        <v>48029</v>
      </c>
      <c r="B427" s="21" t="str">
        <f>IF([1]Rseries!F372="","",[1]Rseries!F372)</f>
        <v/>
      </c>
    </row>
    <row r="428" spans="1:2" x14ac:dyDescent="0.25">
      <c r="A428" s="2">
        <v>48060</v>
      </c>
      <c r="B428" s="21" t="str">
        <f>IF([1]Rseries!F373="","",[1]Rseries!F373)</f>
        <v/>
      </c>
    </row>
    <row r="429" spans="1:2" x14ac:dyDescent="0.25">
      <c r="A429" s="2">
        <v>48091</v>
      </c>
      <c r="B429" s="21" t="str">
        <f>IF([1]Rseries!F374="","",[1]Rseries!F374)</f>
        <v/>
      </c>
    </row>
    <row r="430" spans="1:2" x14ac:dyDescent="0.25">
      <c r="A430" s="2">
        <v>48121</v>
      </c>
      <c r="B430" s="21" t="str">
        <f>IF([1]Rseries!F375="","",[1]Rseries!F375)</f>
        <v/>
      </c>
    </row>
    <row r="431" spans="1:2" x14ac:dyDescent="0.25">
      <c r="A431" s="2">
        <v>48152</v>
      </c>
      <c r="B431" s="21" t="str">
        <f>IF([1]Rseries!F376="","",[1]Rseries!F376)</f>
        <v/>
      </c>
    </row>
    <row r="432" spans="1:2" x14ac:dyDescent="0.25">
      <c r="A432" s="2">
        <v>48182</v>
      </c>
      <c r="B432" s="21" t="str">
        <f>IF([1]Rseries!F377="","",[1]Rseries!F377)</f>
        <v/>
      </c>
    </row>
    <row r="433" spans="1:2" x14ac:dyDescent="0.25">
      <c r="A433" s="2">
        <v>48213</v>
      </c>
      <c r="B433" s="21" t="str">
        <f>IF([1]Rseries!F378="","",[1]Rseries!F378)</f>
        <v/>
      </c>
    </row>
    <row r="434" spans="1:2" x14ac:dyDescent="0.25">
      <c r="A434" s="2">
        <v>48244</v>
      </c>
      <c r="B434" s="21" t="str">
        <f>IF([1]Rseries!F379="","",[1]Rseries!F379)</f>
        <v/>
      </c>
    </row>
    <row r="435" spans="1:2" x14ac:dyDescent="0.25">
      <c r="A435" s="2">
        <v>48273</v>
      </c>
      <c r="B435" s="21" t="str">
        <f>IF([1]Rseries!F380="","",[1]Rseries!F380)</f>
        <v/>
      </c>
    </row>
    <row r="436" spans="1:2" x14ac:dyDescent="0.25">
      <c r="A436" s="2">
        <v>48304</v>
      </c>
      <c r="B436" s="21" t="str">
        <f>IF([1]Rseries!F381="","",[1]Rseries!F381)</f>
        <v/>
      </c>
    </row>
    <row r="437" spans="1:2" x14ac:dyDescent="0.25">
      <c r="A437" s="2">
        <v>48334</v>
      </c>
      <c r="B437" s="21" t="str">
        <f>IF([1]Rseries!F382="","",[1]Rseries!F382)</f>
        <v/>
      </c>
    </row>
    <row r="438" spans="1:2" x14ac:dyDescent="0.25">
      <c r="A438" s="2">
        <v>48365</v>
      </c>
      <c r="B438" s="21" t="str">
        <f>IF([1]Rseries!F383="","",[1]Rseries!F383)</f>
        <v/>
      </c>
    </row>
    <row r="439" spans="1:2" x14ac:dyDescent="0.25">
      <c r="A439" s="2">
        <v>48395</v>
      </c>
      <c r="B439" s="21" t="str">
        <f>IF([1]Rseries!F384="","",[1]Rseries!F384)</f>
        <v/>
      </c>
    </row>
    <row r="440" spans="1:2" x14ac:dyDescent="0.25">
      <c r="A440" s="2">
        <v>48426</v>
      </c>
      <c r="B440" s="21" t="str">
        <f>IF([1]Rseries!F385="","",[1]Rseries!F385)</f>
        <v/>
      </c>
    </row>
    <row r="441" spans="1:2" x14ac:dyDescent="0.25">
      <c r="A441" s="2">
        <v>48457</v>
      </c>
      <c r="B441" s="21" t="str">
        <f>IF([1]Rseries!F386="","",[1]Rseries!F386)</f>
        <v/>
      </c>
    </row>
    <row r="442" spans="1:2" x14ac:dyDescent="0.25">
      <c r="A442" s="2">
        <v>48487</v>
      </c>
      <c r="B442" s="21" t="str">
        <f>IF([1]Rseries!F387="","",[1]Rseries!F387)</f>
        <v/>
      </c>
    </row>
    <row r="443" spans="1:2" x14ac:dyDescent="0.25">
      <c r="A443" s="2">
        <v>48518</v>
      </c>
      <c r="B443" s="21" t="str">
        <f>IF([1]Rseries!F388="","",[1]Rseries!F388)</f>
        <v/>
      </c>
    </row>
    <row r="444" spans="1:2" x14ac:dyDescent="0.25">
      <c r="A444" s="2">
        <v>48548</v>
      </c>
      <c r="B444" s="21" t="str">
        <f>IF([1]Rseries!F389="","",[1]Rseries!F389)</f>
        <v/>
      </c>
    </row>
    <row r="445" spans="1:2" x14ac:dyDescent="0.25">
      <c r="A445" s="2">
        <v>48579</v>
      </c>
      <c r="B445" s="21" t="str">
        <f>IF([1]Rseries!F390="","",[1]Rseries!F390)</f>
        <v/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Mediana</vt:lpstr>
      <vt:lpstr>SSAutCLM</vt:lpstr>
      <vt:lpstr>Amplitud</vt:lpstr>
      <vt:lpstr>Inicio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ihidalgo</dc:creator>
  <cp:lastModifiedBy>ihidalgo Isidro Hidalgo Arellano tfno:9252 88098</cp:lastModifiedBy>
  <cp:lastPrinted>2012-08-28T12:21:50Z</cp:lastPrinted>
  <dcterms:created xsi:type="dcterms:W3CDTF">2012-03-02T12:51:06Z</dcterms:created>
  <dcterms:modified xsi:type="dcterms:W3CDTF">2021-03-05T11:47:13Z</dcterms:modified>
</cp:coreProperties>
</file>