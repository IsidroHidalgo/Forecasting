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jclm.es\PROS\SC\OBSERVATORIOEMPLEO\Análisis\Previsiones\Mensuales - paro registrado y afiliación\Modelos ParoAfiliación\"/>
    </mc:Choice>
  </mc:AlternateContent>
  <bookViews>
    <workbookView xWindow="120" yWindow="105" windowWidth="18915" windowHeight="11760" tabRatio="428"/>
  </bookViews>
  <sheets>
    <sheet name="Mediana" sheetId="139" r:id="rId1"/>
    <sheet name="ParoRegESP" sheetId="1" r:id="rId2"/>
  </sheets>
  <externalReferences>
    <externalReference r:id="rId3"/>
  </externalReferences>
  <definedNames>
    <definedName name="Amplitud">ParoRegESP!$E$2</definedName>
    <definedName name="Inicio">ParoRegESP!$D$2</definedName>
  </definedNames>
  <calcPr calcId="162913"/>
</workbook>
</file>

<file path=xl/calcChain.xml><?xml version="1.0" encoding="utf-8"?>
<calcChain xmlns="http://schemas.openxmlformats.org/spreadsheetml/2006/main">
  <c r="B445" i="1" l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HA14" i="139" l="1"/>
  <c r="HB14" i="139" s="1"/>
  <c r="HC14" i="139" s="1"/>
  <c r="HD14" i="139" s="1"/>
  <c r="HE14" i="139" s="1"/>
  <c r="HF14" i="139" s="1"/>
  <c r="HG14" i="139" s="1"/>
  <c r="HH14" i="139" s="1"/>
  <c r="HI14" i="139" s="1"/>
  <c r="HJ14" i="139" s="1"/>
  <c r="HK14" i="139" s="1"/>
  <c r="HL14" i="139" s="1"/>
  <c r="HM14" i="139" s="1"/>
  <c r="HN14" i="139" s="1"/>
  <c r="HO14" i="139" s="1"/>
  <c r="HP14" i="139" s="1"/>
  <c r="HQ14" i="139" s="1"/>
  <c r="HR14" i="139" s="1"/>
  <c r="HS14" i="139" s="1"/>
  <c r="HT14" i="139" s="1"/>
  <c r="HU14" i="139" s="1"/>
  <c r="HV14" i="139" s="1"/>
  <c r="HW14" i="139" s="1"/>
  <c r="HX14" i="139" s="1"/>
  <c r="HY14" i="139" s="1"/>
  <c r="HZ14" i="139" s="1"/>
  <c r="IA14" i="139" s="1"/>
  <c r="IB14" i="139" s="1"/>
  <c r="IC14" i="139" s="1"/>
  <c r="ID14" i="139" s="1"/>
  <c r="IE14" i="139" s="1"/>
  <c r="IF14" i="139" s="1"/>
  <c r="IG14" i="139" s="1"/>
  <c r="IH14" i="139" s="1"/>
  <c r="II14" i="139" s="1"/>
  <c r="IJ14" i="139" s="1"/>
  <c r="IK14" i="139" s="1"/>
  <c r="IL14" i="139" s="1"/>
  <c r="IM14" i="139" s="1"/>
  <c r="IN14" i="139" s="1"/>
  <c r="IO14" i="139" s="1"/>
  <c r="IP14" i="139" s="1"/>
  <c r="IQ14" i="139" s="1"/>
  <c r="IR14" i="139" s="1"/>
  <c r="IS14" i="139" s="1"/>
  <c r="IT14" i="139" s="1"/>
  <c r="IU14" i="139" s="1"/>
  <c r="IV14" i="139" s="1"/>
  <c r="IW14" i="139" s="1"/>
  <c r="IX14" i="139" s="1"/>
  <c r="IY14" i="139" s="1"/>
  <c r="IZ14" i="139" s="1"/>
  <c r="JA14" i="139" s="1"/>
  <c r="JB14" i="139" s="1"/>
  <c r="JC14" i="139" s="1"/>
  <c r="JD14" i="139" s="1"/>
  <c r="JE14" i="139" s="1"/>
  <c r="JF14" i="139" s="1"/>
  <c r="JG14" i="139" s="1"/>
  <c r="JH14" i="139" s="1"/>
  <c r="HA13" i="139"/>
  <c r="HB13" i="139" s="1"/>
  <c r="HC13" i="139" s="1"/>
  <c r="HD13" i="139" s="1"/>
  <c r="HE13" i="139" s="1"/>
  <c r="HF13" i="139" s="1"/>
  <c r="HG13" i="139" s="1"/>
  <c r="HH13" i="139" s="1"/>
  <c r="HI13" i="139" s="1"/>
  <c r="HJ13" i="139" s="1"/>
  <c r="HK13" i="139" s="1"/>
  <c r="HL13" i="139" s="1"/>
  <c r="HM13" i="139" s="1"/>
  <c r="HN13" i="139" s="1"/>
  <c r="HO13" i="139" s="1"/>
  <c r="HP13" i="139" s="1"/>
  <c r="HQ13" i="139" s="1"/>
  <c r="HR13" i="139" s="1"/>
  <c r="HS13" i="139" s="1"/>
  <c r="HT13" i="139" s="1"/>
  <c r="HU13" i="139" s="1"/>
  <c r="HV13" i="139" s="1"/>
  <c r="HW13" i="139" s="1"/>
  <c r="HX13" i="139" s="1"/>
  <c r="HY13" i="139" s="1"/>
  <c r="HZ13" i="139" s="1"/>
  <c r="IA13" i="139" s="1"/>
  <c r="IB13" i="139" s="1"/>
  <c r="IC13" i="139" s="1"/>
  <c r="ID13" i="139" s="1"/>
  <c r="IE13" i="139" s="1"/>
  <c r="IF13" i="139" s="1"/>
  <c r="IG13" i="139" s="1"/>
  <c r="IH13" i="139" s="1"/>
  <c r="II13" i="139" s="1"/>
  <c r="IJ13" i="139" s="1"/>
  <c r="IK13" i="139" s="1"/>
  <c r="IL13" i="139" s="1"/>
  <c r="IM13" i="139" s="1"/>
  <c r="IN13" i="139" s="1"/>
  <c r="IO13" i="139" s="1"/>
  <c r="IP13" i="139" s="1"/>
  <c r="IQ13" i="139" s="1"/>
  <c r="IR13" i="139" s="1"/>
  <c r="IS13" i="139" s="1"/>
  <c r="IT13" i="139" s="1"/>
  <c r="IU13" i="139" s="1"/>
  <c r="IV13" i="139" s="1"/>
  <c r="IW13" i="139" s="1"/>
  <c r="IX13" i="139" s="1"/>
  <c r="IY13" i="139" s="1"/>
  <c r="IZ13" i="139" s="1"/>
  <c r="JA13" i="139" s="1"/>
  <c r="JB13" i="139" s="1"/>
  <c r="JC13" i="139" s="1"/>
  <c r="JD13" i="139" s="1"/>
  <c r="JE13" i="139" s="1"/>
  <c r="JF13" i="139" s="1"/>
  <c r="JG13" i="139" s="1"/>
  <c r="JH13" i="139" s="1"/>
  <c r="HA12" i="139"/>
  <c r="HB12" i="139" s="1"/>
  <c r="HC12" i="139" s="1"/>
  <c r="HD12" i="139" s="1"/>
  <c r="HE12" i="139" s="1"/>
  <c r="HF12" i="139" s="1"/>
  <c r="HG12" i="139" s="1"/>
  <c r="HH12" i="139" s="1"/>
  <c r="HI12" i="139" s="1"/>
  <c r="HJ12" i="139" s="1"/>
  <c r="HK12" i="139" s="1"/>
  <c r="HL12" i="139" s="1"/>
  <c r="HM12" i="139" s="1"/>
  <c r="HN12" i="139" s="1"/>
  <c r="HO12" i="139" s="1"/>
  <c r="HP12" i="139" s="1"/>
  <c r="HQ12" i="139" s="1"/>
  <c r="HR12" i="139" s="1"/>
  <c r="HS12" i="139" s="1"/>
  <c r="HT12" i="139" s="1"/>
  <c r="HU12" i="139" s="1"/>
  <c r="HV12" i="139" s="1"/>
  <c r="HW12" i="139" s="1"/>
  <c r="HX12" i="139" s="1"/>
  <c r="HY12" i="139" s="1"/>
  <c r="HZ12" i="139" s="1"/>
  <c r="IA12" i="139" s="1"/>
  <c r="IB12" i="139" s="1"/>
  <c r="IC12" i="139" s="1"/>
  <c r="ID12" i="139" s="1"/>
  <c r="IE12" i="139" s="1"/>
  <c r="IF12" i="139" s="1"/>
  <c r="IG12" i="139" s="1"/>
  <c r="IH12" i="139" s="1"/>
  <c r="II12" i="139" s="1"/>
  <c r="IJ12" i="139" s="1"/>
  <c r="IK12" i="139" s="1"/>
  <c r="IL12" i="139" s="1"/>
  <c r="IM12" i="139" s="1"/>
  <c r="IN12" i="139" s="1"/>
  <c r="IO12" i="139" s="1"/>
  <c r="IP12" i="139" s="1"/>
  <c r="IQ12" i="139" s="1"/>
  <c r="IR12" i="139" s="1"/>
  <c r="IS12" i="139" s="1"/>
  <c r="IT12" i="139" s="1"/>
  <c r="IU12" i="139" s="1"/>
  <c r="IV12" i="139" s="1"/>
  <c r="IW12" i="139" s="1"/>
  <c r="IX12" i="139" s="1"/>
  <c r="IY12" i="139" s="1"/>
  <c r="IZ12" i="139" s="1"/>
  <c r="JA12" i="139" s="1"/>
  <c r="JB12" i="139" s="1"/>
  <c r="JC12" i="139" s="1"/>
  <c r="JD12" i="139" s="1"/>
  <c r="JE12" i="139" s="1"/>
  <c r="JF12" i="139" s="1"/>
  <c r="JG12" i="139" s="1"/>
  <c r="JH12" i="139" s="1"/>
  <c r="HA11" i="139"/>
  <c r="HB11" i="139" s="1"/>
  <c r="HC11" i="139" s="1"/>
  <c r="HD11" i="139" s="1"/>
  <c r="HE11" i="139" s="1"/>
  <c r="HF11" i="139" s="1"/>
  <c r="HG11" i="139" s="1"/>
  <c r="HH11" i="139" s="1"/>
  <c r="HI11" i="139" s="1"/>
  <c r="HJ11" i="139" s="1"/>
  <c r="HK11" i="139" s="1"/>
  <c r="HL11" i="139" s="1"/>
  <c r="HM11" i="139" s="1"/>
  <c r="HN11" i="139" s="1"/>
  <c r="HO11" i="139" s="1"/>
  <c r="HP11" i="139" s="1"/>
  <c r="HQ11" i="139" s="1"/>
  <c r="HR11" i="139" s="1"/>
  <c r="HS11" i="139" s="1"/>
  <c r="HT11" i="139" s="1"/>
  <c r="HU11" i="139" s="1"/>
  <c r="HV11" i="139" s="1"/>
  <c r="HW11" i="139" s="1"/>
  <c r="HX11" i="139" s="1"/>
  <c r="HY11" i="139" s="1"/>
  <c r="HZ11" i="139" s="1"/>
  <c r="IA11" i="139" s="1"/>
  <c r="IB11" i="139" s="1"/>
  <c r="IC11" i="139" s="1"/>
  <c r="ID11" i="139" s="1"/>
  <c r="IE11" i="139" s="1"/>
  <c r="IF11" i="139" s="1"/>
  <c r="IG11" i="139" s="1"/>
  <c r="IH11" i="139" s="1"/>
  <c r="II11" i="139" s="1"/>
  <c r="IJ11" i="139" s="1"/>
  <c r="IK11" i="139" s="1"/>
  <c r="IL11" i="139" s="1"/>
  <c r="IM11" i="139" s="1"/>
  <c r="IN11" i="139" s="1"/>
  <c r="IO11" i="139" s="1"/>
  <c r="IP11" i="139" s="1"/>
  <c r="IQ11" i="139" s="1"/>
  <c r="IR11" i="139" s="1"/>
  <c r="IS11" i="139" s="1"/>
  <c r="IT11" i="139" s="1"/>
  <c r="IU11" i="139" s="1"/>
  <c r="IV11" i="139" s="1"/>
  <c r="IW11" i="139" s="1"/>
  <c r="IX11" i="139" s="1"/>
  <c r="IY11" i="139" s="1"/>
  <c r="IZ11" i="139" s="1"/>
  <c r="JA11" i="139" s="1"/>
  <c r="JB11" i="139" s="1"/>
  <c r="JC11" i="139" s="1"/>
  <c r="JD11" i="139" s="1"/>
  <c r="JE11" i="139" s="1"/>
  <c r="JF11" i="139" s="1"/>
  <c r="JG11" i="139" s="1"/>
  <c r="JH11" i="139" s="1"/>
  <c r="HA10" i="139"/>
  <c r="HB10" i="139" s="1"/>
  <c r="HC10" i="139" s="1"/>
  <c r="HD10" i="139" s="1"/>
  <c r="HE10" i="139" s="1"/>
  <c r="HF10" i="139" s="1"/>
  <c r="HG10" i="139" s="1"/>
  <c r="HH10" i="139" s="1"/>
  <c r="HI10" i="139" s="1"/>
  <c r="HJ10" i="139" s="1"/>
  <c r="HK10" i="139" s="1"/>
  <c r="HL10" i="139" s="1"/>
  <c r="HM10" i="139" s="1"/>
  <c r="HN10" i="139" s="1"/>
  <c r="HO10" i="139" s="1"/>
  <c r="HP10" i="139" s="1"/>
  <c r="HQ10" i="139" s="1"/>
  <c r="HR10" i="139" s="1"/>
  <c r="HS10" i="139" s="1"/>
  <c r="HT10" i="139" s="1"/>
  <c r="HU10" i="139" s="1"/>
  <c r="HV10" i="139" s="1"/>
  <c r="HW10" i="139" s="1"/>
  <c r="HX10" i="139" s="1"/>
  <c r="HY10" i="139" s="1"/>
  <c r="HZ10" i="139" s="1"/>
  <c r="IA10" i="139" s="1"/>
  <c r="IB10" i="139" s="1"/>
  <c r="IC10" i="139" s="1"/>
  <c r="ID10" i="139" s="1"/>
  <c r="IE10" i="139" s="1"/>
  <c r="IF10" i="139" s="1"/>
  <c r="IG10" i="139" s="1"/>
  <c r="IH10" i="139" s="1"/>
  <c r="II10" i="139" s="1"/>
  <c r="IJ10" i="139" s="1"/>
  <c r="IK10" i="139" s="1"/>
  <c r="IL10" i="139" s="1"/>
  <c r="IM10" i="139" s="1"/>
  <c r="IN10" i="139" s="1"/>
  <c r="IO10" i="139" s="1"/>
  <c r="IP10" i="139" s="1"/>
  <c r="IQ10" i="139" s="1"/>
  <c r="IR10" i="139" s="1"/>
  <c r="IS10" i="139" s="1"/>
  <c r="IT10" i="139" s="1"/>
  <c r="IU10" i="139" s="1"/>
  <c r="IV10" i="139" s="1"/>
  <c r="IW10" i="139" s="1"/>
  <c r="IX10" i="139" s="1"/>
  <c r="IY10" i="139" s="1"/>
  <c r="IZ10" i="139" s="1"/>
  <c r="JA10" i="139" s="1"/>
  <c r="JB10" i="139" s="1"/>
  <c r="JC10" i="139" s="1"/>
  <c r="JD10" i="139" s="1"/>
  <c r="JE10" i="139" s="1"/>
  <c r="JF10" i="139" s="1"/>
  <c r="JG10" i="139" s="1"/>
  <c r="JH10" i="139" s="1"/>
  <c r="HA9" i="139"/>
  <c r="HB9" i="139" s="1"/>
  <c r="HC9" i="139" s="1"/>
  <c r="HD9" i="139" s="1"/>
  <c r="HE9" i="139" s="1"/>
  <c r="HF9" i="139" s="1"/>
  <c r="HG9" i="139" s="1"/>
  <c r="HH9" i="139" s="1"/>
  <c r="HI9" i="139" s="1"/>
  <c r="HJ9" i="139" s="1"/>
  <c r="HK9" i="139" s="1"/>
  <c r="HL9" i="139" s="1"/>
  <c r="HM9" i="139" s="1"/>
  <c r="HN9" i="139" s="1"/>
  <c r="HO9" i="139" s="1"/>
  <c r="HP9" i="139" s="1"/>
  <c r="HQ9" i="139" s="1"/>
  <c r="HR9" i="139" s="1"/>
  <c r="HS9" i="139" s="1"/>
  <c r="HT9" i="139" s="1"/>
  <c r="HU9" i="139" s="1"/>
  <c r="HV9" i="139" s="1"/>
  <c r="HW9" i="139" s="1"/>
  <c r="HX9" i="139" s="1"/>
  <c r="HY9" i="139" s="1"/>
  <c r="HZ9" i="139" s="1"/>
  <c r="IA9" i="139" s="1"/>
  <c r="IB9" i="139" s="1"/>
  <c r="IC9" i="139" s="1"/>
  <c r="ID9" i="139" s="1"/>
  <c r="IE9" i="139" s="1"/>
  <c r="IF9" i="139" s="1"/>
  <c r="IG9" i="139" s="1"/>
  <c r="IH9" i="139" s="1"/>
  <c r="II9" i="139" s="1"/>
  <c r="IJ9" i="139" s="1"/>
  <c r="IK9" i="139" s="1"/>
  <c r="IL9" i="139" s="1"/>
  <c r="IM9" i="139" s="1"/>
  <c r="IN9" i="139" s="1"/>
  <c r="IO9" i="139" s="1"/>
  <c r="IP9" i="139" s="1"/>
  <c r="IQ9" i="139" s="1"/>
  <c r="IR9" i="139" s="1"/>
  <c r="IS9" i="139" s="1"/>
  <c r="IT9" i="139" s="1"/>
  <c r="IU9" i="139" s="1"/>
  <c r="IV9" i="139" s="1"/>
  <c r="IW9" i="139" s="1"/>
  <c r="IX9" i="139" s="1"/>
  <c r="IY9" i="139" s="1"/>
  <c r="IZ9" i="139" s="1"/>
  <c r="JA9" i="139" s="1"/>
  <c r="JB9" i="139" s="1"/>
  <c r="JC9" i="139" s="1"/>
  <c r="JD9" i="139" s="1"/>
  <c r="JE9" i="139" s="1"/>
  <c r="JF9" i="139" s="1"/>
  <c r="JG9" i="139" s="1"/>
  <c r="JH9" i="139" s="1"/>
  <c r="HA8" i="139"/>
  <c r="HB8" i="139" s="1"/>
  <c r="HC8" i="139" s="1"/>
  <c r="HD8" i="139" s="1"/>
  <c r="HE8" i="139" s="1"/>
  <c r="HF8" i="139" s="1"/>
  <c r="HG8" i="139" s="1"/>
  <c r="HH8" i="139" s="1"/>
  <c r="HI8" i="139" s="1"/>
  <c r="HJ8" i="139" s="1"/>
  <c r="HK8" i="139" s="1"/>
  <c r="HL8" i="139" s="1"/>
  <c r="HM8" i="139" s="1"/>
  <c r="HN8" i="139" s="1"/>
  <c r="HO8" i="139" s="1"/>
  <c r="HP8" i="139" s="1"/>
  <c r="HQ8" i="139" s="1"/>
  <c r="HR8" i="139" s="1"/>
  <c r="HS8" i="139" s="1"/>
  <c r="HT8" i="139" s="1"/>
  <c r="HU8" i="139" s="1"/>
  <c r="HV8" i="139" s="1"/>
  <c r="HW8" i="139" s="1"/>
  <c r="HX8" i="139" s="1"/>
  <c r="HY8" i="139" s="1"/>
  <c r="HZ8" i="139" s="1"/>
  <c r="IA8" i="139" s="1"/>
  <c r="IB8" i="139" s="1"/>
  <c r="IC8" i="139" s="1"/>
  <c r="ID8" i="139" s="1"/>
  <c r="IE8" i="139" s="1"/>
  <c r="IF8" i="139" s="1"/>
  <c r="IG8" i="139" s="1"/>
  <c r="IH8" i="139" s="1"/>
  <c r="II8" i="139" s="1"/>
  <c r="IJ8" i="139" s="1"/>
  <c r="IK8" i="139" s="1"/>
  <c r="IL8" i="139" s="1"/>
  <c r="IM8" i="139" s="1"/>
  <c r="IN8" i="139" s="1"/>
  <c r="IO8" i="139" s="1"/>
  <c r="IP8" i="139" s="1"/>
  <c r="IQ8" i="139" s="1"/>
  <c r="IR8" i="139" s="1"/>
  <c r="IS8" i="139" s="1"/>
  <c r="IT8" i="139" s="1"/>
  <c r="IU8" i="139" s="1"/>
  <c r="IV8" i="139" s="1"/>
  <c r="IW8" i="139" s="1"/>
  <c r="IX8" i="139" s="1"/>
  <c r="IY8" i="139" s="1"/>
  <c r="IZ8" i="139" s="1"/>
  <c r="JA8" i="139" s="1"/>
  <c r="JB8" i="139" s="1"/>
  <c r="JC8" i="139" s="1"/>
  <c r="JD8" i="139" s="1"/>
  <c r="JE8" i="139" s="1"/>
  <c r="JF8" i="139" s="1"/>
  <c r="JG8" i="139" s="1"/>
  <c r="JH8" i="139" s="1"/>
  <c r="HA7" i="139"/>
  <c r="HB7" i="139" s="1"/>
  <c r="HC7" i="139" s="1"/>
  <c r="HD7" i="139" s="1"/>
  <c r="HE7" i="139" s="1"/>
  <c r="HF7" i="139" s="1"/>
  <c r="HG7" i="139" s="1"/>
  <c r="HH7" i="139" s="1"/>
  <c r="HI7" i="139" s="1"/>
  <c r="HJ7" i="139" s="1"/>
  <c r="HK7" i="139" s="1"/>
  <c r="HL7" i="139" s="1"/>
  <c r="HM7" i="139" s="1"/>
  <c r="HN7" i="139" s="1"/>
  <c r="HO7" i="139" s="1"/>
  <c r="HP7" i="139" s="1"/>
  <c r="HQ7" i="139" s="1"/>
  <c r="HR7" i="139" s="1"/>
  <c r="HS7" i="139" s="1"/>
  <c r="HT7" i="139" s="1"/>
  <c r="HU7" i="139" s="1"/>
  <c r="HV7" i="139" s="1"/>
  <c r="HW7" i="139" s="1"/>
  <c r="HX7" i="139" s="1"/>
  <c r="HY7" i="139" s="1"/>
  <c r="HZ7" i="139" s="1"/>
  <c r="IA7" i="139" s="1"/>
  <c r="IB7" i="139" s="1"/>
  <c r="IC7" i="139" s="1"/>
  <c r="ID7" i="139" s="1"/>
  <c r="IE7" i="139" s="1"/>
  <c r="IF7" i="139" s="1"/>
  <c r="IG7" i="139" s="1"/>
  <c r="IH7" i="139" s="1"/>
  <c r="II7" i="139" s="1"/>
  <c r="IJ7" i="139" s="1"/>
  <c r="IK7" i="139" s="1"/>
  <c r="IL7" i="139" s="1"/>
  <c r="IM7" i="139" s="1"/>
  <c r="IN7" i="139" s="1"/>
  <c r="IO7" i="139" s="1"/>
  <c r="IP7" i="139" s="1"/>
  <c r="IQ7" i="139" s="1"/>
  <c r="IR7" i="139" s="1"/>
  <c r="IS7" i="139" s="1"/>
  <c r="IT7" i="139" s="1"/>
  <c r="IU7" i="139" s="1"/>
  <c r="IV7" i="139" s="1"/>
  <c r="IW7" i="139" s="1"/>
  <c r="IX7" i="139" s="1"/>
  <c r="IY7" i="139" s="1"/>
  <c r="IZ7" i="139" s="1"/>
  <c r="JA7" i="139" s="1"/>
  <c r="JB7" i="139" s="1"/>
  <c r="JC7" i="139" s="1"/>
  <c r="JD7" i="139" s="1"/>
  <c r="JE7" i="139" s="1"/>
  <c r="JF7" i="139" s="1"/>
  <c r="JG7" i="139" s="1"/>
  <c r="JH7" i="139" s="1"/>
  <c r="HA6" i="139"/>
  <c r="HB6" i="139" s="1"/>
  <c r="HC6" i="139" s="1"/>
  <c r="HD6" i="139" s="1"/>
  <c r="HE6" i="139" s="1"/>
  <c r="HF6" i="139" s="1"/>
  <c r="HG6" i="139" s="1"/>
  <c r="HH6" i="139" s="1"/>
  <c r="HI6" i="139" s="1"/>
  <c r="HJ6" i="139" s="1"/>
  <c r="HK6" i="139" s="1"/>
  <c r="HL6" i="139" s="1"/>
  <c r="HM6" i="139" s="1"/>
  <c r="HN6" i="139" s="1"/>
  <c r="HO6" i="139" s="1"/>
  <c r="HP6" i="139" s="1"/>
  <c r="HQ6" i="139" s="1"/>
  <c r="HR6" i="139" s="1"/>
  <c r="HS6" i="139" s="1"/>
  <c r="HT6" i="139" s="1"/>
  <c r="HU6" i="139" s="1"/>
  <c r="HV6" i="139" s="1"/>
  <c r="HW6" i="139" s="1"/>
  <c r="HX6" i="139" s="1"/>
  <c r="HY6" i="139" s="1"/>
  <c r="HZ6" i="139" s="1"/>
  <c r="IA6" i="139" s="1"/>
  <c r="IB6" i="139" s="1"/>
  <c r="IC6" i="139" s="1"/>
  <c r="ID6" i="139" s="1"/>
  <c r="IE6" i="139" s="1"/>
  <c r="IF6" i="139" s="1"/>
  <c r="IG6" i="139" s="1"/>
  <c r="IH6" i="139" s="1"/>
  <c r="II6" i="139" s="1"/>
  <c r="IJ6" i="139" s="1"/>
  <c r="IK6" i="139" s="1"/>
  <c r="IL6" i="139" s="1"/>
  <c r="IM6" i="139" s="1"/>
  <c r="IN6" i="139" s="1"/>
  <c r="IO6" i="139" s="1"/>
  <c r="IP6" i="139" s="1"/>
  <c r="IQ6" i="139" s="1"/>
  <c r="IR6" i="139" s="1"/>
  <c r="IS6" i="139" s="1"/>
  <c r="IT6" i="139" s="1"/>
  <c r="IU6" i="139" s="1"/>
  <c r="IV6" i="139" s="1"/>
  <c r="IW6" i="139" s="1"/>
  <c r="IX6" i="139" s="1"/>
  <c r="IY6" i="139" s="1"/>
  <c r="IZ6" i="139" s="1"/>
  <c r="JA6" i="139" s="1"/>
  <c r="JB6" i="139" s="1"/>
  <c r="JC6" i="139" s="1"/>
  <c r="JD6" i="139" s="1"/>
  <c r="JE6" i="139" s="1"/>
  <c r="JF6" i="139" s="1"/>
  <c r="JG6" i="139" s="1"/>
  <c r="JH6" i="139" s="1"/>
  <c r="HA5" i="139"/>
  <c r="HB5" i="139" s="1"/>
  <c r="HC5" i="139" s="1"/>
  <c r="HD5" i="139" s="1"/>
  <c r="HE5" i="139" s="1"/>
  <c r="HF5" i="139" s="1"/>
  <c r="HG5" i="139" s="1"/>
  <c r="HH5" i="139" s="1"/>
  <c r="HI5" i="139" s="1"/>
  <c r="HJ5" i="139" s="1"/>
  <c r="HK5" i="139" s="1"/>
  <c r="HL5" i="139" s="1"/>
  <c r="HM5" i="139" s="1"/>
  <c r="HN5" i="139" s="1"/>
  <c r="HO5" i="139" s="1"/>
  <c r="HP5" i="139" s="1"/>
  <c r="HQ5" i="139" s="1"/>
  <c r="HR5" i="139" s="1"/>
  <c r="HS5" i="139" s="1"/>
  <c r="HT5" i="139" s="1"/>
  <c r="HU5" i="139" s="1"/>
  <c r="HV5" i="139" s="1"/>
  <c r="HW5" i="139" s="1"/>
  <c r="HX5" i="139" s="1"/>
  <c r="HY5" i="139" s="1"/>
  <c r="HZ5" i="139" s="1"/>
  <c r="IA5" i="139" s="1"/>
  <c r="IB5" i="139" s="1"/>
  <c r="IC5" i="139" s="1"/>
  <c r="ID5" i="139" s="1"/>
  <c r="IE5" i="139" s="1"/>
  <c r="IF5" i="139" s="1"/>
  <c r="IG5" i="139" s="1"/>
  <c r="IH5" i="139" s="1"/>
  <c r="II5" i="139" s="1"/>
  <c r="IJ5" i="139" s="1"/>
  <c r="IK5" i="139" s="1"/>
  <c r="IL5" i="139" s="1"/>
  <c r="IM5" i="139" s="1"/>
  <c r="IN5" i="139" s="1"/>
  <c r="IO5" i="139" s="1"/>
  <c r="IP5" i="139" s="1"/>
  <c r="IQ5" i="139" s="1"/>
  <c r="IR5" i="139" s="1"/>
  <c r="IS5" i="139" s="1"/>
  <c r="IT5" i="139" s="1"/>
  <c r="IU5" i="139" s="1"/>
  <c r="IV5" i="139" s="1"/>
  <c r="IW5" i="139" s="1"/>
  <c r="IX5" i="139" s="1"/>
  <c r="IY5" i="139" s="1"/>
  <c r="IZ5" i="139" s="1"/>
  <c r="JA5" i="139" s="1"/>
  <c r="JB5" i="139" s="1"/>
  <c r="JC5" i="139" s="1"/>
  <c r="JD5" i="139" s="1"/>
  <c r="JE5" i="139" s="1"/>
  <c r="JF5" i="139" s="1"/>
  <c r="JG5" i="139" s="1"/>
  <c r="JH5" i="139" s="1"/>
  <c r="HA4" i="139"/>
  <c r="HB4" i="139" s="1"/>
  <c r="HC4" i="139" s="1"/>
  <c r="HD4" i="139" s="1"/>
  <c r="HE4" i="139" s="1"/>
  <c r="HF4" i="139" s="1"/>
  <c r="HG4" i="139" s="1"/>
  <c r="HH4" i="139" s="1"/>
  <c r="HI4" i="139" s="1"/>
  <c r="HJ4" i="139" s="1"/>
  <c r="HK4" i="139" s="1"/>
  <c r="HL4" i="139" s="1"/>
  <c r="HM4" i="139" s="1"/>
  <c r="HN4" i="139" s="1"/>
  <c r="HO4" i="139" s="1"/>
  <c r="HP4" i="139" s="1"/>
  <c r="HQ4" i="139" s="1"/>
  <c r="HR4" i="139" s="1"/>
  <c r="HS4" i="139" s="1"/>
  <c r="HT4" i="139" s="1"/>
  <c r="HU4" i="139" s="1"/>
  <c r="HV4" i="139" s="1"/>
  <c r="HW4" i="139" s="1"/>
  <c r="HX4" i="139" s="1"/>
  <c r="HY4" i="139" s="1"/>
  <c r="HZ4" i="139" s="1"/>
  <c r="IA4" i="139" s="1"/>
  <c r="IB4" i="139" s="1"/>
  <c r="IC4" i="139" s="1"/>
  <c r="ID4" i="139" s="1"/>
  <c r="IE4" i="139" s="1"/>
  <c r="IF4" i="139" s="1"/>
  <c r="IG4" i="139" s="1"/>
  <c r="IH4" i="139" s="1"/>
  <c r="II4" i="139" s="1"/>
  <c r="IJ4" i="139" s="1"/>
  <c r="IK4" i="139" s="1"/>
  <c r="IL4" i="139" s="1"/>
  <c r="IM4" i="139" s="1"/>
  <c r="IN4" i="139" s="1"/>
  <c r="IO4" i="139" s="1"/>
  <c r="IP4" i="139" s="1"/>
  <c r="IQ4" i="139" s="1"/>
  <c r="IR4" i="139" s="1"/>
  <c r="IS4" i="139" s="1"/>
  <c r="IT4" i="139" s="1"/>
  <c r="IU4" i="139" s="1"/>
  <c r="IV4" i="139" s="1"/>
  <c r="IW4" i="139" s="1"/>
  <c r="IX4" i="139" s="1"/>
  <c r="IY4" i="139" s="1"/>
  <c r="IZ4" i="139" s="1"/>
  <c r="JA4" i="139" s="1"/>
  <c r="JB4" i="139" s="1"/>
  <c r="JC4" i="139" s="1"/>
  <c r="JD4" i="139" s="1"/>
  <c r="JE4" i="139" s="1"/>
  <c r="JF4" i="139" s="1"/>
  <c r="JG4" i="139" s="1"/>
  <c r="JH4" i="139" s="1"/>
  <c r="HA3" i="139"/>
  <c r="HB3" i="139" s="1"/>
  <c r="HC3" i="139" s="1"/>
  <c r="HD3" i="139" s="1"/>
  <c r="HE3" i="139" s="1"/>
  <c r="HF3" i="139" s="1"/>
  <c r="HG3" i="139" s="1"/>
  <c r="HH3" i="139" s="1"/>
  <c r="HI3" i="139" s="1"/>
  <c r="HJ3" i="139" s="1"/>
  <c r="HK3" i="139" s="1"/>
  <c r="HL3" i="139" s="1"/>
  <c r="HM3" i="139" s="1"/>
  <c r="HN3" i="139" s="1"/>
  <c r="HO3" i="139" s="1"/>
  <c r="HP3" i="139" s="1"/>
  <c r="HQ3" i="139" s="1"/>
  <c r="HR3" i="139" s="1"/>
  <c r="HS3" i="139" s="1"/>
  <c r="HT3" i="139" s="1"/>
  <c r="HU3" i="139" s="1"/>
  <c r="HV3" i="139" s="1"/>
  <c r="HW3" i="139" s="1"/>
  <c r="HX3" i="139" s="1"/>
  <c r="HY3" i="139" s="1"/>
  <c r="HZ3" i="139" s="1"/>
  <c r="IA3" i="139" s="1"/>
  <c r="IB3" i="139" s="1"/>
  <c r="IC3" i="139" s="1"/>
  <c r="ID3" i="139" s="1"/>
  <c r="IE3" i="139" s="1"/>
  <c r="IF3" i="139" s="1"/>
  <c r="IG3" i="139" s="1"/>
  <c r="IH3" i="139" s="1"/>
  <c r="II3" i="139" s="1"/>
  <c r="IJ3" i="139" s="1"/>
  <c r="IK3" i="139" s="1"/>
  <c r="IL3" i="139" s="1"/>
  <c r="IM3" i="139" s="1"/>
  <c r="IN3" i="139" s="1"/>
  <c r="IO3" i="139" s="1"/>
  <c r="IP3" i="139" s="1"/>
  <c r="IQ3" i="139" s="1"/>
  <c r="IR3" i="139" s="1"/>
  <c r="IS3" i="139" s="1"/>
  <c r="IT3" i="139" s="1"/>
  <c r="IU3" i="139" s="1"/>
  <c r="IV3" i="139" s="1"/>
  <c r="IW3" i="139" s="1"/>
  <c r="IX3" i="139" s="1"/>
  <c r="IY3" i="139" s="1"/>
  <c r="IZ3" i="139" s="1"/>
  <c r="JA3" i="139" s="1"/>
  <c r="JB3" i="139" s="1"/>
  <c r="JC3" i="139" s="1"/>
  <c r="JD3" i="139" s="1"/>
  <c r="JE3" i="139" s="1"/>
  <c r="JF3" i="139" s="1"/>
  <c r="JG3" i="139" s="1"/>
  <c r="JH3" i="139" s="1"/>
  <c r="D2" i="1" l="1"/>
  <c r="II87" i="139" l="1"/>
  <c r="JE89" i="139"/>
  <c r="HK91" i="139"/>
  <c r="HW91" i="139"/>
  <c r="II91" i="139"/>
  <c r="IU91" i="139"/>
  <c r="JG91" i="139"/>
  <c r="HJ92" i="139"/>
  <c r="HV92" i="139"/>
  <c r="IH92" i="139"/>
  <c r="IT92" i="139"/>
  <c r="HA93" i="139"/>
  <c r="HM93" i="139"/>
  <c r="HU93" i="139"/>
  <c r="IG93" i="139"/>
  <c r="IO93" i="139"/>
  <c r="GZ28" i="139"/>
  <c r="GZ35" i="139" s="1"/>
  <c r="GZ62" i="139" s="1"/>
  <c r="HD28" i="139"/>
  <c r="HD36" i="139" s="1"/>
  <c r="HD63" i="139" s="1"/>
  <c r="HH28" i="139"/>
  <c r="HI28" i="139"/>
  <c r="HI31" i="139" s="1"/>
  <c r="HI58" i="139" s="1"/>
  <c r="HL28" i="139"/>
  <c r="HL33" i="139" s="1"/>
  <c r="HL60" i="139" s="1"/>
  <c r="HP28" i="139"/>
  <c r="HP40" i="139" s="1"/>
  <c r="HP67" i="139" s="1"/>
  <c r="HT28" i="139"/>
  <c r="HT37" i="139" s="1"/>
  <c r="HT64" i="139" s="1"/>
  <c r="HX28" i="139"/>
  <c r="HX36" i="139" s="1"/>
  <c r="HX63" i="139" s="1"/>
  <c r="IB28" i="139"/>
  <c r="IB41" i="139" s="1"/>
  <c r="IB68" i="139" s="1"/>
  <c r="IC28" i="139"/>
  <c r="IC31" i="139" s="1"/>
  <c r="IC58" i="139" s="1"/>
  <c r="IF28" i="139"/>
  <c r="IF32" i="139" s="1"/>
  <c r="IF59" i="139" s="1"/>
  <c r="IJ28" i="139"/>
  <c r="IJ33" i="139" s="1"/>
  <c r="IJ60" i="139" s="1"/>
  <c r="IN28" i="139"/>
  <c r="IN31" i="139" s="1"/>
  <c r="IN58" i="139" s="1"/>
  <c r="IR28" i="139"/>
  <c r="IR36" i="139" s="1"/>
  <c r="IR63" i="139" s="1"/>
  <c r="IV28" i="139"/>
  <c r="IV40" i="139" s="1"/>
  <c r="IV67" i="139" s="1"/>
  <c r="IW28" i="139"/>
  <c r="IW35" i="139" s="1"/>
  <c r="IW62" i="139" s="1"/>
  <c r="IZ28" i="139"/>
  <c r="IZ32" i="139" s="1"/>
  <c r="IZ59" i="139" s="1"/>
  <c r="JD28" i="139"/>
  <c r="JD30" i="139" s="1"/>
  <c r="JD57" i="139" s="1"/>
  <c r="JH28" i="139"/>
  <c r="JH33" i="139" s="1"/>
  <c r="JH60" i="139" s="1"/>
  <c r="HP30" i="139"/>
  <c r="HP57" i="139" s="1"/>
  <c r="IC30" i="139"/>
  <c r="IC57" i="139" s="1"/>
  <c r="GZ31" i="139"/>
  <c r="GZ58" i="139" s="1"/>
  <c r="IJ31" i="139"/>
  <c r="IJ58" i="139" s="1"/>
  <c r="HI33" i="139"/>
  <c r="HI60" i="139" s="1"/>
  <c r="HI34" i="139"/>
  <c r="HI61" i="139" s="1"/>
  <c r="IW34" i="139"/>
  <c r="IW61" i="139" s="1"/>
  <c r="HT35" i="139"/>
  <c r="HT62" i="139" s="1"/>
  <c r="JD35" i="139"/>
  <c r="JD62" i="139" s="1"/>
  <c r="IC37" i="139"/>
  <c r="IC64" i="139" s="1"/>
  <c r="JH38" i="139"/>
  <c r="JH65" i="139" s="1"/>
  <c r="GZ39" i="139"/>
  <c r="GZ66" i="139" s="1"/>
  <c r="IJ39" i="139"/>
  <c r="IJ66" i="139" s="1"/>
  <c r="IC41" i="139"/>
  <c r="IC68" i="139" s="1"/>
  <c r="HA83" i="139"/>
  <c r="HB83" i="139"/>
  <c r="HD83" i="139"/>
  <c r="HE83" i="139"/>
  <c r="HF83" i="139"/>
  <c r="HH83" i="139"/>
  <c r="HI83" i="139"/>
  <c r="HJ83" i="139"/>
  <c r="HL83" i="139"/>
  <c r="HM83" i="139"/>
  <c r="HN83" i="139"/>
  <c r="HP83" i="139"/>
  <c r="HQ83" i="139"/>
  <c r="HR83" i="139"/>
  <c r="HT83" i="139"/>
  <c r="HU83" i="139"/>
  <c r="HV83" i="139"/>
  <c r="HX83" i="139"/>
  <c r="HY83" i="139"/>
  <c r="HZ83" i="139"/>
  <c r="IB83" i="139"/>
  <c r="IC83" i="139"/>
  <c r="ID83" i="139"/>
  <c r="IF83" i="139"/>
  <c r="IG83" i="139"/>
  <c r="IH83" i="139"/>
  <c r="IJ83" i="139"/>
  <c r="IK83" i="139"/>
  <c r="IL83" i="139"/>
  <c r="IN83" i="139"/>
  <c r="IO83" i="139"/>
  <c r="IP83" i="139"/>
  <c r="IR83" i="139"/>
  <c r="IS83" i="139"/>
  <c r="IT83" i="139"/>
  <c r="IV83" i="139"/>
  <c r="IW83" i="139"/>
  <c r="IX83" i="139"/>
  <c r="IZ83" i="139"/>
  <c r="JA83" i="139"/>
  <c r="JB83" i="139"/>
  <c r="JD83" i="139"/>
  <c r="JE83" i="139"/>
  <c r="JF83" i="139"/>
  <c r="JH83" i="139"/>
  <c r="HA84" i="139"/>
  <c r="HC84" i="139"/>
  <c r="HD84" i="139"/>
  <c r="HE84" i="139"/>
  <c r="HG84" i="139"/>
  <c r="HH84" i="139"/>
  <c r="HI84" i="139"/>
  <c r="HK84" i="139"/>
  <c r="HL84" i="139"/>
  <c r="HM84" i="139"/>
  <c r="HO84" i="139"/>
  <c r="HP84" i="139"/>
  <c r="HQ84" i="139"/>
  <c r="HS84" i="139"/>
  <c r="HT84" i="139"/>
  <c r="HU84" i="139"/>
  <c r="HW84" i="139"/>
  <c r="HX84" i="139"/>
  <c r="HY84" i="139"/>
  <c r="IA84" i="139"/>
  <c r="IB84" i="139"/>
  <c r="IC84" i="139"/>
  <c r="IE84" i="139"/>
  <c r="IF84" i="139"/>
  <c r="IG84" i="139"/>
  <c r="II84" i="139"/>
  <c r="IJ84" i="139"/>
  <c r="IK84" i="139"/>
  <c r="IM84" i="139"/>
  <c r="IN84" i="139"/>
  <c r="IO84" i="139"/>
  <c r="IQ84" i="139"/>
  <c r="IR84" i="139"/>
  <c r="IS84" i="139"/>
  <c r="IU84" i="139"/>
  <c r="IV84" i="139"/>
  <c r="IW84" i="139"/>
  <c r="IY84" i="139"/>
  <c r="IZ84" i="139"/>
  <c r="JA84" i="139"/>
  <c r="JC84" i="139"/>
  <c r="JD84" i="139"/>
  <c r="JE84" i="139"/>
  <c r="JG84" i="139"/>
  <c r="JH84" i="139"/>
  <c r="HB85" i="139"/>
  <c r="HC85" i="139"/>
  <c r="HD85" i="139"/>
  <c r="HF85" i="139"/>
  <c r="HG85" i="139"/>
  <c r="HH85" i="139"/>
  <c r="HJ85" i="139"/>
  <c r="HK85" i="139"/>
  <c r="HL85" i="139"/>
  <c r="HN85" i="139"/>
  <c r="HO85" i="139"/>
  <c r="HP85" i="139"/>
  <c r="HR85" i="139"/>
  <c r="HS85" i="139"/>
  <c r="HT85" i="139"/>
  <c r="HV85" i="139"/>
  <c r="HW85" i="139"/>
  <c r="HX85" i="139"/>
  <c r="HZ85" i="139"/>
  <c r="IA85" i="139"/>
  <c r="IB85" i="139"/>
  <c r="ID85" i="139"/>
  <c r="IE85" i="139"/>
  <c r="IF85" i="139"/>
  <c r="IH85" i="139"/>
  <c r="II85" i="139"/>
  <c r="IJ85" i="139"/>
  <c r="IL85" i="139"/>
  <c r="IM85" i="139"/>
  <c r="IN85" i="139"/>
  <c r="IP85" i="139"/>
  <c r="IQ85" i="139"/>
  <c r="IR85" i="139"/>
  <c r="IT85" i="139"/>
  <c r="IU85" i="139"/>
  <c r="IV85" i="139"/>
  <c r="IX85" i="139"/>
  <c r="IY85" i="139"/>
  <c r="IZ85" i="139"/>
  <c r="JB85" i="139"/>
  <c r="JC85" i="139"/>
  <c r="JD85" i="139"/>
  <c r="JF85" i="139"/>
  <c r="JG85" i="139"/>
  <c r="JH85" i="139"/>
  <c r="HA86" i="139"/>
  <c r="HB86" i="139"/>
  <c r="HC86" i="139"/>
  <c r="HE86" i="139"/>
  <c r="HF86" i="139"/>
  <c r="HG86" i="139"/>
  <c r="HI86" i="139"/>
  <c r="HJ86" i="139"/>
  <c r="HK86" i="139"/>
  <c r="HM86" i="139"/>
  <c r="HN86" i="139"/>
  <c r="HO86" i="139"/>
  <c r="HQ86" i="139"/>
  <c r="HR86" i="139"/>
  <c r="HS86" i="139"/>
  <c r="HU86" i="139"/>
  <c r="HV86" i="139"/>
  <c r="HW86" i="139"/>
  <c r="HY86" i="139"/>
  <c r="HZ86" i="139"/>
  <c r="IA86" i="139"/>
  <c r="IC86" i="139"/>
  <c r="ID86" i="139"/>
  <c r="IE86" i="139"/>
  <c r="IG86" i="139"/>
  <c r="IH86" i="139"/>
  <c r="II86" i="139"/>
  <c r="IK86" i="139"/>
  <c r="IL86" i="139"/>
  <c r="IM86" i="139"/>
  <c r="IO86" i="139"/>
  <c r="IP86" i="139"/>
  <c r="IQ86" i="139"/>
  <c r="IS86" i="139"/>
  <c r="IT86" i="139"/>
  <c r="IU86" i="139"/>
  <c r="IW86" i="139"/>
  <c r="IX86" i="139"/>
  <c r="IY86" i="139"/>
  <c r="JA86" i="139"/>
  <c r="JB86" i="139"/>
  <c r="JC86" i="139"/>
  <c r="JE86" i="139"/>
  <c r="JF86" i="139"/>
  <c r="JG86" i="139"/>
  <c r="HA87" i="139"/>
  <c r="HB87" i="139"/>
  <c r="HD87" i="139"/>
  <c r="HE87" i="139"/>
  <c r="HF87" i="139"/>
  <c r="HH87" i="139"/>
  <c r="HI87" i="139"/>
  <c r="HJ87" i="139"/>
  <c r="HL87" i="139"/>
  <c r="HM87" i="139"/>
  <c r="HN87" i="139"/>
  <c r="HP87" i="139"/>
  <c r="HQ87" i="139"/>
  <c r="HR87" i="139"/>
  <c r="HT87" i="139"/>
  <c r="HU87" i="139"/>
  <c r="HV87" i="139"/>
  <c r="HX87" i="139"/>
  <c r="HY87" i="139"/>
  <c r="HZ87" i="139"/>
  <c r="IB87" i="139"/>
  <c r="IC87" i="139"/>
  <c r="ID87" i="139"/>
  <c r="IF87" i="139"/>
  <c r="IG87" i="139"/>
  <c r="IH87" i="139"/>
  <c r="IJ87" i="139"/>
  <c r="IK87" i="139"/>
  <c r="IL87" i="139"/>
  <c r="IN87" i="139"/>
  <c r="IO87" i="139"/>
  <c r="IP87" i="139"/>
  <c r="IR87" i="139"/>
  <c r="IS87" i="139"/>
  <c r="IT87" i="139"/>
  <c r="IV87" i="139"/>
  <c r="IW87" i="139"/>
  <c r="IX87" i="139"/>
  <c r="IZ87" i="139"/>
  <c r="JA87" i="139"/>
  <c r="JB87" i="139"/>
  <c r="JD87" i="139"/>
  <c r="JE87" i="139"/>
  <c r="JF87" i="139"/>
  <c r="JH87" i="139"/>
  <c r="HA88" i="139"/>
  <c r="HC88" i="139"/>
  <c r="HD88" i="139"/>
  <c r="HE88" i="139"/>
  <c r="HG88" i="139"/>
  <c r="HH88" i="139"/>
  <c r="HI88" i="139"/>
  <c r="HK88" i="139"/>
  <c r="HL88" i="139"/>
  <c r="HM88" i="139"/>
  <c r="HO88" i="139"/>
  <c r="HP88" i="139"/>
  <c r="HQ88" i="139"/>
  <c r="HS88" i="139"/>
  <c r="HT88" i="139"/>
  <c r="HU88" i="139"/>
  <c r="HW88" i="139"/>
  <c r="HX88" i="139"/>
  <c r="HY88" i="139"/>
  <c r="IA88" i="139"/>
  <c r="IB88" i="139"/>
  <c r="IC88" i="139"/>
  <c r="IE88" i="139"/>
  <c r="IF88" i="139"/>
  <c r="IG88" i="139"/>
  <c r="II88" i="139"/>
  <c r="IJ88" i="139"/>
  <c r="IK88" i="139"/>
  <c r="IM88" i="139"/>
  <c r="IN88" i="139"/>
  <c r="IO88" i="139"/>
  <c r="IQ88" i="139"/>
  <c r="IR88" i="139"/>
  <c r="IS88" i="139"/>
  <c r="IU88" i="139"/>
  <c r="IV88" i="139"/>
  <c r="IW88" i="139"/>
  <c r="IY88" i="139"/>
  <c r="IZ88" i="139"/>
  <c r="JA88" i="139"/>
  <c r="JC88" i="139"/>
  <c r="JD88" i="139"/>
  <c r="JE88" i="139"/>
  <c r="JG88" i="139"/>
  <c r="JH88" i="139"/>
  <c r="HB89" i="139"/>
  <c r="HC89" i="139"/>
  <c r="HD89" i="139"/>
  <c r="HF89" i="139"/>
  <c r="HG89" i="139"/>
  <c r="HH89" i="139"/>
  <c r="HJ89" i="139"/>
  <c r="HK89" i="139"/>
  <c r="HL89" i="139"/>
  <c r="HN89" i="139"/>
  <c r="HO89" i="139"/>
  <c r="HP89" i="139"/>
  <c r="HR89" i="139"/>
  <c r="HS89" i="139"/>
  <c r="HT89" i="139"/>
  <c r="HV89" i="139"/>
  <c r="HW89" i="139"/>
  <c r="HX89" i="139"/>
  <c r="HZ89" i="139"/>
  <c r="IA89" i="139"/>
  <c r="IB89" i="139"/>
  <c r="ID89" i="139"/>
  <c r="IE89" i="139"/>
  <c r="IF89" i="139"/>
  <c r="IH89" i="139"/>
  <c r="II89" i="139"/>
  <c r="IJ89" i="139"/>
  <c r="IL89" i="139"/>
  <c r="IM89" i="139"/>
  <c r="IN89" i="139"/>
  <c r="IP89" i="139"/>
  <c r="IQ89" i="139"/>
  <c r="IR89" i="139"/>
  <c r="IT89" i="139"/>
  <c r="IU89" i="139"/>
  <c r="IV89" i="139"/>
  <c r="IX89" i="139"/>
  <c r="IY89" i="139"/>
  <c r="IZ89" i="139"/>
  <c r="JB89" i="139"/>
  <c r="JC89" i="139"/>
  <c r="JD89" i="139"/>
  <c r="JF89" i="139"/>
  <c r="JG89" i="139"/>
  <c r="JH89" i="139"/>
  <c r="HA90" i="139"/>
  <c r="HB90" i="139"/>
  <c r="HC90" i="139"/>
  <c r="HE90" i="139"/>
  <c r="HF90" i="139"/>
  <c r="HG90" i="139"/>
  <c r="HI90" i="139"/>
  <c r="HJ90" i="139"/>
  <c r="HK90" i="139"/>
  <c r="HM90" i="139"/>
  <c r="HN90" i="139"/>
  <c r="HO90" i="139"/>
  <c r="HQ90" i="139"/>
  <c r="HR90" i="139"/>
  <c r="HS90" i="139"/>
  <c r="HU90" i="139"/>
  <c r="HV90" i="139"/>
  <c r="HW90" i="139"/>
  <c r="HY90" i="139"/>
  <c r="HZ90" i="139"/>
  <c r="IA90" i="139"/>
  <c r="IC90" i="139"/>
  <c r="ID90" i="139"/>
  <c r="IE90" i="139"/>
  <c r="IG90" i="139"/>
  <c r="IH90" i="139"/>
  <c r="II90" i="139"/>
  <c r="IK90" i="139"/>
  <c r="IL90" i="139"/>
  <c r="IM90" i="139"/>
  <c r="IO90" i="139"/>
  <c r="IP90" i="139"/>
  <c r="IQ90" i="139"/>
  <c r="IS90" i="139"/>
  <c r="IT90" i="139"/>
  <c r="IU90" i="139"/>
  <c r="IW90" i="139"/>
  <c r="IX90" i="139"/>
  <c r="IY90" i="139"/>
  <c r="JA90" i="139"/>
  <c r="JB90" i="139"/>
  <c r="JC90" i="139"/>
  <c r="JE90" i="139"/>
  <c r="JF90" i="139"/>
  <c r="JG90" i="139"/>
  <c r="HA91" i="139"/>
  <c r="HB91" i="139"/>
  <c r="HD91" i="139"/>
  <c r="HE91" i="139"/>
  <c r="HF91" i="139"/>
  <c r="HH91" i="139"/>
  <c r="HI91" i="139"/>
  <c r="HJ91" i="139"/>
  <c r="HL91" i="139"/>
  <c r="HM91" i="139"/>
  <c r="HN91" i="139"/>
  <c r="HP91" i="139"/>
  <c r="HQ91" i="139"/>
  <c r="HR91" i="139"/>
  <c r="HT91" i="139"/>
  <c r="HU91" i="139"/>
  <c r="HV91" i="139"/>
  <c r="HX91" i="139"/>
  <c r="HY91" i="139"/>
  <c r="HZ91" i="139"/>
  <c r="IB91" i="139"/>
  <c r="IC91" i="139"/>
  <c r="ID91" i="139"/>
  <c r="IF91" i="139"/>
  <c r="IG91" i="139"/>
  <c r="IH91" i="139"/>
  <c r="IJ91" i="139"/>
  <c r="IK91" i="139"/>
  <c r="IL91" i="139"/>
  <c r="IN91" i="139"/>
  <c r="IO91" i="139"/>
  <c r="IP91" i="139"/>
  <c r="IR91" i="139"/>
  <c r="IS91" i="139"/>
  <c r="IT91" i="139"/>
  <c r="IV91" i="139"/>
  <c r="IW91" i="139"/>
  <c r="IX91" i="139"/>
  <c r="IZ91" i="139"/>
  <c r="JA91" i="139"/>
  <c r="JB91" i="139"/>
  <c r="JD91" i="139"/>
  <c r="JE91" i="139"/>
  <c r="JF91" i="139"/>
  <c r="JH91" i="139"/>
  <c r="HA92" i="139"/>
  <c r="HC92" i="139"/>
  <c r="HD92" i="139"/>
  <c r="HE92" i="139"/>
  <c r="HG92" i="139"/>
  <c r="HH92" i="139"/>
  <c r="HI92" i="139"/>
  <c r="HK92" i="139"/>
  <c r="HL92" i="139"/>
  <c r="HM92" i="139"/>
  <c r="HO92" i="139"/>
  <c r="HP92" i="139"/>
  <c r="HQ92" i="139"/>
  <c r="HS92" i="139"/>
  <c r="HT92" i="139"/>
  <c r="HU92" i="139"/>
  <c r="HW92" i="139"/>
  <c r="HX92" i="139"/>
  <c r="HY92" i="139"/>
  <c r="IA92" i="139"/>
  <c r="IB92" i="139"/>
  <c r="IC92" i="139"/>
  <c r="IE92" i="139"/>
  <c r="IF92" i="139"/>
  <c r="IG92" i="139"/>
  <c r="II92" i="139"/>
  <c r="IJ92" i="139"/>
  <c r="IK92" i="139"/>
  <c r="IM92" i="139"/>
  <c r="IN92" i="139"/>
  <c r="IO92" i="139"/>
  <c r="IQ92" i="139"/>
  <c r="IR92" i="139"/>
  <c r="IS92" i="139"/>
  <c r="IU92" i="139"/>
  <c r="IV92" i="139"/>
  <c r="IW92" i="139"/>
  <c r="IY92" i="139"/>
  <c r="IZ92" i="139"/>
  <c r="JA92" i="139"/>
  <c r="JC92" i="139"/>
  <c r="JD92" i="139"/>
  <c r="JE92" i="139"/>
  <c r="JG92" i="139"/>
  <c r="JH92" i="139"/>
  <c r="HB93" i="139"/>
  <c r="HC93" i="139"/>
  <c r="HD93" i="139"/>
  <c r="HF93" i="139"/>
  <c r="HG93" i="139"/>
  <c r="HH93" i="139"/>
  <c r="HJ93" i="139"/>
  <c r="HK93" i="139"/>
  <c r="HL93" i="139"/>
  <c r="HN93" i="139"/>
  <c r="HO93" i="139"/>
  <c r="HP93" i="139"/>
  <c r="HR93" i="139"/>
  <c r="HS93" i="139"/>
  <c r="HT93" i="139"/>
  <c r="HV93" i="139"/>
  <c r="HW93" i="139"/>
  <c r="HX93" i="139"/>
  <c r="HZ93" i="139"/>
  <c r="IA93" i="139"/>
  <c r="IB93" i="139"/>
  <c r="ID93" i="139"/>
  <c r="IE93" i="139"/>
  <c r="IF93" i="139"/>
  <c r="IH93" i="139"/>
  <c r="II93" i="139"/>
  <c r="IJ93" i="139"/>
  <c r="IL93" i="139"/>
  <c r="IM93" i="139"/>
  <c r="IN93" i="139"/>
  <c r="IP93" i="139"/>
  <c r="IQ93" i="139"/>
  <c r="IR93" i="139"/>
  <c r="IT93" i="139"/>
  <c r="IU93" i="139"/>
  <c r="IV93" i="139"/>
  <c r="IX93" i="139"/>
  <c r="IY93" i="139"/>
  <c r="IZ93" i="139"/>
  <c r="JB93" i="139"/>
  <c r="JC93" i="139"/>
  <c r="JD93" i="139"/>
  <c r="JF93" i="139"/>
  <c r="JG93" i="139"/>
  <c r="JH93" i="139"/>
  <c r="HA94" i="139"/>
  <c r="HB94" i="139"/>
  <c r="HC94" i="139"/>
  <c r="HE94" i="139"/>
  <c r="HF94" i="139"/>
  <c r="HG94" i="139"/>
  <c r="HI94" i="139"/>
  <c r="HJ94" i="139"/>
  <c r="HK94" i="139"/>
  <c r="HM94" i="139"/>
  <c r="HN94" i="139"/>
  <c r="HO94" i="139"/>
  <c r="HQ94" i="139"/>
  <c r="HR94" i="139"/>
  <c r="HS94" i="139"/>
  <c r="HU94" i="139"/>
  <c r="HV94" i="139"/>
  <c r="HW94" i="139"/>
  <c r="HY94" i="139"/>
  <c r="HZ94" i="139"/>
  <c r="IA94" i="139"/>
  <c r="IC94" i="139"/>
  <c r="ID94" i="139"/>
  <c r="IE94" i="139"/>
  <c r="IG94" i="139"/>
  <c r="IH94" i="139"/>
  <c r="II94" i="139"/>
  <c r="IK94" i="139"/>
  <c r="IL94" i="139"/>
  <c r="IM94" i="139"/>
  <c r="IO94" i="139"/>
  <c r="IP94" i="139"/>
  <c r="IQ94" i="139"/>
  <c r="IS94" i="139"/>
  <c r="IT94" i="139"/>
  <c r="IU94" i="139"/>
  <c r="IW94" i="139"/>
  <c r="IX94" i="139"/>
  <c r="IY94" i="139"/>
  <c r="JA94" i="139"/>
  <c r="JB94" i="139"/>
  <c r="JC94" i="139"/>
  <c r="JE94" i="139"/>
  <c r="JF94" i="139"/>
  <c r="JG94" i="139"/>
  <c r="JH30" i="139" l="1"/>
  <c r="JH57" i="139" s="1"/>
  <c r="HI41" i="139"/>
  <c r="HI68" i="139" s="1"/>
  <c r="GZ41" i="139"/>
  <c r="GZ68" i="139" s="1"/>
  <c r="IW41" i="139"/>
  <c r="IW68" i="139" s="1"/>
  <c r="IF38" i="139"/>
  <c r="IF65" i="139" s="1"/>
  <c r="IC33" i="139"/>
  <c r="IC60" i="139" s="1"/>
  <c r="HP39" i="139"/>
  <c r="HP66" i="139" s="1"/>
  <c r="JH35" i="139"/>
  <c r="JH62" i="139" s="1"/>
  <c r="GZ34" i="139"/>
  <c r="GZ61" i="139" s="1"/>
  <c r="HT31" i="139"/>
  <c r="HT58" i="139" s="1"/>
  <c r="GZ30" i="139"/>
  <c r="GZ57" i="139" s="1"/>
  <c r="JH34" i="139"/>
  <c r="JH61" i="139" s="1"/>
  <c r="IV31" i="139"/>
  <c r="IV58" i="139" s="1"/>
  <c r="HT36" i="139"/>
  <c r="HT63" i="139" s="1"/>
  <c r="JH39" i="139"/>
  <c r="JH66" i="139" s="1"/>
  <c r="HT38" i="139"/>
  <c r="HT65" i="139" s="1"/>
  <c r="IB39" i="139"/>
  <c r="IB66" i="139" s="1"/>
  <c r="IV38" i="139"/>
  <c r="IV65" i="139" s="1"/>
  <c r="HH38" i="139"/>
  <c r="HH65" i="139" s="1"/>
  <c r="IB34" i="139"/>
  <c r="IB61" i="139" s="1"/>
  <c r="HT39" i="139"/>
  <c r="HT66" i="139" s="1"/>
  <c r="IN38" i="139"/>
  <c r="IN65" i="139" s="1"/>
  <c r="GZ38" i="139"/>
  <c r="GZ65" i="139" s="1"/>
  <c r="HH35" i="139"/>
  <c r="HH62" i="139" s="1"/>
  <c r="HT34" i="139"/>
  <c r="HT61" i="139" s="1"/>
  <c r="HP32" i="139"/>
  <c r="HP59" i="139" s="1"/>
  <c r="HP31" i="139"/>
  <c r="HP58" i="139" s="1"/>
  <c r="HT30" i="139"/>
  <c r="HT57" i="139" s="1"/>
  <c r="IV41" i="139"/>
  <c r="IV68" i="139" s="1"/>
  <c r="IN36" i="139"/>
  <c r="IN63" i="139" s="1"/>
  <c r="IB38" i="139"/>
  <c r="IB65" i="139" s="1"/>
  <c r="HH34" i="139"/>
  <c r="HH61" i="139" s="1"/>
  <c r="GZ36" i="139"/>
  <c r="GZ63" i="139" s="1"/>
  <c r="IV39" i="139"/>
  <c r="IV66" i="139" s="1"/>
  <c r="IV34" i="139"/>
  <c r="IV61" i="139" s="1"/>
  <c r="IZ38" i="139"/>
  <c r="IZ65" i="139" s="1"/>
  <c r="HL38" i="139"/>
  <c r="HL65" i="139" s="1"/>
  <c r="IB35" i="139"/>
  <c r="IB62" i="139" s="1"/>
  <c r="IN34" i="139"/>
  <c r="IN61" i="139" s="1"/>
  <c r="IF31" i="139"/>
  <c r="IF58" i="139" s="1"/>
  <c r="IN30" i="139"/>
  <c r="IN57" i="139" s="1"/>
  <c r="IN37" i="139"/>
  <c r="IN64" i="139" s="1"/>
  <c r="JD33" i="139"/>
  <c r="JD60" i="139" s="1"/>
  <c r="IR39" i="139"/>
  <c r="IR66" i="139" s="1"/>
  <c r="HL39" i="139"/>
  <c r="HL66" i="139" s="1"/>
  <c r="IW38" i="139"/>
  <c r="IW65" i="139" s="1"/>
  <c r="IC38" i="139"/>
  <c r="IC65" i="139" s="1"/>
  <c r="HI38" i="139"/>
  <c r="HI65" i="139" s="1"/>
  <c r="HI37" i="139"/>
  <c r="HI64" i="139" s="1"/>
  <c r="IC34" i="139"/>
  <c r="IC61" i="139" s="1"/>
  <c r="IW33" i="139"/>
  <c r="IW60" i="139" s="1"/>
  <c r="IR31" i="139"/>
  <c r="IR58" i="139" s="1"/>
  <c r="HH31" i="139"/>
  <c r="HH58" i="139" s="1"/>
  <c r="IJ30" i="139"/>
  <c r="IJ57" i="139" s="1"/>
  <c r="IJ41" i="139"/>
  <c r="IJ68" i="139" s="1"/>
  <c r="GZ40" i="139"/>
  <c r="GZ67" i="139" s="1"/>
  <c r="HP37" i="139"/>
  <c r="HP64" i="139" s="1"/>
  <c r="HI36" i="139"/>
  <c r="HI63" i="139" s="1"/>
  <c r="HH33" i="139"/>
  <c r="HH60" i="139" s="1"/>
  <c r="HD39" i="139"/>
  <c r="HD66" i="139" s="1"/>
  <c r="HX41" i="139"/>
  <c r="HX68" i="139" s="1"/>
  <c r="IC40" i="139"/>
  <c r="IC67" i="139" s="1"/>
  <c r="IW32" i="139"/>
  <c r="IW59" i="139" s="1"/>
  <c r="IR38" i="139"/>
  <c r="IR65" i="139" s="1"/>
  <c r="HX38" i="139"/>
  <c r="HX65" i="139" s="1"/>
  <c r="HD38" i="139"/>
  <c r="HD65" i="139" s="1"/>
  <c r="IW36" i="139"/>
  <c r="IW63" i="139" s="1"/>
  <c r="IC35" i="139"/>
  <c r="IC62" i="139" s="1"/>
  <c r="IC32" i="139"/>
  <c r="IC59" i="139" s="1"/>
  <c r="HX39" i="139"/>
  <c r="HX66" i="139" s="1"/>
  <c r="IR35" i="139"/>
  <c r="IR62" i="139" s="1"/>
  <c r="IW40" i="139"/>
  <c r="IW67" i="139" s="1"/>
  <c r="IC39" i="139"/>
  <c r="IC66" i="139" s="1"/>
  <c r="HI35" i="139"/>
  <c r="HI62" i="139" s="1"/>
  <c r="HH32" i="139"/>
  <c r="HH59" i="139" s="1"/>
  <c r="JD38" i="139"/>
  <c r="JD65" i="139" s="1"/>
  <c r="IJ38" i="139"/>
  <c r="IJ65" i="139" s="1"/>
  <c r="HP38" i="139"/>
  <c r="HP65" i="139" s="1"/>
  <c r="IW37" i="139"/>
  <c r="IW64" i="139" s="1"/>
  <c r="IJ35" i="139"/>
  <c r="IJ62" i="139" s="1"/>
  <c r="JD31" i="139"/>
  <c r="JD58" i="139" s="1"/>
  <c r="IW30" i="139"/>
  <c r="IW57" i="139" s="1"/>
  <c r="HI30" i="139"/>
  <c r="HI57" i="139" s="1"/>
  <c r="IR40" i="139"/>
  <c r="IR67" i="139" s="1"/>
  <c r="HI40" i="139"/>
  <c r="HI67" i="139" s="1"/>
  <c r="IC36" i="139"/>
  <c r="IC63" i="139" s="1"/>
  <c r="IW31" i="139"/>
  <c r="IW58" i="139" s="1"/>
  <c r="IF33" i="139"/>
  <c r="IF60" i="139" s="1"/>
  <c r="JD39" i="139"/>
  <c r="JD66" i="139" s="1"/>
  <c r="IF39" i="139"/>
  <c r="IF66" i="139" s="1"/>
  <c r="HH39" i="139"/>
  <c r="HH66" i="139" s="1"/>
  <c r="IN35" i="139"/>
  <c r="IN62" i="139" s="1"/>
  <c r="HP35" i="139"/>
  <c r="HP62" i="139" s="1"/>
  <c r="JD34" i="139"/>
  <c r="JD61" i="139" s="1"/>
  <c r="IJ34" i="139"/>
  <c r="IJ61" i="139" s="1"/>
  <c r="HP34" i="139"/>
  <c r="HP61" i="139" s="1"/>
  <c r="IZ31" i="139"/>
  <c r="IZ58" i="139" s="1"/>
  <c r="IB31" i="139"/>
  <c r="IB58" i="139" s="1"/>
  <c r="HD31" i="139"/>
  <c r="HD58" i="139" s="1"/>
  <c r="IV30" i="139"/>
  <c r="IV57" i="139" s="1"/>
  <c r="IB30" i="139"/>
  <c r="IB57" i="139" s="1"/>
  <c r="HH30" i="139"/>
  <c r="HH57" i="139" s="1"/>
  <c r="IR41" i="139"/>
  <c r="IR68" i="139" s="1"/>
  <c r="HT41" i="139"/>
  <c r="HT68" i="139" s="1"/>
  <c r="JH40" i="139"/>
  <c r="JH67" i="139" s="1"/>
  <c r="IB40" i="139"/>
  <c r="IB67" i="139" s="1"/>
  <c r="HL40" i="139"/>
  <c r="HL67" i="139" s="1"/>
  <c r="IW39" i="139"/>
  <c r="IW66" i="139" s="1"/>
  <c r="HI39" i="139"/>
  <c r="HI66" i="139" s="1"/>
  <c r="JH37" i="139"/>
  <c r="JH64" i="139" s="1"/>
  <c r="IJ37" i="139"/>
  <c r="IJ64" i="139" s="1"/>
  <c r="HL37" i="139"/>
  <c r="HL64" i="139" s="1"/>
  <c r="JD36" i="139"/>
  <c r="JD63" i="139" s="1"/>
  <c r="IJ36" i="139"/>
  <c r="IJ63" i="139" s="1"/>
  <c r="HP36" i="139"/>
  <c r="HP63" i="139" s="1"/>
  <c r="IZ33" i="139"/>
  <c r="IZ60" i="139" s="1"/>
  <c r="IB33" i="139"/>
  <c r="IB60" i="139" s="1"/>
  <c r="HD33" i="139"/>
  <c r="HD60" i="139" s="1"/>
  <c r="IV32" i="139"/>
  <c r="IV59" i="139" s="1"/>
  <c r="IB32" i="139"/>
  <c r="IB59" i="139" s="1"/>
  <c r="HD32" i="139"/>
  <c r="HD59" i="139" s="1"/>
  <c r="IZ39" i="139"/>
  <c r="IZ66" i="139" s="1"/>
  <c r="HL35" i="139"/>
  <c r="HL62" i="139" s="1"/>
  <c r="IZ34" i="139"/>
  <c r="IZ61" i="139" s="1"/>
  <c r="IF34" i="139"/>
  <c r="IF61" i="139" s="1"/>
  <c r="HL34" i="139"/>
  <c r="HL61" i="139" s="1"/>
  <c r="HX31" i="139"/>
  <c r="HX58" i="139" s="1"/>
  <c r="IR30" i="139"/>
  <c r="IR57" i="139" s="1"/>
  <c r="HX30" i="139"/>
  <c r="HX57" i="139" s="1"/>
  <c r="HD30" i="139"/>
  <c r="HD57" i="139" s="1"/>
  <c r="IN41" i="139"/>
  <c r="IN68" i="139" s="1"/>
  <c r="HP41" i="139"/>
  <c r="HP68" i="139" s="1"/>
  <c r="JD40" i="139"/>
  <c r="JD67" i="139" s="1"/>
  <c r="IN40" i="139"/>
  <c r="IN67" i="139" s="1"/>
  <c r="HX40" i="139"/>
  <c r="HX67" i="139" s="1"/>
  <c r="JD37" i="139"/>
  <c r="JD64" i="139" s="1"/>
  <c r="IF37" i="139"/>
  <c r="IF64" i="139" s="1"/>
  <c r="HH37" i="139"/>
  <c r="HH64" i="139" s="1"/>
  <c r="IZ36" i="139"/>
  <c r="IZ63" i="139" s="1"/>
  <c r="IF36" i="139"/>
  <c r="IF63" i="139" s="1"/>
  <c r="HL36" i="139"/>
  <c r="HL63" i="139" s="1"/>
  <c r="IV33" i="139"/>
  <c r="IV60" i="139" s="1"/>
  <c r="HX33" i="139"/>
  <c r="HX60" i="139" s="1"/>
  <c r="GZ33" i="139"/>
  <c r="GZ60" i="139" s="1"/>
  <c r="IR32" i="139"/>
  <c r="IR59" i="139" s="1"/>
  <c r="HX32" i="139"/>
  <c r="HX59" i="139" s="1"/>
  <c r="GZ32" i="139"/>
  <c r="GZ59" i="139" s="1"/>
  <c r="IF35" i="139"/>
  <c r="IF62" i="139" s="1"/>
  <c r="JH41" i="139"/>
  <c r="JH68" i="139" s="1"/>
  <c r="HL41" i="139"/>
  <c r="HL68" i="139" s="1"/>
  <c r="IZ40" i="139"/>
  <c r="IZ67" i="139" s="1"/>
  <c r="IJ40" i="139"/>
  <c r="IJ67" i="139" s="1"/>
  <c r="HH40" i="139"/>
  <c r="HH67" i="139" s="1"/>
  <c r="IZ37" i="139"/>
  <c r="IZ64" i="139" s="1"/>
  <c r="IB37" i="139"/>
  <c r="IB64" i="139" s="1"/>
  <c r="HD37" i="139"/>
  <c r="HD64" i="139" s="1"/>
  <c r="IR33" i="139"/>
  <c r="IR60" i="139" s="1"/>
  <c r="HT33" i="139"/>
  <c r="HT60" i="139" s="1"/>
  <c r="JH32" i="139"/>
  <c r="JH59" i="139" s="1"/>
  <c r="IN32" i="139"/>
  <c r="IN59" i="139" s="1"/>
  <c r="HT32" i="139"/>
  <c r="HT59" i="139" s="1"/>
  <c r="IZ35" i="139"/>
  <c r="IZ62" i="139" s="1"/>
  <c r="HD35" i="139"/>
  <c r="HD62" i="139" s="1"/>
  <c r="JD41" i="139"/>
  <c r="JD68" i="139" s="1"/>
  <c r="IF41" i="139"/>
  <c r="IF68" i="139" s="1"/>
  <c r="HH41" i="139"/>
  <c r="HH68" i="139" s="1"/>
  <c r="HT40" i="139"/>
  <c r="HT67" i="139" s="1"/>
  <c r="HD40" i="139"/>
  <c r="HD67" i="139" s="1"/>
  <c r="IV37" i="139"/>
  <c r="IV64" i="139" s="1"/>
  <c r="HX37" i="139"/>
  <c r="HX64" i="139" s="1"/>
  <c r="GZ37" i="139"/>
  <c r="GZ64" i="139" s="1"/>
  <c r="IV36" i="139"/>
  <c r="IV63" i="139" s="1"/>
  <c r="IB36" i="139"/>
  <c r="IB63" i="139" s="1"/>
  <c r="HH36" i="139"/>
  <c r="HH63" i="139" s="1"/>
  <c r="IN33" i="139"/>
  <c r="IN60" i="139" s="1"/>
  <c r="HP33" i="139"/>
  <c r="HP60" i="139" s="1"/>
  <c r="JD32" i="139"/>
  <c r="JD59" i="139" s="1"/>
  <c r="IJ32" i="139"/>
  <c r="IJ59" i="139" s="1"/>
  <c r="HL32" i="139"/>
  <c r="HL59" i="139" s="1"/>
  <c r="IN39" i="139"/>
  <c r="IN66" i="139" s="1"/>
  <c r="IV35" i="139"/>
  <c r="IV62" i="139" s="1"/>
  <c r="HX35" i="139"/>
  <c r="HX62" i="139" s="1"/>
  <c r="IR34" i="139"/>
  <c r="IR61" i="139" s="1"/>
  <c r="HX34" i="139"/>
  <c r="HX61" i="139" s="1"/>
  <c r="HD34" i="139"/>
  <c r="HD61" i="139" s="1"/>
  <c r="JH31" i="139"/>
  <c r="JH58" i="139" s="1"/>
  <c r="HL31" i="139"/>
  <c r="HL58" i="139" s="1"/>
  <c r="IZ30" i="139"/>
  <c r="IZ57" i="139" s="1"/>
  <c r="IF30" i="139"/>
  <c r="IF57" i="139" s="1"/>
  <c r="HL30" i="139"/>
  <c r="HL57" i="139" s="1"/>
  <c r="IZ41" i="139"/>
  <c r="IZ68" i="139" s="1"/>
  <c r="HD41" i="139"/>
  <c r="HD68" i="139" s="1"/>
  <c r="IF40" i="139"/>
  <c r="IF67" i="139" s="1"/>
  <c r="IR37" i="139"/>
  <c r="IR64" i="139" s="1"/>
  <c r="JH36" i="139"/>
  <c r="JH63" i="139" s="1"/>
  <c r="HI32" i="139"/>
  <c r="HI59" i="139" s="1"/>
  <c r="JC28" i="139"/>
  <c r="JC41" i="139" s="1"/>
  <c r="JC68" i="139" s="1"/>
  <c r="IU28" i="139"/>
  <c r="IU34" i="139" s="1"/>
  <c r="IU61" i="139" s="1"/>
  <c r="IM28" i="139"/>
  <c r="IM38" i="139" s="1"/>
  <c r="IM65" i="139" s="1"/>
  <c r="IE28" i="139"/>
  <c r="IA28" i="139"/>
  <c r="IA38" i="139" s="1"/>
  <c r="IA65" i="139" s="1"/>
  <c r="HS28" i="139"/>
  <c r="HS38" i="139" s="1"/>
  <c r="HS65" i="139" s="1"/>
  <c r="HK28" i="139"/>
  <c r="HK34" i="139" s="1"/>
  <c r="HK61" i="139" s="1"/>
  <c r="HC28" i="139"/>
  <c r="HC37" i="139" s="1"/>
  <c r="HC64" i="139" s="1"/>
  <c r="JG28" i="139"/>
  <c r="JG37" i="139" s="1"/>
  <c r="JG64" i="139" s="1"/>
  <c r="IY28" i="139"/>
  <c r="IY41" i="139" s="1"/>
  <c r="IY68" i="139" s="1"/>
  <c r="IQ28" i="139"/>
  <c r="IQ34" i="139" s="1"/>
  <c r="IQ61" i="139" s="1"/>
  <c r="II28" i="139"/>
  <c r="II38" i="139" s="1"/>
  <c r="II65" i="139" s="1"/>
  <c r="HW28" i="139"/>
  <c r="HW38" i="139" s="1"/>
  <c r="HW65" i="139" s="1"/>
  <c r="HO28" i="139"/>
  <c r="HG28" i="139"/>
  <c r="HG34" i="139" s="1"/>
  <c r="HG61" i="139" s="1"/>
  <c r="JH94" i="139"/>
  <c r="JD94" i="139"/>
  <c r="IZ94" i="139"/>
  <c r="IV94" i="139"/>
  <c r="IR94" i="139"/>
  <c r="IN94" i="139"/>
  <c r="IJ94" i="139"/>
  <c r="IF94" i="139"/>
  <c r="IB94" i="139"/>
  <c r="HX94" i="139"/>
  <c r="HT94" i="139"/>
  <c r="HP94" i="139"/>
  <c r="HL94" i="139"/>
  <c r="HH94" i="139"/>
  <c r="HD94" i="139"/>
  <c r="JE93" i="139"/>
  <c r="JA93" i="139"/>
  <c r="IW93" i="139"/>
  <c r="IS93" i="139"/>
  <c r="IK93" i="139"/>
  <c r="IC93" i="139"/>
  <c r="HY93" i="139"/>
  <c r="HQ93" i="139"/>
  <c r="HI93" i="139"/>
  <c r="HE93" i="139"/>
  <c r="JF92" i="139"/>
  <c r="JB92" i="139"/>
  <c r="IX92" i="139"/>
  <c r="IP92" i="139"/>
  <c r="IL92" i="139"/>
  <c r="ID92" i="139"/>
  <c r="HZ92" i="139"/>
  <c r="HR92" i="139"/>
  <c r="HN92" i="139"/>
  <c r="HF92" i="139"/>
  <c r="HB92" i="139"/>
  <c r="JC91" i="139"/>
  <c r="IY91" i="139"/>
  <c r="IQ91" i="139"/>
  <c r="IM91" i="139"/>
  <c r="IE91" i="139"/>
  <c r="IA91" i="139"/>
  <c r="HS91" i="139"/>
  <c r="HO91" i="139"/>
  <c r="HG91" i="139"/>
  <c r="HC91" i="139"/>
  <c r="JH90" i="139"/>
  <c r="JD90" i="139"/>
  <c r="IZ90" i="139"/>
  <c r="IV90" i="139"/>
  <c r="IR90" i="139"/>
  <c r="IN90" i="139"/>
  <c r="IJ90" i="139"/>
  <c r="IF90" i="139"/>
  <c r="IB90" i="139"/>
  <c r="HX90" i="139"/>
  <c r="HT90" i="139"/>
  <c r="HP90" i="139"/>
  <c r="HL90" i="139"/>
  <c r="HH90" i="139"/>
  <c r="HD90" i="139"/>
  <c r="JA89" i="139"/>
  <c r="IW89" i="139"/>
  <c r="IS89" i="139"/>
  <c r="IO89" i="139"/>
  <c r="IK89" i="139"/>
  <c r="IG89" i="139"/>
  <c r="IC89" i="139"/>
  <c r="HY89" i="139"/>
  <c r="HU89" i="139"/>
  <c r="HQ89" i="139"/>
  <c r="HM89" i="139"/>
  <c r="HI89" i="139"/>
  <c r="HE89" i="139"/>
  <c r="HA89" i="139"/>
  <c r="JF88" i="139"/>
  <c r="JB88" i="139"/>
  <c r="IX88" i="139"/>
  <c r="IT88" i="139"/>
  <c r="IP88" i="139"/>
  <c r="IL88" i="139"/>
  <c r="IH88" i="139"/>
  <c r="ID88" i="139"/>
  <c r="HZ88" i="139"/>
  <c r="HV88" i="139"/>
  <c r="HR88" i="139"/>
  <c r="HN88" i="139"/>
  <c r="HJ88" i="139"/>
  <c r="HF88" i="139"/>
  <c r="HB88" i="139"/>
  <c r="JG87" i="139"/>
  <c r="JC87" i="139"/>
  <c r="IY87" i="139"/>
  <c r="IU87" i="139"/>
  <c r="IQ87" i="139"/>
  <c r="IM87" i="139"/>
  <c r="IE87" i="139"/>
  <c r="IA87" i="139"/>
  <c r="HW87" i="139"/>
  <c r="HS87" i="139"/>
  <c r="HO87" i="139"/>
  <c r="HK87" i="139"/>
  <c r="HG87" i="139"/>
  <c r="HC87" i="139"/>
  <c r="JH86" i="139"/>
  <c r="JD86" i="139"/>
  <c r="IZ86" i="139"/>
  <c r="IV86" i="139"/>
  <c r="IR86" i="139"/>
  <c r="IN86" i="139"/>
  <c r="IJ86" i="139"/>
  <c r="IF86" i="139"/>
  <c r="IB86" i="139"/>
  <c r="HX86" i="139"/>
  <c r="HT86" i="139"/>
  <c r="HP86" i="139"/>
  <c r="HL86" i="139"/>
  <c r="HH86" i="139"/>
  <c r="HD86" i="139"/>
  <c r="JE85" i="139"/>
  <c r="JA85" i="139"/>
  <c r="IW85" i="139"/>
  <c r="IS85" i="139"/>
  <c r="IO85" i="139"/>
  <c r="IK85" i="139"/>
  <c r="IG85" i="139"/>
  <c r="IC85" i="139"/>
  <c r="HY85" i="139"/>
  <c r="HU85" i="139"/>
  <c r="HQ85" i="139"/>
  <c r="HM85" i="139"/>
  <c r="HI85" i="139"/>
  <c r="HE85" i="139"/>
  <c r="HA85" i="139"/>
  <c r="JF84" i="139"/>
  <c r="JB84" i="139"/>
  <c r="IX84" i="139"/>
  <c r="IT84" i="139"/>
  <c r="IP84" i="139"/>
  <c r="IL84" i="139"/>
  <c r="IH84" i="139"/>
  <c r="ID84" i="139"/>
  <c r="HZ84" i="139"/>
  <c r="HV84" i="139"/>
  <c r="HR84" i="139"/>
  <c r="HN84" i="139"/>
  <c r="HJ84" i="139"/>
  <c r="HF84" i="139"/>
  <c r="HB84" i="139"/>
  <c r="JG83" i="139"/>
  <c r="JC83" i="139"/>
  <c r="IY83" i="139"/>
  <c r="IU83" i="139"/>
  <c r="IQ83" i="139"/>
  <c r="IM83" i="139"/>
  <c r="II83" i="139"/>
  <c r="IE83" i="139"/>
  <c r="IA83" i="139"/>
  <c r="HW83" i="139"/>
  <c r="HS83" i="139"/>
  <c r="HO83" i="139"/>
  <c r="HK83" i="139"/>
  <c r="HG83" i="139"/>
  <c r="HC83" i="139"/>
  <c r="JG41" i="139"/>
  <c r="JG68" i="139" s="1"/>
  <c r="HG41" i="139"/>
  <c r="HG68" i="139" s="1"/>
  <c r="IE37" i="139"/>
  <c r="IE64" i="139" s="1"/>
  <c r="HS37" i="139"/>
  <c r="HS64" i="139" s="1"/>
  <c r="HG37" i="139"/>
  <c r="HG64" i="139" s="1"/>
  <c r="HS33" i="139"/>
  <c r="HS60" i="139" s="1"/>
  <c r="HG33" i="139"/>
  <c r="HG60" i="139" s="1"/>
  <c r="JE28" i="139"/>
  <c r="JE35" i="139" s="1"/>
  <c r="JE62" i="139" s="1"/>
  <c r="JF28" i="139"/>
  <c r="JF31" i="139" s="1"/>
  <c r="JF58" i="139" s="1"/>
  <c r="JA28" i="139"/>
  <c r="JA36" i="139" s="1"/>
  <c r="JA63" i="139" s="1"/>
  <c r="JB28" i="139"/>
  <c r="JB31" i="139" s="1"/>
  <c r="JB58" i="139" s="1"/>
  <c r="IX28" i="139"/>
  <c r="IS28" i="139"/>
  <c r="IS35" i="139" s="1"/>
  <c r="IS62" i="139" s="1"/>
  <c r="IT28" i="139"/>
  <c r="IO28" i="139"/>
  <c r="IP28" i="139"/>
  <c r="IK28" i="139"/>
  <c r="IK36" i="139" s="1"/>
  <c r="IK63" i="139" s="1"/>
  <c r="IL28" i="139"/>
  <c r="IL34" i="139" s="1"/>
  <c r="IL61" i="139" s="1"/>
  <c r="IG28" i="139"/>
  <c r="IH28" i="139"/>
  <c r="ID28" i="139"/>
  <c r="ID39" i="139" s="1"/>
  <c r="ID66" i="139" s="1"/>
  <c r="HY28" i="139"/>
  <c r="HZ28" i="139"/>
  <c r="HU28" i="139"/>
  <c r="HV28" i="139"/>
  <c r="HV34" i="139" s="1"/>
  <c r="HV61" i="139" s="1"/>
  <c r="HQ28" i="139"/>
  <c r="HQ32" i="139" s="1"/>
  <c r="HQ59" i="139" s="1"/>
  <c r="HR28" i="139"/>
  <c r="HM28" i="139"/>
  <c r="HM36" i="139" s="1"/>
  <c r="HM63" i="139" s="1"/>
  <c r="HN28" i="139"/>
  <c r="HN39" i="139" s="1"/>
  <c r="HN66" i="139" s="1"/>
  <c r="HJ28" i="139"/>
  <c r="HJ35" i="139" s="1"/>
  <c r="HJ62" i="139" s="1"/>
  <c r="HE28" i="139"/>
  <c r="HE36" i="139" s="1"/>
  <c r="HE63" i="139" s="1"/>
  <c r="HF28" i="139"/>
  <c r="HA28" i="139"/>
  <c r="HB28" i="139"/>
  <c r="HB31" i="139" s="1"/>
  <c r="HB58" i="139" s="1"/>
  <c r="IU37" i="139" l="1"/>
  <c r="IU64" i="139" s="1"/>
  <c r="HW41" i="139"/>
  <c r="HW68" i="139" s="1"/>
  <c r="HC34" i="139"/>
  <c r="HC61" i="139" s="1"/>
  <c r="JF30" i="139"/>
  <c r="JF57" i="139" s="1"/>
  <c r="II33" i="139"/>
  <c r="II60" i="139" s="1"/>
  <c r="HS41" i="139"/>
  <c r="HS68" i="139" s="1"/>
  <c r="II41" i="139"/>
  <c r="II68" i="139" s="1"/>
  <c r="JG33" i="139"/>
  <c r="JG60" i="139" s="1"/>
  <c r="HG30" i="139"/>
  <c r="HG57" i="139" s="1"/>
  <c r="IQ41" i="139"/>
  <c r="IQ68" i="139" s="1"/>
  <c r="HO33" i="139"/>
  <c r="HO60" i="139" s="1"/>
  <c r="JF34" i="139"/>
  <c r="JF61" i="139" s="1"/>
  <c r="IQ37" i="139"/>
  <c r="IQ64" i="139" s="1"/>
  <c r="HO41" i="139"/>
  <c r="HO68" i="139" s="1"/>
  <c r="IU41" i="139"/>
  <c r="IU68" i="139" s="1"/>
  <c r="HN30" i="139"/>
  <c r="HN57" i="139" s="1"/>
  <c r="IS31" i="139"/>
  <c r="IS58" i="139" s="1"/>
  <c r="IQ33" i="139"/>
  <c r="IQ60" i="139" s="1"/>
  <c r="HO37" i="139"/>
  <c r="HO64" i="139" s="1"/>
  <c r="IS39" i="139"/>
  <c r="IS66" i="139" s="1"/>
  <c r="IP30" i="139"/>
  <c r="IP57" i="139" s="1"/>
  <c r="HC33" i="139"/>
  <c r="HC60" i="139" s="1"/>
  <c r="IU33" i="139"/>
  <c r="IU60" i="139" s="1"/>
  <c r="HC41" i="139"/>
  <c r="HC68" i="139" s="1"/>
  <c r="IM41" i="139"/>
  <c r="IM68" i="139" s="1"/>
  <c r="JG38" i="139"/>
  <c r="JG65" i="139" s="1"/>
  <c r="IL30" i="139"/>
  <c r="IL57" i="139" s="1"/>
  <c r="HR30" i="139"/>
  <c r="HR57" i="139" s="1"/>
  <c r="HM31" i="139"/>
  <c r="HM58" i="139" s="1"/>
  <c r="HW33" i="139"/>
  <c r="HW60" i="139" s="1"/>
  <c r="IP34" i="139"/>
  <c r="IP61" i="139" s="1"/>
  <c r="II34" i="139"/>
  <c r="II61" i="139" s="1"/>
  <c r="JG34" i="139"/>
  <c r="JG61" i="139" s="1"/>
  <c r="JF39" i="139"/>
  <c r="JF66" i="139" s="1"/>
  <c r="JG30" i="139"/>
  <c r="JG57" i="139" s="1"/>
  <c r="HR39" i="139"/>
  <c r="HR66" i="139" s="1"/>
  <c r="HM32" i="139"/>
  <c r="HM59" i="139" s="1"/>
  <c r="II30" i="139"/>
  <c r="II57" i="139" s="1"/>
  <c r="IM34" i="139"/>
  <c r="IM61" i="139" s="1"/>
  <c r="HZ35" i="139"/>
  <c r="HZ62" i="139" s="1"/>
  <c r="HZ30" i="139"/>
  <c r="HZ57" i="139" s="1"/>
  <c r="JE31" i="139"/>
  <c r="JE58" i="139" s="1"/>
  <c r="IE33" i="139"/>
  <c r="IE60" i="139" s="1"/>
  <c r="HF34" i="139"/>
  <c r="HF61" i="139" s="1"/>
  <c r="IX34" i="139"/>
  <c r="IX61" i="139" s="1"/>
  <c r="II37" i="139"/>
  <c r="II64" i="139" s="1"/>
  <c r="HR38" i="139"/>
  <c r="HR65" i="139" s="1"/>
  <c r="JE39" i="139"/>
  <c r="JE66" i="139" s="1"/>
  <c r="IE41" i="139"/>
  <c r="IE68" i="139" s="1"/>
  <c r="IU38" i="139"/>
  <c r="IU65" i="139" s="1"/>
  <c r="HW30" i="139"/>
  <c r="HW57" i="139" s="1"/>
  <c r="IY30" i="139"/>
  <c r="IY57" i="139" s="1"/>
  <c r="HW34" i="139"/>
  <c r="HW61" i="139" s="1"/>
  <c r="ID35" i="139"/>
  <c r="ID62" i="139" s="1"/>
  <c r="HE40" i="139"/>
  <c r="HE67" i="139" s="1"/>
  <c r="HR31" i="139"/>
  <c r="HR58" i="139" s="1"/>
  <c r="JF35" i="139"/>
  <c r="JF62" i="139" s="1"/>
  <c r="HN34" i="139"/>
  <c r="HN61" i="139" s="1"/>
  <c r="IH38" i="139"/>
  <c r="IH65" i="139" s="1"/>
  <c r="IE34" i="139"/>
  <c r="IE61" i="139" s="1"/>
  <c r="HG38" i="139"/>
  <c r="HG65" i="139" s="1"/>
  <c r="IS40" i="139"/>
  <c r="IS67" i="139" s="1"/>
  <c r="IP31" i="139"/>
  <c r="IP58" i="139" s="1"/>
  <c r="IS36" i="139"/>
  <c r="IS63" i="139" s="1"/>
  <c r="IX30" i="139"/>
  <c r="IX57" i="139" s="1"/>
  <c r="HR34" i="139"/>
  <c r="HR61" i="139" s="1"/>
  <c r="HQ35" i="139"/>
  <c r="HQ62" i="139" s="1"/>
  <c r="IP38" i="139"/>
  <c r="IP65" i="139" s="1"/>
  <c r="IH39" i="139"/>
  <c r="IH66" i="139" s="1"/>
  <c r="IE38" i="139"/>
  <c r="IE65" i="139" s="1"/>
  <c r="HB38" i="139"/>
  <c r="HB65" i="139" s="1"/>
  <c r="IH34" i="139"/>
  <c r="IH61" i="139" s="1"/>
  <c r="IK35" i="139"/>
  <c r="IK62" i="139" s="1"/>
  <c r="IY37" i="139"/>
  <c r="IY64" i="139" s="1"/>
  <c r="IX38" i="139"/>
  <c r="IX65" i="139" s="1"/>
  <c r="JE36" i="139"/>
  <c r="JE63" i="139" s="1"/>
  <c r="HU40" i="139"/>
  <c r="HU67" i="139" s="1"/>
  <c r="HN31" i="139"/>
  <c r="HN58" i="139" s="1"/>
  <c r="IY34" i="139"/>
  <c r="IY61" i="139" s="1"/>
  <c r="HB35" i="139"/>
  <c r="HB62" i="139" s="1"/>
  <c r="HB30" i="139"/>
  <c r="HB57" i="139" s="1"/>
  <c r="IK31" i="139"/>
  <c r="IK58" i="139" s="1"/>
  <c r="IY33" i="139"/>
  <c r="IY60" i="139" s="1"/>
  <c r="HW37" i="139"/>
  <c r="HW64" i="139" s="1"/>
  <c r="HE39" i="139"/>
  <c r="HE66" i="139" s="1"/>
  <c r="HO30" i="139"/>
  <c r="HO57" i="139" s="1"/>
  <c r="IQ30" i="139"/>
  <c r="IQ57" i="139" s="1"/>
  <c r="IK32" i="139"/>
  <c r="IK59" i="139" s="1"/>
  <c r="IY38" i="139"/>
  <c r="IY65" i="139" s="1"/>
  <c r="HY33" i="139"/>
  <c r="HY60" i="139" s="1"/>
  <c r="HY30" i="139"/>
  <c r="HY57" i="139" s="1"/>
  <c r="HY34" i="139"/>
  <c r="HY61" i="139" s="1"/>
  <c r="HY38" i="139"/>
  <c r="HY65" i="139" s="1"/>
  <c r="HY41" i="139"/>
  <c r="HY68" i="139" s="1"/>
  <c r="HY37" i="139"/>
  <c r="HY64" i="139" s="1"/>
  <c r="IT32" i="139"/>
  <c r="IT59" i="139" s="1"/>
  <c r="IT33" i="139"/>
  <c r="IT60" i="139" s="1"/>
  <c r="IT41" i="139"/>
  <c r="IT68" i="139" s="1"/>
  <c r="IT36" i="139"/>
  <c r="IT63" i="139" s="1"/>
  <c r="IT37" i="139"/>
  <c r="IT64" i="139" s="1"/>
  <c r="IT40" i="139"/>
  <c r="IT67" i="139" s="1"/>
  <c r="IA31" i="139"/>
  <c r="IA58" i="139" s="1"/>
  <c r="IA35" i="139"/>
  <c r="IA62" i="139" s="1"/>
  <c r="IA40" i="139"/>
  <c r="IA67" i="139" s="1"/>
  <c r="IA32" i="139"/>
  <c r="IA59" i="139" s="1"/>
  <c r="IA36" i="139"/>
  <c r="IA63" i="139" s="1"/>
  <c r="IA39" i="139"/>
  <c r="IA66" i="139" s="1"/>
  <c r="JC31" i="139"/>
  <c r="JC58" i="139" s="1"/>
  <c r="JC32" i="139"/>
  <c r="JC59" i="139" s="1"/>
  <c r="JC36" i="139"/>
  <c r="JC63" i="139" s="1"/>
  <c r="JC40" i="139"/>
  <c r="JC67" i="139" s="1"/>
  <c r="JC35" i="139"/>
  <c r="JC62" i="139" s="1"/>
  <c r="JC39" i="139"/>
  <c r="JC66" i="139" s="1"/>
  <c r="HF32" i="139"/>
  <c r="HF59" i="139" s="1"/>
  <c r="HF41" i="139"/>
  <c r="HF68" i="139" s="1"/>
  <c r="HF33" i="139"/>
  <c r="HF60" i="139" s="1"/>
  <c r="HF40" i="139"/>
  <c r="HF67" i="139" s="1"/>
  <c r="HF37" i="139"/>
  <c r="HF64" i="139" s="1"/>
  <c r="HF36" i="139"/>
  <c r="HF63" i="139" s="1"/>
  <c r="HF30" i="139"/>
  <c r="HF57" i="139" s="1"/>
  <c r="HN32" i="139"/>
  <c r="HN59" i="139" s="1"/>
  <c r="HN33" i="139"/>
  <c r="HN60" i="139" s="1"/>
  <c r="HN41" i="139"/>
  <c r="HN68" i="139" s="1"/>
  <c r="HN37" i="139"/>
  <c r="HN64" i="139" s="1"/>
  <c r="HN36" i="139"/>
  <c r="HN63" i="139" s="1"/>
  <c r="HN40" i="139"/>
  <c r="HN67" i="139" s="1"/>
  <c r="HR32" i="139"/>
  <c r="HR59" i="139" s="1"/>
  <c r="HR37" i="139"/>
  <c r="HR64" i="139" s="1"/>
  <c r="HR41" i="139"/>
  <c r="HR68" i="139" s="1"/>
  <c r="HR36" i="139"/>
  <c r="HR63" i="139" s="1"/>
  <c r="HR33" i="139"/>
  <c r="HR60" i="139" s="1"/>
  <c r="HR40" i="139"/>
  <c r="HR67" i="139" s="1"/>
  <c r="HU33" i="139"/>
  <c r="HU60" i="139" s="1"/>
  <c r="HU30" i="139"/>
  <c r="HU57" i="139" s="1"/>
  <c r="HU34" i="139"/>
  <c r="HU61" i="139" s="1"/>
  <c r="HU38" i="139"/>
  <c r="HU65" i="139" s="1"/>
  <c r="HU37" i="139"/>
  <c r="HU64" i="139" s="1"/>
  <c r="HU31" i="139"/>
  <c r="HU58" i="139" s="1"/>
  <c r="HU41" i="139"/>
  <c r="HU68" i="139" s="1"/>
  <c r="ID30" i="139"/>
  <c r="ID57" i="139" s="1"/>
  <c r="IL32" i="139"/>
  <c r="IL59" i="139" s="1"/>
  <c r="IL33" i="139"/>
  <c r="IL60" i="139" s="1"/>
  <c r="IL40" i="139"/>
  <c r="IL67" i="139" s="1"/>
  <c r="IL41" i="139"/>
  <c r="IL68" i="139" s="1"/>
  <c r="IL36" i="139"/>
  <c r="IL63" i="139" s="1"/>
  <c r="IL37" i="139"/>
  <c r="IL64" i="139" s="1"/>
  <c r="IP32" i="139"/>
  <c r="IP59" i="139" s="1"/>
  <c r="IP37" i="139"/>
  <c r="IP64" i="139" s="1"/>
  <c r="IP36" i="139"/>
  <c r="IP63" i="139" s="1"/>
  <c r="IP33" i="139"/>
  <c r="IP60" i="139" s="1"/>
  <c r="IP41" i="139"/>
  <c r="IP68" i="139" s="1"/>
  <c r="IP40" i="139"/>
  <c r="IP67" i="139" s="1"/>
  <c r="IS33" i="139"/>
  <c r="IS60" i="139" s="1"/>
  <c r="IS34" i="139"/>
  <c r="IS61" i="139" s="1"/>
  <c r="IS38" i="139"/>
  <c r="IS65" i="139" s="1"/>
  <c r="IS37" i="139"/>
  <c r="IS64" i="139" s="1"/>
  <c r="IS30" i="139"/>
  <c r="IS57" i="139" s="1"/>
  <c r="IS41" i="139"/>
  <c r="IS68" i="139" s="1"/>
  <c r="JB30" i="139"/>
  <c r="JB57" i="139" s="1"/>
  <c r="JE33" i="139"/>
  <c r="JE60" i="139" s="1"/>
  <c r="JE30" i="139"/>
  <c r="JE57" i="139" s="1"/>
  <c r="JE34" i="139"/>
  <c r="JE61" i="139" s="1"/>
  <c r="JE38" i="139"/>
  <c r="JE65" i="139" s="1"/>
  <c r="JE37" i="139"/>
  <c r="JE64" i="139" s="1"/>
  <c r="JE41" i="139"/>
  <c r="JE68" i="139" s="1"/>
  <c r="HQ31" i="139"/>
  <c r="HQ58" i="139" s="1"/>
  <c r="IO31" i="139"/>
  <c r="IO58" i="139" s="1"/>
  <c r="IM33" i="139"/>
  <c r="IM60" i="139" s="1"/>
  <c r="JC33" i="139"/>
  <c r="JC60" i="139" s="1"/>
  <c r="HJ34" i="139"/>
  <c r="HJ61" i="139" s="1"/>
  <c r="ID34" i="139"/>
  <c r="ID61" i="139" s="1"/>
  <c r="IT34" i="139"/>
  <c r="IT61" i="139" s="1"/>
  <c r="HA35" i="139"/>
  <c r="HA62" i="139" s="1"/>
  <c r="HU35" i="139"/>
  <c r="HU62" i="139" s="1"/>
  <c r="IO35" i="139"/>
  <c r="IO62" i="139" s="1"/>
  <c r="HF38" i="139"/>
  <c r="HF65" i="139" s="1"/>
  <c r="HV38" i="139"/>
  <c r="HV65" i="139" s="1"/>
  <c r="IL38" i="139"/>
  <c r="IL65" i="139" s="1"/>
  <c r="JB38" i="139"/>
  <c r="JB65" i="139" s="1"/>
  <c r="HM39" i="139"/>
  <c r="HM66" i="139" s="1"/>
  <c r="IG39" i="139"/>
  <c r="IG66" i="139" s="1"/>
  <c r="JA39" i="139"/>
  <c r="JA66" i="139" s="1"/>
  <c r="HK41" i="139"/>
  <c r="HK68" i="139" s="1"/>
  <c r="IA41" i="139"/>
  <c r="IA68" i="139" s="1"/>
  <c r="HK38" i="139"/>
  <c r="HK65" i="139" s="1"/>
  <c r="IT39" i="139"/>
  <c r="IT66" i="139" s="1"/>
  <c r="IG40" i="139"/>
  <c r="IG67" i="139" s="1"/>
  <c r="HG31" i="139"/>
  <c r="HG58" i="139" s="1"/>
  <c r="HG32" i="139"/>
  <c r="HG59" i="139" s="1"/>
  <c r="HG35" i="139"/>
  <c r="HG62" i="139" s="1"/>
  <c r="HG36" i="139"/>
  <c r="HG63" i="139" s="1"/>
  <c r="HG40" i="139"/>
  <c r="HG67" i="139" s="1"/>
  <c r="HG39" i="139"/>
  <c r="HG66" i="139" s="1"/>
  <c r="HW31" i="139"/>
  <c r="HW58" i="139" s="1"/>
  <c r="HW32" i="139"/>
  <c r="HW59" i="139" s="1"/>
  <c r="HW35" i="139"/>
  <c r="HW62" i="139" s="1"/>
  <c r="HW36" i="139"/>
  <c r="HW63" i="139" s="1"/>
  <c r="HW40" i="139"/>
  <c r="HW67" i="139" s="1"/>
  <c r="HW39" i="139"/>
  <c r="HW66" i="139" s="1"/>
  <c r="IQ31" i="139"/>
  <c r="IQ58" i="139" s="1"/>
  <c r="IQ40" i="139"/>
  <c r="IQ67" i="139" s="1"/>
  <c r="IQ32" i="139"/>
  <c r="IQ59" i="139" s="1"/>
  <c r="IQ36" i="139"/>
  <c r="IQ63" i="139" s="1"/>
  <c r="IQ39" i="139"/>
  <c r="IQ66" i="139" s="1"/>
  <c r="IQ35" i="139"/>
  <c r="IQ62" i="139" s="1"/>
  <c r="JG31" i="139"/>
  <c r="JG58" i="139" s="1"/>
  <c r="JG40" i="139"/>
  <c r="JG67" i="139" s="1"/>
  <c r="JG32" i="139"/>
  <c r="JG59" i="139" s="1"/>
  <c r="JG35" i="139"/>
  <c r="JG62" i="139" s="1"/>
  <c r="JG36" i="139"/>
  <c r="JG63" i="139" s="1"/>
  <c r="JG39" i="139"/>
  <c r="JG66" i="139" s="1"/>
  <c r="HZ31" i="139"/>
  <c r="HZ58" i="139" s="1"/>
  <c r="HA32" i="139"/>
  <c r="HA59" i="139" s="1"/>
  <c r="IS32" i="139"/>
  <c r="IS59" i="139" s="1"/>
  <c r="HO34" i="139"/>
  <c r="HO61" i="139" s="1"/>
  <c r="IL35" i="139"/>
  <c r="IL62" i="139" s="1"/>
  <c r="HU36" i="139"/>
  <c r="HU63" i="139" s="1"/>
  <c r="IQ38" i="139"/>
  <c r="IQ65" i="139" s="1"/>
  <c r="HQ40" i="139"/>
  <c r="HQ67" i="139" s="1"/>
  <c r="JA40" i="139"/>
  <c r="JA67" i="139" s="1"/>
  <c r="HK30" i="139"/>
  <c r="HK57" i="139" s="1"/>
  <c r="IA30" i="139"/>
  <c r="IA57" i="139" s="1"/>
  <c r="IM30" i="139"/>
  <c r="IM57" i="139" s="1"/>
  <c r="JC30" i="139"/>
  <c r="JC57" i="139" s="1"/>
  <c r="HV31" i="139"/>
  <c r="HV58" i="139" s="1"/>
  <c r="IX31" i="139"/>
  <c r="IX58" i="139" s="1"/>
  <c r="JC34" i="139"/>
  <c r="JC61" i="139" s="1"/>
  <c r="IH35" i="139"/>
  <c r="IH62" i="139" s="1"/>
  <c r="IG36" i="139"/>
  <c r="IG63" i="139" s="1"/>
  <c r="HZ39" i="139"/>
  <c r="HZ66" i="139" s="1"/>
  <c r="JE40" i="139"/>
  <c r="JE67" i="139" s="1"/>
  <c r="HJ32" i="139"/>
  <c r="HJ59" i="139" s="1"/>
  <c r="HJ37" i="139"/>
  <c r="HJ64" i="139" s="1"/>
  <c r="HJ41" i="139"/>
  <c r="HJ68" i="139" s="1"/>
  <c r="HJ33" i="139"/>
  <c r="HJ60" i="139" s="1"/>
  <c r="HJ36" i="139"/>
  <c r="HJ63" i="139" s="1"/>
  <c r="HJ40" i="139"/>
  <c r="HJ67" i="139" s="1"/>
  <c r="HY39" i="139"/>
  <c r="HY66" i="139" s="1"/>
  <c r="HA36" i="139"/>
  <c r="HA63" i="139" s="1"/>
  <c r="IM31" i="139"/>
  <c r="IM58" i="139" s="1"/>
  <c r="IM32" i="139"/>
  <c r="IM59" i="139" s="1"/>
  <c r="IM36" i="139"/>
  <c r="IM63" i="139" s="1"/>
  <c r="IM40" i="139"/>
  <c r="IM67" i="139" s="1"/>
  <c r="IM35" i="139"/>
  <c r="IM62" i="139" s="1"/>
  <c r="IM39" i="139"/>
  <c r="IM66" i="139" s="1"/>
  <c r="HE33" i="139"/>
  <c r="HE60" i="139" s="1"/>
  <c r="HE30" i="139"/>
  <c r="HE57" i="139" s="1"/>
  <c r="HE38" i="139"/>
  <c r="HE65" i="139" s="1"/>
  <c r="HE37" i="139"/>
  <c r="HE64" i="139" s="1"/>
  <c r="HE34" i="139"/>
  <c r="HE61" i="139" s="1"/>
  <c r="HE41" i="139"/>
  <c r="HE68" i="139" s="1"/>
  <c r="HQ33" i="139"/>
  <c r="HQ60" i="139" s="1"/>
  <c r="HQ30" i="139"/>
  <c r="HQ57" i="139" s="1"/>
  <c r="HQ34" i="139"/>
  <c r="HQ61" i="139" s="1"/>
  <c r="HQ38" i="139"/>
  <c r="HQ65" i="139" s="1"/>
  <c r="HQ37" i="139"/>
  <c r="HQ64" i="139" s="1"/>
  <c r="HQ41" i="139"/>
  <c r="HQ68" i="139" s="1"/>
  <c r="ID32" i="139"/>
  <c r="ID59" i="139" s="1"/>
  <c r="ID33" i="139"/>
  <c r="ID60" i="139" s="1"/>
  <c r="ID41" i="139"/>
  <c r="ID68" i="139" s="1"/>
  <c r="ID36" i="139"/>
  <c r="ID63" i="139" s="1"/>
  <c r="ID37" i="139"/>
  <c r="ID64" i="139" s="1"/>
  <c r="ID40" i="139"/>
  <c r="ID67" i="139" s="1"/>
  <c r="IO33" i="139"/>
  <c r="IO60" i="139" s="1"/>
  <c r="IO30" i="139"/>
  <c r="IO57" i="139" s="1"/>
  <c r="IO34" i="139"/>
  <c r="IO61" i="139" s="1"/>
  <c r="IO38" i="139"/>
  <c r="IO65" i="139" s="1"/>
  <c r="IO37" i="139"/>
  <c r="IO64" i="139" s="1"/>
  <c r="IO41" i="139"/>
  <c r="IO68" i="139" s="1"/>
  <c r="JA33" i="139"/>
  <c r="JA60" i="139" s="1"/>
  <c r="JA30" i="139"/>
  <c r="JA57" i="139" s="1"/>
  <c r="JA38" i="139"/>
  <c r="JA65" i="139" s="1"/>
  <c r="JA34" i="139"/>
  <c r="JA61" i="139" s="1"/>
  <c r="JA37" i="139"/>
  <c r="JA64" i="139" s="1"/>
  <c r="JA41" i="139"/>
  <c r="JA68" i="139" s="1"/>
  <c r="HA31" i="139"/>
  <c r="HA58" i="139" s="1"/>
  <c r="HY31" i="139"/>
  <c r="HY58" i="139" s="1"/>
  <c r="IA33" i="139"/>
  <c r="IA60" i="139" s="1"/>
  <c r="HE35" i="139"/>
  <c r="HE62" i="139" s="1"/>
  <c r="HY35" i="139"/>
  <c r="HY62" i="139" s="1"/>
  <c r="IM37" i="139"/>
  <c r="IM64" i="139" s="1"/>
  <c r="JC37" i="139"/>
  <c r="JC64" i="139" s="1"/>
  <c r="HJ38" i="139"/>
  <c r="HJ65" i="139" s="1"/>
  <c r="HZ38" i="139"/>
  <c r="HZ65" i="139" s="1"/>
  <c r="JF38" i="139"/>
  <c r="JF65" i="139" s="1"/>
  <c r="HQ39" i="139"/>
  <c r="HQ66" i="139" s="1"/>
  <c r="IK39" i="139"/>
  <c r="IK66" i="139" s="1"/>
  <c r="HJ39" i="139"/>
  <c r="HJ66" i="139" s="1"/>
  <c r="HA40" i="139"/>
  <c r="HA67" i="139" s="1"/>
  <c r="IO40" i="139"/>
  <c r="IO67" i="139" s="1"/>
  <c r="IH31" i="139"/>
  <c r="IH58" i="139" s="1"/>
  <c r="HY32" i="139"/>
  <c r="HY59" i="139" s="1"/>
  <c r="JA32" i="139"/>
  <c r="JA59" i="139" s="1"/>
  <c r="HN35" i="139"/>
  <c r="HN62" i="139" s="1"/>
  <c r="IP35" i="139"/>
  <c r="IP62" i="139" s="1"/>
  <c r="IP39" i="139"/>
  <c r="IP66" i="139" s="1"/>
  <c r="HY40" i="139"/>
  <c r="HY67" i="139" s="1"/>
  <c r="HC31" i="139"/>
  <c r="HC58" i="139" s="1"/>
  <c r="HC40" i="139"/>
  <c r="HC67" i="139" s="1"/>
  <c r="HC32" i="139"/>
  <c r="HC59" i="139" s="1"/>
  <c r="HC36" i="139"/>
  <c r="HC63" i="139" s="1"/>
  <c r="HC39" i="139"/>
  <c r="HC66" i="139" s="1"/>
  <c r="HC35" i="139"/>
  <c r="HC62" i="139" s="1"/>
  <c r="HS31" i="139"/>
  <c r="HS58" i="139" s="1"/>
  <c r="HS40" i="139"/>
  <c r="HS67" i="139" s="1"/>
  <c r="HS35" i="139"/>
  <c r="HS62" i="139" s="1"/>
  <c r="HS39" i="139"/>
  <c r="HS66" i="139" s="1"/>
  <c r="HS32" i="139"/>
  <c r="HS59" i="139" s="1"/>
  <c r="HS36" i="139"/>
  <c r="HS63" i="139" s="1"/>
  <c r="IE31" i="139"/>
  <c r="IE58" i="139" s="1"/>
  <c r="IE32" i="139"/>
  <c r="IE59" i="139" s="1"/>
  <c r="IE36" i="139"/>
  <c r="IE63" i="139" s="1"/>
  <c r="IE40" i="139"/>
  <c r="IE67" i="139" s="1"/>
  <c r="IE35" i="139"/>
  <c r="IE62" i="139" s="1"/>
  <c r="IE39" i="139"/>
  <c r="IE66" i="139" s="1"/>
  <c r="IU31" i="139"/>
  <c r="IU58" i="139" s="1"/>
  <c r="IU32" i="139"/>
  <c r="IU59" i="139" s="1"/>
  <c r="IU36" i="139"/>
  <c r="IU63" i="139" s="1"/>
  <c r="IU40" i="139"/>
  <c r="IU67" i="139" s="1"/>
  <c r="IU35" i="139"/>
  <c r="IU62" i="139" s="1"/>
  <c r="IU39" i="139"/>
  <c r="IU66" i="139" s="1"/>
  <c r="ID31" i="139"/>
  <c r="ID58" i="139" s="1"/>
  <c r="HU32" i="139"/>
  <c r="HU59" i="139" s="1"/>
  <c r="HS34" i="139"/>
  <c r="HS61" i="139" s="1"/>
  <c r="HF35" i="139"/>
  <c r="HF62" i="139" s="1"/>
  <c r="IT35" i="139"/>
  <c r="IT62" i="139" s="1"/>
  <c r="HC38" i="139"/>
  <c r="HC65" i="139" s="1"/>
  <c r="JC38" i="139"/>
  <c r="JC65" i="139" s="1"/>
  <c r="IL39" i="139"/>
  <c r="IL66" i="139" s="1"/>
  <c r="HA33" i="139"/>
  <c r="HA60" i="139" s="1"/>
  <c r="HA30" i="139"/>
  <c r="HA57" i="139" s="1"/>
  <c r="HA34" i="139"/>
  <c r="HA61" i="139" s="1"/>
  <c r="HA37" i="139"/>
  <c r="HA64" i="139" s="1"/>
  <c r="HA41" i="139"/>
  <c r="HA68" i="139" s="1"/>
  <c r="HA38" i="139"/>
  <c r="HA65" i="139" s="1"/>
  <c r="HV32" i="139"/>
  <c r="HV59" i="139" s="1"/>
  <c r="HV33" i="139"/>
  <c r="HV60" i="139" s="1"/>
  <c r="HV41" i="139"/>
  <c r="HV68" i="139" s="1"/>
  <c r="HV40" i="139"/>
  <c r="HV67" i="139" s="1"/>
  <c r="HV36" i="139"/>
  <c r="HV63" i="139" s="1"/>
  <c r="HV37" i="139"/>
  <c r="HV64" i="139" s="1"/>
  <c r="IG33" i="139"/>
  <c r="IG60" i="139" s="1"/>
  <c r="IG38" i="139"/>
  <c r="IG65" i="139" s="1"/>
  <c r="IG30" i="139"/>
  <c r="IG57" i="139" s="1"/>
  <c r="IG37" i="139"/>
  <c r="IG64" i="139" s="1"/>
  <c r="IG41" i="139"/>
  <c r="IG68" i="139" s="1"/>
  <c r="IG34" i="139"/>
  <c r="IG61" i="139" s="1"/>
  <c r="JB32" i="139"/>
  <c r="JB59" i="139" s="1"/>
  <c r="JB40" i="139"/>
  <c r="JB67" i="139" s="1"/>
  <c r="JB37" i="139"/>
  <c r="JB64" i="139" s="1"/>
  <c r="JB33" i="139"/>
  <c r="JB60" i="139" s="1"/>
  <c r="JB36" i="139"/>
  <c r="JB63" i="139" s="1"/>
  <c r="JB41" i="139"/>
  <c r="JB68" i="139" s="1"/>
  <c r="HK31" i="139"/>
  <c r="HK58" i="139" s="1"/>
  <c r="HK35" i="139"/>
  <c r="HK62" i="139" s="1"/>
  <c r="HK40" i="139"/>
  <c r="HK67" i="139" s="1"/>
  <c r="HK32" i="139"/>
  <c r="HK59" i="139" s="1"/>
  <c r="HK36" i="139"/>
  <c r="HK63" i="139" s="1"/>
  <c r="HK39" i="139"/>
  <c r="HK66" i="139" s="1"/>
  <c r="HK33" i="139"/>
  <c r="HK60" i="139" s="1"/>
  <c r="HY36" i="139"/>
  <c r="HY63" i="139" s="1"/>
  <c r="HB32" i="139"/>
  <c r="HB59" i="139" s="1"/>
  <c r="HB33" i="139"/>
  <c r="HB60" i="139" s="1"/>
  <c r="HB37" i="139"/>
  <c r="HB64" i="139" s="1"/>
  <c r="HB41" i="139"/>
  <c r="HB68" i="139" s="1"/>
  <c r="HB36" i="139"/>
  <c r="HB63" i="139" s="1"/>
  <c r="HB40" i="139"/>
  <c r="HB67" i="139" s="1"/>
  <c r="HJ30" i="139"/>
  <c r="HJ57" i="139" s="1"/>
  <c r="HM33" i="139"/>
  <c r="HM60" i="139" s="1"/>
  <c r="HM34" i="139"/>
  <c r="HM61" i="139" s="1"/>
  <c r="HM38" i="139"/>
  <c r="HM65" i="139" s="1"/>
  <c r="HM37" i="139"/>
  <c r="HM64" i="139" s="1"/>
  <c r="HM41" i="139"/>
  <c r="HM68" i="139" s="1"/>
  <c r="HM30" i="139"/>
  <c r="HM57" i="139" s="1"/>
  <c r="HV30" i="139"/>
  <c r="HV57" i="139" s="1"/>
  <c r="HZ32" i="139"/>
  <c r="HZ59" i="139" s="1"/>
  <c r="HZ37" i="139"/>
  <c r="HZ64" i="139" s="1"/>
  <c r="HZ41" i="139"/>
  <c r="HZ68" i="139" s="1"/>
  <c r="HZ33" i="139"/>
  <c r="HZ60" i="139" s="1"/>
  <c r="HZ36" i="139"/>
  <c r="HZ63" i="139" s="1"/>
  <c r="HZ40" i="139"/>
  <c r="HZ67" i="139" s="1"/>
  <c r="HZ34" i="139"/>
  <c r="HZ61" i="139" s="1"/>
  <c r="IH32" i="139"/>
  <c r="IH59" i="139" s="1"/>
  <c r="IH37" i="139"/>
  <c r="IH64" i="139" s="1"/>
  <c r="IH33" i="139"/>
  <c r="IH60" i="139" s="1"/>
  <c r="IH36" i="139"/>
  <c r="IH63" i="139" s="1"/>
  <c r="IH30" i="139"/>
  <c r="IH57" i="139" s="1"/>
  <c r="IH40" i="139"/>
  <c r="IH67" i="139" s="1"/>
  <c r="IH41" i="139"/>
  <c r="IH68" i="139" s="1"/>
  <c r="IK33" i="139"/>
  <c r="IK60" i="139" s="1"/>
  <c r="IK30" i="139"/>
  <c r="IK57" i="139" s="1"/>
  <c r="IK38" i="139"/>
  <c r="IK65" i="139" s="1"/>
  <c r="IK34" i="139"/>
  <c r="IK61" i="139" s="1"/>
  <c r="IK37" i="139"/>
  <c r="IK64" i="139" s="1"/>
  <c r="IK41" i="139"/>
  <c r="IK68" i="139" s="1"/>
  <c r="IT30" i="139"/>
  <c r="IT57" i="139" s="1"/>
  <c r="IX32" i="139"/>
  <c r="IX59" i="139" s="1"/>
  <c r="IX33" i="139"/>
  <c r="IX60" i="139" s="1"/>
  <c r="IX37" i="139"/>
  <c r="IX64" i="139" s="1"/>
  <c r="IX36" i="139"/>
  <c r="IX63" i="139" s="1"/>
  <c r="IX41" i="139"/>
  <c r="IX68" i="139" s="1"/>
  <c r="IX40" i="139"/>
  <c r="IX67" i="139" s="1"/>
  <c r="JF32" i="139"/>
  <c r="JF59" i="139" s="1"/>
  <c r="JF33" i="139"/>
  <c r="JF60" i="139" s="1"/>
  <c r="JF37" i="139"/>
  <c r="JF64" i="139" s="1"/>
  <c r="JF36" i="139"/>
  <c r="JF63" i="139" s="1"/>
  <c r="JF41" i="139"/>
  <c r="JF68" i="139" s="1"/>
  <c r="JF40" i="139"/>
  <c r="JF67" i="139" s="1"/>
  <c r="HE31" i="139"/>
  <c r="HE58" i="139" s="1"/>
  <c r="IG31" i="139"/>
  <c r="IG58" i="139" s="1"/>
  <c r="JA31" i="139"/>
  <c r="JA58" i="139" s="1"/>
  <c r="HB34" i="139"/>
  <c r="HB61" i="139" s="1"/>
  <c r="JB34" i="139"/>
  <c r="JB61" i="139" s="1"/>
  <c r="HM35" i="139"/>
  <c r="HM62" i="139" s="1"/>
  <c r="IG35" i="139"/>
  <c r="IG62" i="139" s="1"/>
  <c r="JA35" i="139"/>
  <c r="JA62" i="139" s="1"/>
  <c r="HK37" i="139"/>
  <c r="HK64" i="139" s="1"/>
  <c r="IA37" i="139"/>
  <c r="IA64" i="139" s="1"/>
  <c r="HN38" i="139"/>
  <c r="HN65" i="139" s="1"/>
  <c r="ID38" i="139"/>
  <c r="ID65" i="139" s="1"/>
  <c r="IT38" i="139"/>
  <c r="IT65" i="139" s="1"/>
  <c r="HA39" i="139"/>
  <c r="HA66" i="139" s="1"/>
  <c r="HU39" i="139"/>
  <c r="HU66" i="139" s="1"/>
  <c r="IO39" i="139"/>
  <c r="IO66" i="139" s="1"/>
  <c r="HV39" i="139"/>
  <c r="HV66" i="139" s="1"/>
  <c r="HM40" i="139"/>
  <c r="HM67" i="139" s="1"/>
  <c r="HO31" i="139"/>
  <c r="HO58" i="139" s="1"/>
  <c r="HO32" i="139"/>
  <c r="HO59" i="139" s="1"/>
  <c r="HO36" i="139"/>
  <c r="HO63" i="139" s="1"/>
  <c r="HO40" i="139"/>
  <c r="HO67" i="139" s="1"/>
  <c r="HO35" i="139"/>
  <c r="HO62" i="139" s="1"/>
  <c r="HO39" i="139"/>
  <c r="HO66" i="139" s="1"/>
  <c r="II31" i="139"/>
  <c r="II58" i="139" s="1"/>
  <c r="II40" i="139"/>
  <c r="II67" i="139" s="1"/>
  <c r="II32" i="139"/>
  <c r="II59" i="139" s="1"/>
  <c r="II36" i="139"/>
  <c r="II63" i="139" s="1"/>
  <c r="II39" i="139"/>
  <c r="II66" i="139" s="1"/>
  <c r="II35" i="139"/>
  <c r="II62" i="139" s="1"/>
  <c r="IY31" i="139"/>
  <c r="IY58" i="139" s="1"/>
  <c r="IY40" i="139"/>
  <c r="IY67" i="139" s="1"/>
  <c r="IY35" i="139"/>
  <c r="IY62" i="139" s="1"/>
  <c r="IY39" i="139"/>
  <c r="IY66" i="139" s="1"/>
  <c r="IY32" i="139"/>
  <c r="IY59" i="139" s="1"/>
  <c r="IY36" i="139"/>
  <c r="IY63" i="139" s="1"/>
  <c r="HF31" i="139"/>
  <c r="HF58" i="139" s="1"/>
  <c r="IT31" i="139"/>
  <c r="IT58" i="139" s="1"/>
  <c r="IG32" i="139"/>
  <c r="IG59" i="139" s="1"/>
  <c r="JE32" i="139"/>
  <c r="JE59" i="139" s="1"/>
  <c r="HV35" i="139"/>
  <c r="HV62" i="139" s="1"/>
  <c r="IX35" i="139"/>
  <c r="IX62" i="139" s="1"/>
  <c r="HB39" i="139"/>
  <c r="HB66" i="139" s="1"/>
  <c r="JB39" i="139"/>
  <c r="JB66" i="139" s="1"/>
  <c r="IK40" i="139"/>
  <c r="IK67" i="139" s="1"/>
  <c r="HC30" i="139"/>
  <c r="HC57" i="139" s="1"/>
  <c r="HS30" i="139"/>
  <c r="HS57" i="139" s="1"/>
  <c r="IE30" i="139"/>
  <c r="IE57" i="139" s="1"/>
  <c r="IU30" i="139"/>
  <c r="IU57" i="139" s="1"/>
  <c r="HJ31" i="139"/>
  <c r="HJ58" i="139" s="1"/>
  <c r="IL31" i="139"/>
  <c r="IL58" i="139" s="1"/>
  <c r="HE32" i="139"/>
  <c r="HE59" i="139" s="1"/>
  <c r="IO32" i="139"/>
  <c r="IO59" i="139" s="1"/>
  <c r="IA34" i="139"/>
  <c r="IA61" i="139" s="1"/>
  <c r="HR35" i="139"/>
  <c r="HR62" i="139" s="1"/>
  <c r="JB35" i="139"/>
  <c r="JB62" i="139" s="1"/>
  <c r="HQ36" i="139"/>
  <c r="HQ63" i="139" s="1"/>
  <c r="IO36" i="139"/>
  <c r="IO63" i="139" s="1"/>
  <c r="HO38" i="139"/>
  <c r="HO65" i="139" s="1"/>
  <c r="HF39" i="139"/>
  <c r="HF66" i="139" s="1"/>
  <c r="IX39" i="139"/>
  <c r="IX66" i="139" s="1"/>
  <c r="GY28" i="139" l="1"/>
  <c r="GY30" i="139" l="1"/>
  <c r="GY57" i="139" s="1"/>
  <c r="GY33" i="139"/>
  <c r="GY60" i="139" s="1"/>
  <c r="GY34" i="139"/>
  <c r="GY61" i="139" s="1"/>
  <c r="GY35" i="139"/>
  <c r="GY62" i="139" s="1"/>
  <c r="GY36" i="139"/>
  <c r="GY63" i="139" s="1"/>
  <c r="GY37" i="139"/>
  <c r="GY64" i="139" s="1"/>
  <c r="GY38" i="139"/>
  <c r="GY65" i="139" s="1"/>
  <c r="GY39" i="139"/>
  <c r="GY66" i="139" s="1"/>
  <c r="GY40" i="139"/>
  <c r="GY67" i="139" s="1"/>
  <c r="GY41" i="139"/>
  <c r="GY68" i="139" s="1"/>
  <c r="GY31" i="139"/>
  <c r="GY58" i="139" s="1"/>
  <c r="GX28" i="139"/>
  <c r="GX36" i="139" s="1"/>
  <c r="GX63" i="139" s="1"/>
  <c r="GY32" i="139"/>
  <c r="GY59" i="139" s="1"/>
  <c r="GW28" i="139" l="1"/>
  <c r="GV28" i="139" s="1"/>
  <c r="GX40" i="139"/>
  <c r="GX67" i="139" s="1"/>
  <c r="GX30" i="139"/>
  <c r="GX57" i="139" s="1"/>
  <c r="GX32" i="139"/>
  <c r="GX59" i="139" s="1"/>
  <c r="GX35" i="139"/>
  <c r="GX62" i="139" s="1"/>
  <c r="GX31" i="139"/>
  <c r="GX58" i="139" s="1"/>
  <c r="GX33" i="139"/>
  <c r="GX60" i="139" s="1"/>
  <c r="GX37" i="139"/>
  <c r="GX64" i="139" s="1"/>
  <c r="GX41" i="139"/>
  <c r="GX68" i="139" s="1"/>
  <c r="GX39" i="139"/>
  <c r="GX66" i="139" s="1"/>
  <c r="GX38" i="139"/>
  <c r="GX65" i="139" s="1"/>
  <c r="GX34" i="139"/>
  <c r="GX61" i="139" s="1"/>
  <c r="GW39" i="139" l="1"/>
  <c r="GW66" i="139" s="1"/>
  <c r="GW31" i="139"/>
  <c r="GW58" i="139" s="1"/>
  <c r="GW41" i="139"/>
  <c r="GW68" i="139" s="1"/>
  <c r="GW37" i="139"/>
  <c r="GW64" i="139" s="1"/>
  <c r="GW34" i="139"/>
  <c r="GW61" i="139" s="1"/>
  <c r="GW38" i="139"/>
  <c r="GW65" i="139" s="1"/>
  <c r="GW35" i="139"/>
  <c r="GW62" i="139" s="1"/>
  <c r="GW32" i="139"/>
  <c r="GW59" i="139" s="1"/>
  <c r="GW40" i="139"/>
  <c r="GW67" i="139" s="1"/>
  <c r="GW36" i="139"/>
  <c r="GW63" i="139" s="1"/>
  <c r="GW33" i="139"/>
  <c r="GW60" i="139" s="1"/>
  <c r="GW30" i="139"/>
  <c r="GW57" i="139" s="1"/>
  <c r="GV32" i="139"/>
  <c r="GV59" i="139" s="1"/>
  <c r="GV38" i="139"/>
  <c r="GV65" i="139" s="1"/>
  <c r="GV40" i="139"/>
  <c r="GV67" i="139" s="1"/>
  <c r="GU28" i="139"/>
  <c r="GV30" i="139"/>
  <c r="GV57" i="139" s="1"/>
  <c r="GV39" i="139"/>
  <c r="GV66" i="139" s="1"/>
  <c r="GV31" i="139"/>
  <c r="GV58" i="139" s="1"/>
  <c r="GV41" i="139"/>
  <c r="GV68" i="139" s="1"/>
  <c r="GV33" i="139"/>
  <c r="GV60" i="139" s="1"/>
  <c r="GV35" i="139"/>
  <c r="GV62" i="139" s="1"/>
  <c r="GV36" i="139"/>
  <c r="GV63" i="139" s="1"/>
  <c r="GV37" i="139"/>
  <c r="GV64" i="139" s="1"/>
  <c r="GV34" i="139"/>
  <c r="GV61" i="139" s="1"/>
  <c r="GU30" i="139" l="1"/>
  <c r="GU57" i="139" s="1"/>
  <c r="GU39" i="139"/>
  <c r="GU66" i="139" s="1"/>
  <c r="GU40" i="139"/>
  <c r="GU67" i="139" s="1"/>
  <c r="GU41" i="139"/>
  <c r="GU68" i="139" s="1"/>
  <c r="GU31" i="139"/>
  <c r="GU58" i="139" s="1"/>
  <c r="GU33" i="139"/>
  <c r="GU60" i="139" s="1"/>
  <c r="GU34" i="139"/>
  <c r="GU61" i="139" s="1"/>
  <c r="GU35" i="139"/>
  <c r="GU62" i="139" s="1"/>
  <c r="GU36" i="139"/>
  <c r="GU63" i="139" s="1"/>
  <c r="GU37" i="139"/>
  <c r="GU64" i="139" s="1"/>
  <c r="GU38" i="139"/>
  <c r="GU65" i="139" s="1"/>
  <c r="GU32" i="139"/>
  <c r="GU59" i="139" s="1"/>
  <c r="GT28" i="139"/>
  <c r="GS28" i="139" l="1"/>
  <c r="GT32" i="139"/>
  <c r="GT59" i="139" s="1"/>
  <c r="GT30" i="139"/>
  <c r="GT57" i="139" s="1"/>
  <c r="GT37" i="139"/>
  <c r="GT64" i="139" s="1"/>
  <c r="GT36" i="139"/>
  <c r="GT63" i="139" s="1"/>
  <c r="GT31" i="139"/>
  <c r="GT58" i="139" s="1"/>
  <c r="GT35" i="139"/>
  <c r="GT62" i="139" s="1"/>
  <c r="GT34" i="139"/>
  <c r="GT61" i="139" s="1"/>
  <c r="GT40" i="139"/>
  <c r="GT67" i="139" s="1"/>
  <c r="GT33" i="139"/>
  <c r="GT60" i="139" s="1"/>
  <c r="GT41" i="139"/>
  <c r="GT68" i="139" s="1"/>
  <c r="GT38" i="139"/>
  <c r="GT65" i="139" s="1"/>
  <c r="GT39" i="139"/>
  <c r="GT66" i="139" s="1"/>
  <c r="GR28" i="139" l="1"/>
  <c r="GS32" i="139"/>
  <c r="GS59" i="139" s="1"/>
  <c r="GS35" i="139"/>
  <c r="GS62" i="139" s="1"/>
  <c r="GS40" i="139"/>
  <c r="GS67" i="139" s="1"/>
  <c r="GS41" i="139"/>
  <c r="GS68" i="139" s="1"/>
  <c r="GS34" i="139"/>
  <c r="GS61" i="139" s="1"/>
  <c r="GS31" i="139"/>
  <c r="GS58" i="139" s="1"/>
  <c r="GS39" i="139"/>
  <c r="GS66" i="139" s="1"/>
  <c r="GS37" i="139"/>
  <c r="GS64" i="139" s="1"/>
  <c r="GS30" i="139"/>
  <c r="GS57" i="139" s="1"/>
  <c r="GS33" i="139"/>
  <c r="GS60" i="139" s="1"/>
  <c r="GS36" i="139"/>
  <c r="GS63" i="139" s="1"/>
  <c r="GS38" i="139"/>
  <c r="GS65" i="139" s="1"/>
  <c r="JN56" i="139"/>
  <c r="GQ28" i="139" l="1"/>
  <c r="GR32" i="139"/>
  <c r="GR59" i="139" s="1"/>
  <c r="GR30" i="139"/>
  <c r="GR57" i="139" s="1"/>
  <c r="GR34" i="139"/>
  <c r="GR61" i="139" s="1"/>
  <c r="GR36" i="139"/>
  <c r="GR63" i="139" s="1"/>
  <c r="GR38" i="139"/>
  <c r="GR65" i="139" s="1"/>
  <c r="GR40" i="139"/>
  <c r="GR67" i="139" s="1"/>
  <c r="GR37" i="139"/>
  <c r="GR64" i="139" s="1"/>
  <c r="GR39" i="139"/>
  <c r="GR66" i="139" s="1"/>
  <c r="GR31" i="139"/>
  <c r="GR58" i="139" s="1"/>
  <c r="GR41" i="139"/>
  <c r="GR68" i="139" s="1"/>
  <c r="GR33" i="139"/>
  <c r="GR60" i="139" s="1"/>
  <c r="GR35" i="139"/>
  <c r="GR62" i="139" s="1"/>
  <c r="GQ30" i="139" l="1"/>
  <c r="GQ57" i="139" s="1"/>
  <c r="GQ41" i="139"/>
  <c r="GQ68" i="139" s="1"/>
  <c r="GQ31" i="139"/>
  <c r="GQ58" i="139" s="1"/>
  <c r="GQ34" i="139"/>
  <c r="GQ61" i="139" s="1"/>
  <c r="GQ36" i="139"/>
  <c r="GQ63" i="139" s="1"/>
  <c r="GQ38" i="139"/>
  <c r="GQ65" i="139" s="1"/>
  <c r="GQ33" i="139"/>
  <c r="GQ60" i="139" s="1"/>
  <c r="GQ35" i="139"/>
  <c r="GQ62" i="139" s="1"/>
  <c r="GQ37" i="139"/>
  <c r="GQ64" i="139" s="1"/>
  <c r="GQ40" i="139"/>
  <c r="GQ67" i="139" s="1"/>
  <c r="GQ39" i="139"/>
  <c r="GQ66" i="139" s="1"/>
  <c r="GP28" i="139"/>
  <c r="GQ32" i="139"/>
  <c r="GQ59" i="139" s="1"/>
  <c r="GO28" i="139" l="1"/>
  <c r="GP32" i="139"/>
  <c r="GP59" i="139" s="1"/>
  <c r="GP30" i="139"/>
  <c r="GP57" i="139" s="1"/>
  <c r="GP35" i="139"/>
  <c r="GP62" i="139" s="1"/>
  <c r="GP31" i="139"/>
  <c r="GP58" i="139" s="1"/>
  <c r="GP38" i="139"/>
  <c r="GP65" i="139" s="1"/>
  <c r="GP34" i="139"/>
  <c r="GP61" i="139" s="1"/>
  <c r="GP40" i="139"/>
  <c r="GP67" i="139" s="1"/>
  <c r="GP33" i="139"/>
  <c r="GP60" i="139" s="1"/>
  <c r="GP37" i="139"/>
  <c r="GP64" i="139" s="1"/>
  <c r="GP41" i="139"/>
  <c r="GP68" i="139" s="1"/>
  <c r="GP39" i="139"/>
  <c r="GP66" i="139" s="1"/>
  <c r="GP36" i="139"/>
  <c r="GP63" i="139" s="1"/>
  <c r="GN28" i="139" l="1"/>
  <c r="GO30" i="139"/>
  <c r="GO57" i="139" s="1"/>
  <c r="GO33" i="139"/>
  <c r="GO60" i="139" s="1"/>
  <c r="GO40" i="139"/>
  <c r="GO67" i="139" s="1"/>
  <c r="GO36" i="139"/>
  <c r="GO63" i="139" s="1"/>
  <c r="GO34" i="139"/>
  <c r="GO61" i="139" s="1"/>
  <c r="GO37" i="139"/>
  <c r="GO64" i="139" s="1"/>
  <c r="GO31" i="139"/>
  <c r="GO58" i="139" s="1"/>
  <c r="GO39" i="139"/>
  <c r="GO66" i="139" s="1"/>
  <c r="GO41" i="139"/>
  <c r="GO68" i="139" s="1"/>
  <c r="GO38" i="139"/>
  <c r="GO65" i="139" s="1"/>
  <c r="GO32" i="139"/>
  <c r="GO59" i="139" s="1"/>
  <c r="GO35" i="139"/>
  <c r="GO62" i="139" s="1"/>
  <c r="GN36" i="139" l="1"/>
  <c r="GN63" i="139" s="1"/>
  <c r="GN34" i="139"/>
  <c r="GN61" i="139" s="1"/>
  <c r="GN37" i="139"/>
  <c r="GN64" i="139" s="1"/>
  <c r="GN38" i="139"/>
  <c r="GN65" i="139" s="1"/>
  <c r="GN35" i="139"/>
  <c r="GN62" i="139" s="1"/>
  <c r="GN31" i="139"/>
  <c r="GN58" i="139" s="1"/>
  <c r="GN33" i="139"/>
  <c r="GN60" i="139" s="1"/>
  <c r="GN40" i="139"/>
  <c r="GN67" i="139" s="1"/>
  <c r="GM28" i="139"/>
  <c r="GN39" i="139"/>
  <c r="GN66" i="139" s="1"/>
  <c r="GN41" i="139"/>
  <c r="GN68" i="139" s="1"/>
  <c r="GN32" i="139"/>
  <c r="GN59" i="139" s="1"/>
  <c r="GN30" i="139"/>
  <c r="GN57" i="139" s="1"/>
  <c r="GM41" i="139" l="1"/>
  <c r="GM68" i="139" s="1"/>
  <c r="GL28" i="139"/>
  <c r="GM39" i="139"/>
  <c r="GM66" i="139" s="1"/>
  <c r="GM36" i="139"/>
  <c r="GM63" i="139" s="1"/>
  <c r="GM34" i="139"/>
  <c r="GM61" i="139" s="1"/>
  <c r="GM40" i="139"/>
  <c r="GM67" i="139" s="1"/>
  <c r="GM33" i="139"/>
  <c r="GM60" i="139" s="1"/>
  <c r="GM38" i="139"/>
  <c r="GM65" i="139" s="1"/>
  <c r="GM32" i="139"/>
  <c r="GM59" i="139" s="1"/>
  <c r="GM37" i="139"/>
  <c r="GM64" i="139" s="1"/>
  <c r="GM35" i="139"/>
  <c r="GM62" i="139" s="1"/>
  <c r="GM30" i="139"/>
  <c r="GM57" i="139" s="1"/>
  <c r="GM31" i="139"/>
  <c r="GM58" i="139" s="1"/>
  <c r="GL33" i="139" l="1"/>
  <c r="GL60" i="139" s="1"/>
  <c r="GL36" i="139"/>
  <c r="GL63" i="139" s="1"/>
  <c r="GL35" i="139"/>
  <c r="GL62" i="139" s="1"/>
  <c r="GL39" i="139"/>
  <c r="GL66" i="139" s="1"/>
  <c r="GL30" i="139"/>
  <c r="GL57" i="139" s="1"/>
  <c r="GL34" i="139"/>
  <c r="GL61" i="139" s="1"/>
  <c r="GL38" i="139"/>
  <c r="GL65" i="139" s="1"/>
  <c r="GK28" i="139"/>
  <c r="GL41" i="139"/>
  <c r="GL68" i="139" s="1"/>
  <c r="GL40" i="139"/>
  <c r="GL67" i="139" s="1"/>
  <c r="GL32" i="139"/>
  <c r="GL59" i="139" s="1"/>
  <c r="GL37" i="139"/>
  <c r="GL64" i="139" s="1"/>
  <c r="GL31" i="139"/>
  <c r="GL58" i="139" s="1"/>
  <c r="GK31" i="139" l="1"/>
  <c r="GK58" i="139" s="1"/>
  <c r="GK30" i="139"/>
  <c r="GK57" i="139" s="1"/>
  <c r="GK33" i="139"/>
  <c r="GK60" i="139" s="1"/>
  <c r="GJ28" i="139"/>
  <c r="GK37" i="139"/>
  <c r="GK64" i="139" s="1"/>
  <c r="GK34" i="139"/>
  <c r="GK61" i="139" s="1"/>
  <c r="GK40" i="139"/>
  <c r="GK67" i="139" s="1"/>
  <c r="GK32" i="139"/>
  <c r="GK59" i="139" s="1"/>
  <c r="GK39" i="139"/>
  <c r="GK66" i="139" s="1"/>
  <c r="GK36" i="139"/>
  <c r="GK63" i="139" s="1"/>
  <c r="GK41" i="139"/>
  <c r="GK68" i="139" s="1"/>
  <c r="GK35" i="139"/>
  <c r="GK62" i="139" s="1"/>
  <c r="GK38" i="139"/>
  <c r="GK65" i="139" s="1"/>
  <c r="GJ37" i="139" l="1"/>
  <c r="GJ64" i="139" s="1"/>
  <c r="GJ35" i="139"/>
  <c r="GJ62" i="139" s="1"/>
  <c r="GJ32" i="139"/>
  <c r="GJ59" i="139" s="1"/>
  <c r="GJ41" i="139"/>
  <c r="GJ68" i="139" s="1"/>
  <c r="GJ40" i="139"/>
  <c r="GJ67" i="139" s="1"/>
  <c r="GJ31" i="139"/>
  <c r="GJ58" i="139" s="1"/>
  <c r="GJ38" i="139"/>
  <c r="GJ65" i="139" s="1"/>
  <c r="GJ36" i="139"/>
  <c r="GJ63" i="139" s="1"/>
  <c r="GI28" i="139"/>
  <c r="GJ39" i="139"/>
  <c r="GJ66" i="139" s="1"/>
  <c r="GJ34" i="139"/>
  <c r="GJ61" i="139" s="1"/>
  <c r="GJ33" i="139"/>
  <c r="GJ60" i="139" s="1"/>
  <c r="GJ30" i="139"/>
  <c r="GJ57" i="139" s="1"/>
  <c r="GH28" i="139" l="1"/>
  <c r="GI35" i="139"/>
  <c r="GI62" i="139" s="1"/>
  <c r="GI34" i="139"/>
  <c r="GI61" i="139" s="1"/>
  <c r="GI32" i="139"/>
  <c r="GI59" i="139" s="1"/>
  <c r="GI36" i="139"/>
  <c r="GI63" i="139" s="1"/>
  <c r="GI39" i="139"/>
  <c r="GI66" i="139" s="1"/>
  <c r="GI37" i="139"/>
  <c r="GI64" i="139" s="1"/>
  <c r="GI33" i="139"/>
  <c r="GI60" i="139" s="1"/>
  <c r="GI38" i="139"/>
  <c r="GI65" i="139" s="1"/>
  <c r="GI30" i="139"/>
  <c r="GI57" i="139" s="1"/>
  <c r="GI41" i="139"/>
  <c r="GI68" i="139" s="1"/>
  <c r="GI40" i="139"/>
  <c r="GI67" i="139" s="1"/>
  <c r="GI31" i="139"/>
  <c r="GI58" i="139" s="1"/>
  <c r="GH38" i="139" l="1"/>
  <c r="GH65" i="139" s="1"/>
  <c r="GH32" i="139"/>
  <c r="GH59" i="139" s="1"/>
  <c r="GG28" i="139"/>
  <c r="GH39" i="139"/>
  <c r="GH66" i="139" s="1"/>
  <c r="GH30" i="139"/>
  <c r="GH57" i="139" s="1"/>
  <c r="GH35" i="139"/>
  <c r="GH62" i="139" s="1"/>
  <c r="GH41" i="139"/>
  <c r="GH68" i="139" s="1"/>
  <c r="GH36" i="139"/>
  <c r="GH63" i="139" s="1"/>
  <c r="GH33" i="139"/>
  <c r="GH60" i="139" s="1"/>
  <c r="GH31" i="139"/>
  <c r="GH58" i="139" s="1"/>
  <c r="GH40" i="139"/>
  <c r="GH67" i="139" s="1"/>
  <c r="GH37" i="139"/>
  <c r="GH64" i="139" s="1"/>
  <c r="GH34" i="139"/>
  <c r="GH61" i="139" s="1"/>
  <c r="GG31" i="139" l="1"/>
  <c r="GG58" i="139" s="1"/>
  <c r="GG39" i="139"/>
  <c r="GG66" i="139" s="1"/>
  <c r="GG41" i="139"/>
  <c r="GG68" i="139" s="1"/>
  <c r="GG34" i="139"/>
  <c r="GG61" i="139" s="1"/>
  <c r="GG35" i="139"/>
  <c r="GG62" i="139" s="1"/>
  <c r="GG30" i="139"/>
  <c r="GG57" i="139" s="1"/>
  <c r="GG38" i="139"/>
  <c r="GG65" i="139" s="1"/>
  <c r="GG36" i="139"/>
  <c r="GG63" i="139" s="1"/>
  <c r="GG37" i="139"/>
  <c r="GG64" i="139" s="1"/>
  <c r="GG33" i="139"/>
  <c r="GG60" i="139" s="1"/>
  <c r="GG32" i="139"/>
  <c r="GG59" i="139" s="1"/>
  <c r="GF28" i="139"/>
  <c r="GG40" i="139"/>
  <c r="GG67" i="139" s="1"/>
  <c r="GF31" i="139" l="1"/>
  <c r="GF58" i="139" s="1"/>
  <c r="GF34" i="139"/>
  <c r="GF61" i="139" s="1"/>
  <c r="GF32" i="139"/>
  <c r="GF59" i="139" s="1"/>
  <c r="GF38" i="139"/>
  <c r="GF65" i="139" s="1"/>
  <c r="GF39" i="139"/>
  <c r="GF66" i="139" s="1"/>
  <c r="GF35" i="139"/>
  <c r="GF62" i="139" s="1"/>
  <c r="GE28" i="139"/>
  <c r="GF36" i="139"/>
  <c r="GF63" i="139" s="1"/>
  <c r="GF37" i="139"/>
  <c r="GF64" i="139" s="1"/>
  <c r="GF33" i="139"/>
  <c r="GF60" i="139" s="1"/>
  <c r="GF41" i="139"/>
  <c r="GF68" i="139" s="1"/>
  <c r="GF30" i="139"/>
  <c r="GF57" i="139" s="1"/>
  <c r="GF40" i="139"/>
  <c r="GF67" i="139" s="1"/>
  <c r="GE39" i="139" l="1"/>
  <c r="GE66" i="139" s="1"/>
  <c r="GE40" i="139"/>
  <c r="GE67" i="139" s="1"/>
  <c r="GE33" i="139"/>
  <c r="GE60" i="139" s="1"/>
  <c r="GE31" i="139"/>
  <c r="GE58" i="139" s="1"/>
  <c r="GE34" i="139"/>
  <c r="GE61" i="139" s="1"/>
  <c r="GE30" i="139"/>
  <c r="GE57" i="139" s="1"/>
  <c r="GE38" i="139"/>
  <c r="GE65" i="139" s="1"/>
  <c r="GE36" i="139"/>
  <c r="GE63" i="139" s="1"/>
  <c r="GD28" i="139"/>
  <c r="GE35" i="139"/>
  <c r="GE62" i="139" s="1"/>
  <c r="GE32" i="139"/>
  <c r="GE59" i="139" s="1"/>
  <c r="GE37" i="139"/>
  <c r="GE64" i="139" s="1"/>
  <c r="GE41" i="139"/>
  <c r="GE68" i="139" s="1"/>
  <c r="GD30" i="139" l="1"/>
  <c r="GD57" i="139" s="1"/>
  <c r="GD39" i="139"/>
  <c r="GD66" i="139" s="1"/>
  <c r="GD36" i="139"/>
  <c r="GD63" i="139" s="1"/>
  <c r="GD40" i="139"/>
  <c r="GD67" i="139" s="1"/>
  <c r="GD32" i="139"/>
  <c r="GD59" i="139" s="1"/>
  <c r="GC28" i="139"/>
  <c r="GD33" i="139"/>
  <c r="GD60" i="139" s="1"/>
  <c r="GD38" i="139"/>
  <c r="GD65" i="139" s="1"/>
  <c r="GD35" i="139"/>
  <c r="GD62" i="139" s="1"/>
  <c r="GD41" i="139"/>
  <c r="GD68" i="139" s="1"/>
  <c r="GD34" i="139"/>
  <c r="GD61" i="139" s="1"/>
  <c r="GD31" i="139"/>
  <c r="GD58" i="139" s="1"/>
  <c r="GD37" i="139"/>
  <c r="GD64" i="139" s="1"/>
  <c r="GC36" i="139" l="1"/>
  <c r="GC63" i="139" s="1"/>
  <c r="GC40" i="139"/>
  <c r="GC67" i="139" s="1"/>
  <c r="GC37" i="139"/>
  <c r="GC64" i="139" s="1"/>
  <c r="GC33" i="139"/>
  <c r="GC60" i="139" s="1"/>
  <c r="GC38" i="139"/>
  <c r="GC65" i="139" s="1"/>
  <c r="GB28" i="139"/>
  <c r="GC30" i="139"/>
  <c r="GC57" i="139" s="1"/>
  <c r="GC34" i="139"/>
  <c r="GC61" i="139" s="1"/>
  <c r="GC35" i="139"/>
  <c r="GC62" i="139" s="1"/>
  <c r="GC31" i="139"/>
  <c r="GC58" i="139" s="1"/>
  <c r="GC41" i="139"/>
  <c r="GC68" i="139" s="1"/>
  <c r="GC32" i="139"/>
  <c r="GC59" i="139" s="1"/>
  <c r="GC39" i="139"/>
  <c r="GC66" i="139" s="1"/>
  <c r="GB41" i="139" l="1"/>
  <c r="GB68" i="139" s="1"/>
  <c r="GB35" i="139"/>
  <c r="GB62" i="139" s="1"/>
  <c r="GA28" i="139"/>
  <c r="GB30" i="139"/>
  <c r="GB57" i="139" s="1"/>
  <c r="GB37" i="139"/>
  <c r="GB64" i="139" s="1"/>
  <c r="GB31" i="139"/>
  <c r="GB58" i="139" s="1"/>
  <c r="GB32" i="139"/>
  <c r="GB59" i="139" s="1"/>
  <c r="GB39" i="139"/>
  <c r="GB66" i="139" s="1"/>
  <c r="GB38" i="139"/>
  <c r="GB65" i="139" s="1"/>
  <c r="GB33" i="139"/>
  <c r="GB60" i="139" s="1"/>
  <c r="GB40" i="139"/>
  <c r="GB67" i="139" s="1"/>
  <c r="GB34" i="139"/>
  <c r="GB61" i="139" s="1"/>
  <c r="GB36" i="139"/>
  <c r="GB63" i="139" s="1"/>
  <c r="FZ28" i="139" l="1"/>
  <c r="GA33" i="139"/>
  <c r="GA60" i="139" s="1"/>
  <c r="GZ86" i="139" s="1"/>
  <c r="GA37" i="139"/>
  <c r="GA64" i="139" s="1"/>
  <c r="GZ90" i="139" s="1"/>
  <c r="GA30" i="139"/>
  <c r="GA57" i="139" s="1"/>
  <c r="GZ83" i="139" s="1"/>
  <c r="GA39" i="139"/>
  <c r="GA66" i="139" s="1"/>
  <c r="GZ92" i="139" s="1"/>
  <c r="GA41" i="139"/>
  <c r="GA68" i="139" s="1"/>
  <c r="GZ94" i="139" s="1"/>
  <c r="GA32" i="139"/>
  <c r="GA59" i="139" s="1"/>
  <c r="GZ85" i="139" s="1"/>
  <c r="GA35" i="139"/>
  <c r="GA62" i="139" s="1"/>
  <c r="GZ88" i="139" s="1"/>
  <c r="GA34" i="139"/>
  <c r="GA61" i="139" s="1"/>
  <c r="GZ87" i="139" s="1"/>
  <c r="GA40" i="139"/>
  <c r="GA67" i="139" s="1"/>
  <c r="GZ93" i="139" s="1"/>
  <c r="GA38" i="139"/>
  <c r="GA65" i="139" s="1"/>
  <c r="GZ91" i="139" s="1"/>
  <c r="GA36" i="139"/>
  <c r="GA63" i="139" s="1"/>
  <c r="GZ89" i="139" s="1"/>
  <c r="GA31" i="139"/>
  <c r="GA58" i="139" s="1"/>
  <c r="GZ84" i="139" s="1"/>
  <c r="FZ31" i="139" l="1"/>
  <c r="FZ58" i="139" s="1"/>
  <c r="GY84" i="139" s="1"/>
  <c r="FZ32" i="139"/>
  <c r="FZ59" i="139" s="1"/>
  <c r="GY85" i="139" s="1"/>
  <c r="FZ36" i="139"/>
  <c r="FZ63" i="139" s="1"/>
  <c r="GY89" i="139" s="1"/>
  <c r="FY28" i="139"/>
  <c r="FZ39" i="139"/>
  <c r="FZ66" i="139" s="1"/>
  <c r="GY92" i="139" s="1"/>
  <c r="FZ33" i="139"/>
  <c r="FZ60" i="139" s="1"/>
  <c r="GY86" i="139" s="1"/>
  <c r="FZ38" i="139"/>
  <c r="FZ65" i="139" s="1"/>
  <c r="GY91" i="139" s="1"/>
  <c r="FZ30" i="139"/>
  <c r="FZ57" i="139" s="1"/>
  <c r="GY83" i="139" s="1"/>
  <c r="FZ37" i="139"/>
  <c r="FZ64" i="139" s="1"/>
  <c r="GY90" i="139" s="1"/>
  <c r="FZ41" i="139"/>
  <c r="FZ68" i="139" s="1"/>
  <c r="GY94" i="139" s="1"/>
  <c r="FZ35" i="139"/>
  <c r="FZ62" i="139" s="1"/>
  <c r="GY88" i="139" s="1"/>
  <c r="FZ34" i="139"/>
  <c r="FZ61" i="139" s="1"/>
  <c r="GY87" i="139" s="1"/>
  <c r="FZ40" i="139"/>
  <c r="FZ67" i="139" s="1"/>
  <c r="GY93" i="139" s="1"/>
  <c r="FY30" i="139" l="1"/>
  <c r="FY57" i="139" s="1"/>
  <c r="GX83" i="139" s="1"/>
  <c r="FY40" i="139"/>
  <c r="FY67" i="139" s="1"/>
  <c r="GX93" i="139" s="1"/>
  <c r="FY38" i="139"/>
  <c r="FY65" i="139" s="1"/>
  <c r="GX91" i="139" s="1"/>
  <c r="FY41" i="139"/>
  <c r="FY68" i="139" s="1"/>
  <c r="GX94" i="139" s="1"/>
  <c r="FX28" i="139"/>
  <c r="FY34" i="139"/>
  <c r="FY61" i="139" s="1"/>
  <c r="GX87" i="139" s="1"/>
  <c r="FY36" i="139"/>
  <c r="FY63" i="139" s="1"/>
  <c r="GX89" i="139" s="1"/>
  <c r="FY39" i="139"/>
  <c r="FY66" i="139" s="1"/>
  <c r="GX92" i="139" s="1"/>
  <c r="FY37" i="139"/>
  <c r="FY64" i="139" s="1"/>
  <c r="GX90" i="139" s="1"/>
  <c r="FY32" i="139"/>
  <c r="FY59" i="139" s="1"/>
  <c r="GX85" i="139" s="1"/>
  <c r="FY33" i="139"/>
  <c r="FY60" i="139" s="1"/>
  <c r="GX86" i="139" s="1"/>
  <c r="FY35" i="139"/>
  <c r="FY62" i="139" s="1"/>
  <c r="GX88" i="139" s="1"/>
  <c r="FY31" i="139"/>
  <c r="FY58" i="139" s="1"/>
  <c r="GX84" i="139" s="1"/>
  <c r="FX36" i="139" l="1"/>
  <c r="FX63" i="139" s="1"/>
  <c r="GW89" i="139" s="1"/>
  <c r="FX34" i="139"/>
  <c r="FX61" i="139" s="1"/>
  <c r="GW87" i="139" s="1"/>
  <c r="FX30" i="139"/>
  <c r="FX57" i="139" s="1"/>
  <c r="GW83" i="139" s="1"/>
  <c r="FX32" i="139"/>
  <c r="FX59" i="139" s="1"/>
  <c r="GW85" i="139" s="1"/>
  <c r="FX37" i="139"/>
  <c r="FX64" i="139" s="1"/>
  <c r="GW90" i="139" s="1"/>
  <c r="FX38" i="139"/>
  <c r="FX65" i="139" s="1"/>
  <c r="GW91" i="139" s="1"/>
  <c r="FX33" i="139"/>
  <c r="FX60" i="139" s="1"/>
  <c r="GW86" i="139" s="1"/>
  <c r="FW28" i="139"/>
  <c r="FX41" i="139"/>
  <c r="FX68" i="139" s="1"/>
  <c r="GW94" i="139" s="1"/>
  <c r="FX35" i="139"/>
  <c r="FX62" i="139" s="1"/>
  <c r="GW88" i="139" s="1"/>
  <c r="FX39" i="139"/>
  <c r="FX66" i="139" s="1"/>
  <c r="GW92" i="139" s="1"/>
  <c r="FX40" i="139"/>
  <c r="FX67" i="139" s="1"/>
  <c r="GW93" i="139" s="1"/>
  <c r="FX31" i="139"/>
  <c r="FX58" i="139" s="1"/>
  <c r="GW84" i="139" s="1"/>
  <c r="FW33" i="139" l="1"/>
  <c r="FW60" i="139" s="1"/>
  <c r="GV86" i="139" s="1"/>
  <c r="FW36" i="139"/>
  <c r="FW63" i="139" s="1"/>
  <c r="GV89" i="139" s="1"/>
  <c r="FW35" i="139"/>
  <c r="FW62" i="139" s="1"/>
  <c r="GV88" i="139" s="1"/>
  <c r="FV28" i="139"/>
  <c r="FW34" i="139"/>
  <c r="FW61" i="139" s="1"/>
  <c r="GV87" i="139" s="1"/>
  <c r="FW41" i="139"/>
  <c r="FW68" i="139" s="1"/>
  <c r="GV94" i="139" s="1"/>
  <c r="FW32" i="139"/>
  <c r="FW59" i="139" s="1"/>
  <c r="GV85" i="139" s="1"/>
  <c r="FW31" i="139"/>
  <c r="FW58" i="139" s="1"/>
  <c r="GV84" i="139" s="1"/>
  <c r="FW37" i="139"/>
  <c r="FW64" i="139" s="1"/>
  <c r="GV90" i="139" s="1"/>
  <c r="FW38" i="139"/>
  <c r="FW65" i="139" s="1"/>
  <c r="GV91" i="139" s="1"/>
  <c r="FW40" i="139"/>
  <c r="FW67" i="139" s="1"/>
  <c r="GV93" i="139" s="1"/>
  <c r="FW39" i="139"/>
  <c r="FW66" i="139" s="1"/>
  <c r="GV92" i="139" s="1"/>
  <c r="FW30" i="139"/>
  <c r="FW57" i="139" s="1"/>
  <c r="GV83" i="139" s="1"/>
  <c r="FV34" i="139" l="1"/>
  <c r="FV61" i="139" s="1"/>
  <c r="GU87" i="139" s="1"/>
  <c r="FU28" i="139"/>
  <c r="FV39" i="139"/>
  <c r="FV66" i="139" s="1"/>
  <c r="GU92" i="139" s="1"/>
  <c r="FV30" i="139"/>
  <c r="FV57" i="139" s="1"/>
  <c r="GU83" i="139" s="1"/>
  <c r="FV41" i="139"/>
  <c r="FV68" i="139" s="1"/>
  <c r="GU94" i="139" s="1"/>
  <c r="FV36" i="139"/>
  <c r="FV63" i="139" s="1"/>
  <c r="GU89" i="139" s="1"/>
  <c r="FV31" i="139"/>
  <c r="FV58" i="139" s="1"/>
  <c r="GU84" i="139" s="1"/>
  <c r="FV35" i="139"/>
  <c r="FV62" i="139" s="1"/>
  <c r="GU88" i="139" s="1"/>
  <c r="FV32" i="139"/>
  <c r="FV59" i="139" s="1"/>
  <c r="GU85" i="139" s="1"/>
  <c r="FV33" i="139"/>
  <c r="FV60" i="139" s="1"/>
  <c r="GU86" i="139" s="1"/>
  <c r="FV37" i="139"/>
  <c r="FV64" i="139" s="1"/>
  <c r="GU90" i="139" s="1"/>
  <c r="FV40" i="139"/>
  <c r="FV67" i="139" s="1"/>
  <c r="GU93" i="139" s="1"/>
  <c r="FV38" i="139"/>
  <c r="FV65" i="139" s="1"/>
  <c r="GU91" i="139" s="1"/>
  <c r="FU30" i="139" l="1"/>
  <c r="FU57" i="139" s="1"/>
  <c r="GT83" i="139" s="1"/>
  <c r="FU38" i="139"/>
  <c r="FU65" i="139" s="1"/>
  <c r="GT91" i="139" s="1"/>
  <c r="FU34" i="139"/>
  <c r="FU61" i="139" s="1"/>
  <c r="GT87" i="139" s="1"/>
  <c r="FU36" i="139"/>
  <c r="FU63" i="139" s="1"/>
  <c r="GT89" i="139" s="1"/>
  <c r="FU32" i="139"/>
  <c r="FU59" i="139" s="1"/>
  <c r="GT85" i="139" s="1"/>
  <c r="FU37" i="139"/>
  <c r="FU64" i="139" s="1"/>
  <c r="GT90" i="139" s="1"/>
  <c r="FU31" i="139"/>
  <c r="FU58" i="139" s="1"/>
  <c r="GT84" i="139" s="1"/>
  <c r="FT28" i="139"/>
  <c r="FU33" i="139"/>
  <c r="FU60" i="139" s="1"/>
  <c r="GT86" i="139" s="1"/>
  <c r="FU40" i="139"/>
  <c r="FU67" i="139" s="1"/>
  <c r="GT93" i="139" s="1"/>
  <c r="FU39" i="139"/>
  <c r="FU66" i="139" s="1"/>
  <c r="GT92" i="139" s="1"/>
  <c r="FU41" i="139"/>
  <c r="FU68" i="139" s="1"/>
  <c r="GT94" i="139" s="1"/>
  <c r="FU35" i="139"/>
  <c r="FU62" i="139" s="1"/>
  <c r="GT88" i="139" s="1"/>
  <c r="FT36" i="139" l="1"/>
  <c r="FT63" i="139" s="1"/>
  <c r="GS89" i="139" s="1"/>
  <c r="FT33" i="139"/>
  <c r="FT60" i="139" s="1"/>
  <c r="GS86" i="139" s="1"/>
  <c r="FT40" i="139"/>
  <c r="FT67" i="139" s="1"/>
  <c r="GS93" i="139" s="1"/>
  <c r="FT41" i="139"/>
  <c r="FT68" i="139" s="1"/>
  <c r="GS94" i="139" s="1"/>
  <c r="FT30" i="139"/>
  <c r="FT57" i="139" s="1"/>
  <c r="GS83" i="139" s="1"/>
  <c r="FT31" i="139"/>
  <c r="FT58" i="139" s="1"/>
  <c r="GS84" i="139" s="1"/>
  <c r="FT39" i="139"/>
  <c r="FT66" i="139" s="1"/>
  <c r="GS92" i="139" s="1"/>
  <c r="FS28" i="139"/>
  <c r="FT37" i="139"/>
  <c r="FT64" i="139" s="1"/>
  <c r="GS90" i="139" s="1"/>
  <c r="FT38" i="139"/>
  <c r="FT65" i="139" s="1"/>
  <c r="GS91" i="139" s="1"/>
  <c r="FT34" i="139"/>
  <c r="FT61" i="139" s="1"/>
  <c r="GS87" i="139" s="1"/>
  <c r="FT35" i="139"/>
  <c r="FT62" i="139" s="1"/>
  <c r="GS88" i="139" s="1"/>
  <c r="FT32" i="139"/>
  <c r="FT59" i="139" s="1"/>
  <c r="GS85" i="139" s="1"/>
  <c r="FS32" i="139" l="1"/>
  <c r="FS59" i="139" s="1"/>
  <c r="GR85" i="139" s="1"/>
  <c r="FS38" i="139"/>
  <c r="FS65" i="139" s="1"/>
  <c r="GR91" i="139" s="1"/>
  <c r="FS34" i="139"/>
  <c r="FS61" i="139" s="1"/>
  <c r="GR87" i="139" s="1"/>
  <c r="FS40" i="139"/>
  <c r="FS67" i="139" s="1"/>
  <c r="GR93" i="139" s="1"/>
  <c r="FS41" i="139"/>
  <c r="FS68" i="139" s="1"/>
  <c r="GR94" i="139" s="1"/>
  <c r="FS31" i="139"/>
  <c r="FS58" i="139" s="1"/>
  <c r="GR84" i="139" s="1"/>
  <c r="FS30" i="139"/>
  <c r="FS57" i="139" s="1"/>
  <c r="GR83" i="139" s="1"/>
  <c r="FS36" i="139"/>
  <c r="FS63" i="139" s="1"/>
  <c r="GR89" i="139" s="1"/>
  <c r="FS37" i="139"/>
  <c r="FS64" i="139" s="1"/>
  <c r="GR90" i="139" s="1"/>
  <c r="FS33" i="139"/>
  <c r="FS60" i="139" s="1"/>
  <c r="GR86" i="139" s="1"/>
  <c r="FS35" i="139"/>
  <c r="FS62" i="139" s="1"/>
  <c r="GR88" i="139" s="1"/>
  <c r="FR28" i="139"/>
  <c r="FS39" i="139"/>
  <c r="FS66" i="139" s="1"/>
  <c r="GR92" i="139" s="1"/>
  <c r="FR40" i="139" l="1"/>
  <c r="FR67" i="139" s="1"/>
  <c r="GQ93" i="139" s="1"/>
  <c r="FR37" i="139"/>
  <c r="FR64" i="139" s="1"/>
  <c r="GQ90" i="139" s="1"/>
  <c r="FR31" i="139"/>
  <c r="FR58" i="139" s="1"/>
  <c r="GQ84" i="139" s="1"/>
  <c r="FR30" i="139"/>
  <c r="FR57" i="139" s="1"/>
  <c r="GQ83" i="139" s="1"/>
  <c r="FR36" i="139"/>
  <c r="FR63" i="139" s="1"/>
  <c r="GQ89" i="139" s="1"/>
  <c r="FR35" i="139"/>
  <c r="FR62" i="139" s="1"/>
  <c r="GQ88" i="139" s="1"/>
  <c r="FR33" i="139"/>
  <c r="FR60" i="139" s="1"/>
  <c r="GQ86" i="139" s="1"/>
  <c r="FR34" i="139"/>
  <c r="FR61" i="139" s="1"/>
  <c r="GQ87" i="139" s="1"/>
  <c r="FQ28" i="139"/>
  <c r="FR32" i="139"/>
  <c r="FR59" i="139" s="1"/>
  <c r="GQ85" i="139" s="1"/>
  <c r="FR39" i="139"/>
  <c r="FR66" i="139" s="1"/>
  <c r="GQ92" i="139" s="1"/>
  <c r="FR41" i="139"/>
  <c r="FR68" i="139" s="1"/>
  <c r="GQ94" i="139" s="1"/>
  <c r="FR38" i="139"/>
  <c r="FR65" i="139" s="1"/>
  <c r="GQ91" i="139" s="1"/>
  <c r="FQ33" i="139" l="1"/>
  <c r="FQ60" i="139" s="1"/>
  <c r="GP86" i="139" s="1"/>
  <c r="FQ39" i="139"/>
  <c r="FQ66" i="139" s="1"/>
  <c r="GP92" i="139" s="1"/>
  <c r="FQ34" i="139"/>
  <c r="FQ61" i="139" s="1"/>
  <c r="GP87" i="139" s="1"/>
  <c r="FQ37" i="139"/>
  <c r="FQ64" i="139" s="1"/>
  <c r="GP90" i="139" s="1"/>
  <c r="FQ40" i="139"/>
  <c r="FQ67" i="139" s="1"/>
  <c r="GP93" i="139" s="1"/>
  <c r="FP28" i="139"/>
  <c r="FQ41" i="139"/>
  <c r="FQ68" i="139" s="1"/>
  <c r="GP94" i="139" s="1"/>
  <c r="FQ36" i="139"/>
  <c r="FQ63" i="139" s="1"/>
  <c r="GP89" i="139" s="1"/>
  <c r="FQ32" i="139"/>
  <c r="FQ59" i="139" s="1"/>
  <c r="GP85" i="139" s="1"/>
  <c r="FQ31" i="139"/>
  <c r="FQ58" i="139" s="1"/>
  <c r="GP84" i="139" s="1"/>
  <c r="FQ38" i="139"/>
  <c r="FQ65" i="139" s="1"/>
  <c r="GP91" i="139" s="1"/>
  <c r="FQ35" i="139"/>
  <c r="FQ62" i="139" s="1"/>
  <c r="GP88" i="139" s="1"/>
  <c r="FQ30" i="139"/>
  <c r="FQ57" i="139" s="1"/>
  <c r="GP83" i="139" s="1"/>
  <c r="FP32" i="139" l="1"/>
  <c r="FP59" i="139" s="1"/>
  <c r="GO85" i="139" s="1"/>
  <c r="FO28" i="139"/>
  <c r="FP33" i="139"/>
  <c r="FP60" i="139" s="1"/>
  <c r="GO86" i="139" s="1"/>
  <c r="FP36" i="139"/>
  <c r="FP63" i="139" s="1"/>
  <c r="GO89" i="139" s="1"/>
  <c r="FP31" i="139"/>
  <c r="FP58" i="139" s="1"/>
  <c r="GO84" i="139" s="1"/>
  <c r="FP37" i="139"/>
  <c r="FP64" i="139" s="1"/>
  <c r="GO90" i="139" s="1"/>
  <c r="FP30" i="139"/>
  <c r="FP57" i="139" s="1"/>
  <c r="GO83" i="139" s="1"/>
  <c r="FP40" i="139"/>
  <c r="FP67" i="139" s="1"/>
  <c r="GO93" i="139" s="1"/>
  <c r="FP34" i="139"/>
  <c r="FP61" i="139" s="1"/>
  <c r="GO87" i="139" s="1"/>
  <c r="FP39" i="139"/>
  <c r="FP66" i="139" s="1"/>
  <c r="GO92" i="139" s="1"/>
  <c r="FP38" i="139"/>
  <c r="FP65" i="139" s="1"/>
  <c r="GO91" i="139" s="1"/>
  <c r="FP41" i="139"/>
  <c r="FP68" i="139" s="1"/>
  <c r="GO94" i="139" s="1"/>
  <c r="FP35" i="139"/>
  <c r="FP62" i="139" s="1"/>
  <c r="GO88" i="139" s="1"/>
  <c r="FO41" i="139" l="1"/>
  <c r="FO68" i="139" s="1"/>
  <c r="GN94" i="139" s="1"/>
  <c r="FO40" i="139"/>
  <c r="FO67" i="139" s="1"/>
  <c r="GN93" i="139" s="1"/>
  <c r="FO37" i="139"/>
  <c r="FO64" i="139" s="1"/>
  <c r="GN90" i="139" s="1"/>
  <c r="FO32" i="139"/>
  <c r="FO59" i="139" s="1"/>
  <c r="GN85" i="139" s="1"/>
  <c r="FO34" i="139"/>
  <c r="FO61" i="139" s="1"/>
  <c r="GN87" i="139" s="1"/>
  <c r="FO36" i="139"/>
  <c r="FO63" i="139" s="1"/>
  <c r="GN89" i="139" s="1"/>
  <c r="FO33" i="139"/>
  <c r="FO60" i="139" s="1"/>
  <c r="GN86" i="139" s="1"/>
  <c r="FN28" i="139"/>
  <c r="FO30" i="139"/>
  <c r="FO57" i="139" s="1"/>
  <c r="GN83" i="139" s="1"/>
  <c r="FO31" i="139"/>
  <c r="FO58" i="139" s="1"/>
  <c r="GN84" i="139" s="1"/>
  <c r="FO35" i="139"/>
  <c r="FO62" i="139" s="1"/>
  <c r="GN88" i="139" s="1"/>
  <c r="FO39" i="139"/>
  <c r="FO66" i="139" s="1"/>
  <c r="GN92" i="139" s="1"/>
  <c r="FO38" i="139"/>
  <c r="FO65" i="139" s="1"/>
  <c r="GN91" i="139" s="1"/>
  <c r="FN34" i="139" l="1"/>
  <c r="FN61" i="139" s="1"/>
  <c r="GM87" i="139" s="1"/>
  <c r="FM28" i="139"/>
  <c r="FN35" i="139"/>
  <c r="FN62" i="139" s="1"/>
  <c r="GM88" i="139" s="1"/>
  <c r="FN33" i="139"/>
  <c r="FN60" i="139" s="1"/>
  <c r="GM86" i="139" s="1"/>
  <c r="FN40" i="139"/>
  <c r="FN67" i="139" s="1"/>
  <c r="GM93" i="139" s="1"/>
  <c r="FN38" i="139"/>
  <c r="FN65" i="139" s="1"/>
  <c r="GM91" i="139" s="1"/>
  <c r="FN37" i="139"/>
  <c r="FN64" i="139" s="1"/>
  <c r="GM90" i="139" s="1"/>
  <c r="FN36" i="139"/>
  <c r="FN63" i="139" s="1"/>
  <c r="GM89" i="139" s="1"/>
  <c r="FN31" i="139"/>
  <c r="FN58" i="139" s="1"/>
  <c r="GM84" i="139" s="1"/>
  <c r="FN41" i="139"/>
  <c r="FN68" i="139" s="1"/>
  <c r="GM94" i="139" s="1"/>
  <c r="FN30" i="139"/>
  <c r="FN57" i="139" s="1"/>
  <c r="GM83" i="139" s="1"/>
  <c r="FN32" i="139"/>
  <c r="FN59" i="139" s="1"/>
  <c r="GM85" i="139" s="1"/>
  <c r="FN39" i="139"/>
  <c r="FN66" i="139" s="1"/>
  <c r="GM92" i="139" s="1"/>
  <c r="FM32" i="139" l="1"/>
  <c r="FM59" i="139" s="1"/>
  <c r="GL85" i="139" s="1"/>
  <c r="FM31" i="139"/>
  <c r="FM58" i="139" s="1"/>
  <c r="GL84" i="139" s="1"/>
  <c r="FM40" i="139"/>
  <c r="FM67" i="139" s="1"/>
  <c r="GL93" i="139" s="1"/>
  <c r="FM33" i="139"/>
  <c r="FM60" i="139" s="1"/>
  <c r="GL86" i="139" s="1"/>
  <c r="FM39" i="139"/>
  <c r="FM66" i="139" s="1"/>
  <c r="GL92" i="139" s="1"/>
  <c r="FM35" i="139"/>
  <c r="FM62" i="139" s="1"/>
  <c r="GL88" i="139" s="1"/>
  <c r="FM36" i="139"/>
  <c r="FM63" i="139" s="1"/>
  <c r="GL89" i="139" s="1"/>
  <c r="FM37" i="139"/>
  <c r="FM64" i="139" s="1"/>
  <c r="GL90" i="139" s="1"/>
  <c r="FM41" i="139"/>
  <c r="FM68" i="139" s="1"/>
  <c r="GL94" i="139" s="1"/>
  <c r="FM34" i="139"/>
  <c r="FM61" i="139" s="1"/>
  <c r="GL87" i="139" s="1"/>
  <c r="FM38" i="139"/>
  <c r="FM65" i="139" s="1"/>
  <c r="GL91" i="139" s="1"/>
  <c r="FL28" i="139"/>
  <c r="FM30" i="139"/>
  <c r="FM57" i="139" s="1"/>
  <c r="GL83" i="139" s="1"/>
  <c r="FL33" i="139" l="1"/>
  <c r="FL60" i="139" s="1"/>
  <c r="GK86" i="139" s="1"/>
  <c r="FL40" i="139"/>
  <c r="FL67" i="139" s="1"/>
  <c r="GK93" i="139" s="1"/>
  <c r="FL37" i="139"/>
  <c r="FL64" i="139" s="1"/>
  <c r="GK90" i="139" s="1"/>
  <c r="FL38" i="139"/>
  <c r="FL65" i="139" s="1"/>
  <c r="GK91" i="139" s="1"/>
  <c r="FL35" i="139"/>
  <c r="FL62" i="139" s="1"/>
  <c r="GK88" i="139" s="1"/>
  <c r="FL34" i="139"/>
  <c r="FL61" i="139" s="1"/>
  <c r="GK87" i="139" s="1"/>
  <c r="FL31" i="139"/>
  <c r="FL58" i="139" s="1"/>
  <c r="GK84" i="139" s="1"/>
  <c r="FL32" i="139"/>
  <c r="FL59" i="139" s="1"/>
  <c r="GK85" i="139" s="1"/>
  <c r="FL36" i="139"/>
  <c r="FL63" i="139" s="1"/>
  <c r="GK89" i="139" s="1"/>
  <c r="FL41" i="139"/>
  <c r="FL68" i="139" s="1"/>
  <c r="GK94" i="139" s="1"/>
  <c r="FK28" i="139"/>
  <c r="FL39" i="139"/>
  <c r="FL66" i="139" s="1"/>
  <c r="GK92" i="139" s="1"/>
  <c r="FL30" i="139"/>
  <c r="FL57" i="139" s="1"/>
  <c r="GK83" i="139" s="1"/>
  <c r="FK30" i="139" l="1"/>
  <c r="FK57" i="139" s="1"/>
  <c r="GJ83" i="139" s="1"/>
  <c r="FK31" i="139"/>
  <c r="FK58" i="139" s="1"/>
  <c r="GJ84" i="139" s="1"/>
  <c r="FK40" i="139"/>
  <c r="FK67" i="139" s="1"/>
  <c r="GJ93" i="139" s="1"/>
  <c r="FJ28" i="139"/>
  <c r="FK38" i="139"/>
  <c r="FK65" i="139" s="1"/>
  <c r="GJ91" i="139" s="1"/>
  <c r="FK34" i="139"/>
  <c r="FK61" i="139" s="1"/>
  <c r="GJ87" i="139" s="1"/>
  <c r="FK39" i="139"/>
  <c r="FK66" i="139" s="1"/>
  <c r="GJ92" i="139" s="1"/>
  <c r="FK36" i="139"/>
  <c r="FK63" i="139" s="1"/>
  <c r="GJ89" i="139" s="1"/>
  <c r="FK37" i="139"/>
  <c r="FK64" i="139" s="1"/>
  <c r="GJ90" i="139" s="1"/>
  <c r="FK35" i="139"/>
  <c r="FK62" i="139" s="1"/>
  <c r="GJ88" i="139" s="1"/>
  <c r="FK32" i="139"/>
  <c r="FK59" i="139" s="1"/>
  <c r="GJ85" i="139" s="1"/>
  <c r="FK33" i="139"/>
  <c r="FK60" i="139" s="1"/>
  <c r="GJ86" i="139" s="1"/>
  <c r="FK41" i="139"/>
  <c r="FK68" i="139" s="1"/>
  <c r="GJ94" i="139" s="1"/>
  <c r="FI28" i="139" l="1"/>
  <c r="FJ36" i="139"/>
  <c r="FJ63" i="139" s="1"/>
  <c r="GI89" i="139" s="1"/>
  <c r="FJ38" i="139"/>
  <c r="FJ65" i="139" s="1"/>
  <c r="GI91" i="139" s="1"/>
  <c r="FJ32" i="139"/>
  <c r="FJ59" i="139" s="1"/>
  <c r="GI85" i="139" s="1"/>
  <c r="FJ34" i="139"/>
  <c r="FJ61" i="139" s="1"/>
  <c r="GI87" i="139" s="1"/>
  <c r="FJ31" i="139"/>
  <c r="FJ58" i="139" s="1"/>
  <c r="GI84" i="139" s="1"/>
  <c r="FJ30" i="139"/>
  <c r="FJ57" i="139" s="1"/>
  <c r="GI83" i="139" s="1"/>
  <c r="FJ41" i="139"/>
  <c r="FJ68" i="139" s="1"/>
  <c r="GI94" i="139" s="1"/>
  <c r="FJ37" i="139"/>
  <c r="FJ64" i="139" s="1"/>
  <c r="GI90" i="139" s="1"/>
  <c r="FJ39" i="139"/>
  <c r="FJ66" i="139" s="1"/>
  <c r="GI92" i="139" s="1"/>
  <c r="FJ33" i="139"/>
  <c r="FJ60" i="139" s="1"/>
  <c r="GI86" i="139" s="1"/>
  <c r="FJ35" i="139"/>
  <c r="FJ62" i="139" s="1"/>
  <c r="GI88" i="139" s="1"/>
  <c r="FJ40" i="139"/>
  <c r="FJ67" i="139" s="1"/>
  <c r="GI93" i="139" s="1"/>
  <c r="FI33" i="139" l="1"/>
  <c r="FI60" i="139" s="1"/>
  <c r="GH86" i="139" s="1"/>
  <c r="FI40" i="139"/>
  <c r="FI67" i="139" s="1"/>
  <c r="GH93" i="139" s="1"/>
  <c r="FH28" i="139"/>
  <c r="FI32" i="139"/>
  <c r="FI59" i="139" s="1"/>
  <c r="GH85" i="139" s="1"/>
  <c r="FI31" i="139"/>
  <c r="FI58" i="139" s="1"/>
  <c r="GH84" i="139" s="1"/>
  <c r="FI30" i="139"/>
  <c r="FI57" i="139" s="1"/>
  <c r="GH83" i="139" s="1"/>
  <c r="FI38" i="139"/>
  <c r="FI65" i="139" s="1"/>
  <c r="GH91" i="139" s="1"/>
  <c r="FI39" i="139"/>
  <c r="FI66" i="139" s="1"/>
  <c r="GH92" i="139" s="1"/>
  <c r="FI34" i="139"/>
  <c r="FI61" i="139" s="1"/>
  <c r="GH87" i="139" s="1"/>
  <c r="FI35" i="139"/>
  <c r="FI62" i="139" s="1"/>
  <c r="GH88" i="139" s="1"/>
  <c r="FI41" i="139"/>
  <c r="FI68" i="139" s="1"/>
  <c r="GH94" i="139" s="1"/>
  <c r="FI36" i="139"/>
  <c r="FI63" i="139" s="1"/>
  <c r="GH89" i="139" s="1"/>
  <c r="FI37" i="139"/>
  <c r="FI64" i="139" s="1"/>
  <c r="GH90" i="139" s="1"/>
  <c r="FH30" i="139" l="1"/>
  <c r="FH57" i="139" s="1"/>
  <c r="GG83" i="139" s="1"/>
  <c r="FH41" i="139"/>
  <c r="FH68" i="139" s="1"/>
  <c r="GG94" i="139" s="1"/>
  <c r="FH37" i="139"/>
  <c r="FH64" i="139" s="1"/>
  <c r="GG90" i="139" s="1"/>
  <c r="FH34" i="139"/>
  <c r="FH61" i="139" s="1"/>
  <c r="GG87" i="139" s="1"/>
  <c r="FH35" i="139"/>
  <c r="FH62" i="139" s="1"/>
  <c r="GG88" i="139" s="1"/>
  <c r="FH36" i="139"/>
  <c r="FH63" i="139" s="1"/>
  <c r="GG89" i="139" s="1"/>
  <c r="FH39" i="139"/>
  <c r="FH66" i="139" s="1"/>
  <c r="GG92" i="139" s="1"/>
  <c r="FG28" i="139"/>
  <c r="FH33" i="139"/>
  <c r="FH60" i="139" s="1"/>
  <c r="GG86" i="139" s="1"/>
  <c r="FH40" i="139"/>
  <c r="FH67" i="139" s="1"/>
  <c r="GG93" i="139" s="1"/>
  <c r="FH31" i="139"/>
  <c r="FH58" i="139" s="1"/>
  <c r="GG84" i="139" s="1"/>
  <c r="FH32" i="139"/>
  <c r="FH59" i="139" s="1"/>
  <c r="GG85" i="139" s="1"/>
  <c r="FH38" i="139"/>
  <c r="FH65" i="139" s="1"/>
  <c r="GG91" i="139" s="1"/>
  <c r="FG33" i="139" l="1"/>
  <c r="FG60" i="139" s="1"/>
  <c r="GF86" i="139" s="1"/>
  <c r="FF28" i="139"/>
  <c r="FG32" i="139"/>
  <c r="FG59" i="139" s="1"/>
  <c r="GF85" i="139" s="1"/>
  <c r="FG38" i="139"/>
  <c r="FG65" i="139" s="1"/>
  <c r="GF91" i="139" s="1"/>
  <c r="FG30" i="139"/>
  <c r="FG57" i="139" s="1"/>
  <c r="GF83" i="139" s="1"/>
  <c r="FG37" i="139"/>
  <c r="FG64" i="139" s="1"/>
  <c r="GF90" i="139" s="1"/>
  <c r="FG31" i="139"/>
  <c r="FG58" i="139" s="1"/>
  <c r="GF84" i="139" s="1"/>
  <c r="FG41" i="139"/>
  <c r="FG68" i="139" s="1"/>
  <c r="GF94" i="139" s="1"/>
  <c r="FG35" i="139"/>
  <c r="FG62" i="139" s="1"/>
  <c r="GF88" i="139" s="1"/>
  <c r="FG36" i="139"/>
  <c r="FG63" i="139" s="1"/>
  <c r="GF89" i="139" s="1"/>
  <c r="FG40" i="139"/>
  <c r="FG67" i="139" s="1"/>
  <c r="GF93" i="139" s="1"/>
  <c r="FG34" i="139"/>
  <c r="FG61" i="139" s="1"/>
  <c r="GF87" i="139" s="1"/>
  <c r="FG39" i="139"/>
  <c r="FG66" i="139" s="1"/>
  <c r="GF92" i="139" s="1"/>
  <c r="FF31" i="139" l="1"/>
  <c r="FF58" i="139" s="1"/>
  <c r="GE84" i="139" s="1"/>
  <c r="FF35" i="139"/>
  <c r="FF62" i="139" s="1"/>
  <c r="GE88" i="139" s="1"/>
  <c r="FF37" i="139"/>
  <c r="FF64" i="139" s="1"/>
  <c r="GE90" i="139" s="1"/>
  <c r="FF41" i="139"/>
  <c r="FF68" i="139" s="1"/>
  <c r="GE94" i="139" s="1"/>
  <c r="FF36" i="139"/>
  <c r="FF63" i="139" s="1"/>
  <c r="GE89" i="139" s="1"/>
  <c r="FF32" i="139"/>
  <c r="FF59" i="139" s="1"/>
  <c r="GE85" i="139" s="1"/>
  <c r="FE28" i="139"/>
  <c r="FF38" i="139"/>
  <c r="FF65" i="139" s="1"/>
  <c r="GE91" i="139" s="1"/>
  <c r="FF40" i="139"/>
  <c r="FF67" i="139" s="1"/>
  <c r="GE93" i="139" s="1"/>
  <c r="FF30" i="139"/>
  <c r="FF57" i="139" s="1"/>
  <c r="GE83" i="139" s="1"/>
  <c r="FF34" i="139"/>
  <c r="FF61" i="139" s="1"/>
  <c r="GE87" i="139" s="1"/>
  <c r="FF39" i="139"/>
  <c r="FF66" i="139" s="1"/>
  <c r="GE92" i="139" s="1"/>
  <c r="FF33" i="139"/>
  <c r="FF60" i="139" s="1"/>
  <c r="GE86" i="139" s="1"/>
  <c r="FE40" i="139" l="1"/>
  <c r="FE67" i="139" s="1"/>
  <c r="GD93" i="139" s="1"/>
  <c r="FE37" i="139"/>
  <c r="FE64" i="139" s="1"/>
  <c r="GD90" i="139" s="1"/>
  <c r="FE41" i="139"/>
  <c r="FE68" i="139" s="1"/>
  <c r="GD94" i="139" s="1"/>
  <c r="FE32" i="139"/>
  <c r="FE59" i="139" s="1"/>
  <c r="GD85" i="139" s="1"/>
  <c r="FE30" i="139"/>
  <c r="FE57" i="139" s="1"/>
  <c r="GD83" i="139" s="1"/>
  <c r="FD28" i="139"/>
  <c r="FE33" i="139"/>
  <c r="FE60" i="139" s="1"/>
  <c r="GD86" i="139" s="1"/>
  <c r="FE34" i="139"/>
  <c r="FE61" i="139" s="1"/>
  <c r="GD87" i="139" s="1"/>
  <c r="FE31" i="139"/>
  <c r="FE58" i="139" s="1"/>
  <c r="GD84" i="139" s="1"/>
  <c r="FE38" i="139"/>
  <c r="FE65" i="139" s="1"/>
  <c r="GD91" i="139" s="1"/>
  <c r="FE35" i="139"/>
  <c r="FE62" i="139" s="1"/>
  <c r="GD88" i="139" s="1"/>
  <c r="FE36" i="139"/>
  <c r="FE63" i="139" s="1"/>
  <c r="GD89" i="139" s="1"/>
  <c r="FE39" i="139"/>
  <c r="FE66" i="139" s="1"/>
  <c r="GD92" i="139" s="1"/>
  <c r="FD30" i="139" l="1"/>
  <c r="FD57" i="139" s="1"/>
  <c r="GC83" i="139" s="1"/>
  <c r="FC28" i="139"/>
  <c r="FD31" i="139"/>
  <c r="FD58" i="139" s="1"/>
  <c r="GC84" i="139" s="1"/>
  <c r="FD36" i="139"/>
  <c r="FD63" i="139" s="1"/>
  <c r="GC89" i="139" s="1"/>
  <c r="FD37" i="139"/>
  <c r="FD64" i="139" s="1"/>
  <c r="GC90" i="139" s="1"/>
  <c r="FD38" i="139"/>
  <c r="FD65" i="139" s="1"/>
  <c r="GC91" i="139" s="1"/>
  <c r="FD34" i="139"/>
  <c r="FD61" i="139" s="1"/>
  <c r="GC87" i="139" s="1"/>
  <c r="FD41" i="139"/>
  <c r="FD68" i="139" s="1"/>
  <c r="GC94" i="139" s="1"/>
  <c r="FD39" i="139"/>
  <c r="FD66" i="139" s="1"/>
  <c r="GC92" i="139" s="1"/>
  <c r="FD32" i="139"/>
  <c r="FD59" i="139" s="1"/>
  <c r="GC85" i="139" s="1"/>
  <c r="FD35" i="139"/>
  <c r="FD62" i="139" s="1"/>
  <c r="GC88" i="139" s="1"/>
  <c r="FD33" i="139"/>
  <c r="FD60" i="139" s="1"/>
  <c r="GC86" i="139" s="1"/>
  <c r="FD40" i="139"/>
  <c r="FD67" i="139" s="1"/>
  <c r="GC93" i="139" s="1"/>
  <c r="FB28" i="139" l="1"/>
  <c r="FC30" i="139"/>
  <c r="FC57" i="139" s="1"/>
  <c r="GB83" i="139" s="1"/>
  <c r="FC41" i="139"/>
  <c r="FC68" i="139" s="1"/>
  <c r="GB94" i="139" s="1"/>
  <c r="FC38" i="139"/>
  <c r="FC65" i="139" s="1"/>
  <c r="GB91" i="139" s="1"/>
  <c r="FC33" i="139"/>
  <c r="FC60" i="139" s="1"/>
  <c r="GB86" i="139" s="1"/>
  <c r="FC31" i="139"/>
  <c r="FC58" i="139" s="1"/>
  <c r="GB84" i="139" s="1"/>
  <c r="FC39" i="139"/>
  <c r="FC66" i="139" s="1"/>
  <c r="GB92" i="139" s="1"/>
  <c r="FC32" i="139"/>
  <c r="FC59" i="139" s="1"/>
  <c r="GB85" i="139" s="1"/>
  <c r="FC34" i="139"/>
  <c r="FC61" i="139" s="1"/>
  <c r="GB87" i="139" s="1"/>
  <c r="FC40" i="139"/>
  <c r="FC67" i="139" s="1"/>
  <c r="GB93" i="139" s="1"/>
  <c r="FC35" i="139"/>
  <c r="FC62" i="139" s="1"/>
  <c r="GB88" i="139" s="1"/>
  <c r="FC36" i="139"/>
  <c r="FC63" i="139" s="1"/>
  <c r="GB89" i="139" s="1"/>
  <c r="FC37" i="139"/>
  <c r="FC64" i="139" s="1"/>
  <c r="GB90" i="139" s="1"/>
  <c r="FB38" i="139" l="1"/>
  <c r="FB65" i="139" s="1"/>
  <c r="GA91" i="139" s="1"/>
  <c r="FB34" i="139"/>
  <c r="FB61" i="139" s="1"/>
  <c r="GA87" i="139" s="1"/>
  <c r="FB37" i="139"/>
  <c r="FB64" i="139" s="1"/>
  <c r="GA90" i="139" s="1"/>
  <c r="FB32" i="139"/>
  <c r="FB59" i="139" s="1"/>
  <c r="GA85" i="139" s="1"/>
  <c r="FB30" i="139"/>
  <c r="FB57" i="139" s="1"/>
  <c r="GA83" i="139" s="1"/>
  <c r="FB35" i="139"/>
  <c r="FB62" i="139" s="1"/>
  <c r="GA88" i="139" s="1"/>
  <c r="FB41" i="139"/>
  <c r="FB68" i="139" s="1"/>
  <c r="GA94" i="139" s="1"/>
  <c r="FB39" i="139"/>
  <c r="FB66" i="139" s="1"/>
  <c r="GA92" i="139" s="1"/>
  <c r="FB31" i="139"/>
  <c r="FB58" i="139" s="1"/>
  <c r="GA84" i="139" s="1"/>
  <c r="FA28" i="139"/>
  <c r="FB40" i="139"/>
  <c r="FB67" i="139" s="1"/>
  <c r="GA93" i="139" s="1"/>
  <c r="FB36" i="139"/>
  <c r="FB63" i="139" s="1"/>
  <c r="GA89" i="139" s="1"/>
  <c r="FB33" i="139"/>
  <c r="FB60" i="139" s="1"/>
  <c r="GA86" i="139" s="1"/>
  <c r="FA32" i="139" l="1"/>
  <c r="FA59" i="139" s="1"/>
  <c r="FZ85" i="139" s="1"/>
  <c r="FA30" i="139"/>
  <c r="FA57" i="139" s="1"/>
  <c r="FZ83" i="139" s="1"/>
  <c r="FA38" i="139"/>
  <c r="FA65" i="139" s="1"/>
  <c r="FZ91" i="139" s="1"/>
  <c r="FA40" i="139"/>
  <c r="FA67" i="139" s="1"/>
  <c r="FZ93" i="139" s="1"/>
  <c r="FA39" i="139"/>
  <c r="FA66" i="139" s="1"/>
  <c r="FZ92" i="139" s="1"/>
  <c r="FA34" i="139"/>
  <c r="FA61" i="139" s="1"/>
  <c r="FZ87" i="139" s="1"/>
  <c r="FA36" i="139"/>
  <c r="FA63" i="139" s="1"/>
  <c r="FZ89" i="139" s="1"/>
  <c r="FA35" i="139"/>
  <c r="FA62" i="139" s="1"/>
  <c r="FZ88" i="139" s="1"/>
  <c r="FA41" i="139"/>
  <c r="FA68" i="139" s="1"/>
  <c r="FZ94" i="139" s="1"/>
  <c r="EZ28" i="139"/>
  <c r="FA37" i="139"/>
  <c r="FA64" i="139" s="1"/>
  <c r="FZ90" i="139" s="1"/>
  <c r="FA31" i="139"/>
  <c r="FA58" i="139" s="1"/>
  <c r="FZ84" i="139" s="1"/>
  <c r="FA33" i="139"/>
  <c r="FA60" i="139" s="1"/>
  <c r="FZ86" i="139" s="1"/>
  <c r="EZ36" i="139" l="1"/>
  <c r="EZ63" i="139" s="1"/>
  <c r="FY89" i="139" s="1"/>
  <c r="EZ31" i="139"/>
  <c r="EZ58" i="139" s="1"/>
  <c r="FY84" i="139" s="1"/>
  <c r="EZ39" i="139"/>
  <c r="EZ66" i="139" s="1"/>
  <c r="FY92" i="139" s="1"/>
  <c r="EZ41" i="139"/>
  <c r="EZ68" i="139" s="1"/>
  <c r="FY94" i="139" s="1"/>
  <c r="EZ37" i="139"/>
  <c r="EZ64" i="139" s="1"/>
  <c r="FY90" i="139" s="1"/>
  <c r="EZ32" i="139"/>
  <c r="EZ59" i="139" s="1"/>
  <c r="FY85" i="139" s="1"/>
  <c r="EZ38" i="139"/>
  <c r="EZ65" i="139" s="1"/>
  <c r="FY91" i="139" s="1"/>
  <c r="EZ35" i="139"/>
  <c r="EZ62" i="139" s="1"/>
  <c r="FY88" i="139" s="1"/>
  <c r="EZ33" i="139"/>
  <c r="EZ60" i="139" s="1"/>
  <c r="FY86" i="139" s="1"/>
  <c r="EZ40" i="139"/>
  <c r="EZ67" i="139" s="1"/>
  <c r="FY93" i="139" s="1"/>
  <c r="EZ30" i="139"/>
  <c r="EZ57" i="139" s="1"/>
  <c r="FY83" i="139" s="1"/>
  <c r="EY28" i="139"/>
  <c r="EZ34" i="139"/>
  <c r="EZ61" i="139" s="1"/>
  <c r="FY87" i="139" s="1"/>
  <c r="EY33" i="139" l="1"/>
  <c r="EY60" i="139" s="1"/>
  <c r="FX86" i="139" s="1"/>
  <c r="EY39" i="139"/>
  <c r="EY66" i="139" s="1"/>
  <c r="FX92" i="139" s="1"/>
  <c r="EY30" i="139"/>
  <c r="EY57" i="139" s="1"/>
  <c r="FX83" i="139" s="1"/>
  <c r="EY35" i="139"/>
  <c r="EY62" i="139" s="1"/>
  <c r="FX88" i="139" s="1"/>
  <c r="EY41" i="139"/>
  <c r="EY68" i="139" s="1"/>
  <c r="FX94" i="139" s="1"/>
  <c r="EY31" i="139"/>
  <c r="EY58" i="139" s="1"/>
  <c r="FX84" i="139" s="1"/>
  <c r="EY36" i="139"/>
  <c r="EY63" i="139" s="1"/>
  <c r="FX89" i="139" s="1"/>
  <c r="EY32" i="139"/>
  <c r="EY59" i="139" s="1"/>
  <c r="FX85" i="139" s="1"/>
  <c r="EY38" i="139"/>
  <c r="EY65" i="139" s="1"/>
  <c r="FX91" i="139" s="1"/>
  <c r="EY40" i="139"/>
  <c r="EY67" i="139" s="1"/>
  <c r="FX93" i="139" s="1"/>
  <c r="EY37" i="139"/>
  <c r="EY64" i="139" s="1"/>
  <c r="FX90" i="139" s="1"/>
  <c r="EY34" i="139"/>
  <c r="EY61" i="139" s="1"/>
  <c r="FX87" i="139" s="1"/>
  <c r="EX28" i="139"/>
  <c r="EX32" i="139" l="1"/>
  <c r="EX59" i="139" s="1"/>
  <c r="FW85" i="139" s="1"/>
  <c r="EX36" i="139"/>
  <c r="EX63" i="139" s="1"/>
  <c r="FW89" i="139" s="1"/>
  <c r="EX39" i="139"/>
  <c r="EX66" i="139" s="1"/>
  <c r="FW92" i="139" s="1"/>
  <c r="EX38" i="139"/>
  <c r="EX65" i="139" s="1"/>
  <c r="FW91" i="139" s="1"/>
  <c r="EX31" i="139"/>
  <c r="EX58" i="139" s="1"/>
  <c r="FW84" i="139" s="1"/>
  <c r="EX40" i="139"/>
  <c r="EX67" i="139" s="1"/>
  <c r="FW93" i="139" s="1"/>
  <c r="EX41" i="139"/>
  <c r="EX68" i="139" s="1"/>
  <c r="FW94" i="139" s="1"/>
  <c r="EX33" i="139"/>
  <c r="EX60" i="139" s="1"/>
  <c r="FW86" i="139" s="1"/>
  <c r="EW28" i="139"/>
  <c r="EX37" i="139"/>
  <c r="EX64" i="139" s="1"/>
  <c r="FW90" i="139" s="1"/>
  <c r="EX30" i="139"/>
  <c r="EX57" i="139" s="1"/>
  <c r="FW83" i="139" s="1"/>
  <c r="EX35" i="139"/>
  <c r="EX62" i="139" s="1"/>
  <c r="FW88" i="139" s="1"/>
  <c r="EX34" i="139"/>
  <c r="EX61" i="139" s="1"/>
  <c r="FW87" i="139" s="1"/>
  <c r="EW35" i="139" l="1"/>
  <c r="EW62" i="139" s="1"/>
  <c r="FV88" i="139" s="1"/>
  <c r="EV28" i="139"/>
  <c r="EW36" i="139"/>
  <c r="EW63" i="139" s="1"/>
  <c r="FV89" i="139" s="1"/>
  <c r="EW34" i="139"/>
  <c r="EW61" i="139" s="1"/>
  <c r="FV87" i="139" s="1"/>
  <c r="EW40" i="139"/>
  <c r="EW67" i="139" s="1"/>
  <c r="FV93" i="139" s="1"/>
  <c r="EW37" i="139"/>
  <c r="EW64" i="139" s="1"/>
  <c r="FV90" i="139" s="1"/>
  <c r="EW41" i="139"/>
  <c r="EW68" i="139" s="1"/>
  <c r="FV94" i="139" s="1"/>
  <c r="EW39" i="139"/>
  <c r="EW66" i="139" s="1"/>
  <c r="FV92" i="139" s="1"/>
  <c r="EW38" i="139"/>
  <c r="EW65" i="139" s="1"/>
  <c r="FV91" i="139" s="1"/>
  <c r="EW31" i="139"/>
  <c r="EW58" i="139" s="1"/>
  <c r="FV84" i="139" s="1"/>
  <c r="EW32" i="139"/>
  <c r="EW59" i="139" s="1"/>
  <c r="FV85" i="139" s="1"/>
  <c r="EW33" i="139"/>
  <c r="EW60" i="139" s="1"/>
  <c r="FV86" i="139" s="1"/>
  <c r="EW30" i="139"/>
  <c r="EW57" i="139" s="1"/>
  <c r="FV83" i="139" s="1"/>
  <c r="EV33" i="139" l="1"/>
  <c r="EV60" i="139" s="1"/>
  <c r="FU86" i="139" s="1"/>
  <c r="EU28" i="139"/>
  <c r="EV40" i="139"/>
  <c r="EV67" i="139" s="1"/>
  <c r="FU93" i="139" s="1"/>
  <c r="EV36" i="139"/>
  <c r="EV63" i="139" s="1"/>
  <c r="FU89" i="139" s="1"/>
  <c r="EV37" i="139"/>
  <c r="EV64" i="139" s="1"/>
  <c r="FU90" i="139" s="1"/>
  <c r="EV35" i="139"/>
  <c r="EV62" i="139" s="1"/>
  <c r="FU88" i="139" s="1"/>
  <c r="EV39" i="139"/>
  <c r="EV66" i="139" s="1"/>
  <c r="FU92" i="139" s="1"/>
  <c r="EV32" i="139"/>
  <c r="EV59" i="139" s="1"/>
  <c r="FU85" i="139" s="1"/>
  <c r="EV34" i="139"/>
  <c r="EV61" i="139" s="1"/>
  <c r="FU87" i="139" s="1"/>
  <c r="EV30" i="139"/>
  <c r="EV57" i="139" s="1"/>
  <c r="FU83" i="139" s="1"/>
  <c r="EV38" i="139"/>
  <c r="EV65" i="139" s="1"/>
  <c r="FU91" i="139" s="1"/>
  <c r="EV41" i="139"/>
  <c r="EV68" i="139" s="1"/>
  <c r="FU94" i="139" s="1"/>
  <c r="EV31" i="139"/>
  <c r="EV58" i="139" s="1"/>
  <c r="FU84" i="139" s="1"/>
  <c r="EU30" i="139" l="1"/>
  <c r="EU57" i="139" s="1"/>
  <c r="FT83" i="139" s="1"/>
  <c r="EU38" i="139"/>
  <c r="EU65" i="139" s="1"/>
  <c r="FT91" i="139" s="1"/>
  <c r="EU37" i="139"/>
  <c r="EU64" i="139" s="1"/>
  <c r="FT90" i="139" s="1"/>
  <c r="EU35" i="139"/>
  <c r="EU62" i="139" s="1"/>
  <c r="FT88" i="139" s="1"/>
  <c r="EU41" i="139"/>
  <c r="EU68" i="139" s="1"/>
  <c r="FT94" i="139" s="1"/>
  <c r="EU40" i="139"/>
  <c r="EU67" i="139" s="1"/>
  <c r="FT93" i="139" s="1"/>
  <c r="EU34" i="139"/>
  <c r="EU61" i="139" s="1"/>
  <c r="FT87" i="139" s="1"/>
  <c r="EU39" i="139"/>
  <c r="EU66" i="139" s="1"/>
  <c r="FT92" i="139" s="1"/>
  <c r="EU36" i="139"/>
  <c r="EU63" i="139" s="1"/>
  <c r="FT89" i="139" s="1"/>
  <c r="EU32" i="139"/>
  <c r="EU59" i="139" s="1"/>
  <c r="FT85" i="139" s="1"/>
  <c r="EU31" i="139"/>
  <c r="EU58" i="139" s="1"/>
  <c r="FT84" i="139" s="1"/>
  <c r="ET28" i="139"/>
  <c r="EU33" i="139"/>
  <c r="EU60" i="139" s="1"/>
  <c r="FT86" i="139" s="1"/>
  <c r="ET34" i="139" l="1"/>
  <c r="ET61" i="139" s="1"/>
  <c r="FS87" i="139" s="1"/>
  <c r="ET30" i="139"/>
  <c r="ET57" i="139" s="1"/>
  <c r="FS83" i="139" s="1"/>
  <c r="ET40" i="139"/>
  <c r="ET67" i="139" s="1"/>
  <c r="FS93" i="139" s="1"/>
  <c r="ET33" i="139"/>
  <c r="ET60" i="139" s="1"/>
  <c r="FS86" i="139" s="1"/>
  <c r="ET37" i="139"/>
  <c r="ET64" i="139" s="1"/>
  <c r="FS90" i="139" s="1"/>
  <c r="ET31" i="139"/>
  <c r="ET58" i="139" s="1"/>
  <c r="FS84" i="139" s="1"/>
  <c r="ET38" i="139"/>
  <c r="ET65" i="139" s="1"/>
  <c r="FS91" i="139" s="1"/>
  <c r="ET35" i="139"/>
  <c r="ET62" i="139" s="1"/>
  <c r="FS88" i="139" s="1"/>
  <c r="ET39" i="139"/>
  <c r="ET66" i="139" s="1"/>
  <c r="FS92" i="139" s="1"/>
  <c r="ET41" i="139"/>
  <c r="ET68" i="139" s="1"/>
  <c r="FS94" i="139" s="1"/>
  <c r="ET36" i="139"/>
  <c r="ET63" i="139" s="1"/>
  <c r="FS89" i="139" s="1"/>
  <c r="ET32" i="139"/>
  <c r="ET59" i="139" s="1"/>
  <c r="FS85" i="139" s="1"/>
  <c r="ES28" i="139"/>
  <c r="ES40" i="139" l="1"/>
  <c r="ES67" i="139" s="1"/>
  <c r="FR93" i="139" s="1"/>
  <c r="ES37" i="139"/>
  <c r="ES64" i="139" s="1"/>
  <c r="FR90" i="139" s="1"/>
  <c r="ES32" i="139"/>
  <c r="ES59" i="139" s="1"/>
  <c r="FR85" i="139" s="1"/>
  <c r="ES36" i="139"/>
  <c r="ES63" i="139" s="1"/>
  <c r="FR89" i="139" s="1"/>
  <c r="ER28" i="139"/>
  <c r="ES38" i="139"/>
  <c r="ES65" i="139" s="1"/>
  <c r="FR91" i="139" s="1"/>
  <c r="ES35" i="139"/>
  <c r="ES62" i="139" s="1"/>
  <c r="FR88" i="139" s="1"/>
  <c r="ES34" i="139"/>
  <c r="ES61" i="139" s="1"/>
  <c r="FR87" i="139" s="1"/>
  <c r="ES41" i="139"/>
  <c r="ES68" i="139" s="1"/>
  <c r="FR94" i="139" s="1"/>
  <c r="ES39" i="139"/>
  <c r="ES66" i="139" s="1"/>
  <c r="FR92" i="139" s="1"/>
  <c r="ES33" i="139"/>
  <c r="ES60" i="139" s="1"/>
  <c r="FR86" i="139" s="1"/>
  <c r="ES30" i="139"/>
  <c r="ES57" i="139" s="1"/>
  <c r="FR83" i="139" s="1"/>
  <c r="ES31" i="139"/>
  <c r="ES58" i="139" s="1"/>
  <c r="FR84" i="139" s="1"/>
  <c r="ER40" i="139" l="1"/>
  <c r="ER67" i="139" s="1"/>
  <c r="FQ93" i="139" s="1"/>
  <c r="ER35" i="139"/>
  <c r="ER62" i="139" s="1"/>
  <c r="FQ88" i="139" s="1"/>
  <c r="ER33" i="139"/>
  <c r="ER60" i="139" s="1"/>
  <c r="FQ86" i="139" s="1"/>
  <c r="ER31" i="139"/>
  <c r="ER58" i="139" s="1"/>
  <c r="FQ84" i="139" s="1"/>
  <c r="EQ28" i="139"/>
  <c r="ER39" i="139"/>
  <c r="ER66" i="139" s="1"/>
  <c r="FQ92" i="139" s="1"/>
  <c r="ER30" i="139"/>
  <c r="ER57" i="139" s="1"/>
  <c r="FQ83" i="139" s="1"/>
  <c r="ER37" i="139"/>
  <c r="ER64" i="139" s="1"/>
  <c r="FQ90" i="139" s="1"/>
  <c r="ER32" i="139"/>
  <c r="ER59" i="139" s="1"/>
  <c r="FQ85" i="139" s="1"/>
  <c r="ER38" i="139"/>
  <c r="ER65" i="139" s="1"/>
  <c r="FQ91" i="139" s="1"/>
  <c r="ER41" i="139"/>
  <c r="ER68" i="139" s="1"/>
  <c r="FQ94" i="139" s="1"/>
  <c r="ER34" i="139"/>
  <c r="ER61" i="139" s="1"/>
  <c r="FQ87" i="139" s="1"/>
  <c r="ER36" i="139"/>
  <c r="ER63" i="139" s="1"/>
  <c r="FQ89" i="139" s="1"/>
  <c r="EQ40" i="139" l="1"/>
  <c r="EQ67" i="139" s="1"/>
  <c r="FP93" i="139" s="1"/>
  <c r="EQ35" i="139"/>
  <c r="EQ62" i="139" s="1"/>
  <c r="FP88" i="139" s="1"/>
  <c r="EQ37" i="139"/>
  <c r="EQ64" i="139" s="1"/>
  <c r="FP90" i="139" s="1"/>
  <c r="EQ33" i="139"/>
  <c r="EQ60" i="139" s="1"/>
  <c r="FP86" i="139" s="1"/>
  <c r="EQ38" i="139"/>
  <c r="EQ65" i="139" s="1"/>
  <c r="FP91" i="139" s="1"/>
  <c r="EQ31" i="139"/>
  <c r="EQ58" i="139" s="1"/>
  <c r="FP84" i="139" s="1"/>
  <c r="EQ41" i="139"/>
  <c r="EQ68" i="139" s="1"/>
  <c r="FP94" i="139" s="1"/>
  <c r="EQ36" i="139"/>
  <c r="EQ63" i="139" s="1"/>
  <c r="FP89" i="139" s="1"/>
  <c r="EP28" i="139"/>
  <c r="EQ39" i="139"/>
  <c r="EQ66" i="139" s="1"/>
  <c r="FP92" i="139" s="1"/>
  <c r="EQ34" i="139"/>
  <c r="EQ61" i="139" s="1"/>
  <c r="FP87" i="139" s="1"/>
  <c r="EQ32" i="139"/>
  <c r="EQ59" i="139" s="1"/>
  <c r="FP85" i="139" s="1"/>
  <c r="EQ30" i="139"/>
  <c r="EQ57" i="139" s="1"/>
  <c r="FP83" i="139" s="1"/>
  <c r="EP41" i="139" l="1"/>
  <c r="EP68" i="139" s="1"/>
  <c r="FO94" i="139" s="1"/>
  <c r="EP38" i="139"/>
  <c r="EP65" i="139" s="1"/>
  <c r="FO91" i="139" s="1"/>
  <c r="EP37" i="139"/>
  <c r="EP64" i="139" s="1"/>
  <c r="FO90" i="139" s="1"/>
  <c r="EP30" i="139"/>
  <c r="EP57" i="139" s="1"/>
  <c r="FO83" i="139" s="1"/>
  <c r="EP40" i="139"/>
  <c r="EP67" i="139" s="1"/>
  <c r="FO93" i="139" s="1"/>
  <c r="EP31" i="139"/>
  <c r="EP58" i="139" s="1"/>
  <c r="FO84" i="139" s="1"/>
  <c r="EP35" i="139"/>
  <c r="EP62" i="139" s="1"/>
  <c r="FO88" i="139" s="1"/>
  <c r="EP39" i="139"/>
  <c r="EP66" i="139" s="1"/>
  <c r="FO92" i="139" s="1"/>
  <c r="EO28" i="139"/>
  <c r="EP32" i="139"/>
  <c r="EP59" i="139" s="1"/>
  <c r="FO85" i="139" s="1"/>
  <c r="EP34" i="139"/>
  <c r="EP61" i="139" s="1"/>
  <c r="FO87" i="139" s="1"/>
  <c r="EP33" i="139"/>
  <c r="EP60" i="139" s="1"/>
  <c r="FO86" i="139" s="1"/>
  <c r="EP36" i="139"/>
  <c r="EP63" i="139" s="1"/>
  <c r="FO89" i="139" s="1"/>
  <c r="EO40" i="139" l="1"/>
  <c r="EO67" i="139" s="1"/>
  <c r="FN93" i="139" s="1"/>
  <c r="EO34" i="139"/>
  <c r="EO61" i="139" s="1"/>
  <c r="FN87" i="139" s="1"/>
  <c r="EO37" i="139"/>
  <c r="EO64" i="139" s="1"/>
  <c r="FN90" i="139" s="1"/>
  <c r="EO39" i="139"/>
  <c r="EO66" i="139" s="1"/>
  <c r="FN92" i="139" s="1"/>
  <c r="EN28" i="139"/>
  <c r="EO33" i="139"/>
  <c r="EO60" i="139" s="1"/>
  <c r="FN86" i="139" s="1"/>
  <c r="EO36" i="139"/>
  <c r="EO63" i="139" s="1"/>
  <c r="FN89" i="139" s="1"/>
  <c r="EO41" i="139"/>
  <c r="EO68" i="139" s="1"/>
  <c r="FN94" i="139" s="1"/>
  <c r="EO32" i="139"/>
  <c r="EO59" i="139" s="1"/>
  <c r="FN85" i="139" s="1"/>
  <c r="EO35" i="139"/>
  <c r="EO62" i="139" s="1"/>
  <c r="FN88" i="139" s="1"/>
  <c r="EO38" i="139"/>
  <c r="EO65" i="139" s="1"/>
  <c r="FN91" i="139" s="1"/>
  <c r="EO30" i="139"/>
  <c r="EO57" i="139" s="1"/>
  <c r="FN83" i="139" s="1"/>
  <c r="EO31" i="139"/>
  <c r="EO58" i="139" s="1"/>
  <c r="FN84" i="139" s="1"/>
  <c r="EN35" i="139" l="1"/>
  <c r="EN62" i="139" s="1"/>
  <c r="FM88" i="139" s="1"/>
  <c r="EN37" i="139"/>
  <c r="EN64" i="139" s="1"/>
  <c r="FM90" i="139" s="1"/>
  <c r="EN41" i="139"/>
  <c r="EN68" i="139" s="1"/>
  <c r="FM94" i="139" s="1"/>
  <c r="EN32" i="139"/>
  <c r="EN59" i="139" s="1"/>
  <c r="FM85" i="139" s="1"/>
  <c r="EM28" i="139"/>
  <c r="EN36" i="139"/>
  <c r="EN63" i="139" s="1"/>
  <c r="FM89" i="139" s="1"/>
  <c r="EN34" i="139"/>
  <c r="EN61" i="139" s="1"/>
  <c r="FM87" i="139" s="1"/>
  <c r="EN30" i="139"/>
  <c r="EN57" i="139" s="1"/>
  <c r="FM83" i="139" s="1"/>
  <c r="EN40" i="139"/>
  <c r="EN67" i="139" s="1"/>
  <c r="FM93" i="139" s="1"/>
  <c r="EN39" i="139"/>
  <c r="EN66" i="139" s="1"/>
  <c r="FM92" i="139" s="1"/>
  <c r="EN31" i="139"/>
  <c r="EN58" i="139" s="1"/>
  <c r="FM84" i="139" s="1"/>
  <c r="EN38" i="139"/>
  <c r="EN65" i="139" s="1"/>
  <c r="FM91" i="139" s="1"/>
  <c r="EN33" i="139"/>
  <c r="EN60" i="139" s="1"/>
  <c r="FM86" i="139" s="1"/>
  <c r="EM41" i="139" l="1"/>
  <c r="EM68" i="139" s="1"/>
  <c r="FL94" i="139" s="1"/>
  <c r="EM34" i="139"/>
  <c r="EM61" i="139" s="1"/>
  <c r="FL87" i="139" s="1"/>
  <c r="EM32" i="139"/>
  <c r="EM59" i="139" s="1"/>
  <c r="FL85" i="139" s="1"/>
  <c r="EM38" i="139"/>
  <c r="EM65" i="139" s="1"/>
  <c r="FL91" i="139" s="1"/>
  <c r="EM37" i="139"/>
  <c r="EM64" i="139" s="1"/>
  <c r="FL90" i="139" s="1"/>
  <c r="EM35" i="139"/>
  <c r="EM62" i="139" s="1"/>
  <c r="FL88" i="139" s="1"/>
  <c r="EM36" i="139"/>
  <c r="EM63" i="139" s="1"/>
  <c r="FL89" i="139" s="1"/>
  <c r="EM39" i="139"/>
  <c r="EM66" i="139" s="1"/>
  <c r="FL92" i="139" s="1"/>
  <c r="EM33" i="139"/>
  <c r="EM60" i="139" s="1"/>
  <c r="FL86" i="139" s="1"/>
  <c r="EL28" i="139"/>
  <c r="EM30" i="139"/>
  <c r="EM57" i="139" s="1"/>
  <c r="FL83" i="139" s="1"/>
  <c r="EM31" i="139"/>
  <c r="EM58" i="139" s="1"/>
  <c r="FL84" i="139" s="1"/>
  <c r="EM40" i="139"/>
  <c r="EM67" i="139" s="1"/>
  <c r="FL93" i="139" s="1"/>
  <c r="EL31" i="139" l="1"/>
  <c r="EL58" i="139" s="1"/>
  <c r="FK84" i="139" s="1"/>
  <c r="EL40" i="139"/>
  <c r="EL67" i="139" s="1"/>
  <c r="FK93" i="139" s="1"/>
  <c r="EL41" i="139"/>
  <c r="EL68" i="139" s="1"/>
  <c r="FK94" i="139" s="1"/>
  <c r="EL35" i="139"/>
  <c r="EL62" i="139" s="1"/>
  <c r="FK88" i="139" s="1"/>
  <c r="EL32" i="139"/>
  <c r="EL59" i="139" s="1"/>
  <c r="FK85" i="139" s="1"/>
  <c r="EL33" i="139"/>
  <c r="EL60" i="139" s="1"/>
  <c r="FK86" i="139" s="1"/>
  <c r="EK28" i="139"/>
  <c r="EL36" i="139"/>
  <c r="EL63" i="139" s="1"/>
  <c r="FK89" i="139" s="1"/>
  <c r="EL39" i="139"/>
  <c r="EL66" i="139" s="1"/>
  <c r="FK92" i="139" s="1"/>
  <c r="EL30" i="139"/>
  <c r="EL57" i="139" s="1"/>
  <c r="FK83" i="139" s="1"/>
  <c r="EL37" i="139"/>
  <c r="EL64" i="139" s="1"/>
  <c r="FK90" i="139" s="1"/>
  <c r="EL38" i="139"/>
  <c r="EL65" i="139" s="1"/>
  <c r="FK91" i="139" s="1"/>
  <c r="EL34" i="139"/>
  <c r="EL61" i="139" s="1"/>
  <c r="FK87" i="139" s="1"/>
  <c r="EK41" i="139" l="1"/>
  <c r="EK68" i="139" s="1"/>
  <c r="FJ94" i="139" s="1"/>
  <c r="EK33" i="139"/>
  <c r="EK60" i="139" s="1"/>
  <c r="FJ86" i="139" s="1"/>
  <c r="EK30" i="139"/>
  <c r="EK57" i="139" s="1"/>
  <c r="FJ83" i="139" s="1"/>
  <c r="EK35" i="139"/>
  <c r="EK62" i="139" s="1"/>
  <c r="FJ88" i="139" s="1"/>
  <c r="EK36" i="139"/>
  <c r="EK63" i="139" s="1"/>
  <c r="FJ89" i="139" s="1"/>
  <c r="EK37" i="139"/>
  <c r="EK64" i="139" s="1"/>
  <c r="FJ90" i="139" s="1"/>
  <c r="EK32" i="139"/>
  <c r="EK59" i="139" s="1"/>
  <c r="FJ85" i="139" s="1"/>
  <c r="EK39" i="139"/>
  <c r="EK66" i="139" s="1"/>
  <c r="FJ92" i="139" s="1"/>
  <c r="EK31" i="139"/>
  <c r="EK58" i="139" s="1"/>
  <c r="FJ84" i="139" s="1"/>
  <c r="EK40" i="139"/>
  <c r="EK67" i="139" s="1"/>
  <c r="FJ93" i="139" s="1"/>
  <c r="EK34" i="139"/>
  <c r="EK61" i="139" s="1"/>
  <c r="FJ87" i="139" s="1"/>
  <c r="EK38" i="139"/>
  <c r="EK65" i="139" s="1"/>
  <c r="FJ91" i="139" s="1"/>
  <c r="EJ28" i="139"/>
  <c r="EJ36" i="139" l="1"/>
  <c r="EJ63" i="139" s="1"/>
  <c r="FI89" i="139" s="1"/>
  <c r="EJ31" i="139"/>
  <c r="EJ58" i="139" s="1"/>
  <c r="FI84" i="139" s="1"/>
  <c r="EJ32" i="139"/>
  <c r="EJ59" i="139" s="1"/>
  <c r="FI85" i="139" s="1"/>
  <c r="EJ33" i="139"/>
  <c r="EJ60" i="139" s="1"/>
  <c r="FI86" i="139" s="1"/>
  <c r="EJ34" i="139"/>
  <c r="EJ61" i="139" s="1"/>
  <c r="FI87" i="139" s="1"/>
  <c r="EJ39" i="139"/>
  <c r="EJ66" i="139" s="1"/>
  <c r="FI92" i="139" s="1"/>
  <c r="EJ40" i="139"/>
  <c r="EJ67" i="139" s="1"/>
  <c r="FI93" i="139" s="1"/>
  <c r="EI28" i="139"/>
  <c r="EJ41" i="139"/>
  <c r="EJ68" i="139" s="1"/>
  <c r="FI94" i="139" s="1"/>
  <c r="EJ37" i="139"/>
  <c r="EJ64" i="139" s="1"/>
  <c r="FI90" i="139" s="1"/>
  <c r="EJ35" i="139"/>
  <c r="EJ62" i="139" s="1"/>
  <c r="FI88" i="139" s="1"/>
  <c r="EJ30" i="139"/>
  <c r="EJ57" i="139" s="1"/>
  <c r="FI83" i="139" s="1"/>
  <c r="EJ38" i="139"/>
  <c r="EJ65" i="139" s="1"/>
  <c r="FI91" i="139" s="1"/>
  <c r="EI30" i="139" l="1"/>
  <c r="EI57" i="139" s="1"/>
  <c r="FH83" i="139" s="1"/>
  <c r="EI38" i="139"/>
  <c r="EI65" i="139" s="1"/>
  <c r="FH91" i="139" s="1"/>
  <c r="EI31" i="139"/>
  <c r="EI58" i="139" s="1"/>
  <c r="FH84" i="139" s="1"/>
  <c r="EI33" i="139"/>
  <c r="EI60" i="139" s="1"/>
  <c r="FH86" i="139" s="1"/>
  <c r="EI36" i="139"/>
  <c r="EI63" i="139" s="1"/>
  <c r="FH89" i="139" s="1"/>
  <c r="EI34" i="139"/>
  <c r="EI61" i="139" s="1"/>
  <c r="FH87" i="139" s="1"/>
  <c r="EI41" i="139"/>
  <c r="EI68" i="139" s="1"/>
  <c r="FH94" i="139" s="1"/>
  <c r="EI40" i="139"/>
  <c r="EI67" i="139" s="1"/>
  <c r="FH93" i="139" s="1"/>
  <c r="EI32" i="139"/>
  <c r="EI59" i="139" s="1"/>
  <c r="FH85" i="139" s="1"/>
  <c r="EI35" i="139"/>
  <c r="EI62" i="139" s="1"/>
  <c r="FH88" i="139" s="1"/>
  <c r="EH28" i="139"/>
  <c r="EI39" i="139"/>
  <c r="EI66" i="139" s="1"/>
  <c r="FH92" i="139" s="1"/>
  <c r="EI37" i="139"/>
  <c r="EI64" i="139" s="1"/>
  <c r="FH90" i="139" s="1"/>
  <c r="EH40" i="139" l="1"/>
  <c r="EH67" i="139" s="1"/>
  <c r="FG93" i="139" s="1"/>
  <c r="EH41" i="139"/>
  <c r="EH68" i="139" s="1"/>
  <c r="FG94" i="139" s="1"/>
  <c r="EH31" i="139"/>
  <c r="EH58" i="139" s="1"/>
  <c r="FG84" i="139" s="1"/>
  <c r="EH30" i="139"/>
  <c r="EH57" i="139" s="1"/>
  <c r="FG83" i="139" s="1"/>
  <c r="EH38" i="139"/>
  <c r="EH65" i="139" s="1"/>
  <c r="FG91" i="139" s="1"/>
  <c r="EH34" i="139"/>
  <c r="EH61" i="139" s="1"/>
  <c r="FG87" i="139" s="1"/>
  <c r="EH35" i="139"/>
  <c r="EH62" i="139" s="1"/>
  <c r="FG88" i="139" s="1"/>
  <c r="EH39" i="139"/>
  <c r="EH66" i="139" s="1"/>
  <c r="FG92" i="139" s="1"/>
  <c r="EH32" i="139"/>
  <c r="EH59" i="139" s="1"/>
  <c r="FG85" i="139" s="1"/>
  <c r="EH37" i="139"/>
  <c r="EH64" i="139" s="1"/>
  <c r="FG90" i="139" s="1"/>
  <c r="EH36" i="139"/>
  <c r="EH63" i="139" s="1"/>
  <c r="FG89" i="139" s="1"/>
  <c r="EH33" i="139"/>
  <c r="EH60" i="139" s="1"/>
  <c r="FG86" i="139" s="1"/>
  <c r="EG28" i="139"/>
  <c r="EG39" i="139" l="1"/>
  <c r="EG66" i="139" s="1"/>
  <c r="FF92" i="139" s="1"/>
  <c r="EG32" i="139"/>
  <c r="EG59" i="139" s="1"/>
  <c r="FF85" i="139" s="1"/>
  <c r="EG36" i="139"/>
  <c r="EG63" i="139" s="1"/>
  <c r="FF89" i="139" s="1"/>
  <c r="EG33" i="139"/>
  <c r="EG60" i="139" s="1"/>
  <c r="FF86" i="139" s="1"/>
  <c r="EG41" i="139"/>
  <c r="EG68" i="139" s="1"/>
  <c r="FF94" i="139" s="1"/>
  <c r="EG35" i="139"/>
  <c r="EG62" i="139" s="1"/>
  <c r="FF88" i="139" s="1"/>
  <c r="EG34" i="139"/>
  <c r="EG61" i="139" s="1"/>
  <c r="FF87" i="139" s="1"/>
  <c r="EG40" i="139"/>
  <c r="EG67" i="139" s="1"/>
  <c r="FF93" i="139" s="1"/>
  <c r="EG31" i="139"/>
  <c r="EG58" i="139" s="1"/>
  <c r="FF84" i="139" s="1"/>
  <c r="EG37" i="139"/>
  <c r="EG64" i="139" s="1"/>
  <c r="FF90" i="139" s="1"/>
  <c r="EG38" i="139"/>
  <c r="EG65" i="139" s="1"/>
  <c r="FF91" i="139" s="1"/>
  <c r="EG30" i="139"/>
  <c r="EG57" i="139" s="1"/>
  <c r="FF83" i="139" s="1"/>
  <c r="EF28" i="139"/>
  <c r="EF34" i="139" l="1"/>
  <c r="EF61" i="139" s="1"/>
  <c r="FE87" i="139" s="1"/>
  <c r="EF37" i="139"/>
  <c r="EF64" i="139" s="1"/>
  <c r="FE90" i="139" s="1"/>
  <c r="EF38" i="139"/>
  <c r="EF65" i="139" s="1"/>
  <c r="FE91" i="139" s="1"/>
  <c r="EF36" i="139"/>
  <c r="EF63" i="139" s="1"/>
  <c r="FE89" i="139" s="1"/>
  <c r="EF32" i="139"/>
  <c r="EF59" i="139" s="1"/>
  <c r="FE85" i="139" s="1"/>
  <c r="EF31" i="139"/>
  <c r="EF58" i="139" s="1"/>
  <c r="FE84" i="139" s="1"/>
  <c r="EF33" i="139"/>
  <c r="EF60" i="139" s="1"/>
  <c r="FE86" i="139" s="1"/>
  <c r="EF39" i="139"/>
  <c r="EF66" i="139" s="1"/>
  <c r="FE92" i="139" s="1"/>
  <c r="EF41" i="139"/>
  <c r="EF68" i="139" s="1"/>
  <c r="FE94" i="139" s="1"/>
  <c r="EE28" i="139"/>
  <c r="EF30" i="139"/>
  <c r="EF57" i="139" s="1"/>
  <c r="FE83" i="139" s="1"/>
  <c r="EF35" i="139"/>
  <c r="EF62" i="139" s="1"/>
  <c r="FE88" i="139" s="1"/>
  <c r="EF40" i="139"/>
  <c r="EF67" i="139" s="1"/>
  <c r="FE93" i="139" s="1"/>
  <c r="EE40" i="139" l="1"/>
  <c r="EE67" i="139" s="1"/>
  <c r="FD93" i="139" s="1"/>
  <c r="EE35" i="139"/>
  <c r="EE62" i="139" s="1"/>
  <c r="FD88" i="139" s="1"/>
  <c r="EE33" i="139"/>
  <c r="EE60" i="139" s="1"/>
  <c r="FD86" i="139" s="1"/>
  <c r="EE30" i="139"/>
  <c r="EE57" i="139" s="1"/>
  <c r="FD83" i="139" s="1"/>
  <c r="EE32" i="139"/>
  <c r="EE59" i="139" s="1"/>
  <c r="FD85" i="139" s="1"/>
  <c r="EE38" i="139"/>
  <c r="EE65" i="139" s="1"/>
  <c r="FD91" i="139" s="1"/>
  <c r="EE36" i="139"/>
  <c r="EE63" i="139" s="1"/>
  <c r="FD89" i="139" s="1"/>
  <c r="EE41" i="139"/>
  <c r="EE68" i="139" s="1"/>
  <c r="FD94" i="139" s="1"/>
  <c r="EE37" i="139"/>
  <c r="EE64" i="139" s="1"/>
  <c r="FD90" i="139" s="1"/>
  <c r="EE34" i="139"/>
  <c r="EE61" i="139" s="1"/>
  <c r="FD87" i="139" s="1"/>
  <c r="EE39" i="139"/>
  <c r="EE66" i="139" s="1"/>
  <c r="FD92" i="139" s="1"/>
  <c r="ED28" i="139"/>
  <c r="EE31" i="139"/>
  <c r="EE58" i="139" s="1"/>
  <c r="FD84" i="139" s="1"/>
  <c r="ED41" i="139" l="1"/>
  <c r="ED68" i="139" s="1"/>
  <c r="FC94" i="139" s="1"/>
  <c r="EC28" i="139"/>
  <c r="ED32" i="139"/>
  <c r="ED59" i="139" s="1"/>
  <c r="FC85" i="139" s="1"/>
  <c r="ED37" i="139"/>
  <c r="ED64" i="139" s="1"/>
  <c r="FC90" i="139" s="1"/>
  <c r="ED38" i="139"/>
  <c r="ED65" i="139" s="1"/>
  <c r="FC91" i="139" s="1"/>
  <c r="ED34" i="139"/>
  <c r="ED61" i="139" s="1"/>
  <c r="FC87" i="139" s="1"/>
  <c r="ED33" i="139"/>
  <c r="ED60" i="139" s="1"/>
  <c r="FC86" i="139" s="1"/>
  <c r="ED40" i="139"/>
  <c r="ED67" i="139" s="1"/>
  <c r="FC93" i="139" s="1"/>
  <c r="ED30" i="139"/>
  <c r="ED57" i="139" s="1"/>
  <c r="FC83" i="139" s="1"/>
  <c r="ED31" i="139"/>
  <c r="ED58" i="139" s="1"/>
  <c r="FC84" i="139" s="1"/>
  <c r="ED35" i="139"/>
  <c r="ED62" i="139" s="1"/>
  <c r="FC88" i="139" s="1"/>
  <c r="ED36" i="139"/>
  <c r="ED63" i="139" s="1"/>
  <c r="FC89" i="139" s="1"/>
  <c r="ED39" i="139"/>
  <c r="ED66" i="139" s="1"/>
  <c r="FC92" i="139" s="1"/>
  <c r="EC33" i="139" l="1"/>
  <c r="EC60" i="139" s="1"/>
  <c r="FB86" i="139" s="1"/>
  <c r="EC31" i="139"/>
  <c r="EC58" i="139" s="1"/>
  <c r="FB84" i="139" s="1"/>
  <c r="EC32" i="139"/>
  <c r="EC59" i="139" s="1"/>
  <c r="FB85" i="139" s="1"/>
  <c r="EC37" i="139"/>
  <c r="EC64" i="139" s="1"/>
  <c r="FB90" i="139" s="1"/>
  <c r="EC39" i="139"/>
  <c r="EC66" i="139" s="1"/>
  <c r="FB92" i="139" s="1"/>
  <c r="EC30" i="139"/>
  <c r="EC57" i="139" s="1"/>
  <c r="FB83" i="139" s="1"/>
  <c r="EC38" i="139"/>
  <c r="EC65" i="139" s="1"/>
  <c r="FB91" i="139" s="1"/>
  <c r="EC35" i="139"/>
  <c r="EC62" i="139" s="1"/>
  <c r="FB88" i="139" s="1"/>
  <c r="EC34" i="139"/>
  <c r="EC61" i="139" s="1"/>
  <c r="FB87" i="139" s="1"/>
  <c r="EB28" i="139"/>
  <c r="EC41" i="139"/>
  <c r="EC68" i="139" s="1"/>
  <c r="FB94" i="139" s="1"/>
  <c r="EC36" i="139"/>
  <c r="EC63" i="139" s="1"/>
  <c r="FB89" i="139" s="1"/>
  <c r="EC40" i="139"/>
  <c r="EC67" i="139" s="1"/>
  <c r="FB93" i="139" s="1"/>
  <c r="EB41" i="139" l="1"/>
  <c r="EB68" i="139" s="1"/>
  <c r="FA94" i="139" s="1"/>
  <c r="EB30" i="139"/>
  <c r="EB57" i="139" s="1"/>
  <c r="FA83" i="139" s="1"/>
  <c r="EB33" i="139"/>
  <c r="EB60" i="139" s="1"/>
  <c r="FA86" i="139" s="1"/>
  <c r="EB31" i="139"/>
  <c r="EB58" i="139" s="1"/>
  <c r="FA84" i="139" s="1"/>
  <c r="EB35" i="139"/>
  <c r="EB62" i="139" s="1"/>
  <c r="FA88" i="139" s="1"/>
  <c r="EA28" i="139"/>
  <c r="EB37" i="139"/>
  <c r="EB64" i="139" s="1"/>
  <c r="FA90" i="139" s="1"/>
  <c r="EB39" i="139"/>
  <c r="EB66" i="139" s="1"/>
  <c r="FA92" i="139" s="1"/>
  <c r="EB32" i="139"/>
  <c r="EB59" i="139" s="1"/>
  <c r="FA85" i="139" s="1"/>
  <c r="EB40" i="139"/>
  <c r="EB67" i="139" s="1"/>
  <c r="FA93" i="139" s="1"/>
  <c r="EB38" i="139"/>
  <c r="EB65" i="139" s="1"/>
  <c r="FA91" i="139" s="1"/>
  <c r="EB34" i="139"/>
  <c r="EB61" i="139" s="1"/>
  <c r="FA87" i="139" s="1"/>
  <c r="EB36" i="139"/>
  <c r="EB63" i="139" s="1"/>
  <c r="FA89" i="139" s="1"/>
  <c r="EA37" i="139" l="1"/>
  <c r="EA64" i="139" s="1"/>
  <c r="EZ90" i="139" s="1"/>
  <c r="EA33" i="139"/>
  <c r="EA60" i="139" s="1"/>
  <c r="EZ86" i="139" s="1"/>
  <c r="EA36" i="139"/>
  <c r="EA63" i="139" s="1"/>
  <c r="EZ89" i="139" s="1"/>
  <c r="EA30" i="139"/>
  <c r="EA57" i="139" s="1"/>
  <c r="EZ83" i="139" s="1"/>
  <c r="EA34" i="139"/>
  <c r="EA61" i="139" s="1"/>
  <c r="EZ87" i="139" s="1"/>
  <c r="EA38" i="139"/>
  <c r="EA65" i="139" s="1"/>
  <c r="EZ91" i="139" s="1"/>
  <c r="EA32" i="139"/>
  <c r="EA59" i="139" s="1"/>
  <c r="EZ85" i="139" s="1"/>
  <c r="EA40" i="139"/>
  <c r="EA67" i="139" s="1"/>
  <c r="EZ93" i="139" s="1"/>
  <c r="EA31" i="139"/>
  <c r="EA58" i="139" s="1"/>
  <c r="EZ84" i="139" s="1"/>
  <c r="EA41" i="139"/>
  <c r="EA68" i="139" s="1"/>
  <c r="EZ94" i="139" s="1"/>
  <c r="EA35" i="139"/>
  <c r="EA62" i="139" s="1"/>
  <c r="EZ88" i="139" s="1"/>
  <c r="DZ28" i="139"/>
  <c r="EA39" i="139"/>
  <c r="EA66" i="139" s="1"/>
  <c r="EZ92" i="139" s="1"/>
  <c r="DZ37" i="139" l="1"/>
  <c r="DZ64" i="139" s="1"/>
  <c r="EY90" i="139" s="1"/>
  <c r="DZ34" i="139"/>
  <c r="DZ61" i="139" s="1"/>
  <c r="EY87" i="139" s="1"/>
  <c r="DZ39" i="139"/>
  <c r="DZ66" i="139" s="1"/>
  <c r="EY92" i="139" s="1"/>
  <c r="DZ38" i="139"/>
  <c r="DZ65" i="139" s="1"/>
  <c r="EY91" i="139" s="1"/>
  <c r="DZ32" i="139"/>
  <c r="DZ59" i="139" s="1"/>
  <c r="EY85" i="139" s="1"/>
  <c r="DZ33" i="139"/>
  <c r="DZ60" i="139" s="1"/>
  <c r="EY86" i="139" s="1"/>
  <c r="DZ40" i="139"/>
  <c r="DZ67" i="139" s="1"/>
  <c r="EY93" i="139" s="1"/>
  <c r="DZ30" i="139"/>
  <c r="DZ57" i="139" s="1"/>
  <c r="EY83" i="139" s="1"/>
  <c r="DY28" i="139"/>
  <c r="DZ36" i="139"/>
  <c r="DZ63" i="139" s="1"/>
  <c r="EY89" i="139" s="1"/>
  <c r="DZ31" i="139"/>
  <c r="DZ58" i="139" s="1"/>
  <c r="EY84" i="139" s="1"/>
  <c r="DZ41" i="139"/>
  <c r="DZ68" i="139" s="1"/>
  <c r="EY94" i="139" s="1"/>
  <c r="DZ35" i="139"/>
  <c r="DZ62" i="139" s="1"/>
  <c r="EY88" i="139" s="1"/>
  <c r="DY32" i="139" l="1"/>
  <c r="DY59" i="139" s="1"/>
  <c r="EX85" i="139" s="1"/>
  <c r="DY30" i="139"/>
  <c r="DY57" i="139" s="1"/>
  <c r="EX83" i="139" s="1"/>
  <c r="DY34" i="139"/>
  <c r="DY61" i="139" s="1"/>
  <c r="EX87" i="139" s="1"/>
  <c r="DY41" i="139"/>
  <c r="DY68" i="139" s="1"/>
  <c r="EX94" i="139" s="1"/>
  <c r="DY36" i="139"/>
  <c r="DY63" i="139" s="1"/>
  <c r="EX89" i="139" s="1"/>
  <c r="DY40" i="139"/>
  <c r="DY67" i="139" s="1"/>
  <c r="EX93" i="139" s="1"/>
  <c r="DY39" i="139"/>
  <c r="DY66" i="139" s="1"/>
  <c r="EX92" i="139" s="1"/>
  <c r="DY31" i="139"/>
  <c r="DY58" i="139" s="1"/>
  <c r="EX84" i="139" s="1"/>
  <c r="DY33" i="139"/>
  <c r="DY60" i="139" s="1"/>
  <c r="EX86" i="139" s="1"/>
  <c r="DY38" i="139"/>
  <c r="DY65" i="139" s="1"/>
  <c r="EX91" i="139" s="1"/>
  <c r="DX28" i="139"/>
  <c r="DY35" i="139"/>
  <c r="DY62" i="139" s="1"/>
  <c r="EX88" i="139" s="1"/>
  <c r="DY37" i="139"/>
  <c r="DY64" i="139" s="1"/>
  <c r="EX90" i="139" s="1"/>
  <c r="DX36" i="139" l="1"/>
  <c r="DX63" i="139" s="1"/>
  <c r="EW89" i="139" s="1"/>
  <c r="DW28" i="139"/>
  <c r="DX34" i="139"/>
  <c r="DX61" i="139" s="1"/>
  <c r="EW87" i="139" s="1"/>
  <c r="DX37" i="139"/>
  <c r="DX64" i="139" s="1"/>
  <c r="EW90" i="139" s="1"/>
  <c r="DX35" i="139"/>
  <c r="DX62" i="139" s="1"/>
  <c r="EW88" i="139" s="1"/>
  <c r="DX30" i="139"/>
  <c r="DX57" i="139" s="1"/>
  <c r="EW83" i="139" s="1"/>
  <c r="DX39" i="139"/>
  <c r="DX66" i="139" s="1"/>
  <c r="EW92" i="139" s="1"/>
  <c r="DX31" i="139"/>
  <c r="DX58" i="139" s="1"/>
  <c r="EW84" i="139" s="1"/>
  <c r="DX38" i="139"/>
  <c r="DX65" i="139" s="1"/>
  <c r="EW91" i="139" s="1"/>
  <c r="DX41" i="139"/>
  <c r="DX68" i="139" s="1"/>
  <c r="EW94" i="139" s="1"/>
  <c r="DX32" i="139"/>
  <c r="DX59" i="139" s="1"/>
  <c r="EW85" i="139" s="1"/>
  <c r="DX33" i="139"/>
  <c r="DX60" i="139" s="1"/>
  <c r="EW86" i="139" s="1"/>
  <c r="DX40" i="139"/>
  <c r="DX67" i="139" s="1"/>
  <c r="EW93" i="139" s="1"/>
  <c r="DW35" i="139" l="1"/>
  <c r="DW62" i="139" s="1"/>
  <c r="EV88" i="139" s="1"/>
  <c r="DW33" i="139"/>
  <c r="DW60" i="139" s="1"/>
  <c r="EV86" i="139" s="1"/>
  <c r="DW34" i="139"/>
  <c r="DW61" i="139" s="1"/>
  <c r="EV87" i="139" s="1"/>
  <c r="DW39" i="139"/>
  <c r="DW66" i="139" s="1"/>
  <c r="EV92" i="139" s="1"/>
  <c r="DW37" i="139"/>
  <c r="DW64" i="139" s="1"/>
  <c r="EV90" i="139" s="1"/>
  <c r="DW30" i="139"/>
  <c r="DW57" i="139" s="1"/>
  <c r="EV83" i="139" s="1"/>
  <c r="DV28" i="139"/>
  <c r="DW32" i="139"/>
  <c r="DW59" i="139" s="1"/>
  <c r="EV85" i="139" s="1"/>
  <c r="DW36" i="139"/>
  <c r="DW63" i="139" s="1"/>
  <c r="EV89" i="139" s="1"/>
  <c r="DW41" i="139"/>
  <c r="DW68" i="139" s="1"/>
  <c r="EV94" i="139" s="1"/>
  <c r="DW40" i="139"/>
  <c r="DW67" i="139" s="1"/>
  <c r="EV93" i="139" s="1"/>
  <c r="DW38" i="139"/>
  <c r="DW65" i="139" s="1"/>
  <c r="EV91" i="139" s="1"/>
  <c r="DW31" i="139"/>
  <c r="DW58" i="139" s="1"/>
  <c r="EV84" i="139" s="1"/>
  <c r="DV36" i="139" l="1"/>
  <c r="DV63" i="139" s="1"/>
  <c r="EU89" i="139" s="1"/>
  <c r="DV34" i="139"/>
  <c r="DV61" i="139" s="1"/>
  <c r="EU87" i="139" s="1"/>
  <c r="DV38" i="139"/>
  <c r="DV65" i="139" s="1"/>
  <c r="EU91" i="139" s="1"/>
  <c r="DV40" i="139"/>
  <c r="DV67" i="139" s="1"/>
  <c r="EU93" i="139" s="1"/>
  <c r="DV41" i="139"/>
  <c r="DV68" i="139" s="1"/>
  <c r="EU94" i="139" s="1"/>
  <c r="DV30" i="139"/>
  <c r="DV57" i="139" s="1"/>
  <c r="EU83" i="139" s="1"/>
  <c r="DV33" i="139"/>
  <c r="DV60" i="139" s="1"/>
  <c r="EU86" i="139" s="1"/>
  <c r="DV32" i="139"/>
  <c r="DV59" i="139" s="1"/>
  <c r="EU85" i="139" s="1"/>
  <c r="DU28" i="139"/>
  <c r="DV31" i="139"/>
  <c r="DV58" i="139" s="1"/>
  <c r="EU84" i="139" s="1"/>
  <c r="DV37" i="139"/>
  <c r="DV64" i="139" s="1"/>
  <c r="EU90" i="139" s="1"/>
  <c r="DV39" i="139"/>
  <c r="DV66" i="139" s="1"/>
  <c r="EU92" i="139" s="1"/>
  <c r="DV35" i="139"/>
  <c r="DV62" i="139" s="1"/>
  <c r="EU88" i="139" s="1"/>
  <c r="DU36" i="139" l="1"/>
  <c r="DU63" i="139" s="1"/>
  <c r="ET89" i="139" s="1"/>
  <c r="DU40" i="139"/>
  <c r="DU67" i="139" s="1"/>
  <c r="ET93" i="139" s="1"/>
  <c r="DU31" i="139"/>
  <c r="DU58" i="139" s="1"/>
  <c r="ET84" i="139" s="1"/>
  <c r="DU37" i="139"/>
  <c r="DU64" i="139" s="1"/>
  <c r="ET90" i="139" s="1"/>
  <c r="DU41" i="139"/>
  <c r="DU68" i="139" s="1"/>
  <c r="ET94" i="139" s="1"/>
  <c r="DU32" i="139"/>
  <c r="DU59" i="139" s="1"/>
  <c r="ET85" i="139" s="1"/>
  <c r="DU38" i="139"/>
  <c r="DU65" i="139" s="1"/>
  <c r="ET91" i="139" s="1"/>
  <c r="DU33" i="139"/>
  <c r="DU60" i="139" s="1"/>
  <c r="ET86" i="139" s="1"/>
  <c r="DU34" i="139"/>
  <c r="DU61" i="139" s="1"/>
  <c r="ET87" i="139" s="1"/>
  <c r="DT28" i="139"/>
  <c r="DU30" i="139"/>
  <c r="DU57" i="139" s="1"/>
  <c r="ET83" i="139" s="1"/>
  <c r="DU35" i="139"/>
  <c r="DU62" i="139" s="1"/>
  <c r="ET88" i="139" s="1"/>
  <c r="DU39" i="139"/>
  <c r="DU66" i="139" s="1"/>
  <c r="ET92" i="139" s="1"/>
  <c r="DT41" i="139" l="1"/>
  <c r="DT68" i="139" s="1"/>
  <c r="ES94" i="139" s="1"/>
  <c r="DT32" i="139"/>
  <c r="DT59" i="139" s="1"/>
  <c r="ES85" i="139" s="1"/>
  <c r="DT37" i="139"/>
  <c r="DT64" i="139" s="1"/>
  <c r="ES90" i="139" s="1"/>
  <c r="DT30" i="139"/>
  <c r="DT57" i="139" s="1"/>
  <c r="ES83" i="139" s="1"/>
  <c r="DT36" i="139"/>
  <c r="DT63" i="139" s="1"/>
  <c r="ES89" i="139" s="1"/>
  <c r="DT33" i="139"/>
  <c r="DT60" i="139" s="1"/>
  <c r="ES86" i="139" s="1"/>
  <c r="DT35" i="139"/>
  <c r="DT62" i="139" s="1"/>
  <c r="ES88" i="139" s="1"/>
  <c r="DT34" i="139"/>
  <c r="DT61" i="139" s="1"/>
  <c r="ES87" i="139" s="1"/>
  <c r="DT40" i="139"/>
  <c r="DT67" i="139" s="1"/>
  <c r="ES93" i="139" s="1"/>
  <c r="DS28" i="139"/>
  <c r="DT38" i="139"/>
  <c r="DT65" i="139" s="1"/>
  <c r="ES91" i="139" s="1"/>
  <c r="DT39" i="139"/>
  <c r="DT66" i="139" s="1"/>
  <c r="ES92" i="139" s="1"/>
  <c r="DT31" i="139"/>
  <c r="DT58" i="139" s="1"/>
  <c r="ES84" i="139" s="1"/>
  <c r="DS37" i="139" l="1"/>
  <c r="DS64" i="139" s="1"/>
  <c r="ER90" i="139" s="1"/>
  <c r="DS40" i="139"/>
  <c r="DS67" i="139" s="1"/>
  <c r="ER93" i="139" s="1"/>
  <c r="DS33" i="139"/>
  <c r="DS60" i="139" s="1"/>
  <c r="ER86" i="139" s="1"/>
  <c r="DS30" i="139"/>
  <c r="DS57" i="139" s="1"/>
  <c r="ER83" i="139" s="1"/>
  <c r="DS34" i="139"/>
  <c r="DS61" i="139" s="1"/>
  <c r="ER87" i="139" s="1"/>
  <c r="DS31" i="139"/>
  <c r="DS58" i="139" s="1"/>
  <c r="ER84" i="139" s="1"/>
  <c r="DS36" i="139"/>
  <c r="DS63" i="139" s="1"/>
  <c r="ER89" i="139" s="1"/>
  <c r="DS35" i="139"/>
  <c r="DS62" i="139" s="1"/>
  <c r="ER88" i="139" s="1"/>
  <c r="DS32" i="139"/>
  <c r="DS59" i="139" s="1"/>
  <c r="ER85" i="139" s="1"/>
  <c r="DS41" i="139"/>
  <c r="DS68" i="139" s="1"/>
  <c r="ER94" i="139" s="1"/>
  <c r="DR28" i="139"/>
  <c r="DS39" i="139"/>
  <c r="DS66" i="139" s="1"/>
  <c r="ER92" i="139" s="1"/>
  <c r="DS38" i="139"/>
  <c r="DS65" i="139" s="1"/>
  <c r="ER91" i="139" s="1"/>
  <c r="DR35" i="139" l="1"/>
  <c r="DR62" i="139" s="1"/>
  <c r="EQ88" i="139" s="1"/>
  <c r="DQ28" i="139"/>
  <c r="DR38" i="139"/>
  <c r="DR65" i="139" s="1"/>
  <c r="EQ91" i="139" s="1"/>
  <c r="DR32" i="139"/>
  <c r="DR59" i="139" s="1"/>
  <c r="EQ85" i="139" s="1"/>
  <c r="DR30" i="139"/>
  <c r="DR57" i="139" s="1"/>
  <c r="EQ83" i="139" s="1"/>
  <c r="DR31" i="139"/>
  <c r="DR58" i="139" s="1"/>
  <c r="EQ84" i="139" s="1"/>
  <c r="DR41" i="139"/>
  <c r="DR68" i="139" s="1"/>
  <c r="EQ94" i="139" s="1"/>
  <c r="DR40" i="139"/>
  <c r="DR67" i="139" s="1"/>
  <c r="EQ93" i="139" s="1"/>
  <c r="DR39" i="139"/>
  <c r="DR66" i="139" s="1"/>
  <c r="EQ92" i="139" s="1"/>
  <c r="DR36" i="139"/>
  <c r="DR63" i="139" s="1"/>
  <c r="EQ89" i="139" s="1"/>
  <c r="DR34" i="139"/>
  <c r="DR61" i="139" s="1"/>
  <c r="EQ87" i="139" s="1"/>
  <c r="DR37" i="139"/>
  <c r="DR64" i="139" s="1"/>
  <c r="EQ90" i="139" s="1"/>
  <c r="DR33" i="139"/>
  <c r="DR60" i="139" s="1"/>
  <c r="EQ86" i="139" s="1"/>
  <c r="DQ32" i="139" l="1"/>
  <c r="DQ59" i="139" s="1"/>
  <c r="EP85" i="139" s="1"/>
  <c r="DQ37" i="139"/>
  <c r="DQ64" i="139" s="1"/>
  <c r="EP90" i="139" s="1"/>
  <c r="DQ31" i="139"/>
  <c r="DQ58" i="139" s="1"/>
  <c r="EP84" i="139" s="1"/>
  <c r="DQ41" i="139"/>
  <c r="DQ68" i="139" s="1"/>
  <c r="EP94" i="139" s="1"/>
  <c r="DQ36" i="139"/>
  <c r="DQ63" i="139" s="1"/>
  <c r="EP89" i="139" s="1"/>
  <c r="DQ38" i="139"/>
  <c r="DQ65" i="139" s="1"/>
  <c r="EP91" i="139" s="1"/>
  <c r="DP28" i="139"/>
  <c r="DQ34" i="139"/>
  <c r="DQ61" i="139" s="1"/>
  <c r="EP87" i="139" s="1"/>
  <c r="DQ33" i="139"/>
  <c r="DQ60" i="139" s="1"/>
  <c r="EP86" i="139" s="1"/>
  <c r="DQ40" i="139"/>
  <c r="DQ67" i="139" s="1"/>
  <c r="EP93" i="139" s="1"/>
  <c r="DQ35" i="139"/>
  <c r="DQ62" i="139" s="1"/>
  <c r="EP88" i="139" s="1"/>
  <c r="DQ30" i="139"/>
  <c r="DQ57" i="139" s="1"/>
  <c r="EP83" i="139" s="1"/>
  <c r="DQ39" i="139"/>
  <c r="DQ66" i="139" s="1"/>
  <c r="EP92" i="139" s="1"/>
  <c r="DO28" i="139" l="1"/>
  <c r="DP36" i="139"/>
  <c r="DP63" i="139" s="1"/>
  <c r="EO89" i="139" s="1"/>
  <c r="DP37" i="139"/>
  <c r="DP64" i="139" s="1"/>
  <c r="EO90" i="139" s="1"/>
  <c r="DP30" i="139"/>
  <c r="DP57" i="139" s="1"/>
  <c r="EO83" i="139" s="1"/>
  <c r="DP35" i="139"/>
  <c r="DP62" i="139" s="1"/>
  <c r="EO88" i="139" s="1"/>
  <c r="DP33" i="139"/>
  <c r="DP60" i="139" s="1"/>
  <c r="EO86" i="139" s="1"/>
  <c r="DP38" i="139"/>
  <c r="DP65" i="139" s="1"/>
  <c r="EO91" i="139" s="1"/>
  <c r="DP32" i="139"/>
  <c r="DP59" i="139" s="1"/>
  <c r="EO85" i="139" s="1"/>
  <c r="DP40" i="139"/>
  <c r="DP67" i="139" s="1"/>
  <c r="EO93" i="139" s="1"/>
  <c r="DP31" i="139"/>
  <c r="DP58" i="139" s="1"/>
  <c r="EO84" i="139" s="1"/>
  <c r="DP34" i="139"/>
  <c r="DP61" i="139" s="1"/>
  <c r="EO87" i="139" s="1"/>
  <c r="DP41" i="139"/>
  <c r="DP68" i="139" s="1"/>
  <c r="EO94" i="139" s="1"/>
  <c r="DP39" i="139"/>
  <c r="DP66" i="139" s="1"/>
  <c r="EO92" i="139" s="1"/>
  <c r="DO33" i="139" l="1"/>
  <c r="DO60" i="139" s="1"/>
  <c r="EN86" i="139" s="1"/>
  <c r="DO36" i="139"/>
  <c r="DO63" i="139" s="1"/>
  <c r="EN89" i="139" s="1"/>
  <c r="DO32" i="139"/>
  <c r="DO59" i="139" s="1"/>
  <c r="EN85" i="139" s="1"/>
  <c r="DO38" i="139"/>
  <c r="DO65" i="139" s="1"/>
  <c r="EN91" i="139" s="1"/>
  <c r="DO39" i="139"/>
  <c r="DO66" i="139" s="1"/>
  <c r="EN92" i="139" s="1"/>
  <c r="DN28" i="139"/>
  <c r="DO31" i="139"/>
  <c r="DO58" i="139" s="1"/>
  <c r="EN84" i="139" s="1"/>
  <c r="DO37" i="139"/>
  <c r="DO64" i="139" s="1"/>
  <c r="EN90" i="139" s="1"/>
  <c r="DO34" i="139"/>
  <c r="DO61" i="139" s="1"/>
  <c r="EN87" i="139" s="1"/>
  <c r="DO40" i="139"/>
  <c r="DO67" i="139" s="1"/>
  <c r="EN93" i="139" s="1"/>
  <c r="DO35" i="139"/>
  <c r="DO62" i="139" s="1"/>
  <c r="EN88" i="139" s="1"/>
  <c r="DO30" i="139"/>
  <c r="DO57" i="139" s="1"/>
  <c r="EN83" i="139" s="1"/>
  <c r="DO41" i="139"/>
  <c r="DO68" i="139" s="1"/>
  <c r="EN94" i="139" s="1"/>
  <c r="DN39" i="139" l="1"/>
  <c r="DN66" i="139" s="1"/>
  <c r="EM92" i="139" s="1"/>
  <c r="DN41" i="139"/>
  <c r="DN68" i="139" s="1"/>
  <c r="EM94" i="139" s="1"/>
  <c r="DN31" i="139"/>
  <c r="DN58" i="139" s="1"/>
  <c r="EM84" i="139" s="1"/>
  <c r="DN32" i="139"/>
  <c r="DN59" i="139" s="1"/>
  <c r="EM85" i="139" s="1"/>
  <c r="DN30" i="139"/>
  <c r="DN57" i="139" s="1"/>
  <c r="EM83" i="139" s="1"/>
  <c r="DN38" i="139"/>
  <c r="DN65" i="139" s="1"/>
  <c r="EM91" i="139" s="1"/>
  <c r="DN33" i="139"/>
  <c r="DN60" i="139" s="1"/>
  <c r="EM86" i="139" s="1"/>
  <c r="DN37" i="139"/>
  <c r="DN64" i="139" s="1"/>
  <c r="EM90" i="139" s="1"/>
  <c r="DN34" i="139"/>
  <c r="DN61" i="139" s="1"/>
  <c r="EM87" i="139" s="1"/>
  <c r="DM28" i="139"/>
  <c r="DN35" i="139"/>
  <c r="DN62" i="139" s="1"/>
  <c r="EM88" i="139" s="1"/>
  <c r="DN36" i="139"/>
  <c r="DN63" i="139" s="1"/>
  <c r="EM89" i="139" s="1"/>
  <c r="DN40" i="139"/>
  <c r="DN67" i="139" s="1"/>
  <c r="EM93" i="139" s="1"/>
  <c r="DL28" i="139" l="1"/>
  <c r="DM39" i="139"/>
  <c r="DM66" i="139" s="1"/>
  <c r="EL92" i="139" s="1"/>
  <c r="DM30" i="139"/>
  <c r="DM57" i="139" s="1"/>
  <c r="EL83" i="139" s="1"/>
  <c r="DM41" i="139"/>
  <c r="DM68" i="139" s="1"/>
  <c r="EL94" i="139" s="1"/>
  <c r="DM40" i="139"/>
  <c r="DM67" i="139" s="1"/>
  <c r="EL93" i="139" s="1"/>
  <c r="DM36" i="139"/>
  <c r="DM63" i="139" s="1"/>
  <c r="EL89" i="139" s="1"/>
  <c r="DM34" i="139"/>
  <c r="DM61" i="139" s="1"/>
  <c r="EL87" i="139" s="1"/>
  <c r="DM33" i="139"/>
  <c r="DM60" i="139" s="1"/>
  <c r="EL86" i="139" s="1"/>
  <c r="DM35" i="139"/>
  <c r="DM62" i="139" s="1"/>
  <c r="EL88" i="139" s="1"/>
  <c r="DM38" i="139"/>
  <c r="DM65" i="139" s="1"/>
  <c r="EL91" i="139" s="1"/>
  <c r="DM32" i="139"/>
  <c r="DM59" i="139" s="1"/>
  <c r="EL85" i="139" s="1"/>
  <c r="DM31" i="139"/>
  <c r="DM58" i="139" s="1"/>
  <c r="EL84" i="139" s="1"/>
  <c r="DM37" i="139"/>
  <c r="DM64" i="139" s="1"/>
  <c r="EL90" i="139" s="1"/>
  <c r="DL30" i="139" l="1"/>
  <c r="DL57" i="139" s="1"/>
  <c r="EK83" i="139" s="1"/>
  <c r="DL40" i="139"/>
  <c r="DL67" i="139" s="1"/>
  <c r="EK93" i="139" s="1"/>
  <c r="DL35" i="139"/>
  <c r="DL62" i="139" s="1"/>
  <c r="EK88" i="139" s="1"/>
  <c r="DK28" i="139"/>
  <c r="DL34" i="139"/>
  <c r="DL61" i="139" s="1"/>
  <c r="EK87" i="139" s="1"/>
  <c r="DL39" i="139"/>
  <c r="DL66" i="139" s="1"/>
  <c r="EK92" i="139" s="1"/>
  <c r="DL37" i="139"/>
  <c r="DL64" i="139" s="1"/>
  <c r="EK90" i="139" s="1"/>
  <c r="DL32" i="139"/>
  <c r="DL59" i="139" s="1"/>
  <c r="EK85" i="139" s="1"/>
  <c r="DL33" i="139"/>
  <c r="DL60" i="139" s="1"/>
  <c r="EK86" i="139" s="1"/>
  <c r="DL36" i="139"/>
  <c r="DL63" i="139" s="1"/>
  <c r="EK89" i="139" s="1"/>
  <c r="DL41" i="139"/>
  <c r="DL68" i="139" s="1"/>
  <c r="EK94" i="139" s="1"/>
  <c r="DL31" i="139"/>
  <c r="DL58" i="139" s="1"/>
  <c r="EK84" i="139" s="1"/>
  <c r="DL38" i="139"/>
  <c r="DL65" i="139" s="1"/>
  <c r="EK91" i="139" s="1"/>
  <c r="DK36" i="139" l="1"/>
  <c r="DK63" i="139" s="1"/>
  <c r="EJ89" i="139" s="1"/>
  <c r="DK40" i="139"/>
  <c r="DK67" i="139" s="1"/>
  <c r="EJ93" i="139" s="1"/>
  <c r="DK34" i="139"/>
  <c r="DK61" i="139" s="1"/>
  <c r="EJ87" i="139" s="1"/>
  <c r="DK30" i="139"/>
  <c r="DK57" i="139" s="1"/>
  <c r="EJ83" i="139" s="1"/>
  <c r="DK41" i="139"/>
  <c r="DK68" i="139" s="1"/>
  <c r="EJ94" i="139" s="1"/>
  <c r="DK37" i="139"/>
  <c r="DK64" i="139" s="1"/>
  <c r="EJ90" i="139" s="1"/>
  <c r="DK31" i="139"/>
  <c r="DK58" i="139" s="1"/>
  <c r="EJ84" i="139" s="1"/>
  <c r="DJ28" i="139"/>
  <c r="DK33" i="139"/>
  <c r="DK60" i="139" s="1"/>
  <c r="EJ86" i="139" s="1"/>
  <c r="DK38" i="139"/>
  <c r="DK65" i="139" s="1"/>
  <c r="EJ91" i="139" s="1"/>
  <c r="DK35" i="139"/>
  <c r="DK62" i="139" s="1"/>
  <c r="EJ88" i="139" s="1"/>
  <c r="DK32" i="139"/>
  <c r="DK59" i="139" s="1"/>
  <c r="EJ85" i="139" s="1"/>
  <c r="DK39" i="139"/>
  <c r="DK66" i="139" s="1"/>
  <c r="EJ92" i="139" s="1"/>
  <c r="DJ31" i="139" l="1"/>
  <c r="DJ58" i="139" s="1"/>
  <c r="EI84" i="139" s="1"/>
  <c r="DJ35" i="139"/>
  <c r="DJ62" i="139" s="1"/>
  <c r="EI88" i="139" s="1"/>
  <c r="DJ41" i="139"/>
  <c r="DJ68" i="139" s="1"/>
  <c r="EI94" i="139" s="1"/>
  <c r="DJ34" i="139"/>
  <c r="DJ61" i="139" s="1"/>
  <c r="EI87" i="139" s="1"/>
  <c r="DJ32" i="139"/>
  <c r="DJ59" i="139" s="1"/>
  <c r="EI85" i="139" s="1"/>
  <c r="DJ36" i="139"/>
  <c r="DJ63" i="139" s="1"/>
  <c r="EI89" i="139" s="1"/>
  <c r="DJ33" i="139"/>
  <c r="DJ60" i="139" s="1"/>
  <c r="EI86" i="139" s="1"/>
  <c r="DJ38" i="139"/>
  <c r="DJ65" i="139" s="1"/>
  <c r="EI91" i="139" s="1"/>
  <c r="DJ40" i="139"/>
  <c r="DJ67" i="139" s="1"/>
  <c r="EI93" i="139" s="1"/>
  <c r="DJ39" i="139"/>
  <c r="DJ66" i="139" s="1"/>
  <c r="EI92" i="139" s="1"/>
  <c r="DI28" i="139"/>
  <c r="DJ37" i="139"/>
  <c r="DJ64" i="139" s="1"/>
  <c r="EI90" i="139" s="1"/>
  <c r="DJ30" i="139"/>
  <c r="DJ57" i="139" s="1"/>
  <c r="EI83" i="139" s="1"/>
  <c r="DI41" i="139" l="1"/>
  <c r="DI68" i="139" s="1"/>
  <c r="EH94" i="139" s="1"/>
  <c r="DI30" i="139"/>
  <c r="DI57" i="139" s="1"/>
  <c r="EH83" i="139" s="1"/>
  <c r="DI39" i="139"/>
  <c r="DI66" i="139" s="1"/>
  <c r="EH92" i="139" s="1"/>
  <c r="DI40" i="139"/>
  <c r="DI67" i="139" s="1"/>
  <c r="EH93" i="139" s="1"/>
  <c r="DI34" i="139"/>
  <c r="DI61" i="139" s="1"/>
  <c r="EH87" i="139" s="1"/>
  <c r="DI32" i="139"/>
  <c r="DI59" i="139" s="1"/>
  <c r="EH85" i="139" s="1"/>
  <c r="DI38" i="139"/>
  <c r="DI65" i="139" s="1"/>
  <c r="EH91" i="139" s="1"/>
  <c r="DI31" i="139"/>
  <c r="DI58" i="139" s="1"/>
  <c r="EH84" i="139" s="1"/>
  <c r="DI35" i="139"/>
  <c r="DI62" i="139" s="1"/>
  <c r="EH88" i="139" s="1"/>
  <c r="DI37" i="139"/>
  <c r="DI64" i="139" s="1"/>
  <c r="EH90" i="139" s="1"/>
  <c r="DI36" i="139"/>
  <c r="DI63" i="139" s="1"/>
  <c r="EH89" i="139" s="1"/>
  <c r="DI33" i="139"/>
  <c r="DI60" i="139" s="1"/>
  <c r="EH86" i="139" s="1"/>
  <c r="DH28" i="139"/>
  <c r="DH37" i="139" l="1"/>
  <c r="DH64" i="139" s="1"/>
  <c r="EG90" i="139" s="1"/>
  <c r="DH41" i="139"/>
  <c r="DH68" i="139" s="1"/>
  <c r="EG94" i="139" s="1"/>
  <c r="DH35" i="139"/>
  <c r="DH62" i="139" s="1"/>
  <c r="EG88" i="139" s="1"/>
  <c r="DG28" i="139"/>
  <c r="DH38" i="139"/>
  <c r="DH65" i="139" s="1"/>
  <c r="EG91" i="139" s="1"/>
  <c r="DH39" i="139"/>
  <c r="DH66" i="139" s="1"/>
  <c r="EG92" i="139" s="1"/>
  <c r="DH34" i="139"/>
  <c r="DH61" i="139" s="1"/>
  <c r="EG87" i="139" s="1"/>
  <c r="DH36" i="139"/>
  <c r="DH63" i="139" s="1"/>
  <c r="EG89" i="139" s="1"/>
  <c r="DH32" i="139"/>
  <c r="DH59" i="139" s="1"/>
  <c r="EG85" i="139" s="1"/>
  <c r="DH40" i="139"/>
  <c r="DH67" i="139" s="1"/>
  <c r="EG93" i="139" s="1"/>
  <c r="DH31" i="139"/>
  <c r="DH58" i="139" s="1"/>
  <c r="EG84" i="139" s="1"/>
  <c r="DH33" i="139"/>
  <c r="DH60" i="139" s="1"/>
  <c r="EG86" i="139" s="1"/>
  <c r="DH30" i="139"/>
  <c r="DH57" i="139" s="1"/>
  <c r="EG83" i="139" s="1"/>
  <c r="DG41" i="139" l="1"/>
  <c r="DG68" i="139" s="1"/>
  <c r="EF94" i="139" s="1"/>
  <c r="DG31" i="139"/>
  <c r="DG58" i="139" s="1"/>
  <c r="EF84" i="139" s="1"/>
  <c r="DG35" i="139"/>
  <c r="DG62" i="139" s="1"/>
  <c r="EF88" i="139" s="1"/>
  <c r="DG38" i="139"/>
  <c r="DG65" i="139" s="1"/>
  <c r="EF91" i="139" s="1"/>
  <c r="DG32" i="139"/>
  <c r="DG59" i="139" s="1"/>
  <c r="EF85" i="139" s="1"/>
  <c r="DG34" i="139"/>
  <c r="DG61" i="139" s="1"/>
  <c r="EF87" i="139" s="1"/>
  <c r="DG36" i="139"/>
  <c r="DG63" i="139" s="1"/>
  <c r="EF89" i="139" s="1"/>
  <c r="DG40" i="139"/>
  <c r="DG67" i="139" s="1"/>
  <c r="EF93" i="139" s="1"/>
  <c r="DG37" i="139"/>
  <c r="DG64" i="139" s="1"/>
  <c r="EF90" i="139" s="1"/>
  <c r="DF28" i="139"/>
  <c r="DG39" i="139"/>
  <c r="DG66" i="139" s="1"/>
  <c r="EF92" i="139" s="1"/>
  <c r="DG30" i="139"/>
  <c r="DG57" i="139" s="1"/>
  <c r="EF83" i="139" s="1"/>
  <c r="DG33" i="139"/>
  <c r="DG60" i="139" s="1"/>
  <c r="EF86" i="139" s="1"/>
  <c r="DF38" i="139" l="1"/>
  <c r="DF65" i="139" s="1"/>
  <c r="EE91" i="139" s="1"/>
  <c r="DF34" i="139"/>
  <c r="DF61" i="139" s="1"/>
  <c r="EE87" i="139" s="1"/>
  <c r="DF30" i="139"/>
  <c r="DF57" i="139" s="1"/>
  <c r="EE83" i="139" s="1"/>
  <c r="DF40" i="139"/>
  <c r="DF67" i="139" s="1"/>
  <c r="EE93" i="139" s="1"/>
  <c r="DF33" i="139"/>
  <c r="DF60" i="139" s="1"/>
  <c r="EE86" i="139" s="1"/>
  <c r="DF35" i="139"/>
  <c r="DF62" i="139" s="1"/>
  <c r="EE88" i="139" s="1"/>
  <c r="DE28" i="139"/>
  <c r="DF31" i="139"/>
  <c r="DF58" i="139" s="1"/>
  <c r="EE84" i="139" s="1"/>
  <c r="DF32" i="139"/>
  <c r="DF59" i="139" s="1"/>
  <c r="EE85" i="139" s="1"/>
  <c r="DF39" i="139"/>
  <c r="DF66" i="139" s="1"/>
  <c r="EE92" i="139" s="1"/>
  <c r="DF36" i="139"/>
  <c r="DF63" i="139" s="1"/>
  <c r="EE89" i="139" s="1"/>
  <c r="DF37" i="139"/>
  <c r="DF64" i="139" s="1"/>
  <c r="EE90" i="139" s="1"/>
  <c r="DF41" i="139"/>
  <c r="DF68" i="139" s="1"/>
  <c r="EE94" i="139" s="1"/>
  <c r="DE31" i="139" l="1"/>
  <c r="DE58" i="139" s="1"/>
  <c r="ED84" i="139" s="1"/>
  <c r="DD28" i="139"/>
  <c r="DE40" i="139"/>
  <c r="DE67" i="139" s="1"/>
  <c r="ED93" i="139" s="1"/>
  <c r="DE37" i="139"/>
  <c r="DE64" i="139" s="1"/>
  <c r="ED90" i="139" s="1"/>
  <c r="DE38" i="139"/>
  <c r="DE65" i="139" s="1"/>
  <c r="ED91" i="139" s="1"/>
  <c r="DE30" i="139"/>
  <c r="DE57" i="139" s="1"/>
  <c r="ED83" i="139" s="1"/>
  <c r="DE39" i="139"/>
  <c r="DE66" i="139" s="1"/>
  <c r="ED92" i="139" s="1"/>
  <c r="DE34" i="139"/>
  <c r="DE61" i="139" s="1"/>
  <c r="ED87" i="139" s="1"/>
  <c r="DE32" i="139"/>
  <c r="DE59" i="139" s="1"/>
  <c r="ED85" i="139" s="1"/>
  <c r="DE35" i="139"/>
  <c r="DE62" i="139" s="1"/>
  <c r="ED88" i="139" s="1"/>
  <c r="DE36" i="139"/>
  <c r="DE63" i="139" s="1"/>
  <c r="ED89" i="139" s="1"/>
  <c r="DE41" i="139"/>
  <c r="DE68" i="139" s="1"/>
  <c r="ED94" i="139" s="1"/>
  <c r="DE33" i="139"/>
  <c r="DE60" i="139" s="1"/>
  <c r="ED86" i="139" s="1"/>
  <c r="DD36" i="139" l="1"/>
  <c r="DD63" i="139" s="1"/>
  <c r="EC89" i="139" s="1"/>
  <c r="DD31" i="139"/>
  <c r="DD58" i="139" s="1"/>
  <c r="EC84" i="139" s="1"/>
  <c r="DD30" i="139"/>
  <c r="DD57" i="139" s="1"/>
  <c r="EC83" i="139" s="1"/>
  <c r="DD32" i="139"/>
  <c r="DD59" i="139" s="1"/>
  <c r="EC85" i="139" s="1"/>
  <c r="DD34" i="139"/>
  <c r="DD61" i="139" s="1"/>
  <c r="EC87" i="139" s="1"/>
  <c r="DD41" i="139"/>
  <c r="DD68" i="139" s="1"/>
  <c r="EC94" i="139" s="1"/>
  <c r="DC28" i="139"/>
  <c r="DD35" i="139"/>
  <c r="DD62" i="139" s="1"/>
  <c r="EC88" i="139" s="1"/>
  <c r="DD37" i="139"/>
  <c r="DD64" i="139" s="1"/>
  <c r="EC90" i="139" s="1"/>
  <c r="DD40" i="139"/>
  <c r="DD67" i="139" s="1"/>
  <c r="EC93" i="139" s="1"/>
  <c r="DD39" i="139"/>
  <c r="DD66" i="139" s="1"/>
  <c r="EC92" i="139" s="1"/>
  <c r="DD38" i="139"/>
  <c r="DD65" i="139" s="1"/>
  <c r="EC91" i="139" s="1"/>
  <c r="DD33" i="139"/>
  <c r="DD60" i="139" s="1"/>
  <c r="EC86" i="139" s="1"/>
  <c r="DC35" i="139" l="1"/>
  <c r="DC62" i="139" s="1"/>
  <c r="EB88" i="139" s="1"/>
  <c r="DC41" i="139"/>
  <c r="DC68" i="139" s="1"/>
  <c r="EB94" i="139" s="1"/>
  <c r="DC32" i="139"/>
  <c r="DC59" i="139" s="1"/>
  <c r="EB85" i="139" s="1"/>
  <c r="DC34" i="139"/>
  <c r="DC61" i="139" s="1"/>
  <c r="EB87" i="139" s="1"/>
  <c r="DC40" i="139"/>
  <c r="DC67" i="139" s="1"/>
  <c r="EB93" i="139" s="1"/>
  <c r="DC37" i="139"/>
  <c r="DC64" i="139" s="1"/>
  <c r="EB90" i="139" s="1"/>
  <c r="DC30" i="139"/>
  <c r="DC57" i="139" s="1"/>
  <c r="EB83" i="139" s="1"/>
  <c r="DB28" i="139"/>
  <c r="DC38" i="139"/>
  <c r="DC65" i="139" s="1"/>
  <c r="EB91" i="139" s="1"/>
  <c r="DC31" i="139"/>
  <c r="DC58" i="139" s="1"/>
  <c r="EB84" i="139" s="1"/>
  <c r="DC36" i="139"/>
  <c r="DC63" i="139" s="1"/>
  <c r="EB89" i="139" s="1"/>
  <c r="DC39" i="139"/>
  <c r="DC66" i="139" s="1"/>
  <c r="EB92" i="139" s="1"/>
  <c r="DC33" i="139"/>
  <c r="DC60" i="139" s="1"/>
  <c r="EB86" i="139" s="1"/>
  <c r="DB35" i="139" l="1"/>
  <c r="DB62" i="139" s="1"/>
  <c r="EA88" i="139" s="1"/>
  <c r="DB40" i="139"/>
  <c r="DB67" i="139" s="1"/>
  <c r="EA93" i="139" s="1"/>
  <c r="DB34" i="139"/>
  <c r="DB61" i="139" s="1"/>
  <c r="EA87" i="139" s="1"/>
  <c r="DB32" i="139"/>
  <c r="DB59" i="139" s="1"/>
  <c r="EA85" i="139" s="1"/>
  <c r="DB37" i="139"/>
  <c r="DB64" i="139" s="1"/>
  <c r="EA90" i="139" s="1"/>
  <c r="DB39" i="139"/>
  <c r="DB66" i="139" s="1"/>
  <c r="EA92" i="139" s="1"/>
  <c r="DB41" i="139"/>
  <c r="DB68" i="139" s="1"/>
  <c r="EA94" i="139" s="1"/>
  <c r="DB31" i="139"/>
  <c r="DB58" i="139" s="1"/>
  <c r="EA84" i="139" s="1"/>
  <c r="DB30" i="139"/>
  <c r="DB57" i="139" s="1"/>
  <c r="EA83" i="139" s="1"/>
  <c r="DB33" i="139"/>
  <c r="DB60" i="139" s="1"/>
  <c r="EA86" i="139" s="1"/>
  <c r="DB36" i="139"/>
  <c r="DB63" i="139" s="1"/>
  <c r="EA89" i="139" s="1"/>
  <c r="DA28" i="139"/>
  <c r="DB38" i="139"/>
  <c r="DB65" i="139" s="1"/>
  <c r="EA91" i="139" s="1"/>
  <c r="DA39" i="139" l="1"/>
  <c r="DA66" i="139" s="1"/>
  <c r="DZ92" i="139" s="1"/>
  <c r="DA37" i="139"/>
  <c r="DA64" i="139" s="1"/>
  <c r="DZ90" i="139" s="1"/>
  <c r="DA34" i="139"/>
  <c r="DA61" i="139" s="1"/>
  <c r="DZ87" i="139" s="1"/>
  <c r="DA31" i="139"/>
  <c r="DA58" i="139" s="1"/>
  <c r="DZ84" i="139" s="1"/>
  <c r="CZ28" i="139"/>
  <c r="DA35" i="139"/>
  <c r="DA62" i="139" s="1"/>
  <c r="DZ88" i="139" s="1"/>
  <c r="DA33" i="139"/>
  <c r="DA60" i="139" s="1"/>
  <c r="DZ86" i="139" s="1"/>
  <c r="DA30" i="139"/>
  <c r="DA57" i="139" s="1"/>
  <c r="DZ83" i="139" s="1"/>
  <c r="DA41" i="139"/>
  <c r="DA68" i="139" s="1"/>
  <c r="DZ94" i="139" s="1"/>
  <c r="DA36" i="139"/>
  <c r="DA63" i="139" s="1"/>
  <c r="DZ89" i="139" s="1"/>
  <c r="DA38" i="139"/>
  <c r="DA65" i="139" s="1"/>
  <c r="DZ91" i="139" s="1"/>
  <c r="DA32" i="139"/>
  <c r="DA59" i="139" s="1"/>
  <c r="DZ85" i="139" s="1"/>
  <c r="DA40" i="139"/>
  <c r="DA67" i="139" s="1"/>
  <c r="DZ93" i="139" s="1"/>
  <c r="CZ30" i="139" l="1"/>
  <c r="CZ57" i="139" s="1"/>
  <c r="DY83" i="139" s="1"/>
  <c r="CZ32" i="139"/>
  <c r="CZ59" i="139" s="1"/>
  <c r="DY85" i="139" s="1"/>
  <c r="CZ39" i="139"/>
  <c r="CZ66" i="139" s="1"/>
  <c r="DY92" i="139" s="1"/>
  <c r="CZ31" i="139"/>
  <c r="CZ58" i="139" s="1"/>
  <c r="DY84" i="139" s="1"/>
  <c r="CZ37" i="139"/>
  <c r="CZ64" i="139" s="1"/>
  <c r="DY90" i="139" s="1"/>
  <c r="CZ34" i="139"/>
  <c r="CZ61" i="139" s="1"/>
  <c r="DY87" i="139" s="1"/>
  <c r="CZ41" i="139"/>
  <c r="CZ68" i="139" s="1"/>
  <c r="DY94" i="139" s="1"/>
  <c r="CZ40" i="139"/>
  <c r="CZ67" i="139" s="1"/>
  <c r="DY93" i="139" s="1"/>
  <c r="CZ33" i="139"/>
  <c r="CZ60" i="139" s="1"/>
  <c r="DY86" i="139" s="1"/>
  <c r="CZ38" i="139"/>
  <c r="CZ65" i="139" s="1"/>
  <c r="DY91" i="139" s="1"/>
  <c r="CZ35" i="139"/>
  <c r="CZ62" i="139" s="1"/>
  <c r="DY88" i="139" s="1"/>
  <c r="CZ36" i="139"/>
  <c r="CZ63" i="139" s="1"/>
  <c r="DY89" i="139" s="1"/>
  <c r="CY28" i="139"/>
  <c r="CX28" i="139" l="1"/>
  <c r="CY40" i="139"/>
  <c r="CY67" i="139" s="1"/>
  <c r="DX93" i="139" s="1"/>
  <c r="CY39" i="139"/>
  <c r="CY66" i="139" s="1"/>
  <c r="DX92" i="139" s="1"/>
  <c r="CY38" i="139"/>
  <c r="CY65" i="139" s="1"/>
  <c r="DX91" i="139" s="1"/>
  <c r="CY30" i="139"/>
  <c r="CY57" i="139" s="1"/>
  <c r="DX83" i="139" s="1"/>
  <c r="CY31" i="139"/>
  <c r="CY58" i="139" s="1"/>
  <c r="DX84" i="139" s="1"/>
  <c r="CY34" i="139"/>
  <c r="CY61" i="139" s="1"/>
  <c r="DX87" i="139" s="1"/>
  <c r="CY35" i="139"/>
  <c r="CY62" i="139" s="1"/>
  <c r="DX88" i="139" s="1"/>
  <c r="CY37" i="139"/>
  <c r="CY64" i="139" s="1"/>
  <c r="DX90" i="139" s="1"/>
  <c r="CY32" i="139"/>
  <c r="CY59" i="139" s="1"/>
  <c r="DX85" i="139" s="1"/>
  <c r="CY33" i="139"/>
  <c r="CY60" i="139" s="1"/>
  <c r="DX86" i="139" s="1"/>
  <c r="CY36" i="139"/>
  <c r="CY63" i="139" s="1"/>
  <c r="DX89" i="139" s="1"/>
  <c r="CY41" i="139"/>
  <c r="CY68" i="139" s="1"/>
  <c r="DX94" i="139" s="1"/>
  <c r="CX41" i="139" l="1"/>
  <c r="CX68" i="139" s="1"/>
  <c r="DW94" i="139" s="1"/>
  <c r="CX33" i="139"/>
  <c r="CX60" i="139" s="1"/>
  <c r="DW86" i="139" s="1"/>
  <c r="CX36" i="139"/>
  <c r="CX63" i="139" s="1"/>
  <c r="DW89" i="139" s="1"/>
  <c r="CX30" i="139"/>
  <c r="CX57" i="139" s="1"/>
  <c r="DW83" i="139" s="1"/>
  <c r="CX37" i="139"/>
  <c r="CX64" i="139" s="1"/>
  <c r="DW90" i="139" s="1"/>
  <c r="CW28" i="139"/>
  <c r="CX34" i="139"/>
  <c r="CX61" i="139" s="1"/>
  <c r="DW87" i="139" s="1"/>
  <c r="CX32" i="139"/>
  <c r="CX59" i="139" s="1"/>
  <c r="DW85" i="139" s="1"/>
  <c r="CX35" i="139"/>
  <c r="CX62" i="139" s="1"/>
  <c r="DW88" i="139" s="1"/>
  <c r="CX31" i="139"/>
  <c r="CX58" i="139" s="1"/>
  <c r="DW84" i="139" s="1"/>
  <c r="CX40" i="139"/>
  <c r="CX67" i="139" s="1"/>
  <c r="DW93" i="139" s="1"/>
  <c r="CX39" i="139"/>
  <c r="CX66" i="139" s="1"/>
  <c r="DW92" i="139" s="1"/>
  <c r="CX38" i="139"/>
  <c r="CX65" i="139" s="1"/>
  <c r="DW91" i="139" s="1"/>
  <c r="CW38" i="139" l="1"/>
  <c r="CW65" i="139" s="1"/>
  <c r="DV91" i="139" s="1"/>
  <c r="CW30" i="139"/>
  <c r="CW57" i="139" s="1"/>
  <c r="DV83" i="139" s="1"/>
  <c r="CW35" i="139"/>
  <c r="CW62" i="139" s="1"/>
  <c r="DV88" i="139" s="1"/>
  <c r="CW40" i="139"/>
  <c r="CW67" i="139" s="1"/>
  <c r="DV93" i="139" s="1"/>
  <c r="CW33" i="139"/>
  <c r="CW60" i="139" s="1"/>
  <c r="DV86" i="139" s="1"/>
  <c r="CW32" i="139"/>
  <c r="CW59" i="139" s="1"/>
  <c r="DV85" i="139" s="1"/>
  <c r="CW37" i="139"/>
  <c r="CW64" i="139" s="1"/>
  <c r="DV90" i="139" s="1"/>
  <c r="CW36" i="139"/>
  <c r="CW63" i="139" s="1"/>
  <c r="DV89" i="139" s="1"/>
  <c r="CW34" i="139"/>
  <c r="CW61" i="139" s="1"/>
  <c r="DV87" i="139" s="1"/>
  <c r="CV28" i="139"/>
  <c r="CW31" i="139"/>
  <c r="CW58" i="139" s="1"/>
  <c r="DV84" i="139" s="1"/>
  <c r="CW41" i="139"/>
  <c r="CW68" i="139" s="1"/>
  <c r="DV94" i="139" s="1"/>
  <c r="CW39" i="139"/>
  <c r="CW66" i="139" s="1"/>
  <c r="DV92" i="139" s="1"/>
  <c r="CV31" i="139" l="1"/>
  <c r="CV58" i="139" s="1"/>
  <c r="DU84" i="139" s="1"/>
  <c r="CV36" i="139"/>
  <c r="CV63" i="139" s="1"/>
  <c r="DU89" i="139" s="1"/>
  <c r="CV41" i="139"/>
  <c r="CV68" i="139" s="1"/>
  <c r="DU94" i="139" s="1"/>
  <c r="CV30" i="139"/>
  <c r="CV57" i="139" s="1"/>
  <c r="DU83" i="139" s="1"/>
  <c r="CU28" i="139"/>
  <c r="CV35" i="139"/>
  <c r="CV62" i="139" s="1"/>
  <c r="DU88" i="139" s="1"/>
  <c r="CV32" i="139"/>
  <c r="CV59" i="139" s="1"/>
  <c r="DU85" i="139" s="1"/>
  <c r="CV38" i="139"/>
  <c r="CV65" i="139" s="1"/>
  <c r="DU91" i="139" s="1"/>
  <c r="CV34" i="139"/>
  <c r="CV61" i="139" s="1"/>
  <c r="DU87" i="139" s="1"/>
  <c r="CV33" i="139"/>
  <c r="CV60" i="139" s="1"/>
  <c r="DU86" i="139" s="1"/>
  <c r="CV39" i="139"/>
  <c r="CV66" i="139" s="1"/>
  <c r="DU92" i="139" s="1"/>
  <c r="CV40" i="139"/>
  <c r="CV67" i="139" s="1"/>
  <c r="DU93" i="139" s="1"/>
  <c r="CV37" i="139"/>
  <c r="CV64" i="139" s="1"/>
  <c r="DU90" i="139" s="1"/>
  <c r="CU30" i="139" l="1"/>
  <c r="CU57" i="139" s="1"/>
  <c r="DT83" i="139" s="1"/>
  <c r="CU37" i="139"/>
  <c r="CU64" i="139" s="1"/>
  <c r="DT90" i="139" s="1"/>
  <c r="CU41" i="139"/>
  <c r="CU68" i="139" s="1"/>
  <c r="DT94" i="139" s="1"/>
  <c r="CU40" i="139"/>
  <c r="CU67" i="139" s="1"/>
  <c r="DT93" i="139" s="1"/>
  <c r="CU35" i="139"/>
  <c r="CU62" i="139" s="1"/>
  <c r="DT88" i="139" s="1"/>
  <c r="CU34" i="139"/>
  <c r="CU61" i="139" s="1"/>
  <c r="DT87" i="139" s="1"/>
  <c r="CU31" i="139"/>
  <c r="CU58" i="139" s="1"/>
  <c r="DT84" i="139" s="1"/>
  <c r="CU32" i="139"/>
  <c r="CU59" i="139" s="1"/>
  <c r="DT85" i="139" s="1"/>
  <c r="CU36" i="139"/>
  <c r="CU63" i="139" s="1"/>
  <c r="DT89" i="139" s="1"/>
  <c r="CU38" i="139"/>
  <c r="CU65" i="139" s="1"/>
  <c r="DT91" i="139" s="1"/>
  <c r="CU39" i="139"/>
  <c r="CU66" i="139" s="1"/>
  <c r="DT92" i="139" s="1"/>
  <c r="CU33" i="139"/>
  <c r="CU60" i="139" s="1"/>
  <c r="DT86" i="139" s="1"/>
  <c r="CT28" i="139"/>
  <c r="CT30" i="139" l="1"/>
  <c r="CT57" i="139" s="1"/>
  <c r="DS83" i="139" s="1"/>
  <c r="CT40" i="139"/>
  <c r="CT67" i="139" s="1"/>
  <c r="DS93" i="139" s="1"/>
  <c r="CT39" i="139"/>
  <c r="CT66" i="139" s="1"/>
  <c r="DS92" i="139" s="1"/>
  <c r="CT35" i="139"/>
  <c r="CT62" i="139" s="1"/>
  <c r="DS88" i="139" s="1"/>
  <c r="CS28" i="139"/>
  <c r="CT32" i="139"/>
  <c r="CT59" i="139" s="1"/>
  <c r="DS85" i="139" s="1"/>
  <c r="CT33" i="139"/>
  <c r="CT60" i="139" s="1"/>
  <c r="DS86" i="139" s="1"/>
  <c r="CT36" i="139"/>
  <c r="CT63" i="139" s="1"/>
  <c r="DS89" i="139" s="1"/>
  <c r="CT38" i="139"/>
  <c r="CT65" i="139" s="1"/>
  <c r="DS91" i="139" s="1"/>
  <c r="CT37" i="139"/>
  <c r="CT64" i="139" s="1"/>
  <c r="DS90" i="139" s="1"/>
  <c r="CT31" i="139"/>
  <c r="CT58" i="139" s="1"/>
  <c r="DS84" i="139" s="1"/>
  <c r="CT41" i="139"/>
  <c r="CT68" i="139" s="1"/>
  <c r="DS94" i="139" s="1"/>
  <c r="CT34" i="139"/>
  <c r="CT61" i="139" s="1"/>
  <c r="DS87" i="139" s="1"/>
  <c r="CS39" i="139" l="1"/>
  <c r="CS66" i="139" s="1"/>
  <c r="DR92" i="139" s="1"/>
  <c r="CS35" i="139"/>
  <c r="CS62" i="139" s="1"/>
  <c r="DR88" i="139" s="1"/>
  <c r="CS32" i="139"/>
  <c r="CS59" i="139" s="1"/>
  <c r="DR85" i="139" s="1"/>
  <c r="CS34" i="139"/>
  <c r="CS61" i="139" s="1"/>
  <c r="DR87" i="139" s="1"/>
  <c r="CS36" i="139"/>
  <c r="CS63" i="139" s="1"/>
  <c r="DR89" i="139" s="1"/>
  <c r="CR28" i="139"/>
  <c r="CS33" i="139"/>
  <c r="CS60" i="139" s="1"/>
  <c r="DR86" i="139" s="1"/>
  <c r="CS38" i="139"/>
  <c r="CS65" i="139" s="1"/>
  <c r="DR91" i="139" s="1"/>
  <c r="CS30" i="139"/>
  <c r="CS57" i="139" s="1"/>
  <c r="DR83" i="139" s="1"/>
  <c r="CS41" i="139"/>
  <c r="CS68" i="139" s="1"/>
  <c r="DR94" i="139" s="1"/>
  <c r="CS31" i="139"/>
  <c r="CS58" i="139" s="1"/>
  <c r="DR84" i="139" s="1"/>
  <c r="CS40" i="139"/>
  <c r="CS67" i="139" s="1"/>
  <c r="DR93" i="139" s="1"/>
  <c r="CS37" i="139"/>
  <c r="CS64" i="139" s="1"/>
  <c r="DR90" i="139" s="1"/>
  <c r="CR33" i="139" l="1"/>
  <c r="CR60" i="139" s="1"/>
  <c r="DQ86" i="139" s="1"/>
  <c r="CR37" i="139"/>
  <c r="CR64" i="139" s="1"/>
  <c r="DQ90" i="139" s="1"/>
  <c r="CR38" i="139"/>
  <c r="CR65" i="139" s="1"/>
  <c r="DQ91" i="139" s="1"/>
  <c r="CR31" i="139"/>
  <c r="CR58" i="139" s="1"/>
  <c r="DQ84" i="139" s="1"/>
  <c r="CR40" i="139"/>
  <c r="CR67" i="139" s="1"/>
  <c r="DQ93" i="139" s="1"/>
  <c r="CR35" i="139"/>
  <c r="CR62" i="139" s="1"/>
  <c r="DQ88" i="139" s="1"/>
  <c r="CR39" i="139"/>
  <c r="CR66" i="139" s="1"/>
  <c r="DQ92" i="139" s="1"/>
  <c r="CR34" i="139"/>
  <c r="CR61" i="139" s="1"/>
  <c r="DQ87" i="139" s="1"/>
  <c r="CR41" i="139"/>
  <c r="CR68" i="139" s="1"/>
  <c r="DQ94" i="139" s="1"/>
  <c r="CR32" i="139"/>
  <c r="CR59" i="139" s="1"/>
  <c r="DQ85" i="139" s="1"/>
  <c r="CR36" i="139"/>
  <c r="CR63" i="139" s="1"/>
  <c r="DQ89" i="139" s="1"/>
  <c r="CR30" i="139"/>
  <c r="CR57" i="139" s="1"/>
  <c r="DQ83" i="139" s="1"/>
  <c r="CQ28" i="139"/>
  <c r="CQ32" i="139" l="1"/>
  <c r="CQ59" i="139" s="1"/>
  <c r="DP85" i="139" s="1"/>
  <c r="CQ30" i="139"/>
  <c r="CQ57" i="139" s="1"/>
  <c r="DP83" i="139" s="1"/>
  <c r="CQ38" i="139"/>
  <c r="CQ65" i="139" s="1"/>
  <c r="DP91" i="139" s="1"/>
  <c r="CQ36" i="139"/>
  <c r="CQ63" i="139" s="1"/>
  <c r="DP89" i="139" s="1"/>
  <c r="CQ39" i="139"/>
  <c r="CQ66" i="139" s="1"/>
  <c r="DP92" i="139" s="1"/>
  <c r="CQ35" i="139"/>
  <c r="CQ62" i="139" s="1"/>
  <c r="DP88" i="139" s="1"/>
  <c r="CQ31" i="139"/>
  <c r="CQ58" i="139" s="1"/>
  <c r="DP84" i="139" s="1"/>
  <c r="CQ41" i="139"/>
  <c r="CQ68" i="139" s="1"/>
  <c r="DP94" i="139" s="1"/>
  <c r="CP28" i="139"/>
  <c r="CQ37" i="139"/>
  <c r="CQ64" i="139" s="1"/>
  <c r="DP90" i="139" s="1"/>
  <c r="CQ40" i="139"/>
  <c r="CQ67" i="139" s="1"/>
  <c r="DP93" i="139" s="1"/>
  <c r="CQ33" i="139"/>
  <c r="CQ60" i="139" s="1"/>
  <c r="DP86" i="139" s="1"/>
  <c r="CQ34" i="139"/>
  <c r="CQ61" i="139" s="1"/>
  <c r="DP87" i="139" s="1"/>
  <c r="CP35" i="139" l="1"/>
  <c r="CP62" i="139" s="1"/>
  <c r="DO88" i="139" s="1"/>
  <c r="CP32" i="139"/>
  <c r="CP59" i="139" s="1"/>
  <c r="DO85" i="139" s="1"/>
  <c r="CP40" i="139"/>
  <c r="CP67" i="139" s="1"/>
  <c r="DO93" i="139" s="1"/>
  <c r="CP30" i="139"/>
  <c r="CP57" i="139" s="1"/>
  <c r="DO83" i="139" s="1"/>
  <c r="CP39" i="139"/>
  <c r="CP66" i="139" s="1"/>
  <c r="DO92" i="139" s="1"/>
  <c r="CO28" i="139"/>
  <c r="CP34" i="139"/>
  <c r="CP61" i="139" s="1"/>
  <c r="DO87" i="139" s="1"/>
  <c r="CP33" i="139"/>
  <c r="CP60" i="139" s="1"/>
  <c r="DO86" i="139" s="1"/>
  <c r="CP41" i="139"/>
  <c r="CP68" i="139" s="1"/>
  <c r="DO94" i="139" s="1"/>
  <c r="CP31" i="139"/>
  <c r="CP58" i="139" s="1"/>
  <c r="DO84" i="139" s="1"/>
  <c r="CP37" i="139"/>
  <c r="CP64" i="139" s="1"/>
  <c r="DO90" i="139" s="1"/>
  <c r="CP38" i="139"/>
  <c r="CP65" i="139" s="1"/>
  <c r="DO91" i="139" s="1"/>
  <c r="CP36" i="139"/>
  <c r="CP63" i="139" s="1"/>
  <c r="DO89" i="139" s="1"/>
  <c r="CN28" i="139" l="1"/>
  <c r="CO41" i="139"/>
  <c r="CO68" i="139" s="1"/>
  <c r="DN94" i="139" s="1"/>
  <c r="CO40" i="139"/>
  <c r="CO67" i="139" s="1"/>
  <c r="DN93" i="139" s="1"/>
  <c r="CO31" i="139"/>
  <c r="CO58" i="139" s="1"/>
  <c r="DN84" i="139" s="1"/>
  <c r="CO33" i="139"/>
  <c r="CO60" i="139" s="1"/>
  <c r="DN86" i="139" s="1"/>
  <c r="CO38" i="139"/>
  <c r="CO65" i="139" s="1"/>
  <c r="DN91" i="139" s="1"/>
  <c r="CO37" i="139"/>
  <c r="CO64" i="139" s="1"/>
  <c r="DN90" i="139" s="1"/>
  <c r="CO36" i="139"/>
  <c r="CO63" i="139" s="1"/>
  <c r="DN89" i="139" s="1"/>
  <c r="CO34" i="139"/>
  <c r="CO61" i="139" s="1"/>
  <c r="DN87" i="139" s="1"/>
  <c r="CO32" i="139"/>
  <c r="CO59" i="139" s="1"/>
  <c r="DN85" i="139" s="1"/>
  <c r="CO39" i="139"/>
  <c r="CO66" i="139" s="1"/>
  <c r="DN92" i="139" s="1"/>
  <c r="CO35" i="139"/>
  <c r="CO62" i="139" s="1"/>
  <c r="DN88" i="139" s="1"/>
  <c r="CO30" i="139"/>
  <c r="CO57" i="139" s="1"/>
  <c r="DN83" i="139" s="1"/>
  <c r="CN36" i="139" l="1"/>
  <c r="CN63" i="139" s="1"/>
  <c r="DM89" i="139" s="1"/>
  <c r="CN38" i="139"/>
  <c r="CN65" i="139" s="1"/>
  <c r="DM91" i="139" s="1"/>
  <c r="CN32" i="139"/>
  <c r="CN59" i="139" s="1"/>
  <c r="DM85" i="139" s="1"/>
  <c r="CN34" i="139"/>
  <c r="CN61" i="139" s="1"/>
  <c r="DM87" i="139" s="1"/>
  <c r="CN40" i="139"/>
  <c r="CN67" i="139" s="1"/>
  <c r="DM93" i="139" s="1"/>
  <c r="CN41" i="139"/>
  <c r="CN68" i="139" s="1"/>
  <c r="DM94" i="139" s="1"/>
  <c r="CN37" i="139"/>
  <c r="CN64" i="139" s="1"/>
  <c r="DM90" i="139" s="1"/>
  <c r="CM28" i="139"/>
  <c r="CN39" i="139"/>
  <c r="CN66" i="139" s="1"/>
  <c r="DM92" i="139" s="1"/>
  <c r="CN31" i="139"/>
  <c r="CN58" i="139" s="1"/>
  <c r="DM84" i="139" s="1"/>
  <c r="CN33" i="139"/>
  <c r="CN60" i="139" s="1"/>
  <c r="DM86" i="139" s="1"/>
  <c r="CN30" i="139"/>
  <c r="CN57" i="139" s="1"/>
  <c r="DM83" i="139" s="1"/>
  <c r="CN35" i="139"/>
  <c r="CN62" i="139" s="1"/>
  <c r="DM88" i="139" s="1"/>
  <c r="CM40" i="139" l="1"/>
  <c r="CM67" i="139" s="1"/>
  <c r="DL93" i="139" s="1"/>
  <c r="CM38" i="139"/>
  <c r="CM65" i="139" s="1"/>
  <c r="DL91" i="139" s="1"/>
  <c r="CM33" i="139"/>
  <c r="CM60" i="139" s="1"/>
  <c r="DL86" i="139" s="1"/>
  <c r="CM34" i="139"/>
  <c r="CM61" i="139" s="1"/>
  <c r="DL87" i="139" s="1"/>
  <c r="CM32" i="139"/>
  <c r="CM59" i="139" s="1"/>
  <c r="DL85" i="139" s="1"/>
  <c r="CL28" i="139"/>
  <c r="CM35" i="139"/>
  <c r="CM62" i="139" s="1"/>
  <c r="DL88" i="139" s="1"/>
  <c r="CM37" i="139"/>
  <c r="CM64" i="139" s="1"/>
  <c r="DL90" i="139" s="1"/>
  <c r="CM30" i="139"/>
  <c r="CM57" i="139" s="1"/>
  <c r="DL83" i="139" s="1"/>
  <c r="CM36" i="139"/>
  <c r="CM63" i="139" s="1"/>
  <c r="DL89" i="139" s="1"/>
  <c r="CM39" i="139"/>
  <c r="CM66" i="139" s="1"/>
  <c r="DL92" i="139" s="1"/>
  <c r="CM41" i="139"/>
  <c r="CM68" i="139" s="1"/>
  <c r="DL94" i="139" s="1"/>
  <c r="CM31" i="139"/>
  <c r="CM58" i="139" s="1"/>
  <c r="DL84" i="139" s="1"/>
  <c r="CL40" i="139" l="1"/>
  <c r="CL67" i="139" s="1"/>
  <c r="DK93" i="139" s="1"/>
  <c r="CL37" i="139"/>
  <c r="CL64" i="139" s="1"/>
  <c r="DK90" i="139" s="1"/>
  <c r="CL33" i="139"/>
  <c r="CL60" i="139" s="1"/>
  <c r="DK86" i="139" s="1"/>
  <c r="CL38" i="139"/>
  <c r="CL65" i="139" s="1"/>
  <c r="DK91" i="139" s="1"/>
  <c r="CL31" i="139"/>
  <c r="CL58" i="139" s="1"/>
  <c r="DK84" i="139" s="1"/>
  <c r="CL36" i="139"/>
  <c r="CL63" i="139" s="1"/>
  <c r="DK89" i="139" s="1"/>
  <c r="CL32" i="139"/>
  <c r="CL59" i="139" s="1"/>
  <c r="DK85" i="139" s="1"/>
  <c r="CL30" i="139"/>
  <c r="CL57" i="139" s="1"/>
  <c r="DK83" i="139" s="1"/>
  <c r="CL41" i="139"/>
  <c r="CL68" i="139" s="1"/>
  <c r="DK94" i="139" s="1"/>
  <c r="CK28" i="139"/>
  <c r="CL35" i="139"/>
  <c r="CL62" i="139" s="1"/>
  <c r="DK88" i="139" s="1"/>
  <c r="CL39" i="139"/>
  <c r="CL66" i="139" s="1"/>
  <c r="DK92" i="139" s="1"/>
  <c r="CL34" i="139"/>
  <c r="CL61" i="139" s="1"/>
  <c r="DK87" i="139" s="1"/>
  <c r="CK35" i="139" l="1"/>
  <c r="CK62" i="139" s="1"/>
  <c r="DJ88" i="139" s="1"/>
  <c r="CK33" i="139"/>
  <c r="CK60" i="139" s="1"/>
  <c r="DJ86" i="139" s="1"/>
  <c r="CK30" i="139"/>
  <c r="CK57" i="139" s="1"/>
  <c r="DJ83" i="139" s="1"/>
  <c r="CK34" i="139"/>
  <c r="CK61" i="139" s="1"/>
  <c r="DJ87" i="139" s="1"/>
  <c r="CK39" i="139"/>
  <c r="CK66" i="139" s="1"/>
  <c r="DJ92" i="139" s="1"/>
  <c r="CK31" i="139"/>
  <c r="CK58" i="139" s="1"/>
  <c r="DJ84" i="139" s="1"/>
  <c r="CK37" i="139"/>
  <c r="CK64" i="139" s="1"/>
  <c r="DJ90" i="139" s="1"/>
  <c r="CJ28" i="139"/>
  <c r="CK36" i="139"/>
  <c r="CK63" i="139" s="1"/>
  <c r="DJ89" i="139" s="1"/>
  <c r="CK38" i="139"/>
  <c r="CK65" i="139" s="1"/>
  <c r="DJ91" i="139" s="1"/>
  <c r="CK40" i="139"/>
  <c r="CK67" i="139" s="1"/>
  <c r="DJ93" i="139" s="1"/>
  <c r="CK32" i="139"/>
  <c r="CK59" i="139" s="1"/>
  <c r="DJ85" i="139" s="1"/>
  <c r="CK41" i="139"/>
  <c r="CK68" i="139" s="1"/>
  <c r="DJ94" i="139" s="1"/>
  <c r="CJ31" i="139" l="1"/>
  <c r="CJ58" i="139" s="1"/>
  <c r="DI84" i="139" s="1"/>
  <c r="CJ32" i="139"/>
  <c r="CJ59" i="139" s="1"/>
  <c r="DI85" i="139" s="1"/>
  <c r="CJ40" i="139"/>
  <c r="CJ67" i="139" s="1"/>
  <c r="DI93" i="139" s="1"/>
  <c r="CJ39" i="139"/>
  <c r="CJ66" i="139" s="1"/>
  <c r="DI92" i="139" s="1"/>
  <c r="CJ30" i="139"/>
  <c r="CJ57" i="139" s="1"/>
  <c r="DI83" i="139" s="1"/>
  <c r="CJ41" i="139"/>
  <c r="CJ68" i="139" s="1"/>
  <c r="DI94" i="139" s="1"/>
  <c r="CJ36" i="139"/>
  <c r="CJ63" i="139" s="1"/>
  <c r="DI89" i="139" s="1"/>
  <c r="CJ34" i="139"/>
  <c r="CJ61" i="139" s="1"/>
  <c r="DI87" i="139" s="1"/>
  <c r="CJ38" i="139"/>
  <c r="CJ65" i="139" s="1"/>
  <c r="DI91" i="139" s="1"/>
  <c r="CI28" i="139"/>
  <c r="CJ33" i="139"/>
  <c r="CJ60" i="139" s="1"/>
  <c r="DI86" i="139" s="1"/>
  <c r="CJ35" i="139"/>
  <c r="CJ62" i="139" s="1"/>
  <c r="DI88" i="139" s="1"/>
  <c r="CJ37" i="139"/>
  <c r="CJ64" i="139" s="1"/>
  <c r="DI90" i="139" s="1"/>
  <c r="CI38" i="139" l="1"/>
  <c r="CI65" i="139" s="1"/>
  <c r="DH91" i="139" s="1"/>
  <c r="CI30" i="139"/>
  <c r="CI57" i="139" s="1"/>
  <c r="DH83" i="139" s="1"/>
  <c r="CI40" i="139"/>
  <c r="CI67" i="139" s="1"/>
  <c r="DH93" i="139" s="1"/>
  <c r="CI34" i="139"/>
  <c r="CI61" i="139" s="1"/>
  <c r="DH87" i="139" s="1"/>
  <c r="CI37" i="139"/>
  <c r="CI64" i="139" s="1"/>
  <c r="DH90" i="139" s="1"/>
  <c r="CI36" i="139"/>
  <c r="CI63" i="139" s="1"/>
  <c r="DH89" i="139" s="1"/>
  <c r="CI39" i="139"/>
  <c r="CI66" i="139" s="1"/>
  <c r="DH92" i="139" s="1"/>
  <c r="CI35" i="139"/>
  <c r="CI62" i="139" s="1"/>
  <c r="DH88" i="139" s="1"/>
  <c r="CI41" i="139"/>
  <c r="CI68" i="139" s="1"/>
  <c r="DH94" i="139" s="1"/>
  <c r="CI33" i="139"/>
  <c r="CI60" i="139" s="1"/>
  <c r="DH86" i="139" s="1"/>
  <c r="CI31" i="139"/>
  <c r="CI58" i="139" s="1"/>
  <c r="DH84" i="139" s="1"/>
  <c r="CI32" i="139"/>
  <c r="CI59" i="139" s="1"/>
  <c r="DH85" i="139" s="1"/>
  <c r="CH28" i="139"/>
  <c r="CH38" i="139" l="1"/>
  <c r="CH65" i="139" s="1"/>
  <c r="DG91" i="139" s="1"/>
  <c r="CH37" i="139"/>
  <c r="CH64" i="139" s="1"/>
  <c r="DG90" i="139" s="1"/>
  <c r="CH34" i="139"/>
  <c r="CH61" i="139" s="1"/>
  <c r="DG87" i="139" s="1"/>
  <c r="CH30" i="139"/>
  <c r="CH57" i="139" s="1"/>
  <c r="DG83" i="139" s="1"/>
  <c r="CH40" i="139"/>
  <c r="CH67" i="139" s="1"/>
  <c r="DG93" i="139" s="1"/>
  <c r="CG28" i="139"/>
  <c r="CH39" i="139"/>
  <c r="CH66" i="139" s="1"/>
  <c r="DG92" i="139" s="1"/>
  <c r="CH32" i="139"/>
  <c r="CH59" i="139" s="1"/>
  <c r="DG85" i="139" s="1"/>
  <c r="CH31" i="139"/>
  <c r="CH58" i="139" s="1"/>
  <c r="DG84" i="139" s="1"/>
  <c r="CH35" i="139"/>
  <c r="CH62" i="139" s="1"/>
  <c r="DG88" i="139" s="1"/>
  <c r="CH41" i="139"/>
  <c r="CH68" i="139" s="1"/>
  <c r="DG94" i="139" s="1"/>
  <c r="CH33" i="139"/>
  <c r="CH60" i="139" s="1"/>
  <c r="DG86" i="139" s="1"/>
  <c r="CH36" i="139"/>
  <c r="CH63" i="139" s="1"/>
  <c r="DG89" i="139" s="1"/>
  <c r="CG35" i="139" l="1"/>
  <c r="CG62" i="139" s="1"/>
  <c r="DF88" i="139" s="1"/>
  <c r="CG40" i="139"/>
  <c r="CG67" i="139" s="1"/>
  <c r="DF93" i="139" s="1"/>
  <c r="CG30" i="139"/>
  <c r="CG57" i="139" s="1"/>
  <c r="DF83" i="139" s="1"/>
  <c r="CG31" i="139"/>
  <c r="CG58" i="139" s="1"/>
  <c r="DF84" i="139" s="1"/>
  <c r="CG41" i="139"/>
  <c r="CG68" i="139" s="1"/>
  <c r="DF94" i="139" s="1"/>
  <c r="CG33" i="139"/>
  <c r="CG60" i="139" s="1"/>
  <c r="DF86" i="139" s="1"/>
  <c r="CG39" i="139"/>
  <c r="CG66" i="139" s="1"/>
  <c r="DF92" i="139" s="1"/>
  <c r="CF28" i="139"/>
  <c r="CG32" i="139"/>
  <c r="CG59" i="139" s="1"/>
  <c r="DF85" i="139" s="1"/>
  <c r="CG38" i="139"/>
  <c r="CG65" i="139" s="1"/>
  <c r="DF91" i="139" s="1"/>
  <c r="CG37" i="139"/>
  <c r="CG64" i="139" s="1"/>
  <c r="DF90" i="139" s="1"/>
  <c r="CG34" i="139"/>
  <c r="CG61" i="139" s="1"/>
  <c r="DF87" i="139" s="1"/>
  <c r="CG36" i="139"/>
  <c r="CG63" i="139" s="1"/>
  <c r="DF89" i="139" s="1"/>
  <c r="CE28" i="139" l="1"/>
  <c r="CF32" i="139"/>
  <c r="CF59" i="139" s="1"/>
  <c r="DE85" i="139" s="1"/>
  <c r="CF33" i="139"/>
  <c r="CF60" i="139" s="1"/>
  <c r="DE86" i="139" s="1"/>
  <c r="CF38" i="139"/>
  <c r="CF65" i="139" s="1"/>
  <c r="DE91" i="139" s="1"/>
  <c r="CF30" i="139"/>
  <c r="CF57" i="139" s="1"/>
  <c r="DE83" i="139" s="1"/>
  <c r="CF39" i="139"/>
  <c r="CF66" i="139" s="1"/>
  <c r="DE92" i="139" s="1"/>
  <c r="CF37" i="139"/>
  <c r="CF64" i="139" s="1"/>
  <c r="DE90" i="139" s="1"/>
  <c r="CF36" i="139"/>
  <c r="CF63" i="139" s="1"/>
  <c r="DE89" i="139" s="1"/>
  <c r="CF40" i="139"/>
  <c r="CF67" i="139" s="1"/>
  <c r="DE93" i="139" s="1"/>
  <c r="CF34" i="139"/>
  <c r="CF61" i="139" s="1"/>
  <c r="DE87" i="139" s="1"/>
  <c r="CF35" i="139"/>
  <c r="CF62" i="139" s="1"/>
  <c r="DE88" i="139" s="1"/>
  <c r="CF31" i="139"/>
  <c r="CF58" i="139" s="1"/>
  <c r="DE84" i="139" s="1"/>
  <c r="CF41" i="139"/>
  <c r="CF68" i="139" s="1"/>
  <c r="DE94" i="139" s="1"/>
  <c r="CE39" i="139" l="1"/>
  <c r="CE66" i="139" s="1"/>
  <c r="DD92" i="139" s="1"/>
  <c r="CE34" i="139"/>
  <c r="CE61" i="139" s="1"/>
  <c r="DD87" i="139" s="1"/>
  <c r="CE30" i="139"/>
  <c r="CE57" i="139" s="1"/>
  <c r="DD83" i="139" s="1"/>
  <c r="CE37" i="139"/>
  <c r="CE64" i="139" s="1"/>
  <c r="DD90" i="139" s="1"/>
  <c r="CE31" i="139"/>
  <c r="CE58" i="139" s="1"/>
  <c r="DD84" i="139" s="1"/>
  <c r="CE41" i="139"/>
  <c r="CE68" i="139" s="1"/>
  <c r="DD94" i="139" s="1"/>
  <c r="CD28" i="139"/>
  <c r="CE40" i="139"/>
  <c r="CE67" i="139" s="1"/>
  <c r="DD93" i="139" s="1"/>
  <c r="CE33" i="139"/>
  <c r="CE60" i="139" s="1"/>
  <c r="DD86" i="139" s="1"/>
  <c r="CE35" i="139"/>
  <c r="CE62" i="139" s="1"/>
  <c r="DD88" i="139" s="1"/>
  <c r="CE36" i="139"/>
  <c r="CE63" i="139" s="1"/>
  <c r="DD89" i="139" s="1"/>
  <c r="CE38" i="139"/>
  <c r="CE65" i="139" s="1"/>
  <c r="DD91" i="139" s="1"/>
  <c r="CE32" i="139"/>
  <c r="CE59" i="139" s="1"/>
  <c r="DD85" i="139" s="1"/>
  <c r="CD35" i="139" l="1"/>
  <c r="CD62" i="139" s="1"/>
  <c r="DC88" i="139" s="1"/>
  <c r="CD37" i="139"/>
  <c r="CD64" i="139" s="1"/>
  <c r="DC90" i="139" s="1"/>
  <c r="CD40" i="139"/>
  <c r="CD67" i="139" s="1"/>
  <c r="DC93" i="139" s="1"/>
  <c r="CD39" i="139"/>
  <c r="CD66" i="139" s="1"/>
  <c r="DC92" i="139" s="1"/>
  <c r="CD31" i="139"/>
  <c r="CD58" i="139" s="1"/>
  <c r="DC84" i="139" s="1"/>
  <c r="CD36" i="139"/>
  <c r="CD63" i="139" s="1"/>
  <c r="DC89" i="139" s="1"/>
  <c r="CD32" i="139"/>
  <c r="CD59" i="139" s="1"/>
  <c r="DC85" i="139" s="1"/>
  <c r="CC28" i="139"/>
  <c r="CD30" i="139"/>
  <c r="CD57" i="139" s="1"/>
  <c r="DC83" i="139" s="1"/>
  <c r="CD38" i="139"/>
  <c r="CD65" i="139" s="1"/>
  <c r="DC91" i="139" s="1"/>
  <c r="CD34" i="139"/>
  <c r="CD61" i="139" s="1"/>
  <c r="DC87" i="139" s="1"/>
  <c r="CD41" i="139"/>
  <c r="CD68" i="139" s="1"/>
  <c r="DC94" i="139" s="1"/>
  <c r="CD33" i="139"/>
  <c r="CD60" i="139" s="1"/>
  <c r="DC86" i="139" s="1"/>
  <c r="CC36" i="139" l="1"/>
  <c r="CC63" i="139" s="1"/>
  <c r="DB89" i="139" s="1"/>
  <c r="CC33" i="139"/>
  <c r="CC60" i="139" s="1"/>
  <c r="DB86" i="139" s="1"/>
  <c r="CC40" i="139"/>
  <c r="CC67" i="139" s="1"/>
  <c r="DB93" i="139" s="1"/>
  <c r="CC38" i="139"/>
  <c r="CC65" i="139" s="1"/>
  <c r="DB91" i="139" s="1"/>
  <c r="CC30" i="139"/>
  <c r="CC57" i="139" s="1"/>
  <c r="DB83" i="139" s="1"/>
  <c r="CC31" i="139"/>
  <c r="CC58" i="139" s="1"/>
  <c r="DB84" i="139" s="1"/>
  <c r="CC32" i="139"/>
  <c r="CC59" i="139" s="1"/>
  <c r="DB85" i="139" s="1"/>
  <c r="CC34" i="139"/>
  <c r="CC61" i="139" s="1"/>
  <c r="DB87" i="139" s="1"/>
  <c r="CC39" i="139"/>
  <c r="CC66" i="139" s="1"/>
  <c r="DB92" i="139" s="1"/>
  <c r="CC41" i="139"/>
  <c r="CC68" i="139" s="1"/>
  <c r="DB94" i="139" s="1"/>
  <c r="CC35" i="139"/>
  <c r="CC62" i="139" s="1"/>
  <c r="DB88" i="139" s="1"/>
  <c r="CC37" i="139"/>
  <c r="CC64" i="139" s="1"/>
  <c r="DB90" i="139" s="1"/>
  <c r="CB28" i="139"/>
  <c r="CB31" i="139" l="1"/>
  <c r="CB58" i="139" s="1"/>
  <c r="DA84" i="139" s="1"/>
  <c r="CB35" i="139"/>
  <c r="CB62" i="139" s="1"/>
  <c r="DA88" i="139" s="1"/>
  <c r="CB32" i="139"/>
  <c r="CB59" i="139" s="1"/>
  <c r="DA85" i="139" s="1"/>
  <c r="CB41" i="139"/>
  <c r="CB68" i="139" s="1"/>
  <c r="DA94" i="139" s="1"/>
  <c r="CB36" i="139"/>
  <c r="CB63" i="139" s="1"/>
  <c r="DA89" i="139" s="1"/>
  <c r="CB34" i="139"/>
  <c r="CB61" i="139" s="1"/>
  <c r="DA87" i="139" s="1"/>
  <c r="CB30" i="139"/>
  <c r="CB57" i="139" s="1"/>
  <c r="DA83" i="139" s="1"/>
  <c r="CB38" i="139"/>
  <c r="CB65" i="139" s="1"/>
  <c r="DA91" i="139" s="1"/>
  <c r="CB37" i="139"/>
  <c r="CB64" i="139" s="1"/>
  <c r="DA90" i="139" s="1"/>
  <c r="CB39" i="139"/>
  <c r="CB66" i="139" s="1"/>
  <c r="DA92" i="139" s="1"/>
  <c r="CB40" i="139"/>
  <c r="CB67" i="139" s="1"/>
  <c r="DA93" i="139" s="1"/>
  <c r="CA28" i="139"/>
  <c r="CB33" i="139"/>
  <c r="CB60" i="139" s="1"/>
  <c r="DA86" i="139" s="1"/>
  <c r="CA37" i="139" l="1"/>
  <c r="CA64" i="139" s="1"/>
  <c r="CZ90" i="139" s="1"/>
  <c r="CA41" i="139"/>
  <c r="CA68" i="139" s="1"/>
  <c r="CZ94" i="139" s="1"/>
  <c r="CA33" i="139"/>
  <c r="CA60" i="139" s="1"/>
  <c r="CZ86" i="139" s="1"/>
  <c r="CA30" i="139"/>
  <c r="CA57" i="139" s="1"/>
  <c r="CZ83" i="139" s="1"/>
  <c r="CA40" i="139"/>
  <c r="CA67" i="139" s="1"/>
  <c r="CZ93" i="139" s="1"/>
  <c r="CA34" i="139"/>
  <c r="CA61" i="139" s="1"/>
  <c r="CZ87" i="139" s="1"/>
  <c r="BZ28" i="139"/>
  <c r="CA35" i="139"/>
  <c r="CA62" i="139" s="1"/>
  <c r="CZ88" i="139" s="1"/>
  <c r="CA32" i="139"/>
  <c r="CA59" i="139" s="1"/>
  <c r="CZ85" i="139" s="1"/>
  <c r="CA31" i="139"/>
  <c r="CA58" i="139" s="1"/>
  <c r="CZ84" i="139" s="1"/>
  <c r="CA36" i="139"/>
  <c r="CA63" i="139" s="1"/>
  <c r="CZ89" i="139" s="1"/>
  <c r="CA39" i="139"/>
  <c r="CA66" i="139" s="1"/>
  <c r="CZ92" i="139" s="1"/>
  <c r="CA38" i="139"/>
  <c r="CA65" i="139" s="1"/>
  <c r="CZ91" i="139" s="1"/>
  <c r="BZ40" i="139" l="1"/>
  <c r="BZ67" i="139" s="1"/>
  <c r="CY93" i="139" s="1"/>
  <c r="BZ38" i="139"/>
  <c r="BZ65" i="139" s="1"/>
  <c r="CY91" i="139" s="1"/>
  <c r="BZ39" i="139"/>
  <c r="BZ66" i="139" s="1"/>
  <c r="CY92" i="139" s="1"/>
  <c r="BZ33" i="139"/>
  <c r="BZ60" i="139" s="1"/>
  <c r="CY86" i="139" s="1"/>
  <c r="BZ36" i="139"/>
  <c r="BZ63" i="139" s="1"/>
  <c r="CY89" i="139" s="1"/>
  <c r="BZ41" i="139"/>
  <c r="BZ68" i="139" s="1"/>
  <c r="CY94" i="139" s="1"/>
  <c r="BZ34" i="139"/>
  <c r="BZ61" i="139" s="1"/>
  <c r="CY87" i="139" s="1"/>
  <c r="BZ31" i="139"/>
  <c r="BZ58" i="139" s="1"/>
  <c r="CY84" i="139" s="1"/>
  <c r="BZ30" i="139"/>
  <c r="BZ57" i="139" s="1"/>
  <c r="CY83" i="139" s="1"/>
  <c r="BY28" i="139"/>
  <c r="BZ37" i="139"/>
  <c r="BZ64" i="139" s="1"/>
  <c r="CY90" i="139" s="1"/>
  <c r="BZ35" i="139"/>
  <c r="BZ62" i="139" s="1"/>
  <c r="CY88" i="139" s="1"/>
  <c r="BZ32" i="139"/>
  <c r="BZ59" i="139" s="1"/>
  <c r="CY85" i="139" s="1"/>
  <c r="BY38" i="139" l="1"/>
  <c r="BY65" i="139" s="1"/>
  <c r="CX91" i="139" s="1"/>
  <c r="BY33" i="139"/>
  <c r="BY60" i="139" s="1"/>
  <c r="CX86" i="139" s="1"/>
  <c r="BY35" i="139"/>
  <c r="BY62" i="139" s="1"/>
  <c r="CX88" i="139" s="1"/>
  <c r="BY39" i="139"/>
  <c r="BY66" i="139" s="1"/>
  <c r="CX92" i="139" s="1"/>
  <c r="BY32" i="139"/>
  <c r="BY59" i="139" s="1"/>
  <c r="CX85" i="139" s="1"/>
  <c r="BY31" i="139"/>
  <c r="BY58" i="139" s="1"/>
  <c r="CX84" i="139" s="1"/>
  <c r="BY30" i="139"/>
  <c r="BY57" i="139" s="1"/>
  <c r="CX83" i="139" s="1"/>
  <c r="BY40" i="139"/>
  <c r="BY67" i="139" s="1"/>
  <c r="CX93" i="139" s="1"/>
  <c r="BY37" i="139"/>
  <c r="BY64" i="139" s="1"/>
  <c r="CX90" i="139" s="1"/>
  <c r="BX28" i="139"/>
  <c r="BY36" i="139"/>
  <c r="BY63" i="139" s="1"/>
  <c r="CX89" i="139" s="1"/>
  <c r="BY41" i="139"/>
  <c r="BY68" i="139" s="1"/>
  <c r="CX94" i="139" s="1"/>
  <c r="BY34" i="139"/>
  <c r="BY61" i="139" s="1"/>
  <c r="CX87" i="139" s="1"/>
  <c r="BX34" i="139" l="1"/>
  <c r="BX61" i="139" s="1"/>
  <c r="CW87" i="139" s="1"/>
  <c r="BX41" i="139"/>
  <c r="BX68" i="139" s="1"/>
  <c r="CW94" i="139" s="1"/>
  <c r="BX40" i="139"/>
  <c r="BX67" i="139" s="1"/>
  <c r="CW93" i="139" s="1"/>
  <c r="BX31" i="139"/>
  <c r="BX58" i="139" s="1"/>
  <c r="CW84" i="139" s="1"/>
  <c r="BX38" i="139"/>
  <c r="BX65" i="139" s="1"/>
  <c r="CW91" i="139" s="1"/>
  <c r="BX30" i="139"/>
  <c r="BX57" i="139" s="1"/>
  <c r="CW83" i="139" s="1"/>
  <c r="BX36" i="139"/>
  <c r="BX63" i="139" s="1"/>
  <c r="CW89" i="139" s="1"/>
  <c r="BX35" i="139"/>
  <c r="BX62" i="139" s="1"/>
  <c r="CW88" i="139" s="1"/>
  <c r="BX37" i="139"/>
  <c r="BX64" i="139" s="1"/>
  <c r="CW90" i="139" s="1"/>
  <c r="BX32" i="139"/>
  <c r="BX59" i="139" s="1"/>
  <c r="CW85" i="139" s="1"/>
  <c r="BX39" i="139"/>
  <c r="BX66" i="139" s="1"/>
  <c r="CW92" i="139" s="1"/>
  <c r="BW28" i="139"/>
  <c r="BX33" i="139"/>
  <c r="BX60" i="139" s="1"/>
  <c r="CW86" i="139" s="1"/>
  <c r="BV28" i="139" l="1"/>
  <c r="BW37" i="139"/>
  <c r="BW64" i="139" s="1"/>
  <c r="CV90" i="139" s="1"/>
  <c r="BW36" i="139"/>
  <c r="BW63" i="139" s="1"/>
  <c r="CV89" i="139" s="1"/>
  <c r="BW39" i="139"/>
  <c r="BW66" i="139" s="1"/>
  <c r="CV92" i="139" s="1"/>
  <c r="BW30" i="139"/>
  <c r="BW57" i="139" s="1"/>
  <c r="CV83" i="139" s="1"/>
  <c r="BW32" i="139"/>
  <c r="BW59" i="139" s="1"/>
  <c r="CV85" i="139" s="1"/>
  <c r="BW31" i="139"/>
  <c r="BW58" i="139" s="1"/>
  <c r="CV84" i="139" s="1"/>
  <c r="BW35" i="139"/>
  <c r="BW62" i="139" s="1"/>
  <c r="CV88" i="139" s="1"/>
  <c r="BW38" i="139"/>
  <c r="BW65" i="139" s="1"/>
  <c r="CV91" i="139" s="1"/>
  <c r="BW41" i="139"/>
  <c r="BW68" i="139" s="1"/>
  <c r="CV94" i="139" s="1"/>
  <c r="BW33" i="139"/>
  <c r="BW60" i="139" s="1"/>
  <c r="CV86" i="139" s="1"/>
  <c r="BW40" i="139"/>
  <c r="BW67" i="139" s="1"/>
  <c r="CV93" i="139" s="1"/>
  <c r="BW34" i="139"/>
  <c r="BW61" i="139" s="1"/>
  <c r="CV87" i="139" s="1"/>
  <c r="BV37" i="139" l="1"/>
  <c r="BV64" i="139" s="1"/>
  <c r="CU90" i="139" s="1"/>
  <c r="BV38" i="139"/>
  <c r="BV65" i="139" s="1"/>
  <c r="CU91" i="139" s="1"/>
  <c r="BV39" i="139"/>
  <c r="BV66" i="139" s="1"/>
  <c r="CU92" i="139" s="1"/>
  <c r="BV30" i="139"/>
  <c r="BV57" i="139" s="1"/>
  <c r="CU83" i="139" s="1"/>
  <c r="BV41" i="139"/>
  <c r="BV68" i="139" s="1"/>
  <c r="CU94" i="139" s="1"/>
  <c r="BV36" i="139"/>
  <c r="BV63" i="139" s="1"/>
  <c r="CU89" i="139" s="1"/>
  <c r="BU28" i="139"/>
  <c r="BV34" i="139"/>
  <c r="BV61" i="139" s="1"/>
  <c r="CU87" i="139" s="1"/>
  <c r="BV40" i="139"/>
  <c r="BV67" i="139" s="1"/>
  <c r="CU93" i="139" s="1"/>
  <c r="BV32" i="139"/>
  <c r="BV59" i="139" s="1"/>
  <c r="CU85" i="139" s="1"/>
  <c r="BV35" i="139"/>
  <c r="BV62" i="139" s="1"/>
  <c r="CU88" i="139" s="1"/>
  <c r="BV31" i="139"/>
  <c r="BV58" i="139" s="1"/>
  <c r="CU84" i="139" s="1"/>
  <c r="BV33" i="139"/>
  <c r="BV60" i="139" s="1"/>
  <c r="CU86" i="139" s="1"/>
  <c r="BT28" i="139" l="1"/>
  <c r="BU38" i="139"/>
  <c r="BU65" i="139" s="1"/>
  <c r="CT91" i="139" s="1"/>
  <c r="BU39" i="139"/>
  <c r="BU66" i="139" s="1"/>
  <c r="CT92" i="139" s="1"/>
  <c r="BU32" i="139"/>
  <c r="BU59" i="139" s="1"/>
  <c r="CT85" i="139" s="1"/>
  <c r="BU37" i="139"/>
  <c r="BU64" i="139" s="1"/>
  <c r="CT90" i="139" s="1"/>
  <c r="BU33" i="139"/>
  <c r="BU60" i="139" s="1"/>
  <c r="CT86" i="139" s="1"/>
  <c r="BU41" i="139"/>
  <c r="BU68" i="139" s="1"/>
  <c r="CT94" i="139" s="1"/>
  <c r="BU35" i="139"/>
  <c r="BU62" i="139" s="1"/>
  <c r="CT88" i="139" s="1"/>
  <c r="BU40" i="139"/>
  <c r="BU67" i="139" s="1"/>
  <c r="CT93" i="139" s="1"/>
  <c r="BU34" i="139"/>
  <c r="BU61" i="139" s="1"/>
  <c r="CT87" i="139" s="1"/>
  <c r="BU36" i="139"/>
  <c r="BU63" i="139" s="1"/>
  <c r="CT89" i="139" s="1"/>
  <c r="BU31" i="139"/>
  <c r="BU58" i="139" s="1"/>
  <c r="CT84" i="139" s="1"/>
  <c r="BU30" i="139"/>
  <c r="BU57" i="139" s="1"/>
  <c r="CT83" i="139" s="1"/>
  <c r="BT32" i="139" l="1"/>
  <c r="BT59" i="139" s="1"/>
  <c r="CS85" i="139" s="1"/>
  <c r="BT39" i="139"/>
  <c r="BT66" i="139" s="1"/>
  <c r="CS92" i="139" s="1"/>
  <c r="BT38" i="139"/>
  <c r="BT65" i="139" s="1"/>
  <c r="CS91" i="139" s="1"/>
  <c r="BT30" i="139"/>
  <c r="BT57" i="139" s="1"/>
  <c r="CS83" i="139" s="1"/>
  <c r="BT41" i="139"/>
  <c r="BT68" i="139" s="1"/>
  <c r="CS94" i="139" s="1"/>
  <c r="BT33" i="139"/>
  <c r="BT60" i="139" s="1"/>
  <c r="CS86" i="139" s="1"/>
  <c r="BT35" i="139"/>
  <c r="BT62" i="139" s="1"/>
  <c r="CS88" i="139" s="1"/>
  <c r="BT34" i="139"/>
  <c r="BT61" i="139" s="1"/>
  <c r="CS87" i="139" s="1"/>
  <c r="BT36" i="139"/>
  <c r="BT63" i="139" s="1"/>
  <c r="CS89" i="139" s="1"/>
  <c r="BS28" i="139"/>
  <c r="BT40" i="139"/>
  <c r="BT67" i="139" s="1"/>
  <c r="CS93" i="139" s="1"/>
  <c r="BT37" i="139"/>
  <c r="BT64" i="139" s="1"/>
  <c r="CS90" i="139" s="1"/>
  <c r="BT31" i="139"/>
  <c r="BT58" i="139" s="1"/>
  <c r="CS84" i="139" s="1"/>
  <c r="BS31" i="139" l="1"/>
  <c r="BS58" i="139" s="1"/>
  <c r="CR84" i="139" s="1"/>
  <c r="BS34" i="139"/>
  <c r="BS61" i="139" s="1"/>
  <c r="CR87" i="139" s="1"/>
  <c r="BS32" i="139"/>
  <c r="BS59" i="139" s="1"/>
  <c r="CR85" i="139" s="1"/>
  <c r="BS35" i="139"/>
  <c r="BS62" i="139" s="1"/>
  <c r="CR88" i="139" s="1"/>
  <c r="BS38" i="139"/>
  <c r="BS65" i="139" s="1"/>
  <c r="CR91" i="139" s="1"/>
  <c r="BR28" i="139"/>
  <c r="BS33" i="139"/>
  <c r="BS60" i="139" s="1"/>
  <c r="CR86" i="139" s="1"/>
  <c r="BS30" i="139"/>
  <c r="BS57" i="139" s="1"/>
  <c r="CR83" i="139" s="1"/>
  <c r="BS39" i="139"/>
  <c r="BS66" i="139" s="1"/>
  <c r="CR92" i="139" s="1"/>
  <c r="BS36" i="139"/>
  <c r="BS63" i="139" s="1"/>
  <c r="CR89" i="139" s="1"/>
  <c r="BS41" i="139"/>
  <c r="BS68" i="139" s="1"/>
  <c r="CR94" i="139" s="1"/>
  <c r="BS40" i="139"/>
  <c r="BS67" i="139" s="1"/>
  <c r="CR93" i="139" s="1"/>
  <c r="BS37" i="139"/>
  <c r="BS64" i="139" s="1"/>
  <c r="CR90" i="139" s="1"/>
  <c r="BR36" i="139" l="1"/>
  <c r="BR63" i="139" s="1"/>
  <c r="CQ89" i="139" s="1"/>
  <c r="BQ28" i="139"/>
  <c r="BR41" i="139"/>
  <c r="BR68" i="139" s="1"/>
  <c r="CQ94" i="139" s="1"/>
  <c r="BR37" i="139"/>
  <c r="BR64" i="139" s="1"/>
  <c r="CQ90" i="139" s="1"/>
  <c r="BR38" i="139"/>
  <c r="BR65" i="139" s="1"/>
  <c r="CQ91" i="139" s="1"/>
  <c r="BR30" i="139"/>
  <c r="BR57" i="139" s="1"/>
  <c r="CQ83" i="139" s="1"/>
  <c r="BR39" i="139"/>
  <c r="BR66" i="139" s="1"/>
  <c r="CQ92" i="139" s="1"/>
  <c r="BR31" i="139"/>
  <c r="BR58" i="139" s="1"/>
  <c r="CQ84" i="139" s="1"/>
  <c r="BR34" i="139"/>
  <c r="BR61" i="139" s="1"/>
  <c r="CQ87" i="139" s="1"/>
  <c r="BR33" i="139"/>
  <c r="BR60" i="139" s="1"/>
  <c r="CQ86" i="139" s="1"/>
  <c r="BR40" i="139"/>
  <c r="BR67" i="139" s="1"/>
  <c r="CQ93" i="139" s="1"/>
  <c r="BR32" i="139"/>
  <c r="BR59" i="139" s="1"/>
  <c r="CQ85" i="139" s="1"/>
  <c r="BR35" i="139"/>
  <c r="BR62" i="139" s="1"/>
  <c r="CQ88" i="139" s="1"/>
  <c r="BQ36" i="139" l="1"/>
  <c r="BQ63" i="139" s="1"/>
  <c r="CP89" i="139" s="1"/>
  <c r="BQ38" i="139"/>
  <c r="BQ65" i="139" s="1"/>
  <c r="CP91" i="139" s="1"/>
  <c r="BQ41" i="139"/>
  <c r="BQ68" i="139" s="1"/>
  <c r="CP94" i="139" s="1"/>
  <c r="BP28" i="139"/>
  <c r="BQ40" i="139"/>
  <c r="BQ67" i="139" s="1"/>
  <c r="CP93" i="139" s="1"/>
  <c r="BQ30" i="139"/>
  <c r="BQ57" i="139" s="1"/>
  <c r="CP83" i="139" s="1"/>
  <c r="BQ34" i="139"/>
  <c r="BQ61" i="139" s="1"/>
  <c r="CP87" i="139" s="1"/>
  <c r="BQ39" i="139"/>
  <c r="BQ66" i="139" s="1"/>
  <c r="CP92" i="139" s="1"/>
  <c r="BQ32" i="139"/>
  <c r="BQ59" i="139" s="1"/>
  <c r="CP85" i="139" s="1"/>
  <c r="BQ31" i="139"/>
  <c r="BQ58" i="139" s="1"/>
  <c r="CP84" i="139" s="1"/>
  <c r="BQ37" i="139"/>
  <c r="BQ64" i="139" s="1"/>
  <c r="CP90" i="139" s="1"/>
  <c r="BQ33" i="139"/>
  <c r="BQ60" i="139" s="1"/>
  <c r="CP86" i="139" s="1"/>
  <c r="BQ35" i="139"/>
  <c r="BQ62" i="139" s="1"/>
  <c r="CP88" i="139" s="1"/>
  <c r="BP40" i="139" l="1"/>
  <c r="BP67" i="139" s="1"/>
  <c r="CO93" i="139" s="1"/>
  <c r="BP34" i="139"/>
  <c r="BP61" i="139" s="1"/>
  <c r="CO87" i="139" s="1"/>
  <c r="BP39" i="139"/>
  <c r="BP66" i="139" s="1"/>
  <c r="CO92" i="139" s="1"/>
  <c r="BP30" i="139"/>
  <c r="BP57" i="139" s="1"/>
  <c r="CO83" i="139" s="1"/>
  <c r="BP31" i="139"/>
  <c r="BP58" i="139" s="1"/>
  <c r="CO84" i="139" s="1"/>
  <c r="BP33" i="139"/>
  <c r="BP60" i="139" s="1"/>
  <c r="CO86" i="139" s="1"/>
  <c r="BO28" i="139"/>
  <c r="BP32" i="139"/>
  <c r="BP59" i="139" s="1"/>
  <c r="CO85" i="139" s="1"/>
  <c r="BP37" i="139"/>
  <c r="BP64" i="139" s="1"/>
  <c r="CO90" i="139" s="1"/>
  <c r="BP36" i="139"/>
  <c r="BP63" i="139" s="1"/>
  <c r="CO89" i="139" s="1"/>
  <c r="BP35" i="139"/>
  <c r="BP62" i="139" s="1"/>
  <c r="CO88" i="139" s="1"/>
  <c r="BP41" i="139"/>
  <c r="BP68" i="139" s="1"/>
  <c r="CO94" i="139" s="1"/>
  <c r="BP38" i="139"/>
  <c r="BP65" i="139" s="1"/>
  <c r="CO91" i="139" s="1"/>
  <c r="BN28" i="139" l="1"/>
  <c r="BO32" i="139"/>
  <c r="BO59" i="139" s="1"/>
  <c r="CN85" i="139" s="1"/>
  <c r="BO39" i="139"/>
  <c r="BO66" i="139" s="1"/>
  <c r="CN92" i="139" s="1"/>
  <c r="BO37" i="139"/>
  <c r="BO64" i="139" s="1"/>
  <c r="CN90" i="139" s="1"/>
  <c r="BO34" i="139"/>
  <c r="BO61" i="139" s="1"/>
  <c r="CN87" i="139" s="1"/>
  <c r="BO30" i="139"/>
  <c r="BO57" i="139" s="1"/>
  <c r="CN83" i="139" s="1"/>
  <c r="BO40" i="139"/>
  <c r="BO67" i="139" s="1"/>
  <c r="CN93" i="139" s="1"/>
  <c r="BO36" i="139"/>
  <c r="BO63" i="139" s="1"/>
  <c r="CN89" i="139" s="1"/>
  <c r="BO33" i="139"/>
  <c r="BO60" i="139" s="1"/>
  <c r="CN86" i="139" s="1"/>
  <c r="BO31" i="139"/>
  <c r="BO58" i="139" s="1"/>
  <c r="CN84" i="139" s="1"/>
  <c r="BO38" i="139"/>
  <c r="BO65" i="139" s="1"/>
  <c r="CN91" i="139" s="1"/>
  <c r="BO41" i="139"/>
  <c r="BO68" i="139" s="1"/>
  <c r="CN94" i="139" s="1"/>
  <c r="BO35" i="139"/>
  <c r="BO62" i="139" s="1"/>
  <c r="CN88" i="139" s="1"/>
  <c r="BM28" i="139" l="1"/>
  <c r="BN31" i="139"/>
  <c r="BN58" i="139" s="1"/>
  <c r="CM84" i="139" s="1"/>
  <c r="BN37" i="139"/>
  <c r="BN64" i="139" s="1"/>
  <c r="CM90" i="139" s="1"/>
  <c r="BN36" i="139"/>
  <c r="BN63" i="139" s="1"/>
  <c r="CM89" i="139" s="1"/>
  <c r="BN33" i="139"/>
  <c r="BN60" i="139" s="1"/>
  <c r="CM86" i="139" s="1"/>
  <c r="BN34" i="139"/>
  <c r="BN61" i="139" s="1"/>
  <c r="CM87" i="139" s="1"/>
  <c r="BN35" i="139"/>
  <c r="BN62" i="139" s="1"/>
  <c r="CM88" i="139" s="1"/>
  <c r="BN38" i="139"/>
  <c r="BN65" i="139" s="1"/>
  <c r="CM91" i="139" s="1"/>
  <c r="BN39" i="139"/>
  <c r="BN66" i="139" s="1"/>
  <c r="CM92" i="139" s="1"/>
  <c r="BN32" i="139"/>
  <c r="BN59" i="139" s="1"/>
  <c r="CM85" i="139" s="1"/>
  <c r="BN30" i="139"/>
  <c r="BN57" i="139" s="1"/>
  <c r="CM83" i="139" s="1"/>
  <c r="BN40" i="139"/>
  <c r="BN67" i="139" s="1"/>
  <c r="CM93" i="139" s="1"/>
  <c r="BN41" i="139"/>
  <c r="BN68" i="139" s="1"/>
  <c r="CM94" i="139" s="1"/>
  <c r="BM38" i="139" l="1"/>
  <c r="BM65" i="139" s="1"/>
  <c r="CL91" i="139" s="1"/>
  <c r="BM39" i="139"/>
  <c r="BM66" i="139" s="1"/>
  <c r="CL92" i="139" s="1"/>
  <c r="BM30" i="139"/>
  <c r="BM57" i="139" s="1"/>
  <c r="CL83" i="139" s="1"/>
  <c r="BM32" i="139"/>
  <c r="BM59" i="139" s="1"/>
  <c r="CL85" i="139" s="1"/>
  <c r="BM40" i="139"/>
  <c r="BM67" i="139" s="1"/>
  <c r="CL93" i="139" s="1"/>
  <c r="BM31" i="139"/>
  <c r="BM58" i="139" s="1"/>
  <c r="CL84" i="139" s="1"/>
  <c r="BM36" i="139"/>
  <c r="BM63" i="139" s="1"/>
  <c r="CL89" i="139" s="1"/>
  <c r="BM41" i="139"/>
  <c r="BM68" i="139" s="1"/>
  <c r="CL94" i="139" s="1"/>
  <c r="BM35" i="139"/>
  <c r="BM62" i="139" s="1"/>
  <c r="CL88" i="139" s="1"/>
  <c r="BL28" i="139"/>
  <c r="BM37" i="139"/>
  <c r="BM64" i="139" s="1"/>
  <c r="CL90" i="139" s="1"/>
  <c r="BM33" i="139"/>
  <c r="BM60" i="139" s="1"/>
  <c r="CL86" i="139" s="1"/>
  <c r="BM34" i="139"/>
  <c r="BM61" i="139" s="1"/>
  <c r="CL87" i="139" s="1"/>
  <c r="BL32" i="139" l="1"/>
  <c r="BL59" i="139" s="1"/>
  <c r="CK85" i="139" s="1"/>
  <c r="BL30" i="139"/>
  <c r="BL57" i="139" s="1"/>
  <c r="CK83" i="139" s="1"/>
  <c r="BL31" i="139"/>
  <c r="BL58" i="139" s="1"/>
  <c r="CK84" i="139" s="1"/>
  <c r="BL38" i="139"/>
  <c r="BL65" i="139" s="1"/>
  <c r="CK91" i="139" s="1"/>
  <c r="BL34" i="139"/>
  <c r="BL61" i="139" s="1"/>
  <c r="CK87" i="139" s="1"/>
  <c r="BL35" i="139"/>
  <c r="BL62" i="139" s="1"/>
  <c r="CK88" i="139" s="1"/>
  <c r="BL41" i="139"/>
  <c r="BL68" i="139" s="1"/>
  <c r="CK94" i="139" s="1"/>
  <c r="BL39" i="139"/>
  <c r="BL66" i="139" s="1"/>
  <c r="CK92" i="139" s="1"/>
  <c r="BL33" i="139"/>
  <c r="BL60" i="139" s="1"/>
  <c r="CK86" i="139" s="1"/>
  <c r="BL36" i="139"/>
  <c r="BL63" i="139" s="1"/>
  <c r="CK89" i="139" s="1"/>
  <c r="BL40" i="139"/>
  <c r="BL67" i="139" s="1"/>
  <c r="CK93" i="139" s="1"/>
  <c r="BL37" i="139"/>
  <c r="BL64" i="139" s="1"/>
  <c r="CK90" i="139" s="1"/>
  <c r="BK28" i="139"/>
  <c r="BK40" i="139" l="1"/>
  <c r="BK67" i="139" s="1"/>
  <c r="CJ93" i="139" s="1"/>
  <c r="BK31" i="139"/>
  <c r="BK58" i="139" s="1"/>
  <c r="CJ84" i="139" s="1"/>
  <c r="BK36" i="139"/>
  <c r="BK63" i="139" s="1"/>
  <c r="CJ89" i="139" s="1"/>
  <c r="BK38" i="139"/>
  <c r="BK65" i="139" s="1"/>
  <c r="CJ91" i="139" s="1"/>
  <c r="BK35" i="139"/>
  <c r="BK62" i="139" s="1"/>
  <c r="CJ88" i="139" s="1"/>
  <c r="BK32" i="139"/>
  <c r="BK59" i="139" s="1"/>
  <c r="CJ85" i="139" s="1"/>
  <c r="BJ28" i="139"/>
  <c r="BK30" i="139"/>
  <c r="BK57" i="139" s="1"/>
  <c r="CJ83" i="139" s="1"/>
  <c r="BK37" i="139"/>
  <c r="BK64" i="139" s="1"/>
  <c r="CJ90" i="139" s="1"/>
  <c r="BK39" i="139"/>
  <c r="BK66" i="139" s="1"/>
  <c r="CJ92" i="139" s="1"/>
  <c r="BK33" i="139"/>
  <c r="BK60" i="139" s="1"/>
  <c r="CJ86" i="139" s="1"/>
  <c r="BK34" i="139"/>
  <c r="BK61" i="139" s="1"/>
  <c r="CJ87" i="139" s="1"/>
  <c r="BK41" i="139"/>
  <c r="BK68" i="139" s="1"/>
  <c r="CJ94" i="139" s="1"/>
  <c r="BJ40" i="139" l="1"/>
  <c r="BJ67" i="139" s="1"/>
  <c r="CI93" i="139" s="1"/>
  <c r="BJ33" i="139"/>
  <c r="BJ60" i="139" s="1"/>
  <c r="CI86" i="139" s="1"/>
  <c r="BJ37" i="139"/>
  <c r="BJ64" i="139" s="1"/>
  <c r="CI90" i="139" s="1"/>
  <c r="BJ35" i="139"/>
  <c r="BJ62" i="139" s="1"/>
  <c r="CI88" i="139" s="1"/>
  <c r="BJ31" i="139"/>
  <c r="BJ58" i="139" s="1"/>
  <c r="CI84" i="139" s="1"/>
  <c r="BJ34" i="139"/>
  <c r="BJ61" i="139" s="1"/>
  <c r="CI87" i="139" s="1"/>
  <c r="BJ39" i="139"/>
  <c r="BJ66" i="139" s="1"/>
  <c r="CI92" i="139" s="1"/>
  <c r="BJ36" i="139"/>
  <c r="BJ63" i="139" s="1"/>
  <c r="CI89" i="139" s="1"/>
  <c r="BJ41" i="139"/>
  <c r="BJ68" i="139" s="1"/>
  <c r="CI94" i="139" s="1"/>
  <c r="BJ38" i="139"/>
  <c r="BJ65" i="139" s="1"/>
  <c r="CI91" i="139" s="1"/>
  <c r="BJ32" i="139"/>
  <c r="BJ59" i="139" s="1"/>
  <c r="CI85" i="139" s="1"/>
  <c r="BI28" i="139"/>
  <c r="BJ30" i="139"/>
  <c r="BJ57" i="139" s="1"/>
  <c r="CI83" i="139" s="1"/>
  <c r="BI33" i="139" l="1"/>
  <c r="BI60" i="139" s="1"/>
  <c r="CH86" i="139" s="1"/>
  <c r="BI31" i="139"/>
  <c r="BI58" i="139" s="1"/>
  <c r="CH84" i="139" s="1"/>
  <c r="BI37" i="139"/>
  <c r="BI64" i="139" s="1"/>
  <c r="CH90" i="139" s="1"/>
  <c r="BI41" i="139"/>
  <c r="BI68" i="139" s="1"/>
  <c r="CH94" i="139" s="1"/>
  <c r="BI30" i="139"/>
  <c r="BI57" i="139" s="1"/>
  <c r="CH83" i="139" s="1"/>
  <c r="BI34" i="139"/>
  <c r="BI61" i="139" s="1"/>
  <c r="CH87" i="139" s="1"/>
  <c r="BI32" i="139"/>
  <c r="BI59" i="139" s="1"/>
  <c r="CH85" i="139" s="1"/>
  <c r="BI36" i="139"/>
  <c r="BI63" i="139" s="1"/>
  <c r="CH89" i="139" s="1"/>
  <c r="BI40" i="139"/>
  <c r="BI67" i="139" s="1"/>
  <c r="CH93" i="139" s="1"/>
  <c r="BI38" i="139"/>
  <c r="BI65" i="139" s="1"/>
  <c r="CH91" i="139" s="1"/>
  <c r="BI35" i="139"/>
  <c r="BI62" i="139" s="1"/>
  <c r="CH88" i="139" s="1"/>
  <c r="BH28" i="139"/>
  <c r="BI39" i="139"/>
  <c r="BI66" i="139" s="1"/>
  <c r="CH92" i="139" s="1"/>
  <c r="BH40" i="139" l="1"/>
  <c r="BH67" i="139" s="1"/>
  <c r="CG93" i="139" s="1"/>
  <c r="BH37" i="139"/>
  <c r="BH64" i="139" s="1"/>
  <c r="CG90" i="139" s="1"/>
  <c r="BH33" i="139"/>
  <c r="BH60" i="139" s="1"/>
  <c r="CG86" i="139" s="1"/>
  <c r="BH32" i="139"/>
  <c r="BH59" i="139" s="1"/>
  <c r="CG85" i="139" s="1"/>
  <c r="BH39" i="139"/>
  <c r="BH66" i="139" s="1"/>
  <c r="CG92" i="139" s="1"/>
  <c r="BH38" i="139"/>
  <c r="BH65" i="139" s="1"/>
  <c r="CG91" i="139" s="1"/>
  <c r="BG28" i="139"/>
  <c r="BH30" i="139"/>
  <c r="BH57" i="139" s="1"/>
  <c r="CG83" i="139" s="1"/>
  <c r="BH41" i="139"/>
  <c r="BH68" i="139" s="1"/>
  <c r="CG94" i="139" s="1"/>
  <c r="BH35" i="139"/>
  <c r="BH62" i="139" s="1"/>
  <c r="CG88" i="139" s="1"/>
  <c r="BH31" i="139"/>
  <c r="BH58" i="139" s="1"/>
  <c r="CG84" i="139" s="1"/>
  <c r="BH36" i="139"/>
  <c r="BH63" i="139" s="1"/>
  <c r="CG89" i="139" s="1"/>
  <c r="BH34" i="139"/>
  <c r="BH61" i="139" s="1"/>
  <c r="CG87" i="139" s="1"/>
  <c r="BF28" i="139" l="1"/>
  <c r="BG39" i="139"/>
  <c r="BG66" i="139" s="1"/>
  <c r="CF92" i="139" s="1"/>
  <c r="BG37" i="139"/>
  <c r="BG64" i="139" s="1"/>
  <c r="CF90" i="139" s="1"/>
  <c r="BG33" i="139"/>
  <c r="BG60" i="139" s="1"/>
  <c r="CF86" i="139" s="1"/>
  <c r="BG35" i="139"/>
  <c r="BG62" i="139" s="1"/>
  <c r="CF88" i="139" s="1"/>
  <c r="BG36" i="139"/>
  <c r="BG63" i="139" s="1"/>
  <c r="CF89" i="139" s="1"/>
  <c r="BG34" i="139"/>
  <c r="BG61" i="139" s="1"/>
  <c r="CF87" i="139" s="1"/>
  <c r="BG41" i="139"/>
  <c r="BG68" i="139" s="1"/>
  <c r="CF94" i="139" s="1"/>
  <c r="BG30" i="139"/>
  <c r="BG57" i="139" s="1"/>
  <c r="CF83" i="139" s="1"/>
  <c r="BG38" i="139"/>
  <c r="BG65" i="139" s="1"/>
  <c r="CF91" i="139" s="1"/>
  <c r="BG31" i="139"/>
  <c r="BG58" i="139" s="1"/>
  <c r="CF84" i="139" s="1"/>
  <c r="BG32" i="139"/>
  <c r="BG59" i="139" s="1"/>
  <c r="CF85" i="139" s="1"/>
  <c r="BG40" i="139"/>
  <c r="BG67" i="139" s="1"/>
  <c r="CF93" i="139" s="1"/>
  <c r="BF40" i="139" l="1"/>
  <c r="BF67" i="139" s="1"/>
  <c r="CE93" i="139" s="1"/>
  <c r="BF35" i="139"/>
  <c r="BF62" i="139" s="1"/>
  <c r="CE88" i="139" s="1"/>
  <c r="BF39" i="139"/>
  <c r="BF66" i="139" s="1"/>
  <c r="CE92" i="139" s="1"/>
  <c r="BF37" i="139"/>
  <c r="BF64" i="139" s="1"/>
  <c r="CE90" i="139" s="1"/>
  <c r="BF34" i="139"/>
  <c r="BF61" i="139" s="1"/>
  <c r="CE87" i="139" s="1"/>
  <c r="BF38" i="139"/>
  <c r="BF65" i="139" s="1"/>
  <c r="CE91" i="139" s="1"/>
  <c r="BF41" i="139"/>
  <c r="BF68" i="139" s="1"/>
  <c r="CE94" i="139" s="1"/>
  <c r="BF31" i="139"/>
  <c r="BF58" i="139" s="1"/>
  <c r="CE84" i="139" s="1"/>
  <c r="BF36" i="139"/>
  <c r="BF63" i="139" s="1"/>
  <c r="CE89" i="139" s="1"/>
  <c r="BF30" i="139"/>
  <c r="BF57" i="139" s="1"/>
  <c r="CE83" i="139" s="1"/>
  <c r="BF33" i="139"/>
  <c r="BF60" i="139" s="1"/>
  <c r="CE86" i="139" s="1"/>
  <c r="BE28" i="139"/>
  <c r="BF32" i="139"/>
  <c r="BF59" i="139" s="1"/>
  <c r="CE85" i="139" s="1"/>
  <c r="BE35" i="139" l="1"/>
  <c r="BE62" i="139" s="1"/>
  <c r="CD88" i="139" s="1"/>
  <c r="BE30" i="139"/>
  <c r="BE57" i="139" s="1"/>
  <c r="CD83" i="139" s="1"/>
  <c r="BE41" i="139"/>
  <c r="BE68" i="139" s="1"/>
  <c r="CD94" i="139" s="1"/>
  <c r="BE36" i="139"/>
  <c r="BE63" i="139" s="1"/>
  <c r="CD89" i="139" s="1"/>
  <c r="BE38" i="139"/>
  <c r="BE65" i="139" s="1"/>
  <c r="CD91" i="139" s="1"/>
  <c r="BE39" i="139"/>
  <c r="BE66" i="139" s="1"/>
  <c r="CD92" i="139" s="1"/>
  <c r="BE32" i="139"/>
  <c r="BE59" i="139" s="1"/>
  <c r="CD85" i="139" s="1"/>
  <c r="BE37" i="139"/>
  <c r="BE64" i="139" s="1"/>
  <c r="CD90" i="139" s="1"/>
  <c r="BE33" i="139"/>
  <c r="BE60" i="139" s="1"/>
  <c r="CD86" i="139" s="1"/>
  <c r="BE40" i="139"/>
  <c r="BE67" i="139" s="1"/>
  <c r="CD93" i="139" s="1"/>
  <c r="BD28" i="139"/>
  <c r="BE31" i="139"/>
  <c r="BE58" i="139" s="1"/>
  <c r="CD84" i="139" s="1"/>
  <c r="BE34" i="139"/>
  <c r="BE61" i="139" s="1"/>
  <c r="CD87" i="139" s="1"/>
  <c r="BD40" i="139" l="1"/>
  <c r="BD67" i="139" s="1"/>
  <c r="CC93" i="139" s="1"/>
  <c r="BD35" i="139"/>
  <c r="BD62" i="139" s="1"/>
  <c r="CC88" i="139" s="1"/>
  <c r="BD33" i="139"/>
  <c r="BD60" i="139" s="1"/>
  <c r="CC86" i="139" s="1"/>
  <c r="BD37" i="139"/>
  <c r="BD64" i="139" s="1"/>
  <c r="CC90" i="139" s="1"/>
  <c r="BD32" i="139"/>
  <c r="BD59" i="139" s="1"/>
  <c r="CC85" i="139" s="1"/>
  <c r="BC28" i="139"/>
  <c r="BD34" i="139"/>
  <c r="BD61" i="139" s="1"/>
  <c r="CC87" i="139" s="1"/>
  <c r="BD38" i="139"/>
  <c r="BD65" i="139" s="1"/>
  <c r="CC91" i="139" s="1"/>
  <c r="BD30" i="139"/>
  <c r="BD57" i="139" s="1"/>
  <c r="CC83" i="139" s="1"/>
  <c r="BD31" i="139"/>
  <c r="BD58" i="139" s="1"/>
  <c r="CC84" i="139" s="1"/>
  <c r="BD36" i="139"/>
  <c r="BD63" i="139" s="1"/>
  <c r="CC89" i="139" s="1"/>
  <c r="BD39" i="139"/>
  <c r="BD66" i="139" s="1"/>
  <c r="CC92" i="139" s="1"/>
  <c r="BD41" i="139"/>
  <c r="BD68" i="139" s="1"/>
  <c r="CC94" i="139" s="1"/>
  <c r="BC38" i="139" l="1"/>
  <c r="BC65" i="139" s="1"/>
  <c r="CB91" i="139" s="1"/>
  <c r="BC32" i="139"/>
  <c r="BC59" i="139" s="1"/>
  <c r="CB85" i="139" s="1"/>
  <c r="BC31" i="139"/>
  <c r="BC58" i="139" s="1"/>
  <c r="CB84" i="139" s="1"/>
  <c r="BC37" i="139"/>
  <c r="BC64" i="139" s="1"/>
  <c r="CB90" i="139" s="1"/>
  <c r="BC35" i="139"/>
  <c r="BC62" i="139" s="1"/>
  <c r="CB88" i="139" s="1"/>
  <c r="BC39" i="139"/>
  <c r="BC66" i="139" s="1"/>
  <c r="CB92" i="139" s="1"/>
  <c r="BC33" i="139"/>
  <c r="BC60" i="139" s="1"/>
  <c r="CB86" i="139" s="1"/>
  <c r="BC36" i="139"/>
  <c r="BC63" i="139" s="1"/>
  <c r="CB89" i="139" s="1"/>
  <c r="BC41" i="139"/>
  <c r="BC68" i="139" s="1"/>
  <c r="CB94" i="139" s="1"/>
  <c r="BC30" i="139"/>
  <c r="BC57" i="139" s="1"/>
  <c r="CB83" i="139" s="1"/>
  <c r="BC40" i="139"/>
  <c r="BC67" i="139" s="1"/>
  <c r="CB93" i="139" s="1"/>
  <c r="BB28" i="139"/>
  <c r="BC34" i="139"/>
  <c r="BC61" i="139" s="1"/>
  <c r="CB87" i="139" s="1"/>
  <c r="BB39" i="139" l="1"/>
  <c r="BB66" i="139" s="1"/>
  <c r="CA92" i="139" s="1"/>
  <c r="BB41" i="139"/>
  <c r="BB68" i="139" s="1"/>
  <c r="CA94" i="139" s="1"/>
  <c r="BB30" i="139"/>
  <c r="BB57" i="139" s="1"/>
  <c r="CA83" i="139" s="1"/>
  <c r="BB35" i="139"/>
  <c r="BB62" i="139" s="1"/>
  <c r="CA88" i="139" s="1"/>
  <c r="BB32" i="139"/>
  <c r="BB59" i="139" s="1"/>
  <c r="CA85" i="139" s="1"/>
  <c r="BA28" i="139"/>
  <c r="BB36" i="139"/>
  <c r="BB63" i="139" s="1"/>
  <c r="CA89" i="139" s="1"/>
  <c r="BB33" i="139"/>
  <c r="BB60" i="139" s="1"/>
  <c r="CA86" i="139" s="1"/>
  <c r="BB31" i="139"/>
  <c r="BB58" i="139" s="1"/>
  <c r="CA84" i="139" s="1"/>
  <c r="BB37" i="139"/>
  <c r="BB64" i="139" s="1"/>
  <c r="CA90" i="139" s="1"/>
  <c r="BB40" i="139"/>
  <c r="BB67" i="139" s="1"/>
  <c r="CA93" i="139" s="1"/>
  <c r="BB38" i="139"/>
  <c r="BB65" i="139" s="1"/>
  <c r="CA91" i="139" s="1"/>
  <c r="BB34" i="139"/>
  <c r="BB61" i="139" s="1"/>
  <c r="CA87" i="139" s="1"/>
  <c r="BA38" i="139" l="1"/>
  <c r="BA65" i="139" s="1"/>
  <c r="BZ91" i="139" s="1"/>
  <c r="BA32" i="139"/>
  <c r="BA59" i="139" s="1"/>
  <c r="BZ85" i="139" s="1"/>
  <c r="BA30" i="139"/>
  <c r="BA57" i="139" s="1"/>
  <c r="BZ83" i="139" s="1"/>
  <c r="BA33" i="139"/>
  <c r="BA60" i="139" s="1"/>
  <c r="BZ86" i="139" s="1"/>
  <c r="AZ28" i="139"/>
  <c r="BA39" i="139"/>
  <c r="BA66" i="139" s="1"/>
  <c r="BZ92" i="139" s="1"/>
  <c r="BA31" i="139"/>
  <c r="BA58" i="139" s="1"/>
  <c r="BZ84" i="139" s="1"/>
  <c r="BA41" i="139"/>
  <c r="BA68" i="139" s="1"/>
  <c r="BZ94" i="139" s="1"/>
  <c r="BA35" i="139"/>
  <c r="BA62" i="139" s="1"/>
  <c r="BZ88" i="139" s="1"/>
  <c r="BA40" i="139"/>
  <c r="BA67" i="139" s="1"/>
  <c r="BZ93" i="139" s="1"/>
  <c r="BA37" i="139"/>
  <c r="BA64" i="139" s="1"/>
  <c r="BZ90" i="139" s="1"/>
  <c r="BA36" i="139"/>
  <c r="BA63" i="139" s="1"/>
  <c r="BZ89" i="139" s="1"/>
  <c r="BA34" i="139"/>
  <c r="BA61" i="139" s="1"/>
  <c r="BZ87" i="139" s="1"/>
  <c r="AZ30" i="139" l="1"/>
  <c r="AZ57" i="139" s="1"/>
  <c r="BY83" i="139" s="1"/>
  <c r="AZ32" i="139"/>
  <c r="AZ59" i="139" s="1"/>
  <c r="BY85" i="139" s="1"/>
  <c r="AZ39" i="139"/>
  <c r="AZ66" i="139" s="1"/>
  <c r="BY92" i="139" s="1"/>
  <c r="AZ31" i="139"/>
  <c r="AZ58" i="139" s="1"/>
  <c r="BY84" i="139" s="1"/>
  <c r="AZ41" i="139"/>
  <c r="AZ68" i="139" s="1"/>
  <c r="BY94" i="139" s="1"/>
  <c r="AZ40" i="139"/>
  <c r="AZ67" i="139" s="1"/>
  <c r="BY93" i="139" s="1"/>
  <c r="AZ36" i="139"/>
  <c r="AZ63" i="139" s="1"/>
  <c r="BY89" i="139" s="1"/>
  <c r="AZ37" i="139"/>
  <c r="AZ64" i="139" s="1"/>
  <c r="BY90" i="139" s="1"/>
  <c r="AZ34" i="139"/>
  <c r="AZ61" i="139" s="1"/>
  <c r="BY87" i="139" s="1"/>
  <c r="AZ33" i="139"/>
  <c r="AZ60" i="139" s="1"/>
  <c r="BY86" i="139" s="1"/>
  <c r="AY28" i="139"/>
  <c r="AZ35" i="139"/>
  <c r="AZ62" i="139" s="1"/>
  <c r="BY88" i="139" s="1"/>
  <c r="AZ38" i="139"/>
  <c r="AZ65" i="139" s="1"/>
  <c r="BY91" i="139" s="1"/>
  <c r="AY38" i="139" l="1"/>
  <c r="AY65" i="139" s="1"/>
  <c r="BX91" i="139" s="1"/>
  <c r="AX28" i="139"/>
  <c r="AY31" i="139"/>
  <c r="AY58" i="139" s="1"/>
  <c r="BX84" i="139" s="1"/>
  <c r="AY30" i="139"/>
  <c r="AY57" i="139" s="1"/>
  <c r="BX83" i="139" s="1"/>
  <c r="AY33" i="139"/>
  <c r="AY60" i="139" s="1"/>
  <c r="BX86" i="139" s="1"/>
  <c r="AY35" i="139"/>
  <c r="AY62" i="139" s="1"/>
  <c r="BX88" i="139" s="1"/>
  <c r="AY32" i="139"/>
  <c r="AY59" i="139" s="1"/>
  <c r="BX85" i="139" s="1"/>
  <c r="AY36" i="139"/>
  <c r="AY63" i="139" s="1"/>
  <c r="BX89" i="139" s="1"/>
  <c r="AY39" i="139"/>
  <c r="AY66" i="139" s="1"/>
  <c r="BX92" i="139" s="1"/>
  <c r="AY37" i="139"/>
  <c r="AY64" i="139" s="1"/>
  <c r="BX90" i="139" s="1"/>
  <c r="AY40" i="139"/>
  <c r="AY67" i="139" s="1"/>
  <c r="BX93" i="139" s="1"/>
  <c r="AY41" i="139"/>
  <c r="AY68" i="139" s="1"/>
  <c r="BX94" i="139" s="1"/>
  <c r="AY34" i="139"/>
  <c r="AY61" i="139" s="1"/>
  <c r="BX87" i="139" s="1"/>
  <c r="AX32" i="139" l="1"/>
  <c r="AX59" i="139" s="1"/>
  <c r="BW85" i="139" s="1"/>
  <c r="AX38" i="139"/>
  <c r="AX65" i="139" s="1"/>
  <c r="BW91" i="139" s="1"/>
  <c r="AX30" i="139"/>
  <c r="AX57" i="139" s="1"/>
  <c r="BW83" i="139" s="1"/>
  <c r="AX34" i="139"/>
  <c r="AX61" i="139" s="1"/>
  <c r="BW87" i="139" s="1"/>
  <c r="AX37" i="139"/>
  <c r="AX64" i="139" s="1"/>
  <c r="BW90" i="139" s="1"/>
  <c r="AW28" i="139"/>
  <c r="AX35" i="139"/>
  <c r="AX62" i="139" s="1"/>
  <c r="BW88" i="139" s="1"/>
  <c r="AX41" i="139"/>
  <c r="AX68" i="139" s="1"/>
  <c r="BW94" i="139" s="1"/>
  <c r="AX36" i="139"/>
  <c r="AX63" i="139" s="1"/>
  <c r="BW89" i="139" s="1"/>
  <c r="AX39" i="139"/>
  <c r="AX66" i="139" s="1"/>
  <c r="BW92" i="139" s="1"/>
  <c r="AX31" i="139"/>
  <c r="AX58" i="139" s="1"/>
  <c r="BW84" i="139" s="1"/>
  <c r="AX40" i="139"/>
  <c r="AX67" i="139" s="1"/>
  <c r="BW93" i="139" s="1"/>
  <c r="AX33" i="139"/>
  <c r="AX60" i="139" s="1"/>
  <c r="BW86" i="139" s="1"/>
  <c r="AW32" i="139" l="1"/>
  <c r="AW59" i="139" s="1"/>
  <c r="BV85" i="139" s="1"/>
  <c r="AV28" i="139"/>
  <c r="AW39" i="139"/>
  <c r="AW66" i="139" s="1"/>
  <c r="BV92" i="139" s="1"/>
  <c r="AW30" i="139"/>
  <c r="AW57" i="139" s="1"/>
  <c r="BV83" i="139" s="1"/>
  <c r="AW38" i="139"/>
  <c r="AW65" i="139" s="1"/>
  <c r="BV91" i="139" s="1"/>
  <c r="AW33" i="139"/>
  <c r="AW60" i="139" s="1"/>
  <c r="BV86" i="139" s="1"/>
  <c r="AW35" i="139"/>
  <c r="AW62" i="139" s="1"/>
  <c r="BV88" i="139" s="1"/>
  <c r="AW41" i="139"/>
  <c r="AW68" i="139" s="1"/>
  <c r="BV94" i="139" s="1"/>
  <c r="AW31" i="139"/>
  <c r="AW58" i="139" s="1"/>
  <c r="BV84" i="139" s="1"/>
  <c r="AW36" i="139"/>
  <c r="AW63" i="139" s="1"/>
  <c r="BV89" i="139" s="1"/>
  <c r="AW34" i="139"/>
  <c r="AW61" i="139" s="1"/>
  <c r="BV87" i="139" s="1"/>
  <c r="AW37" i="139"/>
  <c r="AW64" i="139" s="1"/>
  <c r="BV90" i="139" s="1"/>
  <c r="AW40" i="139"/>
  <c r="AW67" i="139" s="1"/>
  <c r="BV93" i="139" s="1"/>
  <c r="AV31" i="139" l="1"/>
  <c r="AV58" i="139" s="1"/>
  <c r="BU84" i="139" s="1"/>
  <c r="AV35" i="139"/>
  <c r="AV62" i="139" s="1"/>
  <c r="BU88" i="139" s="1"/>
  <c r="AV30" i="139"/>
  <c r="AV57" i="139" s="1"/>
  <c r="BU83" i="139" s="1"/>
  <c r="AV32" i="139"/>
  <c r="AV59" i="139" s="1"/>
  <c r="BU85" i="139" s="1"/>
  <c r="AU28" i="139"/>
  <c r="AV41" i="139"/>
  <c r="AV68" i="139" s="1"/>
  <c r="BU94" i="139" s="1"/>
  <c r="AV33" i="139"/>
  <c r="AV60" i="139" s="1"/>
  <c r="BU86" i="139" s="1"/>
  <c r="AV40" i="139"/>
  <c r="AV67" i="139" s="1"/>
  <c r="BU93" i="139" s="1"/>
  <c r="AV36" i="139"/>
  <c r="AV63" i="139" s="1"/>
  <c r="BU89" i="139" s="1"/>
  <c r="AV38" i="139"/>
  <c r="AV65" i="139" s="1"/>
  <c r="BU91" i="139" s="1"/>
  <c r="AV34" i="139"/>
  <c r="AV61" i="139" s="1"/>
  <c r="BU87" i="139" s="1"/>
  <c r="AV39" i="139"/>
  <c r="AV66" i="139" s="1"/>
  <c r="BU92" i="139" s="1"/>
  <c r="AV37" i="139"/>
  <c r="AV64" i="139" s="1"/>
  <c r="BU90" i="139" s="1"/>
  <c r="AU31" i="139" l="1"/>
  <c r="AU58" i="139" s="1"/>
  <c r="BT84" i="139" s="1"/>
  <c r="AU36" i="139"/>
  <c r="AU63" i="139" s="1"/>
  <c r="BT89" i="139" s="1"/>
  <c r="AU34" i="139"/>
  <c r="AU61" i="139" s="1"/>
  <c r="BT87" i="139" s="1"/>
  <c r="AU40" i="139"/>
  <c r="AU67" i="139" s="1"/>
  <c r="BT93" i="139" s="1"/>
  <c r="AU38" i="139"/>
  <c r="AU65" i="139" s="1"/>
  <c r="BT91" i="139" s="1"/>
  <c r="AU37" i="139"/>
  <c r="AU64" i="139" s="1"/>
  <c r="BT90" i="139" s="1"/>
  <c r="AU39" i="139"/>
  <c r="AU66" i="139" s="1"/>
  <c r="BT92" i="139" s="1"/>
  <c r="AU30" i="139"/>
  <c r="AU57" i="139" s="1"/>
  <c r="BT83" i="139" s="1"/>
  <c r="AU35" i="139"/>
  <c r="AU62" i="139" s="1"/>
  <c r="BT88" i="139" s="1"/>
  <c r="AT28" i="139"/>
  <c r="AU41" i="139"/>
  <c r="AU68" i="139" s="1"/>
  <c r="BT94" i="139" s="1"/>
  <c r="AU33" i="139"/>
  <c r="AU60" i="139" s="1"/>
  <c r="BT86" i="139" s="1"/>
  <c r="AU32" i="139"/>
  <c r="AU59" i="139" s="1"/>
  <c r="BT85" i="139" s="1"/>
  <c r="AT32" i="139" l="1"/>
  <c r="AT59" i="139" s="1"/>
  <c r="BS85" i="139" s="1"/>
  <c r="AT36" i="139"/>
  <c r="AT63" i="139" s="1"/>
  <c r="BS89" i="139" s="1"/>
  <c r="AT39" i="139"/>
  <c r="AT66" i="139" s="1"/>
  <c r="BS92" i="139" s="1"/>
  <c r="AT37" i="139"/>
  <c r="AT64" i="139" s="1"/>
  <c r="BS90" i="139" s="1"/>
  <c r="AT34" i="139"/>
  <c r="AT61" i="139" s="1"/>
  <c r="BS87" i="139" s="1"/>
  <c r="AS28" i="139"/>
  <c r="AT30" i="139"/>
  <c r="AT57" i="139" s="1"/>
  <c r="BS83" i="139" s="1"/>
  <c r="AT31" i="139"/>
  <c r="AT58" i="139" s="1"/>
  <c r="BS84" i="139" s="1"/>
  <c r="AT33" i="139"/>
  <c r="AT60" i="139" s="1"/>
  <c r="BS86" i="139" s="1"/>
  <c r="AT40" i="139"/>
  <c r="AT67" i="139" s="1"/>
  <c r="BS93" i="139" s="1"/>
  <c r="AT41" i="139"/>
  <c r="AT68" i="139" s="1"/>
  <c r="BS94" i="139" s="1"/>
  <c r="AT38" i="139"/>
  <c r="AT65" i="139" s="1"/>
  <c r="BS91" i="139" s="1"/>
  <c r="AT35" i="139"/>
  <c r="AT62" i="139" s="1"/>
  <c r="BS88" i="139" s="1"/>
  <c r="AS32" i="139" l="1"/>
  <c r="AS59" i="139" s="1"/>
  <c r="BR85" i="139" s="1"/>
  <c r="AS36" i="139"/>
  <c r="AS63" i="139" s="1"/>
  <c r="BR89" i="139" s="1"/>
  <c r="AS38" i="139"/>
  <c r="AS65" i="139" s="1"/>
  <c r="BR91" i="139" s="1"/>
  <c r="AR28" i="139"/>
  <c r="AS39" i="139"/>
  <c r="AS66" i="139" s="1"/>
  <c r="BR92" i="139" s="1"/>
  <c r="AS34" i="139"/>
  <c r="AS61" i="139" s="1"/>
  <c r="BR87" i="139" s="1"/>
  <c r="AS35" i="139"/>
  <c r="AS62" i="139" s="1"/>
  <c r="BR88" i="139" s="1"/>
  <c r="AS31" i="139"/>
  <c r="AS58" i="139" s="1"/>
  <c r="BR84" i="139" s="1"/>
  <c r="AS41" i="139"/>
  <c r="AS68" i="139" s="1"/>
  <c r="BR94" i="139" s="1"/>
  <c r="AS40" i="139"/>
  <c r="AS67" i="139" s="1"/>
  <c r="BR93" i="139" s="1"/>
  <c r="AS37" i="139"/>
  <c r="AS64" i="139" s="1"/>
  <c r="BR90" i="139" s="1"/>
  <c r="AS33" i="139"/>
  <c r="AS60" i="139" s="1"/>
  <c r="BR86" i="139" s="1"/>
  <c r="AS30" i="139"/>
  <c r="AS57" i="139" s="1"/>
  <c r="BR83" i="139" s="1"/>
  <c r="JJ40" i="139"/>
  <c r="JI40" i="139"/>
  <c r="JK40" i="139"/>
  <c r="JL40" i="139" s="1"/>
  <c r="JN40" i="139" s="1"/>
  <c r="JJ32" i="139"/>
  <c r="JI32" i="139"/>
  <c r="JK32" i="139"/>
  <c r="JL32" i="139" s="1"/>
  <c r="JN32" i="139" s="1"/>
  <c r="JK34" i="139"/>
  <c r="JL34" i="139" s="1"/>
  <c r="JN34" i="139" s="1"/>
  <c r="JI34" i="139"/>
  <c r="JJ34" i="139"/>
  <c r="JK39" i="139"/>
  <c r="JL39" i="139" s="1"/>
  <c r="JN39" i="139" s="1"/>
  <c r="JI39" i="139"/>
  <c r="JJ39" i="139"/>
  <c r="JI38" i="139"/>
  <c r="JK38" i="139"/>
  <c r="JL38" i="139" s="1"/>
  <c r="JN38" i="139" s="1"/>
  <c r="JJ38" i="139"/>
  <c r="JK36" i="139"/>
  <c r="JL36" i="139" s="1"/>
  <c r="JN36" i="139" s="1"/>
  <c r="JI36" i="139"/>
  <c r="JJ36" i="139"/>
  <c r="JK35" i="139"/>
  <c r="JL35" i="139" s="1"/>
  <c r="JN35" i="139" s="1"/>
  <c r="JJ35" i="139"/>
  <c r="JI35" i="139"/>
  <c r="JI31" i="139"/>
  <c r="JJ31" i="139"/>
  <c r="JK31" i="139"/>
  <c r="JL31" i="139" s="1"/>
  <c r="JN31" i="139" s="1"/>
  <c r="JI30" i="139"/>
  <c r="JK30" i="139"/>
  <c r="JL30" i="139" s="1"/>
  <c r="JN30" i="139" s="1"/>
  <c r="JJ30" i="139"/>
  <c r="JI33" i="139"/>
  <c r="JK33" i="139"/>
  <c r="JL33" i="139" s="1"/>
  <c r="JN33" i="139" s="1"/>
  <c r="JJ33" i="139"/>
  <c r="JJ41" i="139"/>
  <c r="JI41" i="139"/>
  <c r="JK41" i="139"/>
  <c r="JL41" i="139" s="1"/>
  <c r="JN41" i="139" s="1"/>
  <c r="JK37" i="139"/>
  <c r="JL37" i="139" s="1"/>
  <c r="JN37" i="139" s="1"/>
  <c r="JI37" i="139"/>
  <c r="JJ37" i="139"/>
  <c r="AR34" i="139" l="1"/>
  <c r="AR61" i="139" s="1"/>
  <c r="BQ87" i="139" s="1"/>
  <c r="AR36" i="139"/>
  <c r="AR63" i="139" s="1"/>
  <c r="BQ89" i="139" s="1"/>
  <c r="AR33" i="139"/>
  <c r="AR60" i="139" s="1"/>
  <c r="BQ86" i="139" s="1"/>
  <c r="AR30" i="139"/>
  <c r="AR57" i="139" s="1"/>
  <c r="BQ83" i="139" s="1"/>
  <c r="AR39" i="139"/>
  <c r="AR66" i="139" s="1"/>
  <c r="BQ92" i="139" s="1"/>
  <c r="AR35" i="139"/>
  <c r="AR62" i="139" s="1"/>
  <c r="BQ88" i="139" s="1"/>
  <c r="AQ28" i="139"/>
  <c r="AR37" i="139"/>
  <c r="AR64" i="139" s="1"/>
  <c r="BQ90" i="139" s="1"/>
  <c r="AR31" i="139"/>
  <c r="AR58" i="139" s="1"/>
  <c r="BQ84" i="139" s="1"/>
  <c r="AR40" i="139"/>
  <c r="AR67" i="139" s="1"/>
  <c r="BQ93" i="139" s="1"/>
  <c r="AR41" i="139"/>
  <c r="AR68" i="139" s="1"/>
  <c r="BQ94" i="139" s="1"/>
  <c r="AR38" i="139"/>
  <c r="AR65" i="139" s="1"/>
  <c r="BQ91" i="139" s="1"/>
  <c r="AR32" i="139"/>
  <c r="AR59" i="139" s="1"/>
  <c r="BQ85" i="139" s="1"/>
  <c r="JM37" i="139"/>
  <c r="JM35" i="139"/>
  <c r="JM36" i="139"/>
  <c r="JM39" i="139"/>
  <c r="JM34" i="139"/>
  <c r="JM32" i="139"/>
  <c r="JM40" i="139"/>
  <c r="JM41" i="139"/>
  <c r="JK68" i="139"/>
  <c r="JL68" i="139" s="1"/>
  <c r="JN68" i="139" s="1"/>
  <c r="JI68" i="139"/>
  <c r="JJ68" i="139"/>
  <c r="JM33" i="139"/>
  <c r="JK57" i="139"/>
  <c r="JL57" i="139" s="1"/>
  <c r="JN57" i="139" s="1"/>
  <c r="JI57" i="139"/>
  <c r="JJ57" i="139"/>
  <c r="JM31" i="139"/>
  <c r="JK63" i="139"/>
  <c r="JL63" i="139" s="1"/>
  <c r="JN63" i="139" s="1"/>
  <c r="JJ63" i="139"/>
  <c r="JI63" i="139"/>
  <c r="JM38" i="139"/>
  <c r="JJ66" i="139"/>
  <c r="JI66" i="139"/>
  <c r="JK66" i="139"/>
  <c r="JL66" i="139" s="1"/>
  <c r="JN66" i="139" s="1"/>
  <c r="JI61" i="139"/>
  <c r="JJ61" i="139"/>
  <c r="JK61" i="139"/>
  <c r="JL61" i="139" s="1"/>
  <c r="JN61" i="139" s="1"/>
  <c r="JI59" i="139"/>
  <c r="JK59" i="139"/>
  <c r="JL59" i="139" s="1"/>
  <c r="JN59" i="139" s="1"/>
  <c r="JJ59" i="139"/>
  <c r="JK64" i="139"/>
  <c r="JL64" i="139" s="1"/>
  <c r="JN64" i="139" s="1"/>
  <c r="JI64" i="139"/>
  <c r="JJ64" i="139"/>
  <c r="JI60" i="139"/>
  <c r="JK60" i="139"/>
  <c r="JL60" i="139" s="1"/>
  <c r="JN60" i="139" s="1"/>
  <c r="JJ60" i="139"/>
  <c r="JM30" i="139"/>
  <c r="JK58" i="139"/>
  <c r="JL58" i="139" s="1"/>
  <c r="JN58" i="139" s="1"/>
  <c r="JJ58" i="139"/>
  <c r="JI58" i="139"/>
  <c r="JJ62" i="139"/>
  <c r="JK62" i="139"/>
  <c r="JL62" i="139" s="1"/>
  <c r="JN62" i="139" s="1"/>
  <c r="JI62" i="139"/>
  <c r="JI65" i="139"/>
  <c r="JJ65" i="139"/>
  <c r="JK65" i="139"/>
  <c r="JL65" i="139" s="1"/>
  <c r="JN65" i="139" s="1"/>
  <c r="JK67" i="139"/>
  <c r="JL67" i="139" s="1"/>
  <c r="JN67" i="139" s="1"/>
  <c r="JI67" i="139"/>
  <c r="JJ67" i="139"/>
  <c r="AQ32" i="139" l="1"/>
  <c r="AQ59" i="139" s="1"/>
  <c r="BP85" i="139" s="1"/>
  <c r="AQ31" i="139"/>
  <c r="AQ58" i="139" s="1"/>
  <c r="BP84" i="139" s="1"/>
  <c r="AQ35" i="139"/>
  <c r="AQ62" i="139" s="1"/>
  <c r="BP88" i="139" s="1"/>
  <c r="AQ34" i="139"/>
  <c r="AQ61" i="139" s="1"/>
  <c r="BP87" i="139" s="1"/>
  <c r="AQ38" i="139"/>
  <c r="AQ65" i="139" s="1"/>
  <c r="BP91" i="139" s="1"/>
  <c r="AP28" i="139"/>
  <c r="AQ40" i="139"/>
  <c r="AQ67" i="139" s="1"/>
  <c r="BP93" i="139" s="1"/>
  <c r="AQ41" i="139"/>
  <c r="AQ68" i="139" s="1"/>
  <c r="BP94" i="139" s="1"/>
  <c r="AQ30" i="139"/>
  <c r="AQ57" i="139" s="1"/>
  <c r="BP83" i="139" s="1"/>
  <c r="AQ37" i="139"/>
  <c r="AQ64" i="139" s="1"/>
  <c r="BP90" i="139" s="1"/>
  <c r="AQ33" i="139"/>
  <c r="AQ60" i="139" s="1"/>
  <c r="BP86" i="139" s="1"/>
  <c r="AQ36" i="139"/>
  <c r="AQ63" i="139" s="1"/>
  <c r="BP89" i="139" s="1"/>
  <c r="AQ39" i="139"/>
  <c r="AQ66" i="139" s="1"/>
  <c r="BP92" i="139" s="1"/>
  <c r="JM67" i="139"/>
  <c r="JM63" i="139"/>
  <c r="JM66" i="139"/>
  <c r="JM59" i="139"/>
  <c r="JM61" i="139"/>
  <c r="JM57" i="139"/>
  <c r="JM65" i="139"/>
  <c r="JM62" i="139"/>
  <c r="JM58" i="139"/>
  <c r="JM60" i="139"/>
  <c r="JM64" i="139"/>
  <c r="JM68" i="139"/>
  <c r="AP31" i="139" l="1"/>
  <c r="AP58" i="139" s="1"/>
  <c r="BO84" i="139" s="1"/>
  <c r="AP40" i="139"/>
  <c r="AP67" i="139" s="1"/>
  <c r="BO93" i="139" s="1"/>
  <c r="AP32" i="139"/>
  <c r="AP59" i="139" s="1"/>
  <c r="BO85" i="139" s="1"/>
  <c r="AP35" i="139"/>
  <c r="AP62" i="139" s="1"/>
  <c r="BO88" i="139" s="1"/>
  <c r="AP33" i="139"/>
  <c r="AP60" i="139" s="1"/>
  <c r="BO86" i="139" s="1"/>
  <c r="AP37" i="139"/>
  <c r="AP64" i="139" s="1"/>
  <c r="BO90" i="139" s="1"/>
  <c r="AP41" i="139"/>
  <c r="AP68" i="139" s="1"/>
  <c r="BO94" i="139" s="1"/>
  <c r="AP38" i="139"/>
  <c r="AP65" i="139" s="1"/>
  <c r="BO91" i="139" s="1"/>
  <c r="AP39" i="139"/>
  <c r="AP66" i="139" s="1"/>
  <c r="BO92" i="139" s="1"/>
  <c r="AP34" i="139"/>
  <c r="AP61" i="139" s="1"/>
  <c r="BO87" i="139" s="1"/>
  <c r="AP36" i="139"/>
  <c r="AP63" i="139" s="1"/>
  <c r="BO89" i="139" s="1"/>
  <c r="AO28" i="139"/>
  <c r="AP30" i="139"/>
  <c r="AP57" i="139" s="1"/>
  <c r="BO83" i="139" s="1"/>
  <c r="AO31" i="139" l="1"/>
  <c r="AO58" i="139" s="1"/>
  <c r="BN84" i="139" s="1"/>
  <c r="AO39" i="139"/>
  <c r="AO66" i="139" s="1"/>
  <c r="BN92" i="139" s="1"/>
  <c r="AO34" i="139"/>
  <c r="AO61" i="139" s="1"/>
  <c r="BN87" i="139" s="1"/>
  <c r="AN28" i="139"/>
  <c r="AO30" i="139"/>
  <c r="AO57" i="139" s="1"/>
  <c r="BN83" i="139" s="1"/>
  <c r="AO36" i="139"/>
  <c r="AO63" i="139" s="1"/>
  <c r="BN89" i="139" s="1"/>
  <c r="AO40" i="139"/>
  <c r="AO67" i="139" s="1"/>
  <c r="BN93" i="139" s="1"/>
  <c r="AO35" i="139"/>
  <c r="AO62" i="139" s="1"/>
  <c r="BN88" i="139" s="1"/>
  <c r="AO41" i="139"/>
  <c r="AO68" i="139" s="1"/>
  <c r="BN94" i="139" s="1"/>
  <c r="AO32" i="139"/>
  <c r="AO59" i="139" s="1"/>
  <c r="BN85" i="139" s="1"/>
  <c r="AO33" i="139"/>
  <c r="AO60" i="139" s="1"/>
  <c r="BN86" i="139" s="1"/>
  <c r="AO38" i="139"/>
  <c r="AO65" i="139" s="1"/>
  <c r="BN91" i="139" s="1"/>
  <c r="AO37" i="139"/>
  <c r="AO64" i="139" s="1"/>
  <c r="BN90" i="139" s="1"/>
  <c r="AM28" i="139" l="1"/>
  <c r="AN30" i="139"/>
  <c r="AN57" i="139" s="1"/>
  <c r="BM83" i="139" s="1"/>
  <c r="AN38" i="139"/>
  <c r="AN65" i="139" s="1"/>
  <c r="BM91" i="139" s="1"/>
  <c r="AN39" i="139"/>
  <c r="AN66" i="139" s="1"/>
  <c r="BM92" i="139" s="1"/>
  <c r="AN35" i="139"/>
  <c r="AN62" i="139" s="1"/>
  <c r="BM88" i="139" s="1"/>
  <c r="AN36" i="139"/>
  <c r="AN63" i="139" s="1"/>
  <c r="BM89" i="139" s="1"/>
  <c r="AN37" i="139"/>
  <c r="AN64" i="139" s="1"/>
  <c r="BM90" i="139" s="1"/>
  <c r="AN40" i="139"/>
  <c r="AN67" i="139" s="1"/>
  <c r="BM93" i="139" s="1"/>
  <c r="AN34" i="139"/>
  <c r="AN61" i="139" s="1"/>
  <c r="BM87" i="139" s="1"/>
  <c r="AN31" i="139"/>
  <c r="AN58" i="139" s="1"/>
  <c r="BM84" i="139" s="1"/>
  <c r="AN33" i="139"/>
  <c r="AN60" i="139" s="1"/>
  <c r="BM86" i="139" s="1"/>
  <c r="AN41" i="139"/>
  <c r="AN68" i="139" s="1"/>
  <c r="BM94" i="139" s="1"/>
  <c r="AN32" i="139"/>
  <c r="AN59" i="139" s="1"/>
  <c r="BM85" i="139" s="1"/>
  <c r="AM39" i="139" l="1"/>
  <c r="AM66" i="139" s="1"/>
  <c r="BL92" i="139" s="1"/>
  <c r="AL28" i="139"/>
  <c r="AM41" i="139"/>
  <c r="AM68" i="139" s="1"/>
  <c r="BL94" i="139" s="1"/>
  <c r="AM30" i="139"/>
  <c r="AM57" i="139" s="1"/>
  <c r="BL83" i="139" s="1"/>
  <c r="AM35" i="139"/>
  <c r="AM62" i="139" s="1"/>
  <c r="BL88" i="139" s="1"/>
  <c r="AM40" i="139"/>
  <c r="AM67" i="139" s="1"/>
  <c r="BL93" i="139" s="1"/>
  <c r="AM37" i="139"/>
  <c r="AM64" i="139" s="1"/>
  <c r="BL90" i="139" s="1"/>
  <c r="AM33" i="139"/>
  <c r="AM60" i="139" s="1"/>
  <c r="BL86" i="139" s="1"/>
  <c r="AM38" i="139"/>
  <c r="AM65" i="139" s="1"/>
  <c r="BL91" i="139" s="1"/>
  <c r="AM32" i="139"/>
  <c r="AM59" i="139" s="1"/>
  <c r="BL85" i="139" s="1"/>
  <c r="AM31" i="139"/>
  <c r="AM58" i="139" s="1"/>
  <c r="BL84" i="139" s="1"/>
  <c r="AM36" i="139"/>
  <c r="AM63" i="139" s="1"/>
  <c r="BL89" i="139" s="1"/>
  <c r="AM34" i="139"/>
  <c r="AM61" i="139" s="1"/>
  <c r="BL87" i="139" s="1"/>
  <c r="AL32" i="139" l="1"/>
  <c r="AL59" i="139" s="1"/>
  <c r="BK85" i="139" s="1"/>
  <c r="AL37" i="139"/>
  <c r="AL64" i="139" s="1"/>
  <c r="BK90" i="139" s="1"/>
  <c r="AL40" i="139"/>
  <c r="AL67" i="139" s="1"/>
  <c r="BK93" i="139" s="1"/>
  <c r="AL31" i="139"/>
  <c r="AL58" i="139" s="1"/>
  <c r="BK84" i="139" s="1"/>
  <c r="AL35" i="139"/>
  <c r="AL62" i="139" s="1"/>
  <c r="BK88" i="139" s="1"/>
  <c r="AL38" i="139"/>
  <c r="AL65" i="139" s="1"/>
  <c r="BK91" i="139" s="1"/>
  <c r="AL39" i="139"/>
  <c r="AL66" i="139" s="1"/>
  <c r="BK92" i="139" s="1"/>
  <c r="AK28" i="139"/>
  <c r="AL36" i="139"/>
  <c r="AL63" i="139" s="1"/>
  <c r="BK89" i="139" s="1"/>
  <c r="AL34" i="139"/>
  <c r="AL61" i="139" s="1"/>
  <c r="BK87" i="139" s="1"/>
  <c r="AL33" i="139"/>
  <c r="AL60" i="139" s="1"/>
  <c r="BK86" i="139" s="1"/>
  <c r="AL30" i="139"/>
  <c r="AL57" i="139" s="1"/>
  <c r="BK83" i="139" s="1"/>
  <c r="AL41" i="139"/>
  <c r="AL68" i="139" s="1"/>
  <c r="BK94" i="139" s="1"/>
  <c r="AK35" i="139" l="1"/>
  <c r="AK62" i="139" s="1"/>
  <c r="BJ88" i="139" s="1"/>
  <c r="AK32" i="139"/>
  <c r="AK59" i="139" s="1"/>
  <c r="BJ85" i="139" s="1"/>
  <c r="AK30" i="139"/>
  <c r="AK57" i="139" s="1"/>
  <c r="BJ83" i="139" s="1"/>
  <c r="AK31" i="139"/>
  <c r="AK58" i="139" s="1"/>
  <c r="BJ84" i="139" s="1"/>
  <c r="AK37" i="139"/>
  <c r="AK64" i="139" s="1"/>
  <c r="BJ90" i="139" s="1"/>
  <c r="AK33" i="139"/>
  <c r="AK60" i="139" s="1"/>
  <c r="BJ86" i="139" s="1"/>
  <c r="AK38" i="139"/>
  <c r="AK65" i="139" s="1"/>
  <c r="BJ91" i="139" s="1"/>
  <c r="AK39" i="139"/>
  <c r="AK66" i="139" s="1"/>
  <c r="BJ92" i="139" s="1"/>
  <c r="AK41" i="139"/>
  <c r="AK68" i="139" s="1"/>
  <c r="BJ94" i="139" s="1"/>
  <c r="AK36" i="139"/>
  <c r="AK63" i="139" s="1"/>
  <c r="BJ89" i="139" s="1"/>
  <c r="AJ28" i="139"/>
  <c r="AK34" i="139"/>
  <c r="AK61" i="139" s="1"/>
  <c r="BJ87" i="139" s="1"/>
  <c r="AK40" i="139"/>
  <c r="AK67" i="139" s="1"/>
  <c r="BJ93" i="139" s="1"/>
  <c r="AJ34" i="139" l="1"/>
  <c r="AJ61" i="139" s="1"/>
  <c r="BI87" i="139" s="1"/>
  <c r="AJ31" i="139"/>
  <c r="AJ58" i="139" s="1"/>
  <c r="BI84" i="139" s="1"/>
  <c r="AJ41" i="139"/>
  <c r="AJ68" i="139" s="1"/>
  <c r="BI94" i="139" s="1"/>
  <c r="AJ32" i="139"/>
  <c r="AJ59" i="139" s="1"/>
  <c r="BI85" i="139" s="1"/>
  <c r="AJ36" i="139"/>
  <c r="AJ63" i="139" s="1"/>
  <c r="BI89" i="139" s="1"/>
  <c r="AJ37" i="139"/>
  <c r="AJ64" i="139" s="1"/>
  <c r="BI90" i="139" s="1"/>
  <c r="AJ35" i="139"/>
  <c r="AJ62" i="139" s="1"/>
  <c r="BI88" i="139" s="1"/>
  <c r="AI28" i="139"/>
  <c r="AJ33" i="139"/>
  <c r="AJ60" i="139" s="1"/>
  <c r="BI86" i="139" s="1"/>
  <c r="AJ38" i="139"/>
  <c r="AJ65" i="139" s="1"/>
  <c r="BI91" i="139" s="1"/>
  <c r="AJ40" i="139"/>
  <c r="AJ67" i="139" s="1"/>
  <c r="BI93" i="139" s="1"/>
  <c r="AJ39" i="139"/>
  <c r="AJ66" i="139" s="1"/>
  <c r="BI92" i="139" s="1"/>
  <c r="AJ30" i="139"/>
  <c r="AJ57" i="139" s="1"/>
  <c r="BI83" i="139" s="1"/>
  <c r="AI31" i="139" l="1"/>
  <c r="AI58" i="139" s="1"/>
  <c r="BH84" i="139" s="1"/>
  <c r="AI32" i="139"/>
  <c r="AI59" i="139" s="1"/>
  <c r="BH85" i="139" s="1"/>
  <c r="AI34" i="139"/>
  <c r="AI61" i="139" s="1"/>
  <c r="BH87" i="139" s="1"/>
  <c r="AI38" i="139"/>
  <c r="AI65" i="139" s="1"/>
  <c r="BH91" i="139" s="1"/>
  <c r="AI35" i="139"/>
  <c r="AI62" i="139" s="1"/>
  <c r="BH88" i="139" s="1"/>
  <c r="AI36" i="139"/>
  <c r="AI63" i="139" s="1"/>
  <c r="BH89" i="139" s="1"/>
  <c r="AI37" i="139"/>
  <c r="AI64" i="139" s="1"/>
  <c r="BH90" i="139" s="1"/>
  <c r="AI39" i="139"/>
  <c r="AI66" i="139" s="1"/>
  <c r="BH92" i="139" s="1"/>
  <c r="AI40" i="139"/>
  <c r="AI67" i="139" s="1"/>
  <c r="BH93" i="139" s="1"/>
  <c r="AI30" i="139"/>
  <c r="AI57" i="139" s="1"/>
  <c r="BH83" i="139" s="1"/>
  <c r="AI41" i="139"/>
  <c r="AI68" i="139" s="1"/>
  <c r="BH94" i="139" s="1"/>
  <c r="AH28" i="139"/>
  <c r="AI33" i="139"/>
  <c r="AI60" i="139" s="1"/>
  <c r="BH86" i="139" s="1"/>
  <c r="AH36" i="139" l="1"/>
  <c r="AH63" i="139" s="1"/>
  <c r="BG89" i="139" s="1"/>
  <c r="AH31" i="139"/>
  <c r="AH58" i="139" s="1"/>
  <c r="BG84" i="139" s="1"/>
  <c r="AG28" i="139"/>
  <c r="AH40" i="139"/>
  <c r="AH67" i="139" s="1"/>
  <c r="BG93" i="139" s="1"/>
  <c r="AH32" i="139"/>
  <c r="AH59" i="139" s="1"/>
  <c r="BG85" i="139" s="1"/>
  <c r="AH30" i="139"/>
  <c r="AH57" i="139" s="1"/>
  <c r="BG83" i="139" s="1"/>
  <c r="AH37" i="139"/>
  <c r="AH64" i="139" s="1"/>
  <c r="BG90" i="139" s="1"/>
  <c r="AH35" i="139"/>
  <c r="AH62" i="139" s="1"/>
  <c r="BG88" i="139" s="1"/>
  <c r="AH41" i="139"/>
  <c r="AH68" i="139" s="1"/>
  <c r="BG94" i="139" s="1"/>
  <c r="AH33" i="139"/>
  <c r="AH60" i="139" s="1"/>
  <c r="BG86" i="139" s="1"/>
  <c r="AH38" i="139"/>
  <c r="AH65" i="139" s="1"/>
  <c r="BG91" i="139" s="1"/>
  <c r="AH39" i="139"/>
  <c r="AH66" i="139" s="1"/>
  <c r="BG92" i="139" s="1"/>
  <c r="AH34" i="139"/>
  <c r="AH61" i="139" s="1"/>
  <c r="BG87" i="139" s="1"/>
  <c r="AG41" i="139" l="1"/>
  <c r="AG68" i="139" s="1"/>
  <c r="BF94" i="139" s="1"/>
  <c r="AG32" i="139"/>
  <c r="AG59" i="139" s="1"/>
  <c r="BF85" i="139" s="1"/>
  <c r="AG34" i="139"/>
  <c r="AG61" i="139" s="1"/>
  <c r="BF87" i="139" s="1"/>
  <c r="AG40" i="139"/>
  <c r="AG67" i="139" s="1"/>
  <c r="BF93" i="139" s="1"/>
  <c r="AG31" i="139"/>
  <c r="AG58" i="139" s="1"/>
  <c r="BF84" i="139" s="1"/>
  <c r="AG35" i="139"/>
  <c r="AG62" i="139" s="1"/>
  <c r="BF88" i="139" s="1"/>
  <c r="AG39" i="139"/>
  <c r="AG66" i="139" s="1"/>
  <c r="BF92" i="139" s="1"/>
  <c r="AG37" i="139"/>
  <c r="AG64" i="139" s="1"/>
  <c r="BF90" i="139" s="1"/>
  <c r="AG30" i="139"/>
  <c r="AG57" i="139" s="1"/>
  <c r="BF83" i="139" s="1"/>
  <c r="AG38" i="139"/>
  <c r="AG65" i="139" s="1"/>
  <c r="BF91" i="139" s="1"/>
  <c r="AG33" i="139"/>
  <c r="AG60" i="139" s="1"/>
  <c r="BF86" i="139" s="1"/>
  <c r="AF28" i="139"/>
  <c r="AG36" i="139"/>
  <c r="AG63" i="139" s="1"/>
  <c r="BF89" i="139" s="1"/>
  <c r="AF33" i="139" l="1"/>
  <c r="AF60" i="139" s="1"/>
  <c r="BE86" i="139" s="1"/>
  <c r="AF34" i="139"/>
  <c r="AF61" i="139" s="1"/>
  <c r="BE87" i="139" s="1"/>
  <c r="AF32" i="139"/>
  <c r="AF59" i="139" s="1"/>
  <c r="BE85" i="139" s="1"/>
  <c r="AF40" i="139"/>
  <c r="AF67" i="139" s="1"/>
  <c r="BE93" i="139" s="1"/>
  <c r="AF30" i="139"/>
  <c r="AF57" i="139" s="1"/>
  <c r="BE83" i="139" s="1"/>
  <c r="AF31" i="139"/>
  <c r="AF58" i="139" s="1"/>
  <c r="BE84" i="139" s="1"/>
  <c r="AF36" i="139"/>
  <c r="AF63" i="139" s="1"/>
  <c r="BE89" i="139" s="1"/>
  <c r="AF41" i="139"/>
  <c r="AF68" i="139" s="1"/>
  <c r="BE94" i="139" s="1"/>
  <c r="AE28" i="139"/>
  <c r="AF38" i="139"/>
  <c r="AF65" i="139" s="1"/>
  <c r="BE91" i="139" s="1"/>
  <c r="AF37" i="139"/>
  <c r="AF64" i="139" s="1"/>
  <c r="BE90" i="139" s="1"/>
  <c r="AF39" i="139"/>
  <c r="AF66" i="139" s="1"/>
  <c r="BE92" i="139" s="1"/>
  <c r="AF35" i="139"/>
  <c r="AF62" i="139" s="1"/>
  <c r="BE88" i="139" s="1"/>
  <c r="AE40" i="139" l="1"/>
  <c r="AE67" i="139" s="1"/>
  <c r="BD93" i="139" s="1"/>
  <c r="AE38" i="139"/>
  <c r="AE65" i="139" s="1"/>
  <c r="BD91" i="139" s="1"/>
  <c r="AE33" i="139"/>
  <c r="AE60" i="139" s="1"/>
  <c r="BD86" i="139" s="1"/>
  <c r="AE30" i="139"/>
  <c r="AE57" i="139" s="1"/>
  <c r="BD83" i="139" s="1"/>
  <c r="AE41" i="139"/>
  <c r="AE68" i="139" s="1"/>
  <c r="BD94" i="139" s="1"/>
  <c r="AE32" i="139"/>
  <c r="AE59" i="139" s="1"/>
  <c r="BD85" i="139" s="1"/>
  <c r="AE37" i="139"/>
  <c r="AE64" i="139" s="1"/>
  <c r="BD90" i="139" s="1"/>
  <c r="AD28" i="139"/>
  <c r="AE31" i="139"/>
  <c r="AE58" i="139" s="1"/>
  <c r="BD84" i="139" s="1"/>
  <c r="AE35" i="139"/>
  <c r="AE62" i="139" s="1"/>
  <c r="BD88" i="139" s="1"/>
  <c r="AE34" i="139"/>
  <c r="AE61" i="139" s="1"/>
  <c r="BD87" i="139" s="1"/>
  <c r="AE39" i="139"/>
  <c r="AE66" i="139" s="1"/>
  <c r="BD92" i="139" s="1"/>
  <c r="AE36" i="139"/>
  <c r="AE63" i="139" s="1"/>
  <c r="BD89" i="139" s="1"/>
  <c r="AD40" i="139" l="1"/>
  <c r="AD67" i="139" s="1"/>
  <c r="BC93" i="139" s="1"/>
  <c r="AD33" i="139"/>
  <c r="AD60" i="139" s="1"/>
  <c r="BC86" i="139" s="1"/>
  <c r="AD38" i="139"/>
  <c r="AD65" i="139" s="1"/>
  <c r="BC91" i="139" s="1"/>
  <c r="AD31" i="139"/>
  <c r="AD58" i="139" s="1"/>
  <c r="BC84" i="139" s="1"/>
  <c r="AD32" i="139"/>
  <c r="AD59" i="139" s="1"/>
  <c r="BC85" i="139" s="1"/>
  <c r="AD41" i="139"/>
  <c r="AD68" i="139" s="1"/>
  <c r="BC94" i="139" s="1"/>
  <c r="AD39" i="139"/>
  <c r="AD66" i="139" s="1"/>
  <c r="BC92" i="139" s="1"/>
  <c r="AD30" i="139"/>
  <c r="AD57" i="139" s="1"/>
  <c r="BC83" i="139" s="1"/>
  <c r="AD34" i="139"/>
  <c r="AD61" i="139" s="1"/>
  <c r="BC87" i="139" s="1"/>
  <c r="AD37" i="139"/>
  <c r="AD64" i="139" s="1"/>
  <c r="BC90" i="139" s="1"/>
  <c r="AD36" i="139"/>
  <c r="AD63" i="139" s="1"/>
  <c r="BC89" i="139" s="1"/>
  <c r="AD35" i="139"/>
  <c r="AD62" i="139" s="1"/>
  <c r="BC88" i="139" s="1"/>
  <c r="AC28" i="139"/>
  <c r="AC30" i="139" l="1"/>
  <c r="AC57" i="139" s="1"/>
  <c r="BB83" i="139" s="1"/>
  <c r="AC37" i="139"/>
  <c r="AC64" i="139" s="1"/>
  <c r="BB90" i="139" s="1"/>
  <c r="AC40" i="139"/>
  <c r="AC67" i="139" s="1"/>
  <c r="BB93" i="139" s="1"/>
  <c r="AC32" i="139"/>
  <c r="AC59" i="139" s="1"/>
  <c r="BB85" i="139" s="1"/>
  <c r="AC41" i="139"/>
  <c r="AC68" i="139" s="1"/>
  <c r="BB94" i="139" s="1"/>
  <c r="AC39" i="139"/>
  <c r="AC66" i="139" s="1"/>
  <c r="BB92" i="139" s="1"/>
  <c r="AC35" i="139"/>
  <c r="AC62" i="139" s="1"/>
  <c r="BB88" i="139" s="1"/>
  <c r="AC36" i="139"/>
  <c r="AC63" i="139" s="1"/>
  <c r="BB89" i="139" s="1"/>
  <c r="AC38" i="139"/>
  <c r="AC65" i="139" s="1"/>
  <c r="BB91" i="139" s="1"/>
  <c r="AC34" i="139"/>
  <c r="AC61" i="139" s="1"/>
  <c r="BB87" i="139" s="1"/>
  <c r="AB28" i="139"/>
  <c r="AC33" i="139"/>
  <c r="AC60" i="139" s="1"/>
  <c r="BB86" i="139" s="1"/>
  <c r="AC31" i="139"/>
  <c r="AC58" i="139" s="1"/>
  <c r="BB84" i="139" s="1"/>
  <c r="AB39" i="139" l="1"/>
  <c r="AB66" i="139" s="1"/>
  <c r="BA92" i="139" s="1"/>
  <c r="AB32" i="139"/>
  <c r="AB59" i="139" s="1"/>
  <c r="BA85" i="139" s="1"/>
  <c r="AB35" i="139"/>
  <c r="AB62" i="139" s="1"/>
  <c r="BA88" i="139" s="1"/>
  <c r="AB33" i="139"/>
  <c r="AB60" i="139" s="1"/>
  <c r="BA86" i="139" s="1"/>
  <c r="AB41" i="139"/>
  <c r="AB68" i="139" s="1"/>
  <c r="BA94" i="139" s="1"/>
  <c r="AB40" i="139"/>
  <c r="AB67" i="139" s="1"/>
  <c r="BA93" i="139" s="1"/>
  <c r="AA28" i="139"/>
  <c r="AB37" i="139"/>
  <c r="AB64" i="139" s="1"/>
  <c r="BA90" i="139" s="1"/>
  <c r="AB36" i="139"/>
  <c r="AB63" i="139" s="1"/>
  <c r="BA89" i="139" s="1"/>
  <c r="AB31" i="139"/>
  <c r="AB58" i="139" s="1"/>
  <c r="BA84" i="139" s="1"/>
  <c r="AB38" i="139"/>
  <c r="AB65" i="139" s="1"/>
  <c r="BA91" i="139" s="1"/>
  <c r="AB30" i="139"/>
  <c r="AB57" i="139" s="1"/>
  <c r="BA83" i="139" s="1"/>
  <c r="AB34" i="139"/>
  <c r="AB61" i="139" s="1"/>
  <c r="BA87" i="139" s="1"/>
  <c r="AA41" i="139" l="1"/>
  <c r="AA68" i="139" s="1"/>
  <c r="AZ94" i="139" s="1"/>
  <c r="AA37" i="139"/>
  <c r="AA64" i="139" s="1"/>
  <c r="AZ90" i="139" s="1"/>
  <c r="Z28" i="139"/>
  <c r="AA31" i="139"/>
  <c r="AA58" i="139" s="1"/>
  <c r="AZ84" i="139" s="1"/>
  <c r="AA32" i="139"/>
  <c r="AA59" i="139" s="1"/>
  <c r="AZ85" i="139" s="1"/>
  <c r="AA38" i="139"/>
  <c r="AA65" i="139" s="1"/>
  <c r="AZ91" i="139" s="1"/>
  <c r="AA39" i="139"/>
  <c r="AA66" i="139" s="1"/>
  <c r="AZ92" i="139" s="1"/>
  <c r="AA33" i="139"/>
  <c r="AA60" i="139" s="1"/>
  <c r="AZ86" i="139" s="1"/>
  <c r="AA35" i="139"/>
  <c r="AA62" i="139" s="1"/>
  <c r="AZ88" i="139" s="1"/>
  <c r="AA36" i="139"/>
  <c r="AA63" i="139" s="1"/>
  <c r="AZ89" i="139" s="1"/>
  <c r="AA34" i="139"/>
  <c r="AA61" i="139" s="1"/>
  <c r="AZ87" i="139" s="1"/>
  <c r="AA40" i="139"/>
  <c r="AA67" i="139" s="1"/>
  <c r="AZ93" i="139" s="1"/>
  <c r="AA30" i="139"/>
  <c r="AA57" i="139" s="1"/>
  <c r="AZ83" i="139" s="1"/>
  <c r="Y28" i="139" l="1"/>
  <c r="Z37" i="139"/>
  <c r="Z64" i="139" s="1"/>
  <c r="AY90" i="139" s="1"/>
  <c r="Z33" i="139"/>
  <c r="Z60" i="139" s="1"/>
  <c r="AY86" i="139" s="1"/>
  <c r="Z30" i="139"/>
  <c r="Z57" i="139" s="1"/>
  <c r="AY83" i="139" s="1"/>
  <c r="Z31" i="139"/>
  <c r="Z58" i="139" s="1"/>
  <c r="AY84" i="139" s="1"/>
  <c r="Z38" i="139"/>
  <c r="Z65" i="139" s="1"/>
  <c r="AY91" i="139" s="1"/>
  <c r="Z40" i="139"/>
  <c r="Z67" i="139" s="1"/>
  <c r="AY93" i="139" s="1"/>
  <c r="Z35" i="139"/>
  <c r="Z62" i="139" s="1"/>
  <c r="AY88" i="139" s="1"/>
  <c r="Z39" i="139"/>
  <c r="Z66" i="139" s="1"/>
  <c r="AY92" i="139" s="1"/>
  <c r="Z34" i="139"/>
  <c r="Z61" i="139" s="1"/>
  <c r="AY87" i="139" s="1"/>
  <c r="Z41" i="139"/>
  <c r="Z68" i="139" s="1"/>
  <c r="AY94" i="139" s="1"/>
  <c r="Z32" i="139"/>
  <c r="Z59" i="139" s="1"/>
  <c r="AY85" i="139" s="1"/>
  <c r="Z36" i="139"/>
  <c r="Z63" i="139" s="1"/>
  <c r="AY89" i="139" s="1"/>
  <c r="Y33" i="139" l="1"/>
  <c r="Y60" i="139" s="1"/>
  <c r="AX86" i="139" s="1"/>
  <c r="Y41" i="139"/>
  <c r="Y68" i="139" s="1"/>
  <c r="AX94" i="139" s="1"/>
  <c r="Y35" i="139"/>
  <c r="Y62" i="139" s="1"/>
  <c r="AX88" i="139" s="1"/>
  <c r="Y36" i="139"/>
  <c r="Y63" i="139" s="1"/>
  <c r="AX89" i="139" s="1"/>
  <c r="Y39" i="139"/>
  <c r="Y66" i="139" s="1"/>
  <c r="AX92" i="139" s="1"/>
  <c r="X28" i="139"/>
  <c r="Y31" i="139"/>
  <c r="Y58" i="139" s="1"/>
  <c r="AX84" i="139" s="1"/>
  <c r="Y30" i="139"/>
  <c r="Y57" i="139" s="1"/>
  <c r="AX83" i="139" s="1"/>
  <c r="Y34" i="139"/>
  <c r="Y61" i="139" s="1"/>
  <c r="AX87" i="139" s="1"/>
  <c r="Y40" i="139"/>
  <c r="Y67" i="139" s="1"/>
  <c r="AX93" i="139" s="1"/>
  <c r="Y32" i="139"/>
  <c r="Y59" i="139" s="1"/>
  <c r="AX85" i="139" s="1"/>
  <c r="Y38" i="139"/>
  <c r="Y65" i="139" s="1"/>
  <c r="AX91" i="139" s="1"/>
  <c r="Y37" i="139"/>
  <c r="Y64" i="139" s="1"/>
  <c r="AX90" i="139" s="1"/>
  <c r="X39" i="139" l="1"/>
  <c r="X66" i="139" s="1"/>
  <c r="AW92" i="139" s="1"/>
  <c r="X36" i="139"/>
  <c r="X63" i="139" s="1"/>
  <c r="AW89" i="139" s="1"/>
  <c r="X35" i="139"/>
  <c r="X62" i="139" s="1"/>
  <c r="AW88" i="139" s="1"/>
  <c r="X38" i="139"/>
  <c r="X65" i="139" s="1"/>
  <c r="AW91" i="139" s="1"/>
  <c r="X32" i="139"/>
  <c r="X59" i="139" s="1"/>
  <c r="AW85" i="139" s="1"/>
  <c r="X40" i="139"/>
  <c r="X67" i="139" s="1"/>
  <c r="AW93" i="139" s="1"/>
  <c r="X33" i="139"/>
  <c r="X60" i="139" s="1"/>
  <c r="AW86" i="139" s="1"/>
  <c r="X41" i="139"/>
  <c r="X68" i="139" s="1"/>
  <c r="AW94" i="139" s="1"/>
  <c r="X37" i="139"/>
  <c r="X64" i="139" s="1"/>
  <c r="AW90" i="139" s="1"/>
  <c r="W28" i="139"/>
  <c r="X30" i="139"/>
  <c r="X57" i="139" s="1"/>
  <c r="AW83" i="139" s="1"/>
  <c r="X34" i="139"/>
  <c r="X61" i="139" s="1"/>
  <c r="AW87" i="139" s="1"/>
  <c r="X31" i="139"/>
  <c r="X58" i="139" s="1"/>
  <c r="AW84" i="139" s="1"/>
  <c r="W31" i="139" l="1"/>
  <c r="W58" i="139" s="1"/>
  <c r="AV84" i="139" s="1"/>
  <c r="W34" i="139"/>
  <c r="W61" i="139" s="1"/>
  <c r="AV87" i="139" s="1"/>
  <c r="W40" i="139"/>
  <c r="W67" i="139" s="1"/>
  <c r="AV93" i="139" s="1"/>
  <c r="W37" i="139"/>
  <c r="W64" i="139" s="1"/>
  <c r="AV90" i="139" s="1"/>
  <c r="W35" i="139"/>
  <c r="W62" i="139" s="1"/>
  <c r="AV88" i="139" s="1"/>
  <c r="W38" i="139"/>
  <c r="W65" i="139" s="1"/>
  <c r="AV91" i="139" s="1"/>
  <c r="W39" i="139"/>
  <c r="W66" i="139" s="1"/>
  <c r="AV92" i="139" s="1"/>
  <c r="W33" i="139"/>
  <c r="W60" i="139" s="1"/>
  <c r="AV86" i="139" s="1"/>
  <c r="W41" i="139"/>
  <c r="W68" i="139" s="1"/>
  <c r="AV94" i="139" s="1"/>
  <c r="V28" i="139"/>
  <c r="W36" i="139"/>
  <c r="W63" i="139" s="1"/>
  <c r="AV89" i="139" s="1"/>
  <c r="W32" i="139"/>
  <c r="W59" i="139" s="1"/>
  <c r="AV85" i="139" s="1"/>
  <c r="W30" i="139"/>
  <c r="W57" i="139" s="1"/>
  <c r="AV83" i="139" s="1"/>
  <c r="U28" i="139" l="1"/>
  <c r="V41" i="139"/>
  <c r="V68" i="139" s="1"/>
  <c r="AU94" i="139" s="1"/>
  <c r="V30" i="139"/>
  <c r="V57" i="139" s="1"/>
  <c r="AU83" i="139" s="1"/>
  <c r="V36" i="139"/>
  <c r="V63" i="139" s="1"/>
  <c r="AU89" i="139" s="1"/>
  <c r="V31" i="139"/>
  <c r="V58" i="139" s="1"/>
  <c r="AU84" i="139" s="1"/>
  <c r="V33" i="139"/>
  <c r="V60" i="139" s="1"/>
  <c r="AU86" i="139" s="1"/>
  <c r="V32" i="139"/>
  <c r="V59" i="139" s="1"/>
  <c r="AU85" i="139" s="1"/>
  <c r="V35" i="139"/>
  <c r="V62" i="139" s="1"/>
  <c r="AU88" i="139" s="1"/>
  <c r="V34" i="139"/>
  <c r="V61" i="139" s="1"/>
  <c r="AU87" i="139" s="1"/>
  <c r="V40" i="139"/>
  <c r="V67" i="139" s="1"/>
  <c r="AU93" i="139" s="1"/>
  <c r="V37" i="139"/>
  <c r="V64" i="139" s="1"/>
  <c r="AU90" i="139" s="1"/>
  <c r="V38" i="139"/>
  <c r="V65" i="139" s="1"/>
  <c r="AU91" i="139" s="1"/>
  <c r="V39" i="139"/>
  <c r="V66" i="139" s="1"/>
  <c r="AU92" i="139" s="1"/>
  <c r="U41" i="139" l="1"/>
  <c r="U68" i="139" s="1"/>
  <c r="AT94" i="139" s="1"/>
  <c r="U34" i="139"/>
  <c r="U61" i="139" s="1"/>
  <c r="AT87" i="139" s="1"/>
  <c r="U38" i="139"/>
  <c r="U65" i="139" s="1"/>
  <c r="AT91" i="139" s="1"/>
  <c r="T28" i="139"/>
  <c r="U39" i="139"/>
  <c r="U66" i="139" s="1"/>
  <c r="AT92" i="139" s="1"/>
  <c r="U40" i="139"/>
  <c r="U67" i="139" s="1"/>
  <c r="AT93" i="139" s="1"/>
  <c r="U32" i="139"/>
  <c r="U59" i="139" s="1"/>
  <c r="AT85" i="139" s="1"/>
  <c r="U31" i="139"/>
  <c r="U58" i="139" s="1"/>
  <c r="AT84" i="139" s="1"/>
  <c r="U30" i="139"/>
  <c r="U57" i="139" s="1"/>
  <c r="AT83" i="139" s="1"/>
  <c r="U36" i="139"/>
  <c r="U63" i="139" s="1"/>
  <c r="AT89" i="139" s="1"/>
  <c r="U35" i="139"/>
  <c r="U62" i="139" s="1"/>
  <c r="AT88" i="139" s="1"/>
  <c r="U37" i="139"/>
  <c r="U64" i="139" s="1"/>
  <c r="AT90" i="139" s="1"/>
  <c r="U33" i="139"/>
  <c r="U60" i="139" s="1"/>
  <c r="AT86" i="139" s="1"/>
  <c r="T41" i="139" l="1"/>
  <c r="T68" i="139" s="1"/>
  <c r="AS94" i="139" s="1"/>
  <c r="T32" i="139"/>
  <c r="T59" i="139" s="1"/>
  <c r="AS85" i="139" s="1"/>
  <c r="T34" i="139"/>
  <c r="T61" i="139" s="1"/>
  <c r="AS87" i="139" s="1"/>
  <c r="T38" i="139"/>
  <c r="T65" i="139" s="1"/>
  <c r="AS91" i="139" s="1"/>
  <c r="T37" i="139"/>
  <c r="T64" i="139" s="1"/>
  <c r="AS90" i="139" s="1"/>
  <c r="S28" i="139"/>
  <c r="T31" i="139"/>
  <c r="T58" i="139" s="1"/>
  <c r="AS84" i="139" s="1"/>
  <c r="T35" i="139"/>
  <c r="T62" i="139" s="1"/>
  <c r="AS88" i="139" s="1"/>
  <c r="T30" i="139"/>
  <c r="T57" i="139" s="1"/>
  <c r="AS83" i="139" s="1"/>
  <c r="T39" i="139"/>
  <c r="T66" i="139" s="1"/>
  <c r="AS92" i="139" s="1"/>
  <c r="T33" i="139"/>
  <c r="T60" i="139" s="1"/>
  <c r="AS86" i="139" s="1"/>
  <c r="T36" i="139"/>
  <c r="T63" i="139" s="1"/>
  <c r="AS89" i="139" s="1"/>
  <c r="T40" i="139"/>
  <c r="T67" i="139" s="1"/>
  <c r="AS93" i="139" s="1"/>
  <c r="S33" i="139" l="1"/>
  <c r="S60" i="139" s="1"/>
  <c r="AR86" i="139" s="1"/>
  <c r="S32" i="139"/>
  <c r="S59" i="139" s="1"/>
  <c r="AR85" i="139" s="1"/>
  <c r="S37" i="139"/>
  <c r="S64" i="139" s="1"/>
  <c r="AR90" i="139" s="1"/>
  <c r="S40" i="139"/>
  <c r="S67" i="139" s="1"/>
  <c r="AR93" i="139" s="1"/>
  <c r="S34" i="139"/>
  <c r="S61" i="139" s="1"/>
  <c r="AR87" i="139" s="1"/>
  <c r="S41" i="139"/>
  <c r="S68" i="139" s="1"/>
  <c r="AR94" i="139" s="1"/>
  <c r="S31" i="139"/>
  <c r="S58" i="139" s="1"/>
  <c r="AR84" i="139" s="1"/>
  <c r="R28" i="139"/>
  <c r="S35" i="139"/>
  <c r="S62" i="139" s="1"/>
  <c r="AR88" i="139" s="1"/>
  <c r="S36" i="139"/>
  <c r="S63" i="139" s="1"/>
  <c r="AR89" i="139" s="1"/>
  <c r="S30" i="139"/>
  <c r="S57" i="139" s="1"/>
  <c r="AR83" i="139" s="1"/>
  <c r="S38" i="139"/>
  <c r="S65" i="139" s="1"/>
  <c r="AR91" i="139" s="1"/>
  <c r="S39" i="139"/>
  <c r="S66" i="139" s="1"/>
  <c r="AR92" i="139" s="1"/>
  <c r="R31" i="139" l="1"/>
  <c r="R58" i="139" s="1"/>
  <c r="AQ84" i="139" s="1"/>
  <c r="R35" i="139"/>
  <c r="R62" i="139" s="1"/>
  <c r="AQ88" i="139" s="1"/>
  <c r="R36" i="139"/>
  <c r="R63" i="139" s="1"/>
  <c r="AQ89" i="139" s="1"/>
  <c r="R32" i="139"/>
  <c r="R59" i="139" s="1"/>
  <c r="AQ85" i="139" s="1"/>
  <c r="R34" i="139"/>
  <c r="R61" i="139" s="1"/>
  <c r="AQ87" i="139" s="1"/>
  <c r="R39" i="139"/>
  <c r="R66" i="139" s="1"/>
  <c r="AQ92" i="139" s="1"/>
  <c r="R38" i="139"/>
  <c r="R65" i="139" s="1"/>
  <c r="AQ91" i="139" s="1"/>
  <c r="Q28" i="139"/>
  <c r="R40" i="139"/>
  <c r="R67" i="139" s="1"/>
  <c r="AQ93" i="139" s="1"/>
  <c r="R33" i="139"/>
  <c r="R60" i="139" s="1"/>
  <c r="AQ86" i="139" s="1"/>
  <c r="R30" i="139"/>
  <c r="R57" i="139" s="1"/>
  <c r="AQ83" i="139" s="1"/>
  <c r="R41" i="139"/>
  <c r="R68" i="139" s="1"/>
  <c r="AQ94" i="139" s="1"/>
  <c r="R37" i="139"/>
  <c r="R64" i="139" s="1"/>
  <c r="AQ90" i="139" s="1"/>
  <c r="Q35" i="139" l="1"/>
  <c r="Q62" i="139" s="1"/>
  <c r="AP88" i="139" s="1"/>
  <c r="Q40" i="139"/>
  <c r="Q67" i="139" s="1"/>
  <c r="AP93" i="139" s="1"/>
  <c r="Q31" i="139"/>
  <c r="Q58" i="139" s="1"/>
  <c r="AP84" i="139" s="1"/>
  <c r="Q36" i="139"/>
  <c r="Q63" i="139" s="1"/>
  <c r="AP89" i="139" s="1"/>
  <c r="Q33" i="139"/>
  <c r="Q60" i="139" s="1"/>
  <c r="AP86" i="139" s="1"/>
  <c r="Q34" i="139"/>
  <c r="Q61" i="139" s="1"/>
  <c r="AP87" i="139" s="1"/>
  <c r="Q38" i="139"/>
  <c r="Q65" i="139" s="1"/>
  <c r="AP91" i="139" s="1"/>
  <c r="Q30" i="139"/>
  <c r="Q57" i="139" s="1"/>
  <c r="AP83" i="139" s="1"/>
  <c r="P28" i="139"/>
  <c r="Q37" i="139"/>
  <c r="Q64" i="139" s="1"/>
  <c r="AP90" i="139" s="1"/>
  <c r="Q32" i="139"/>
  <c r="Q59" i="139" s="1"/>
  <c r="AP85" i="139" s="1"/>
  <c r="Q41" i="139"/>
  <c r="Q68" i="139" s="1"/>
  <c r="AP94" i="139" s="1"/>
  <c r="Q39" i="139"/>
  <c r="Q66" i="139" s="1"/>
  <c r="AP92" i="139" s="1"/>
  <c r="P32" i="139" l="1"/>
  <c r="P59" i="139" s="1"/>
  <c r="AO85" i="139" s="1"/>
  <c r="P38" i="139"/>
  <c r="P65" i="139" s="1"/>
  <c r="AO91" i="139" s="1"/>
  <c r="P36" i="139"/>
  <c r="P63" i="139" s="1"/>
  <c r="AO89" i="139" s="1"/>
  <c r="P30" i="139"/>
  <c r="P57" i="139" s="1"/>
  <c r="AO83" i="139" s="1"/>
  <c r="P34" i="139"/>
  <c r="P61" i="139" s="1"/>
  <c r="AO87" i="139" s="1"/>
  <c r="P33" i="139"/>
  <c r="P60" i="139" s="1"/>
  <c r="AO86" i="139" s="1"/>
  <c r="P35" i="139"/>
  <c r="P62" i="139" s="1"/>
  <c r="AO88" i="139" s="1"/>
  <c r="P40" i="139"/>
  <c r="P67" i="139" s="1"/>
  <c r="AO93" i="139" s="1"/>
  <c r="P31" i="139"/>
  <c r="P58" i="139" s="1"/>
  <c r="AO84" i="139" s="1"/>
  <c r="P41" i="139"/>
  <c r="P68" i="139" s="1"/>
  <c r="AO94" i="139" s="1"/>
  <c r="P39" i="139"/>
  <c r="P66" i="139" s="1"/>
  <c r="AO92" i="139" s="1"/>
  <c r="P37" i="139"/>
  <c r="P64" i="139" s="1"/>
  <c r="AO90" i="139" s="1"/>
  <c r="O28" i="139"/>
  <c r="O36" i="139" l="1"/>
  <c r="O63" i="139" s="1"/>
  <c r="AN89" i="139" s="1"/>
  <c r="O30" i="139"/>
  <c r="O57" i="139" s="1"/>
  <c r="AN83" i="139" s="1"/>
  <c r="O33" i="139"/>
  <c r="O60" i="139" s="1"/>
  <c r="AN86" i="139" s="1"/>
  <c r="O39" i="139"/>
  <c r="O66" i="139" s="1"/>
  <c r="AN92" i="139" s="1"/>
  <c r="O37" i="139"/>
  <c r="O64" i="139" s="1"/>
  <c r="AN90" i="139" s="1"/>
  <c r="O34" i="139"/>
  <c r="O61" i="139" s="1"/>
  <c r="AN87" i="139" s="1"/>
  <c r="O31" i="139"/>
  <c r="O58" i="139" s="1"/>
  <c r="AN84" i="139" s="1"/>
  <c r="O35" i="139"/>
  <c r="O62" i="139" s="1"/>
  <c r="AN88" i="139" s="1"/>
  <c r="O41" i="139"/>
  <c r="O68" i="139" s="1"/>
  <c r="AN94" i="139" s="1"/>
  <c r="O40" i="139"/>
  <c r="O67" i="139" s="1"/>
  <c r="AN93" i="139" s="1"/>
  <c r="O32" i="139"/>
  <c r="O59" i="139" s="1"/>
  <c r="AN85" i="139" s="1"/>
  <c r="N28" i="139"/>
  <c r="O38" i="139"/>
  <c r="O65" i="139" s="1"/>
  <c r="AN91" i="139" s="1"/>
  <c r="N37" i="139" l="1"/>
  <c r="N64" i="139" s="1"/>
  <c r="AM90" i="139" s="1"/>
  <c r="N30" i="139"/>
  <c r="N57" i="139" s="1"/>
  <c r="AM83" i="139" s="1"/>
  <c r="N41" i="139"/>
  <c r="N68" i="139" s="1"/>
  <c r="AM94" i="139" s="1"/>
  <c r="N38" i="139"/>
  <c r="N65" i="139" s="1"/>
  <c r="AM91" i="139" s="1"/>
  <c r="M28" i="139"/>
  <c r="N32" i="139"/>
  <c r="N59" i="139" s="1"/>
  <c r="AM85" i="139" s="1"/>
  <c r="N36" i="139"/>
  <c r="N63" i="139" s="1"/>
  <c r="AM89" i="139" s="1"/>
  <c r="N35" i="139"/>
  <c r="N62" i="139" s="1"/>
  <c r="AM88" i="139" s="1"/>
  <c r="N39" i="139"/>
  <c r="N66" i="139" s="1"/>
  <c r="AM92" i="139" s="1"/>
  <c r="N34" i="139"/>
  <c r="N61" i="139" s="1"/>
  <c r="AM87" i="139" s="1"/>
  <c r="N33" i="139"/>
  <c r="N60" i="139" s="1"/>
  <c r="AM86" i="139" s="1"/>
  <c r="N40" i="139"/>
  <c r="N67" i="139" s="1"/>
  <c r="AM93" i="139" s="1"/>
  <c r="N31" i="139"/>
  <c r="N58" i="139" s="1"/>
  <c r="AM84" i="139" s="1"/>
  <c r="M33" i="139" l="1"/>
  <c r="M60" i="139" s="1"/>
  <c r="AL86" i="139" s="1"/>
  <c r="M30" i="139"/>
  <c r="M57" i="139" s="1"/>
  <c r="AL83" i="139" s="1"/>
  <c r="L28" i="139"/>
  <c r="M37" i="139"/>
  <c r="M64" i="139" s="1"/>
  <c r="AL90" i="139" s="1"/>
  <c r="M36" i="139"/>
  <c r="M63" i="139" s="1"/>
  <c r="AL89" i="139" s="1"/>
  <c r="M38" i="139"/>
  <c r="M65" i="139" s="1"/>
  <c r="AL91" i="139" s="1"/>
  <c r="M40" i="139"/>
  <c r="M67" i="139" s="1"/>
  <c r="AL93" i="139" s="1"/>
  <c r="M41" i="139"/>
  <c r="M68" i="139" s="1"/>
  <c r="AL94" i="139" s="1"/>
  <c r="M32" i="139"/>
  <c r="M59" i="139" s="1"/>
  <c r="AL85" i="139" s="1"/>
  <c r="M34" i="139"/>
  <c r="M61" i="139" s="1"/>
  <c r="AL87" i="139" s="1"/>
  <c r="M31" i="139"/>
  <c r="M58" i="139" s="1"/>
  <c r="AL84" i="139" s="1"/>
  <c r="M35" i="139"/>
  <c r="M62" i="139" s="1"/>
  <c r="AL88" i="139" s="1"/>
  <c r="M39" i="139"/>
  <c r="M66" i="139" s="1"/>
  <c r="AL92" i="139" s="1"/>
  <c r="L33" i="139" l="1"/>
  <c r="L60" i="139" s="1"/>
  <c r="AK86" i="139" s="1"/>
  <c r="L36" i="139"/>
  <c r="L63" i="139" s="1"/>
  <c r="AK89" i="139" s="1"/>
  <c r="K28" i="139"/>
  <c r="L39" i="139"/>
  <c r="L66" i="139" s="1"/>
  <c r="AK92" i="139" s="1"/>
  <c r="L38" i="139"/>
  <c r="L65" i="139" s="1"/>
  <c r="AK91" i="139" s="1"/>
  <c r="L35" i="139"/>
  <c r="L62" i="139" s="1"/>
  <c r="AK88" i="139" s="1"/>
  <c r="L31" i="139"/>
  <c r="L58" i="139" s="1"/>
  <c r="AK84" i="139" s="1"/>
  <c r="L40" i="139"/>
  <c r="L67" i="139" s="1"/>
  <c r="AK93" i="139" s="1"/>
  <c r="L34" i="139"/>
  <c r="L61" i="139" s="1"/>
  <c r="AK87" i="139" s="1"/>
  <c r="L30" i="139"/>
  <c r="L57" i="139" s="1"/>
  <c r="AK83" i="139" s="1"/>
  <c r="L37" i="139"/>
  <c r="L64" i="139" s="1"/>
  <c r="AK90" i="139" s="1"/>
  <c r="L32" i="139"/>
  <c r="L59" i="139" s="1"/>
  <c r="AK85" i="139" s="1"/>
  <c r="L41" i="139"/>
  <c r="L68" i="139" s="1"/>
  <c r="AK94" i="139" s="1"/>
  <c r="K38" i="139" l="1"/>
  <c r="K65" i="139" s="1"/>
  <c r="AJ91" i="139" s="1"/>
  <c r="K37" i="139"/>
  <c r="K64" i="139" s="1"/>
  <c r="AJ90" i="139" s="1"/>
  <c r="J28" i="139"/>
  <c r="K31" i="139"/>
  <c r="K58" i="139" s="1"/>
  <c r="AJ84" i="139" s="1"/>
  <c r="K30" i="139"/>
  <c r="K57" i="139" s="1"/>
  <c r="AJ83" i="139" s="1"/>
  <c r="K39" i="139"/>
  <c r="K66" i="139" s="1"/>
  <c r="AJ92" i="139" s="1"/>
  <c r="K34" i="139"/>
  <c r="K61" i="139" s="1"/>
  <c r="AJ87" i="139" s="1"/>
  <c r="K35" i="139"/>
  <c r="K62" i="139" s="1"/>
  <c r="AJ88" i="139" s="1"/>
  <c r="K36" i="139"/>
  <c r="K63" i="139" s="1"/>
  <c r="AJ89" i="139" s="1"/>
  <c r="K32" i="139"/>
  <c r="K59" i="139" s="1"/>
  <c r="AJ85" i="139" s="1"/>
  <c r="K33" i="139"/>
  <c r="K60" i="139" s="1"/>
  <c r="AJ86" i="139" s="1"/>
  <c r="K41" i="139"/>
  <c r="K68" i="139" s="1"/>
  <c r="AJ94" i="139" s="1"/>
  <c r="K40" i="139"/>
  <c r="K67" i="139" s="1"/>
  <c r="AJ93" i="139" s="1"/>
  <c r="I28" i="139" l="1"/>
  <c r="J38" i="139"/>
  <c r="J65" i="139" s="1"/>
  <c r="AI91" i="139" s="1"/>
  <c r="J41" i="139"/>
  <c r="J68" i="139" s="1"/>
  <c r="AI94" i="139" s="1"/>
  <c r="J39" i="139"/>
  <c r="J66" i="139" s="1"/>
  <c r="AI92" i="139" s="1"/>
  <c r="J37" i="139"/>
  <c r="J64" i="139" s="1"/>
  <c r="AI90" i="139" s="1"/>
  <c r="J35" i="139"/>
  <c r="J62" i="139" s="1"/>
  <c r="AI88" i="139" s="1"/>
  <c r="J36" i="139"/>
  <c r="J63" i="139" s="1"/>
  <c r="AI89" i="139" s="1"/>
  <c r="J32" i="139"/>
  <c r="J59" i="139" s="1"/>
  <c r="AI85" i="139" s="1"/>
  <c r="J34" i="139"/>
  <c r="J61" i="139" s="1"/>
  <c r="AI87" i="139" s="1"/>
  <c r="J40" i="139"/>
  <c r="J67" i="139" s="1"/>
  <c r="AI93" i="139" s="1"/>
  <c r="J33" i="139"/>
  <c r="J60" i="139" s="1"/>
  <c r="AI86" i="139" s="1"/>
  <c r="J31" i="139"/>
  <c r="J58" i="139" s="1"/>
  <c r="AI84" i="139" s="1"/>
  <c r="J30" i="139"/>
  <c r="J57" i="139" s="1"/>
  <c r="AI83" i="139" s="1"/>
  <c r="I32" i="139" l="1"/>
  <c r="I59" i="139" s="1"/>
  <c r="AH85" i="139" s="1"/>
  <c r="I35" i="139"/>
  <c r="I62" i="139" s="1"/>
  <c r="AH88" i="139" s="1"/>
  <c r="I36" i="139"/>
  <c r="I63" i="139" s="1"/>
  <c r="AH89" i="139" s="1"/>
  <c r="I30" i="139"/>
  <c r="I57" i="139" s="1"/>
  <c r="AH83" i="139" s="1"/>
  <c r="I34" i="139"/>
  <c r="I61" i="139" s="1"/>
  <c r="AH87" i="139" s="1"/>
  <c r="I41" i="139"/>
  <c r="I68" i="139" s="1"/>
  <c r="AH94" i="139" s="1"/>
  <c r="I39" i="139"/>
  <c r="I66" i="139" s="1"/>
  <c r="AH92" i="139" s="1"/>
  <c r="I33" i="139"/>
  <c r="I60" i="139" s="1"/>
  <c r="AH86" i="139" s="1"/>
  <c r="I31" i="139"/>
  <c r="I58" i="139" s="1"/>
  <c r="AH84" i="139" s="1"/>
  <c r="H28" i="139"/>
  <c r="I40" i="139"/>
  <c r="I67" i="139" s="1"/>
  <c r="AH93" i="139" s="1"/>
  <c r="I38" i="139"/>
  <c r="I65" i="139" s="1"/>
  <c r="AH91" i="139" s="1"/>
  <c r="I37" i="139"/>
  <c r="I64" i="139" s="1"/>
  <c r="AH90" i="139" s="1"/>
  <c r="H37" i="139" l="1"/>
  <c r="H64" i="139" s="1"/>
  <c r="AG90" i="139" s="1"/>
  <c r="H33" i="139"/>
  <c r="H60" i="139" s="1"/>
  <c r="AG86" i="139" s="1"/>
  <c r="H38" i="139"/>
  <c r="H65" i="139" s="1"/>
  <c r="AG91" i="139" s="1"/>
  <c r="H41" i="139"/>
  <c r="H68" i="139" s="1"/>
  <c r="AG94" i="139" s="1"/>
  <c r="H39" i="139"/>
  <c r="H66" i="139" s="1"/>
  <c r="AG92" i="139" s="1"/>
  <c r="H30" i="139"/>
  <c r="H57" i="139" s="1"/>
  <c r="AG83" i="139" s="1"/>
  <c r="H40" i="139"/>
  <c r="H67" i="139" s="1"/>
  <c r="AG93" i="139" s="1"/>
  <c r="H35" i="139"/>
  <c r="H62" i="139" s="1"/>
  <c r="AG88" i="139" s="1"/>
  <c r="H32" i="139"/>
  <c r="H59" i="139" s="1"/>
  <c r="AG85" i="139" s="1"/>
  <c r="H36" i="139"/>
  <c r="H63" i="139" s="1"/>
  <c r="AG89" i="139" s="1"/>
  <c r="H34" i="139"/>
  <c r="H61" i="139" s="1"/>
  <c r="AG87" i="139" s="1"/>
  <c r="H31" i="139"/>
  <c r="H58" i="139" s="1"/>
  <c r="AG84" i="139" s="1"/>
  <c r="G28" i="139"/>
  <c r="G35" i="139" l="1"/>
  <c r="G62" i="139" s="1"/>
  <c r="AF88" i="139" s="1"/>
  <c r="F28" i="139"/>
  <c r="G32" i="139"/>
  <c r="G59" i="139" s="1"/>
  <c r="AF85" i="139" s="1"/>
  <c r="G33" i="139"/>
  <c r="G60" i="139" s="1"/>
  <c r="AF86" i="139" s="1"/>
  <c r="G39" i="139"/>
  <c r="G66" i="139" s="1"/>
  <c r="AF92" i="139" s="1"/>
  <c r="G34" i="139"/>
  <c r="G61" i="139" s="1"/>
  <c r="AF87" i="139" s="1"/>
  <c r="G41" i="139"/>
  <c r="G68" i="139" s="1"/>
  <c r="AF94" i="139" s="1"/>
  <c r="G37" i="139"/>
  <c r="G64" i="139" s="1"/>
  <c r="AF90" i="139" s="1"/>
  <c r="G36" i="139"/>
  <c r="G63" i="139" s="1"/>
  <c r="AF89" i="139" s="1"/>
  <c r="G30" i="139"/>
  <c r="G57" i="139" s="1"/>
  <c r="AF83" i="139" s="1"/>
  <c r="G40" i="139"/>
  <c r="G67" i="139" s="1"/>
  <c r="AF93" i="139" s="1"/>
  <c r="G38" i="139"/>
  <c r="G65" i="139" s="1"/>
  <c r="AF91" i="139" s="1"/>
  <c r="G31" i="139"/>
  <c r="G58" i="139" s="1"/>
  <c r="AF84" i="139" s="1"/>
  <c r="F33" i="139" l="1"/>
  <c r="F60" i="139" s="1"/>
  <c r="AE86" i="139" s="1"/>
  <c r="E28" i="139"/>
  <c r="F30" i="139"/>
  <c r="F57" i="139" s="1"/>
  <c r="AE83" i="139" s="1"/>
  <c r="F34" i="139"/>
  <c r="F61" i="139" s="1"/>
  <c r="AE87" i="139" s="1"/>
  <c r="F40" i="139"/>
  <c r="F67" i="139" s="1"/>
  <c r="AE93" i="139" s="1"/>
  <c r="F37" i="139"/>
  <c r="F64" i="139" s="1"/>
  <c r="AE90" i="139" s="1"/>
  <c r="F32" i="139"/>
  <c r="F59" i="139" s="1"/>
  <c r="AE85" i="139" s="1"/>
  <c r="F31" i="139"/>
  <c r="F58" i="139" s="1"/>
  <c r="AE84" i="139" s="1"/>
  <c r="F39" i="139"/>
  <c r="F66" i="139" s="1"/>
  <c r="AE92" i="139" s="1"/>
  <c r="F38" i="139"/>
  <c r="F65" i="139" s="1"/>
  <c r="AE91" i="139" s="1"/>
  <c r="F36" i="139"/>
  <c r="F63" i="139" s="1"/>
  <c r="AE89" i="139" s="1"/>
  <c r="F41" i="139"/>
  <c r="F68" i="139" s="1"/>
  <c r="AE94" i="139" s="1"/>
  <c r="F35" i="139"/>
  <c r="F62" i="139" s="1"/>
  <c r="AE88" i="139" s="1"/>
  <c r="E30" i="139" l="1"/>
  <c r="E57" i="139" s="1"/>
  <c r="AD83" i="139" s="1"/>
  <c r="E39" i="139"/>
  <c r="E66" i="139" s="1"/>
  <c r="AD92" i="139" s="1"/>
  <c r="E41" i="139"/>
  <c r="E68" i="139" s="1"/>
  <c r="AD94" i="139" s="1"/>
  <c r="E31" i="139"/>
  <c r="E58" i="139" s="1"/>
  <c r="AD84" i="139" s="1"/>
  <c r="E35" i="139"/>
  <c r="E62" i="139" s="1"/>
  <c r="AD88" i="139" s="1"/>
  <c r="E38" i="139"/>
  <c r="E65" i="139" s="1"/>
  <c r="AD91" i="139" s="1"/>
  <c r="E34" i="139"/>
  <c r="E61" i="139" s="1"/>
  <c r="AD87" i="139" s="1"/>
  <c r="E36" i="139"/>
  <c r="E63" i="139" s="1"/>
  <c r="AD89" i="139" s="1"/>
  <c r="D28" i="139"/>
  <c r="E40" i="139"/>
  <c r="E67" i="139" s="1"/>
  <c r="AD93" i="139" s="1"/>
  <c r="E37" i="139"/>
  <c r="E64" i="139" s="1"/>
  <c r="AD90" i="139" s="1"/>
  <c r="E32" i="139"/>
  <c r="E59" i="139" s="1"/>
  <c r="AD85" i="139" s="1"/>
  <c r="E33" i="139"/>
  <c r="E60" i="139" s="1"/>
  <c r="AD86" i="139" s="1"/>
  <c r="D38" i="139" l="1"/>
  <c r="D65" i="139" s="1"/>
  <c r="AC91" i="139" s="1"/>
  <c r="D31" i="139"/>
  <c r="D58" i="139" s="1"/>
  <c r="AC84" i="139" s="1"/>
  <c r="D33" i="139"/>
  <c r="D60" i="139" s="1"/>
  <c r="AC86" i="139" s="1"/>
  <c r="D35" i="139"/>
  <c r="D62" i="139" s="1"/>
  <c r="AC88" i="139" s="1"/>
  <c r="D30" i="139"/>
  <c r="D57" i="139" s="1"/>
  <c r="AC83" i="139" s="1"/>
  <c r="D36" i="139"/>
  <c r="D63" i="139" s="1"/>
  <c r="AC89" i="139" s="1"/>
  <c r="D37" i="139"/>
  <c r="D64" i="139" s="1"/>
  <c r="AC90" i="139" s="1"/>
  <c r="D40" i="139"/>
  <c r="D67" i="139" s="1"/>
  <c r="AC93" i="139" s="1"/>
  <c r="D39" i="139"/>
  <c r="D66" i="139" s="1"/>
  <c r="AC92" i="139" s="1"/>
  <c r="C28" i="139"/>
  <c r="D34" i="139"/>
  <c r="D61" i="139" s="1"/>
  <c r="AC87" i="139" s="1"/>
  <c r="D41" i="139"/>
  <c r="D68" i="139" s="1"/>
  <c r="AC94" i="139" s="1"/>
  <c r="D32" i="139"/>
  <c r="D59" i="139" s="1"/>
  <c r="AC85" i="139" s="1"/>
  <c r="C38" i="139" l="1"/>
  <c r="C65" i="139" s="1"/>
  <c r="AB91" i="139" s="1"/>
  <c r="C30" i="139"/>
  <c r="C57" i="139" s="1"/>
  <c r="AB83" i="139" s="1"/>
  <c r="C32" i="139"/>
  <c r="C59" i="139" s="1"/>
  <c r="AB85" i="139" s="1"/>
  <c r="C35" i="139"/>
  <c r="C62" i="139" s="1"/>
  <c r="AB88" i="139" s="1"/>
  <c r="C39" i="139"/>
  <c r="C66" i="139" s="1"/>
  <c r="AB92" i="139" s="1"/>
  <c r="C36" i="139"/>
  <c r="C63" i="139" s="1"/>
  <c r="AB89" i="139" s="1"/>
  <c r="B28" i="139"/>
  <c r="C40" i="139"/>
  <c r="C67" i="139" s="1"/>
  <c r="AB93" i="139" s="1"/>
  <c r="C34" i="139"/>
  <c r="C61" i="139" s="1"/>
  <c r="AB87" i="139" s="1"/>
  <c r="C41" i="139"/>
  <c r="C68" i="139" s="1"/>
  <c r="AB94" i="139" s="1"/>
  <c r="C33" i="139"/>
  <c r="C60" i="139" s="1"/>
  <c r="AB86" i="139" s="1"/>
  <c r="C31" i="139"/>
  <c r="C58" i="139" s="1"/>
  <c r="AB84" i="139" s="1"/>
  <c r="C37" i="139"/>
  <c r="C64" i="139" s="1"/>
  <c r="AB90" i="139" s="1"/>
  <c r="B33" i="139" l="1"/>
  <c r="B60" i="139" s="1"/>
  <c r="AA86" i="139" s="1"/>
  <c r="B34" i="139"/>
  <c r="B61" i="139" s="1"/>
  <c r="AA87" i="139" s="1"/>
  <c r="B32" i="139"/>
  <c r="B59" i="139" s="1"/>
  <c r="AA85" i="139" s="1"/>
  <c r="B35" i="139"/>
  <c r="B62" i="139" s="1"/>
  <c r="AA88" i="139" s="1"/>
  <c r="B37" i="139"/>
  <c r="B64" i="139" s="1"/>
  <c r="AA90" i="139" s="1"/>
  <c r="B31" i="139"/>
  <c r="B58" i="139" s="1"/>
  <c r="AA84" i="139" s="1"/>
  <c r="B41" i="139"/>
  <c r="B68" i="139" s="1"/>
  <c r="AA94" i="139" s="1"/>
  <c r="B36" i="139"/>
  <c r="B63" i="139" s="1"/>
  <c r="AA89" i="139" s="1"/>
  <c r="B30" i="139"/>
  <c r="B57" i="139" s="1"/>
  <c r="AA83" i="139" s="1"/>
  <c r="B39" i="139"/>
  <c r="B66" i="139" s="1"/>
  <c r="AA92" i="139" s="1"/>
  <c r="B40" i="139"/>
  <c r="B67" i="139" s="1"/>
  <c r="AA93" i="139" s="1"/>
  <c r="B38" i="139"/>
  <c r="B65" i="139" s="1"/>
  <c r="AA91" i="139" s="1"/>
</calcChain>
</file>

<file path=xl/sharedStrings.xml><?xml version="1.0" encoding="utf-8"?>
<sst xmlns="http://schemas.openxmlformats.org/spreadsheetml/2006/main" count="18" uniqueCount="10">
  <si>
    <t>MES</t>
  </si>
  <si>
    <t>Period</t>
  </si>
  <si>
    <t>MEDIA</t>
  </si>
  <si>
    <t>MEDIANA</t>
  </si>
  <si>
    <t>VARIANZA</t>
  </si>
  <si>
    <t>σ</t>
  </si>
  <si>
    <r>
      <t xml:space="preserve">INTERVALO </t>
    </r>
    <r>
      <rPr>
        <b/>
        <sz val="8"/>
        <color theme="0"/>
        <rFont val="Calibri"/>
        <family val="2"/>
        <scheme val="minor"/>
      </rPr>
      <t>∓</t>
    </r>
    <r>
      <rPr>
        <b/>
        <sz val="11"/>
        <color theme="0"/>
        <rFont val="Calibri"/>
        <family val="2"/>
        <scheme val="minor"/>
      </rPr>
      <t>2σ</t>
    </r>
  </si>
  <si>
    <t>ParoRegESP</t>
  </si>
  <si>
    <t>Inicio</t>
  </si>
  <si>
    <t>Amplitud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</si>
</sst>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C0A]mmm\-yy;@"/>
    <numFmt numFmtId="165" formatCode="0.0%"/>
    <numFmt numFmtId="166" formatCode="0.000000"/>
    <numFmt numFmtId="167" formatCode="0.00\ &quot;σ&quot;"/>
  </numFmts>
  <fonts count="9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8" fillId="0" borderId="0">
      <alignment wrapText="1"/>
    </xf>
  </cellStyleXfs>
  <cellXfs count="22">
    <xf numFmtId="0" fontId="0" fillId="0" borderId="0" xfId="0"/>
    <xf numFmtId="3" fontId="0" fillId="0" borderId="0" xfId="0" applyNumberFormat="1"/>
    <xf numFmtId="14" fontId="0" fillId="0" borderId="0" xfId="0" applyNumberFormat="1"/>
    <xf numFmtId="0" fontId="1" fillId="0" borderId="1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3" fontId="1" fillId="0" borderId="1" xfId="0" applyNumberFormat="1" applyFont="1" applyBorder="1"/>
    <xf numFmtId="164" fontId="1" fillId="0" borderId="1" xfId="0" applyNumberFormat="1" applyFont="1" applyBorder="1" applyAlignment="1">
      <alignment vertical="center"/>
    </xf>
    <xf numFmtId="164" fontId="1" fillId="0" borderId="1" xfId="0" applyNumberFormat="1" applyFont="1" applyBorder="1"/>
    <xf numFmtId="10" fontId="2" fillId="0" borderId="0" xfId="1" applyNumberFormat="1" applyFont="1"/>
    <xf numFmtId="164" fontId="4" fillId="2" borderId="0" xfId="0" applyNumberFormat="1" applyFont="1" applyFill="1" applyAlignment="1">
      <alignment horizontal="center" vertical="center"/>
    </xf>
    <xf numFmtId="164" fontId="4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 vertical="center"/>
    </xf>
    <xf numFmtId="10" fontId="7" fillId="3" borderId="0" xfId="0" applyNumberFormat="1" applyFont="1" applyFill="1"/>
    <xf numFmtId="166" fontId="7" fillId="3" borderId="0" xfId="0" applyNumberFormat="1" applyFont="1" applyFill="1"/>
    <xf numFmtId="165" fontId="7" fillId="3" borderId="0" xfId="1" applyNumberFormat="1" applyFont="1" applyFill="1" applyAlignment="1">
      <alignment horizontal="center" vertical="center"/>
    </xf>
    <xf numFmtId="10" fontId="0" fillId="0" borderId="0" xfId="0" applyNumberFormat="1"/>
    <xf numFmtId="10" fontId="7" fillId="3" borderId="0" xfId="1" applyNumberFormat="1" applyFont="1" applyFill="1" applyAlignment="1">
      <alignment horizontal="center" vertical="center"/>
    </xf>
    <xf numFmtId="10" fontId="0" fillId="0" borderId="0" xfId="1" applyNumberFormat="1" applyFont="1" applyFill="1"/>
    <xf numFmtId="167" fontId="5" fillId="2" borderId="0" xfId="0" applyNumberFormat="1" applyFont="1" applyFill="1" applyAlignment="1">
      <alignment horizontal="center" vertical="center"/>
    </xf>
    <xf numFmtId="9" fontId="0" fillId="0" borderId="0" xfId="1" applyNumberFormat="1" applyFont="1"/>
    <xf numFmtId="10" fontId="0" fillId="0" borderId="0" xfId="1" applyNumberFormat="1" applyFont="1"/>
  </cellXfs>
  <cellStyles count="3">
    <cellStyle name="Normal" xfId="0" builtinId="0"/>
    <cellStyle name="Porcentaje" xfId="1" builtinId="5"/>
    <cellStyle name="XLConnect.Numeric" xfId="2"/>
  </cellStyles>
  <dxfs count="4">
    <dxf>
      <font>
        <b/>
        <i val="0"/>
        <strike val="0"/>
        <u val="none"/>
        <color auto="1"/>
      </font>
      <fill>
        <patternFill patternType="solid">
          <bgColor theme="3" tint="0.79998168889431442"/>
        </patternFill>
      </fill>
      <border>
        <left/>
        <right/>
        <top/>
        <bottom/>
      </border>
    </dxf>
    <dxf>
      <fill>
        <patternFill>
          <bgColor theme="0"/>
        </patternFill>
      </fill>
    </dxf>
    <dxf>
      <font>
        <b/>
        <i val="0"/>
        <u val="none"/>
        <color theme="0"/>
      </font>
      <fill>
        <patternFill patternType="solid">
          <bgColor rgb="FF00B050"/>
        </patternFill>
      </fill>
      <border>
        <left/>
        <right/>
        <top/>
        <bottom/>
      </border>
    </dxf>
    <dxf>
      <font>
        <b/>
        <i val="0"/>
        <strike val="0"/>
        <u val="none"/>
        <color rgb="FFFFFF00"/>
      </font>
      <fill>
        <patternFill patternType="solid">
          <bgColor rgb="FFFF3300"/>
        </patternFill>
      </fill>
      <border>
        <left/>
        <right/>
        <top/>
        <bottom/>
      </border>
    </dxf>
  </dxfs>
  <tableStyles count="0" defaultTableStyle="TableStyleMedium9" defaultPivotStyle="PivotStyleLight16"/>
  <colors>
    <mruColors>
      <color rgb="FF0066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C/OBSERVATORIOEMPLEO/An&#225;lisis/Previsiones/Seri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series"/>
    </sheetNames>
    <sheetDataSet>
      <sheetData sheetId="0">
        <row r="7">
          <cell r="B7">
            <v>2995774</v>
          </cell>
        </row>
        <row r="8">
          <cell r="B8">
            <v>2994922</v>
          </cell>
        </row>
        <row r="9">
          <cell r="B9">
            <v>2969472</v>
          </cell>
        </row>
        <row r="10">
          <cell r="B10">
            <v>2891580</v>
          </cell>
        </row>
        <row r="11">
          <cell r="B11">
            <v>2813180</v>
          </cell>
        </row>
        <row r="12">
          <cell r="B12">
            <v>2783076</v>
          </cell>
        </row>
        <row r="13">
          <cell r="B13">
            <v>2712456</v>
          </cell>
        </row>
        <row r="14">
          <cell r="B14">
            <v>2677610</v>
          </cell>
        </row>
        <row r="15">
          <cell r="B15">
            <v>2735843</v>
          </cell>
        </row>
        <row r="16">
          <cell r="B16">
            <v>2775951</v>
          </cell>
        </row>
        <row r="17">
          <cell r="B17">
            <v>2796229</v>
          </cell>
        </row>
        <row r="18">
          <cell r="B18">
            <v>2747049</v>
          </cell>
        </row>
        <row r="19">
          <cell r="B19">
            <v>2782276</v>
          </cell>
        </row>
        <row r="20">
          <cell r="B20">
            <v>2787662</v>
          </cell>
        </row>
        <row r="21">
          <cell r="B21">
            <v>2751554</v>
          </cell>
        </row>
        <row r="22">
          <cell r="B22">
            <v>2699192</v>
          </cell>
        </row>
        <row r="23">
          <cell r="B23">
            <v>2638519</v>
          </cell>
        </row>
        <row r="24">
          <cell r="B24">
            <v>2614285</v>
          </cell>
        </row>
        <row r="25">
          <cell r="B25">
            <v>2519688</v>
          </cell>
        </row>
        <row r="26">
          <cell r="B26">
            <v>2491577</v>
          </cell>
        </row>
        <row r="27">
          <cell r="B27">
            <v>2550636</v>
          </cell>
        </row>
        <row r="28">
          <cell r="B28">
            <v>2577052</v>
          </cell>
        </row>
        <row r="29">
          <cell r="B29">
            <v>2600732</v>
          </cell>
        </row>
        <row r="30">
          <cell r="B30">
            <v>2566904</v>
          </cell>
        </row>
        <row r="31">
          <cell r="B31">
            <v>2577189</v>
          </cell>
        </row>
        <row r="32">
          <cell r="B32">
            <v>2553346</v>
          </cell>
        </row>
        <row r="33">
          <cell r="B33">
            <v>2524004</v>
          </cell>
        </row>
        <row r="34">
          <cell r="B34">
            <v>2442803</v>
          </cell>
        </row>
        <row r="35">
          <cell r="B35">
            <v>2369889</v>
          </cell>
        </row>
        <row r="36">
          <cell r="B36">
            <v>2332016</v>
          </cell>
        </row>
        <row r="37">
          <cell r="B37">
            <v>2250015</v>
          </cell>
        </row>
        <row r="38">
          <cell r="B38">
            <v>2235296</v>
          </cell>
        </row>
        <row r="39">
          <cell r="B39">
            <v>2256328</v>
          </cell>
        </row>
        <row r="40">
          <cell r="B40">
            <v>2267925</v>
          </cell>
        </row>
        <row r="41">
          <cell r="B41">
            <v>2270240</v>
          </cell>
        </row>
        <row r="42">
          <cell r="B42">
            <v>2233259</v>
          </cell>
        </row>
        <row r="43">
          <cell r="B43">
            <v>2251728</v>
          </cell>
        </row>
        <row r="44">
          <cell r="B44">
            <v>2233082</v>
          </cell>
        </row>
        <row r="45">
          <cell r="B45">
            <v>2202337</v>
          </cell>
        </row>
        <row r="46">
          <cell r="B46">
            <v>2144375</v>
          </cell>
        </row>
        <row r="47">
          <cell r="B47">
            <v>2076942</v>
          </cell>
        </row>
        <row r="48">
          <cell r="B48">
            <v>2045950</v>
          </cell>
        </row>
        <row r="49">
          <cell r="B49">
            <v>1980957</v>
          </cell>
        </row>
        <row r="50">
          <cell r="B50">
            <v>1980966</v>
          </cell>
        </row>
        <row r="51">
          <cell r="B51">
            <v>2002552</v>
          </cell>
        </row>
        <row r="52">
          <cell r="B52">
            <v>2019968</v>
          </cell>
        </row>
        <row r="53">
          <cell r="B53">
            <v>2055809</v>
          </cell>
        </row>
        <row r="54">
          <cell r="B54">
            <v>2027982</v>
          </cell>
        </row>
        <row r="55">
          <cell r="B55">
            <v>2090035</v>
          </cell>
        </row>
        <row r="56">
          <cell r="B56">
            <v>2079752</v>
          </cell>
        </row>
        <row r="57">
          <cell r="B57">
            <v>2042332</v>
          </cell>
        </row>
        <row r="58">
          <cell r="B58">
            <v>1983994</v>
          </cell>
        </row>
        <row r="59">
          <cell r="B59">
            <v>1929028</v>
          </cell>
        </row>
        <row r="60">
          <cell r="B60">
            <v>1903053</v>
          </cell>
        </row>
        <row r="61">
          <cell r="B61">
            <v>1892683</v>
          </cell>
        </row>
        <row r="62">
          <cell r="B62">
            <v>1888386</v>
          </cell>
        </row>
        <row r="63">
          <cell r="B63">
            <v>1908120</v>
          </cell>
        </row>
        <row r="64">
          <cell r="B64">
            <v>1934130</v>
          </cell>
        </row>
        <row r="65">
          <cell r="B65">
            <v>1962794</v>
          </cell>
        </row>
        <row r="66">
          <cell r="B66">
            <v>1947242</v>
          </cell>
        </row>
        <row r="67">
          <cell r="B67">
            <v>2017389</v>
          </cell>
        </row>
        <row r="68">
          <cell r="B68">
            <v>1993274</v>
          </cell>
        </row>
        <row r="69">
          <cell r="B69">
            <v>1981006</v>
          </cell>
        </row>
        <row r="70">
          <cell r="B70">
            <v>1910453</v>
          </cell>
        </row>
        <row r="71">
          <cell r="B71">
            <v>1898285</v>
          </cell>
        </row>
        <row r="72">
          <cell r="B72">
            <v>1842556</v>
          </cell>
        </row>
        <row r="73">
          <cell r="B73">
            <v>1835738</v>
          </cell>
        </row>
        <row r="74">
          <cell r="B74">
            <v>1878513</v>
          </cell>
        </row>
        <row r="75">
          <cell r="B75">
            <v>1889185</v>
          </cell>
        </row>
        <row r="76">
          <cell r="B76">
            <v>1940909</v>
          </cell>
        </row>
        <row r="77">
          <cell r="B77">
            <v>1985857</v>
          </cell>
        </row>
        <row r="78">
          <cell r="B78">
            <v>1988715</v>
          </cell>
        </row>
        <row r="79">
          <cell r="B79">
            <v>2075022</v>
          </cell>
        </row>
        <row r="80">
          <cell r="B80">
            <v>2149908</v>
          </cell>
        </row>
        <row r="81">
          <cell r="B81">
            <v>2083103</v>
          </cell>
        </row>
        <row r="82">
          <cell r="B82">
            <v>2060070</v>
          </cell>
        </row>
        <row r="83">
          <cell r="B83">
            <v>2002924</v>
          </cell>
        </row>
        <row r="84">
          <cell r="B84">
            <v>1962963</v>
          </cell>
        </row>
        <row r="85">
          <cell r="B85">
            <v>1961852</v>
          </cell>
        </row>
        <row r="86">
          <cell r="B86">
            <v>1983982</v>
          </cell>
        </row>
        <row r="87">
          <cell r="B87">
            <v>2006786</v>
          </cell>
        </row>
        <row r="88">
          <cell r="B88">
            <v>2064512</v>
          </cell>
        </row>
        <row r="89">
          <cell r="B89">
            <v>2117144</v>
          </cell>
        </row>
        <row r="90">
          <cell r="B90">
            <v>2127018</v>
          </cell>
        </row>
        <row r="91">
          <cell r="B91">
            <v>2185156</v>
          </cell>
        </row>
        <row r="92">
          <cell r="B92">
            <v>2180216</v>
          </cell>
        </row>
        <row r="93">
          <cell r="B93">
            <v>2163498</v>
          </cell>
        </row>
        <row r="94">
          <cell r="B94">
            <v>2104475</v>
          </cell>
        </row>
        <row r="95">
          <cell r="B95">
            <v>2035601</v>
          </cell>
        </row>
        <row r="96">
          <cell r="B96">
            <v>2020367</v>
          </cell>
        </row>
        <row r="97">
          <cell r="B97">
            <v>1995964</v>
          </cell>
        </row>
        <row r="98">
          <cell r="B98">
            <v>2016675</v>
          </cell>
        </row>
        <row r="99">
          <cell r="B99">
            <v>2039630</v>
          </cell>
        </row>
        <row r="100">
          <cell r="B100">
            <v>2096606</v>
          </cell>
        </row>
        <row r="101">
          <cell r="B101">
            <v>2143206</v>
          </cell>
        </row>
        <row r="102">
          <cell r="B102">
            <v>2181248</v>
          </cell>
        </row>
        <row r="103">
          <cell r="B103">
            <v>2232560</v>
          </cell>
        </row>
        <row r="104">
          <cell r="B104">
            <v>2219300</v>
          </cell>
        </row>
        <row r="105">
          <cell r="B105">
            <v>2181546</v>
          </cell>
        </row>
        <row r="106">
          <cell r="B106">
            <v>2162405</v>
          </cell>
        </row>
        <row r="107">
          <cell r="B107">
            <v>2090702</v>
          </cell>
        </row>
        <row r="108">
          <cell r="B108">
            <v>2054113</v>
          </cell>
        </row>
        <row r="109">
          <cell r="B109">
            <v>2014218</v>
          </cell>
        </row>
        <row r="110">
          <cell r="B110">
            <v>2049639</v>
          </cell>
        </row>
        <row r="111">
          <cell r="B111">
            <v>2050514</v>
          </cell>
        </row>
        <row r="112">
          <cell r="B112">
            <v>2075811</v>
          </cell>
        </row>
        <row r="113">
          <cell r="B113">
            <v>2121089</v>
          </cell>
        </row>
        <row r="114">
          <cell r="B114">
            <v>2112715</v>
          </cell>
        </row>
        <row r="115">
          <cell r="B115">
            <v>2176599</v>
          </cell>
        </row>
        <row r="116">
          <cell r="B116">
            <v>2165420</v>
          </cell>
        </row>
        <row r="117">
          <cell r="B117">
            <v>2144835</v>
          </cell>
        </row>
        <row r="118">
          <cell r="B118">
            <v>2095945</v>
          </cell>
        </row>
        <row r="119">
          <cell r="B119">
            <v>2007393</v>
          </cell>
        </row>
        <row r="120">
          <cell r="B120">
            <v>1974860</v>
          </cell>
        </row>
        <row r="121">
          <cell r="B121">
            <v>1989417</v>
          </cell>
        </row>
        <row r="122">
          <cell r="B122">
            <v>2019110</v>
          </cell>
        </row>
        <row r="123">
          <cell r="B123">
            <v>2013286</v>
          </cell>
        </row>
        <row r="124">
          <cell r="B124">
            <v>2052861</v>
          </cell>
        </row>
        <row r="125">
          <cell r="B125">
            <v>2095580</v>
          </cell>
        </row>
        <row r="126">
          <cell r="B126">
            <v>2102937</v>
          </cell>
        </row>
        <row r="127">
          <cell r="B127">
            <v>2171503</v>
          </cell>
        </row>
        <row r="128">
          <cell r="B128">
            <v>2169277</v>
          </cell>
        </row>
        <row r="129">
          <cell r="B129">
            <v>2148530</v>
          </cell>
        </row>
        <row r="130">
          <cell r="B130">
            <v>2075676</v>
          </cell>
        </row>
        <row r="131">
          <cell r="B131">
            <v>2004528</v>
          </cell>
        </row>
        <row r="132">
          <cell r="B132">
            <v>1959754</v>
          </cell>
        </row>
        <row r="133">
          <cell r="B133">
            <v>1954984</v>
          </cell>
        </row>
        <row r="134">
          <cell r="B134">
            <v>1983677</v>
          </cell>
        </row>
        <row r="135">
          <cell r="B135">
            <v>1966166</v>
          </cell>
        </row>
        <row r="136">
          <cell r="B136">
            <v>1992836</v>
          </cell>
        </row>
        <row r="137">
          <cell r="B137">
            <v>2023164</v>
          </cell>
        </row>
        <row r="138">
          <cell r="B138">
            <v>2022873</v>
          </cell>
        </row>
        <row r="139">
          <cell r="B139">
            <v>2082508</v>
          </cell>
        </row>
        <row r="140">
          <cell r="B140">
            <v>2075275</v>
          </cell>
        </row>
        <row r="141">
          <cell r="B141">
            <v>2059451</v>
          </cell>
        </row>
        <row r="142">
          <cell r="B142">
            <v>2023124</v>
          </cell>
        </row>
        <row r="143">
          <cell r="B143">
            <v>1973231</v>
          </cell>
        </row>
        <row r="144">
          <cell r="B144">
            <v>1965869</v>
          </cell>
        </row>
        <row r="145">
          <cell r="B145">
            <v>1970338</v>
          </cell>
        </row>
        <row r="146">
          <cell r="B146">
            <v>2028296</v>
          </cell>
        </row>
        <row r="147">
          <cell r="B147">
            <v>2017363</v>
          </cell>
        </row>
        <row r="148">
          <cell r="B148">
            <v>2048577</v>
          </cell>
        </row>
        <row r="149">
          <cell r="B149">
            <v>2094473</v>
          </cell>
        </row>
        <row r="150">
          <cell r="B150">
            <v>2129547</v>
          </cell>
        </row>
        <row r="151">
          <cell r="B151">
            <v>2261925</v>
          </cell>
        </row>
        <row r="152">
          <cell r="B152">
            <v>2315331</v>
          </cell>
        </row>
        <row r="153">
          <cell r="B153">
            <v>2300975</v>
          </cell>
        </row>
        <row r="154">
          <cell r="B154">
            <v>2338517</v>
          </cell>
        </row>
        <row r="155">
          <cell r="B155">
            <v>2353575</v>
          </cell>
        </row>
        <row r="156">
          <cell r="B156">
            <v>2390424</v>
          </cell>
        </row>
        <row r="157">
          <cell r="B157">
            <v>2426916</v>
          </cell>
        </row>
        <row r="158">
          <cell r="B158">
            <v>2530001</v>
          </cell>
        </row>
        <row r="159">
          <cell r="B159">
            <v>2625368</v>
          </cell>
        </row>
        <row r="160">
          <cell r="B160">
            <v>2818026</v>
          </cell>
        </row>
        <row r="161">
          <cell r="B161">
            <v>2989269</v>
          </cell>
        </row>
        <row r="162">
          <cell r="B162">
            <v>3128963</v>
          </cell>
        </row>
        <row r="163">
          <cell r="B163">
            <v>3327801</v>
          </cell>
        </row>
        <row r="164">
          <cell r="B164">
            <v>3481859</v>
          </cell>
        </row>
        <row r="165">
          <cell r="B165">
            <v>3605402</v>
          </cell>
        </row>
        <row r="166">
          <cell r="B166">
            <v>3644880</v>
          </cell>
        </row>
        <row r="167">
          <cell r="B167">
            <v>3620139</v>
          </cell>
        </row>
        <row r="168">
          <cell r="B168">
            <v>3564889</v>
          </cell>
        </row>
        <row r="169">
          <cell r="B169">
            <v>3544095</v>
          </cell>
        </row>
        <row r="170">
          <cell r="B170">
            <v>3629080</v>
          </cell>
        </row>
        <row r="171">
          <cell r="B171">
            <v>3709447</v>
          </cell>
        </row>
        <row r="172">
          <cell r="B172">
            <v>3808353</v>
          </cell>
        </row>
        <row r="173">
          <cell r="B173">
            <v>3868946</v>
          </cell>
        </row>
        <row r="174">
          <cell r="B174">
            <v>3923603</v>
          </cell>
        </row>
        <row r="175">
          <cell r="B175">
            <v>4048493</v>
          </cell>
        </row>
        <row r="176">
          <cell r="B176">
            <v>4130625</v>
          </cell>
        </row>
        <row r="177">
          <cell r="B177">
            <v>4166613</v>
          </cell>
        </row>
        <row r="178">
          <cell r="B178">
            <v>4142425</v>
          </cell>
        </row>
        <row r="179">
          <cell r="B179">
            <v>4066202</v>
          </cell>
        </row>
        <row r="180">
          <cell r="B180">
            <v>3982368</v>
          </cell>
        </row>
        <row r="181">
          <cell r="B181">
            <v>3908578</v>
          </cell>
        </row>
        <row r="182">
          <cell r="B182">
            <v>3969661</v>
          </cell>
        </row>
        <row r="183">
          <cell r="B183">
            <v>4017763</v>
          </cell>
        </row>
        <row r="184">
          <cell r="B184">
            <v>4085976</v>
          </cell>
        </row>
        <row r="185">
          <cell r="B185">
            <v>4110294</v>
          </cell>
        </row>
        <row r="186">
          <cell r="B186">
            <v>4100073</v>
          </cell>
        </row>
        <row r="187">
          <cell r="B187">
            <v>4231003</v>
          </cell>
        </row>
        <row r="188">
          <cell r="B188">
            <v>4299263</v>
          </cell>
        </row>
        <row r="189">
          <cell r="B189">
            <v>4333669</v>
          </cell>
        </row>
        <row r="190">
          <cell r="B190">
            <v>4269360</v>
          </cell>
        </row>
        <row r="191">
          <cell r="B191">
            <v>4189659</v>
          </cell>
        </row>
        <row r="192">
          <cell r="B192">
            <v>4121801</v>
          </cell>
        </row>
        <row r="193">
          <cell r="B193">
            <v>4079742</v>
          </cell>
        </row>
        <row r="194">
          <cell r="B194">
            <v>4130927</v>
          </cell>
        </row>
        <row r="195">
          <cell r="B195">
            <v>4226744</v>
          </cell>
        </row>
        <row r="196">
          <cell r="B196">
            <v>4360926</v>
          </cell>
        </row>
        <row r="197">
          <cell r="B197">
            <v>4420462</v>
          </cell>
        </row>
        <row r="198">
          <cell r="B198">
            <v>4422359</v>
          </cell>
        </row>
        <row r="199">
          <cell r="B199">
            <v>4599829</v>
          </cell>
        </row>
        <row r="200">
          <cell r="B200">
            <v>4712098</v>
          </cell>
        </row>
        <row r="201">
          <cell r="B201">
            <v>4750867</v>
          </cell>
        </row>
        <row r="202">
          <cell r="B202">
            <v>4744235</v>
          </cell>
        </row>
        <row r="203">
          <cell r="B203">
            <v>4714122</v>
          </cell>
        </row>
        <row r="204">
          <cell r="B204">
            <v>4615269</v>
          </cell>
        </row>
        <row r="205">
          <cell r="B205">
            <v>4587455</v>
          </cell>
        </row>
        <row r="206">
          <cell r="B206">
            <v>4625634</v>
          </cell>
        </row>
        <row r="207">
          <cell r="B207">
            <v>4705279</v>
          </cell>
        </row>
        <row r="208">
          <cell r="B208">
            <v>4833521</v>
          </cell>
        </row>
        <row r="209">
          <cell r="B209">
            <v>4907817</v>
          </cell>
        </row>
        <row r="210">
          <cell r="B210">
            <v>4848723</v>
          </cell>
        </row>
        <row r="211">
          <cell r="B211">
            <v>4980778</v>
          </cell>
        </row>
        <row r="212">
          <cell r="B212">
            <v>5040222</v>
          </cell>
        </row>
        <row r="213">
          <cell r="B213">
            <v>5035243</v>
          </cell>
        </row>
        <row r="214">
          <cell r="B214">
            <v>4989193</v>
          </cell>
        </row>
        <row r="215">
          <cell r="B215">
            <v>4890928</v>
          </cell>
        </row>
        <row r="216">
          <cell r="B216">
            <v>4763680</v>
          </cell>
        </row>
        <row r="217">
          <cell r="B217">
            <v>4698814</v>
          </cell>
        </row>
        <row r="218">
          <cell r="B218">
            <v>4698783</v>
          </cell>
        </row>
        <row r="219">
          <cell r="B219">
            <v>4724355</v>
          </cell>
        </row>
        <row r="220">
          <cell r="B220">
            <v>4811383</v>
          </cell>
        </row>
        <row r="221">
          <cell r="B221">
            <v>4808908</v>
          </cell>
        </row>
        <row r="222">
          <cell r="B222">
            <v>4701338</v>
          </cell>
        </row>
        <row r="223">
          <cell r="B223">
            <v>4814435</v>
          </cell>
        </row>
        <row r="224">
          <cell r="B224">
            <v>4812486</v>
          </cell>
        </row>
        <row r="225">
          <cell r="B225">
            <v>4795866</v>
          </cell>
        </row>
        <row r="226">
          <cell r="B226">
            <v>4684301</v>
          </cell>
        </row>
        <row r="227">
          <cell r="B227">
            <v>4572385</v>
          </cell>
        </row>
        <row r="228">
          <cell r="B228">
            <v>4449701</v>
          </cell>
        </row>
        <row r="229">
          <cell r="B229">
            <v>4419860</v>
          </cell>
        </row>
        <row r="230">
          <cell r="B230">
            <v>4427930</v>
          </cell>
        </row>
        <row r="231">
          <cell r="B231">
            <v>4447650</v>
          </cell>
        </row>
        <row r="232">
          <cell r="B232">
            <v>4526804</v>
          </cell>
        </row>
        <row r="233">
          <cell r="B233">
            <v>4512116</v>
          </cell>
        </row>
        <row r="234">
          <cell r="B234">
            <v>4447711</v>
          </cell>
        </row>
        <row r="235">
          <cell r="B235">
            <v>4525691</v>
          </cell>
        </row>
        <row r="236">
          <cell r="B236">
            <v>4512153</v>
          </cell>
        </row>
        <row r="237">
          <cell r="B237">
            <v>4451939</v>
          </cell>
        </row>
        <row r="238">
          <cell r="B238">
            <v>4333016</v>
          </cell>
        </row>
        <row r="239">
          <cell r="B239">
            <v>4215031</v>
          </cell>
        </row>
        <row r="240">
          <cell r="B240">
            <v>4120304</v>
          </cell>
        </row>
        <row r="241">
          <cell r="B241">
            <v>4046276</v>
          </cell>
        </row>
        <row r="242">
          <cell r="B242">
            <v>4067955</v>
          </cell>
        </row>
        <row r="243">
          <cell r="B243">
            <v>4094042</v>
          </cell>
        </row>
        <row r="244">
          <cell r="B244">
            <v>4176369</v>
          </cell>
        </row>
        <row r="245">
          <cell r="B245">
            <v>4149298</v>
          </cell>
        </row>
        <row r="246">
          <cell r="B246">
            <v>4093508</v>
          </cell>
        </row>
        <row r="247">
          <cell r="B247">
            <v>4150755</v>
          </cell>
        </row>
        <row r="248">
          <cell r="B248">
            <v>4152986</v>
          </cell>
        </row>
        <row r="249">
          <cell r="B249">
            <v>4094770</v>
          </cell>
        </row>
        <row r="250">
          <cell r="B250">
            <v>4011171</v>
          </cell>
        </row>
        <row r="251">
          <cell r="B251">
            <v>3891403</v>
          </cell>
        </row>
        <row r="252">
          <cell r="B252">
            <v>3767054</v>
          </cell>
        </row>
        <row r="253">
          <cell r="B253">
            <v>3683061</v>
          </cell>
        </row>
        <row r="254">
          <cell r="B254">
            <v>3697496</v>
          </cell>
        </row>
        <row r="255">
          <cell r="B255">
            <v>3720297</v>
          </cell>
        </row>
        <row r="256">
          <cell r="B256">
            <v>3764982</v>
          </cell>
        </row>
        <row r="257">
          <cell r="B257">
            <v>3789823</v>
          </cell>
        </row>
        <row r="258">
          <cell r="B258">
            <v>3702974</v>
          </cell>
        </row>
        <row r="259">
          <cell r="B259">
            <v>3760231</v>
          </cell>
        </row>
        <row r="260">
          <cell r="B260">
            <v>3750876</v>
          </cell>
        </row>
        <row r="261">
          <cell r="B261">
            <v>3702317</v>
          </cell>
        </row>
        <row r="262">
          <cell r="B262">
            <v>3573036</v>
          </cell>
        </row>
        <row r="263">
          <cell r="B263">
            <v>3461128</v>
          </cell>
        </row>
        <row r="264">
          <cell r="B264">
            <v>3362811</v>
          </cell>
        </row>
        <row r="265">
          <cell r="B265">
            <v>3335924</v>
          </cell>
        </row>
        <row r="266">
          <cell r="B266">
            <v>3382324</v>
          </cell>
        </row>
        <row r="267">
          <cell r="B267">
            <v>3410182</v>
          </cell>
        </row>
        <row r="268">
          <cell r="B268">
            <v>3467026</v>
          </cell>
        </row>
        <row r="269">
          <cell r="B269">
            <v>3474281</v>
          </cell>
        </row>
        <row r="270">
          <cell r="B270">
            <v>3412781</v>
          </cell>
        </row>
        <row r="271">
          <cell r="B271">
            <v>3476528</v>
          </cell>
        </row>
        <row r="272">
          <cell r="B272">
            <v>3470248</v>
          </cell>
        </row>
        <row r="273">
          <cell r="B273">
            <v>3422551</v>
          </cell>
        </row>
        <row r="274">
          <cell r="B274">
            <v>3335868</v>
          </cell>
        </row>
        <row r="275">
          <cell r="B275">
            <v>3252130</v>
          </cell>
        </row>
        <row r="276">
          <cell r="B276">
            <v>3162162</v>
          </cell>
        </row>
        <row r="277">
          <cell r="B277">
            <v>3135021</v>
          </cell>
        </row>
        <row r="278">
          <cell r="B278">
            <v>3182068</v>
          </cell>
        </row>
        <row r="279">
          <cell r="B279">
            <v>3202509</v>
          </cell>
        </row>
        <row r="280">
          <cell r="B280">
            <v>3254703</v>
          </cell>
        </row>
        <row r="281">
          <cell r="B281">
            <v>3252867</v>
          </cell>
        </row>
        <row r="282">
          <cell r="B282">
            <v>3202297</v>
          </cell>
        </row>
        <row r="283">
          <cell r="B283">
            <v>3285761</v>
          </cell>
        </row>
        <row r="284">
          <cell r="B284">
            <v>3289040</v>
          </cell>
        </row>
        <row r="285">
          <cell r="B285">
            <v>3255084</v>
          </cell>
        </row>
        <row r="286">
          <cell r="B286">
            <v>3163566</v>
          </cell>
        </row>
        <row r="287">
          <cell r="B287">
            <v>3079491</v>
          </cell>
        </row>
        <row r="288">
          <cell r="B288">
            <v>3015686</v>
          </cell>
        </row>
        <row r="289">
          <cell r="B289">
            <v>3011433</v>
          </cell>
        </row>
        <row r="290">
          <cell r="B290">
            <v>3065804</v>
          </cell>
        </row>
        <row r="291">
          <cell r="B291">
            <v>3079711</v>
          </cell>
        </row>
        <row r="292">
          <cell r="B292">
            <v>3177659</v>
          </cell>
        </row>
        <row r="293">
          <cell r="B293">
            <v>3198184</v>
          </cell>
        </row>
        <row r="294">
          <cell r="B294">
            <v>3163605</v>
          </cell>
        </row>
        <row r="295">
          <cell r="B295">
            <v>3253853</v>
          </cell>
        </row>
        <row r="296">
          <cell r="B296">
            <v>3246047</v>
          </cell>
        </row>
        <row r="297">
          <cell r="B297">
            <v>3548312</v>
          </cell>
        </row>
        <row r="298">
          <cell r="B298">
            <v>3831203</v>
          </cell>
        </row>
        <row r="299">
          <cell r="B299">
            <v>3857776</v>
          </cell>
        </row>
        <row r="300">
          <cell r="B300">
            <v>3862883</v>
          </cell>
        </row>
        <row r="301">
          <cell r="B301">
            <v>3773034</v>
          </cell>
        </row>
        <row r="302">
          <cell r="B302">
            <v>3802814</v>
          </cell>
        </row>
        <row r="303">
          <cell r="B303">
            <v>3776485</v>
          </cell>
        </row>
        <row r="304">
          <cell r="B304">
            <v>3826043</v>
          </cell>
        </row>
        <row r="305">
          <cell r="B305">
            <v>3851312</v>
          </cell>
        </row>
        <row r="306">
          <cell r="B306">
            <v>3888137</v>
          </cell>
        </row>
        <row r="307">
          <cell r="B307">
            <v>3964353</v>
          </cell>
        </row>
        <row r="308">
          <cell r="B308">
            <v>4008789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Y94"/>
  <sheetViews>
    <sheetView tabSelected="1" topLeftCell="GG1" workbookViewId="0">
      <selection activeCell="HA3" sqref="HA3"/>
    </sheetView>
  </sheetViews>
  <sheetFormatPr baseColWidth="10" defaultRowHeight="15" x14ac:dyDescent="0.25"/>
  <cols>
    <col min="1" max="1" width="7.140625" style="1" bestFit="1" customWidth="1"/>
    <col min="2" max="63" width="9.140625" style="1" bestFit="1" customWidth="1"/>
    <col min="64" max="66" width="10.140625" style="1" bestFit="1" customWidth="1"/>
    <col min="67" max="106" width="9.140625" style="1" bestFit="1" customWidth="1"/>
    <col min="107" max="268" width="9.140625" style="1" customWidth="1"/>
    <col min="269" max="269" width="7.140625" style="1" bestFit="1" customWidth="1"/>
    <col min="270" max="270" width="8.5703125" style="1" bestFit="1" customWidth="1"/>
    <col min="271" max="271" width="9.140625" style="1" bestFit="1" customWidth="1"/>
    <col min="272" max="272" width="7.140625" style="1" bestFit="1" customWidth="1"/>
    <col min="273" max="273" width="17.85546875" style="1" bestFit="1" customWidth="1"/>
    <col min="274" max="274" width="7.140625" style="1" bestFit="1" customWidth="1"/>
    <col min="275" max="336" width="9" style="1" customWidth="1"/>
  </cols>
  <sheetData>
    <row r="1" spans="1:337" x14ac:dyDescent="0.25">
      <c r="B1" s="1">
        <v>96</v>
      </c>
      <c r="C1" s="1">
        <v>97</v>
      </c>
      <c r="D1" s="1">
        <v>98</v>
      </c>
      <c r="E1" s="1">
        <v>99</v>
      </c>
      <c r="F1" s="1">
        <v>100</v>
      </c>
      <c r="G1" s="1">
        <v>101</v>
      </c>
      <c r="H1" s="1">
        <v>102</v>
      </c>
      <c r="I1" s="1">
        <v>103</v>
      </c>
      <c r="J1" s="1">
        <v>104</v>
      </c>
      <c r="K1" s="1">
        <v>105</v>
      </c>
      <c r="L1" s="1">
        <v>106</v>
      </c>
      <c r="M1" s="1">
        <v>107</v>
      </c>
      <c r="N1" s="1">
        <v>108</v>
      </c>
      <c r="O1" s="1">
        <v>109</v>
      </c>
      <c r="P1" s="1">
        <v>110</v>
      </c>
      <c r="Q1" s="1">
        <v>111</v>
      </c>
      <c r="R1" s="1">
        <v>112</v>
      </c>
      <c r="S1" s="1">
        <v>113</v>
      </c>
      <c r="T1" s="1">
        <v>114</v>
      </c>
      <c r="U1" s="1">
        <v>115</v>
      </c>
      <c r="V1" s="1">
        <v>116</v>
      </c>
      <c r="W1" s="1">
        <v>117</v>
      </c>
      <c r="X1" s="1">
        <v>118</v>
      </c>
      <c r="Y1" s="1">
        <v>119</v>
      </c>
      <c r="Z1" s="1">
        <v>120</v>
      </c>
      <c r="AA1" s="1">
        <v>121</v>
      </c>
      <c r="AB1" s="1">
        <v>122</v>
      </c>
      <c r="AC1" s="1">
        <v>123</v>
      </c>
      <c r="AD1" s="1">
        <v>124</v>
      </c>
      <c r="AE1" s="1">
        <v>125</v>
      </c>
      <c r="AF1" s="1">
        <v>126</v>
      </c>
      <c r="AG1" s="1">
        <v>127</v>
      </c>
      <c r="AH1" s="1">
        <v>128</v>
      </c>
      <c r="AI1" s="1">
        <v>129</v>
      </c>
      <c r="AJ1" s="1">
        <v>130</v>
      </c>
      <c r="AK1" s="1">
        <v>131</v>
      </c>
      <c r="AL1" s="1">
        <v>132</v>
      </c>
      <c r="AM1" s="1">
        <v>133</v>
      </c>
      <c r="AN1" s="1">
        <v>134</v>
      </c>
      <c r="AO1" s="1">
        <v>135</v>
      </c>
      <c r="AP1" s="1">
        <v>136</v>
      </c>
      <c r="AQ1" s="1">
        <v>137</v>
      </c>
      <c r="AR1" s="1">
        <v>138</v>
      </c>
      <c r="AS1" s="1">
        <v>139</v>
      </c>
      <c r="AT1" s="1">
        <v>140</v>
      </c>
      <c r="AU1" s="1">
        <v>141</v>
      </c>
      <c r="AV1" s="1">
        <v>142</v>
      </c>
      <c r="AW1" s="1">
        <v>143</v>
      </c>
      <c r="AX1" s="1">
        <v>144</v>
      </c>
      <c r="AY1" s="1">
        <v>145</v>
      </c>
      <c r="AZ1" s="1">
        <v>146</v>
      </c>
      <c r="BA1" s="1">
        <v>147</v>
      </c>
      <c r="BB1" s="1">
        <v>148</v>
      </c>
      <c r="BC1" s="1">
        <v>149</v>
      </c>
      <c r="BD1" s="1">
        <v>150</v>
      </c>
      <c r="BE1" s="1">
        <v>151</v>
      </c>
      <c r="BF1" s="1">
        <v>152</v>
      </c>
      <c r="BG1" s="1">
        <v>153</v>
      </c>
      <c r="BH1" s="1">
        <v>154</v>
      </c>
      <c r="BI1" s="1">
        <v>155</v>
      </c>
      <c r="BJ1" s="1">
        <v>156</v>
      </c>
      <c r="BK1" s="1">
        <v>157</v>
      </c>
      <c r="BL1" s="1">
        <v>158</v>
      </c>
      <c r="BM1" s="1">
        <v>159</v>
      </c>
      <c r="BN1" s="1">
        <v>160</v>
      </c>
      <c r="BO1" s="1">
        <v>161</v>
      </c>
      <c r="BP1" s="1">
        <v>162</v>
      </c>
      <c r="BQ1" s="1">
        <v>163</v>
      </c>
      <c r="BR1" s="1">
        <v>164</v>
      </c>
      <c r="BS1" s="1">
        <v>165</v>
      </c>
      <c r="BT1" s="1">
        <v>166</v>
      </c>
      <c r="BU1" s="1">
        <v>167</v>
      </c>
      <c r="BV1" s="1">
        <v>168</v>
      </c>
      <c r="BW1" s="1">
        <v>169</v>
      </c>
      <c r="BX1" s="1">
        <v>170</v>
      </c>
      <c r="BY1" s="1">
        <v>171</v>
      </c>
      <c r="BZ1" s="1">
        <v>172</v>
      </c>
      <c r="CA1" s="1">
        <v>173</v>
      </c>
      <c r="CB1" s="1">
        <v>174</v>
      </c>
      <c r="CC1" s="1">
        <v>175</v>
      </c>
      <c r="CD1" s="1">
        <v>176</v>
      </c>
      <c r="CE1" s="1">
        <v>177</v>
      </c>
      <c r="CF1" s="1">
        <v>178</v>
      </c>
      <c r="CG1" s="1">
        <v>179</v>
      </c>
      <c r="CH1" s="1">
        <v>180</v>
      </c>
      <c r="CI1" s="1">
        <v>181</v>
      </c>
      <c r="CJ1" s="1">
        <v>182</v>
      </c>
      <c r="CK1" s="1">
        <v>183</v>
      </c>
      <c r="CL1" s="1">
        <v>184</v>
      </c>
      <c r="CM1" s="1">
        <v>185</v>
      </c>
      <c r="CN1" s="1">
        <v>186</v>
      </c>
      <c r="CO1" s="1">
        <v>187</v>
      </c>
      <c r="CP1" s="1">
        <v>188</v>
      </c>
      <c r="CQ1" s="1">
        <v>189</v>
      </c>
      <c r="CR1" s="1">
        <v>190</v>
      </c>
      <c r="CS1" s="1">
        <v>191</v>
      </c>
      <c r="CT1" s="1">
        <v>192</v>
      </c>
      <c r="CU1" s="1">
        <v>193</v>
      </c>
      <c r="CV1" s="1">
        <v>194</v>
      </c>
      <c r="CW1" s="1">
        <v>195</v>
      </c>
      <c r="CX1" s="1">
        <v>196</v>
      </c>
      <c r="CY1" s="1">
        <v>197</v>
      </c>
      <c r="CZ1" s="1">
        <v>198</v>
      </c>
      <c r="DA1" s="1">
        <v>199</v>
      </c>
      <c r="DB1" s="1">
        <v>200</v>
      </c>
      <c r="DC1" s="1">
        <v>201</v>
      </c>
      <c r="DD1" s="1">
        <v>202</v>
      </c>
      <c r="DE1" s="1">
        <v>203</v>
      </c>
      <c r="DF1" s="1">
        <v>204</v>
      </c>
      <c r="DG1" s="1">
        <v>205</v>
      </c>
      <c r="DH1" s="1">
        <v>206</v>
      </c>
      <c r="DI1" s="1">
        <v>207</v>
      </c>
      <c r="DJ1" s="1">
        <v>208</v>
      </c>
      <c r="DK1" s="1">
        <v>209</v>
      </c>
      <c r="DL1" s="1">
        <v>210</v>
      </c>
      <c r="DM1" s="1">
        <v>211</v>
      </c>
      <c r="DN1" s="1">
        <v>212</v>
      </c>
      <c r="DO1" s="1">
        <v>213</v>
      </c>
      <c r="DP1" s="1">
        <v>214</v>
      </c>
      <c r="DQ1" s="1">
        <v>215</v>
      </c>
      <c r="DR1" s="1">
        <v>216</v>
      </c>
      <c r="DS1" s="1">
        <v>217</v>
      </c>
      <c r="DT1" s="1">
        <v>218</v>
      </c>
      <c r="DU1" s="1">
        <v>159</v>
      </c>
      <c r="DV1" s="1">
        <v>160</v>
      </c>
      <c r="DW1" s="1">
        <v>161</v>
      </c>
      <c r="DX1" s="1">
        <v>162</v>
      </c>
      <c r="DY1" s="1">
        <v>163</v>
      </c>
      <c r="DZ1" s="1">
        <v>164</v>
      </c>
      <c r="EA1" s="1">
        <v>165</v>
      </c>
      <c r="EB1" s="1">
        <v>166</v>
      </c>
      <c r="EC1" s="1">
        <v>167</v>
      </c>
      <c r="ED1" s="1">
        <v>168</v>
      </c>
      <c r="EE1" s="1">
        <v>169</v>
      </c>
      <c r="EF1" s="1">
        <v>170</v>
      </c>
      <c r="EG1" s="1">
        <v>171</v>
      </c>
      <c r="EH1" s="1">
        <v>172</v>
      </c>
      <c r="EI1" s="1">
        <v>173</v>
      </c>
      <c r="EJ1" s="1">
        <v>174</v>
      </c>
      <c r="EK1" s="1">
        <v>175</v>
      </c>
      <c r="EL1" s="1">
        <v>176</v>
      </c>
      <c r="EM1" s="1">
        <v>177</v>
      </c>
      <c r="EN1" s="1">
        <v>178</v>
      </c>
      <c r="EO1" s="1">
        <v>179</v>
      </c>
      <c r="EP1" s="1">
        <v>180</v>
      </c>
      <c r="EQ1" s="1">
        <v>181</v>
      </c>
      <c r="ER1" s="1">
        <v>182</v>
      </c>
      <c r="ES1" s="1">
        <v>183</v>
      </c>
      <c r="ET1" s="1">
        <v>184</v>
      </c>
      <c r="EU1" s="1">
        <v>185</v>
      </c>
      <c r="EV1" s="1">
        <v>186</v>
      </c>
      <c r="EW1" s="1">
        <v>187</v>
      </c>
      <c r="EX1" s="1">
        <v>188</v>
      </c>
      <c r="EY1" s="1">
        <v>189</v>
      </c>
      <c r="EZ1" s="1">
        <v>190</v>
      </c>
      <c r="FA1" s="1">
        <v>191</v>
      </c>
      <c r="FB1" s="1">
        <v>192</v>
      </c>
      <c r="FC1" s="1">
        <v>193</v>
      </c>
      <c r="FD1" s="1">
        <v>194</v>
      </c>
      <c r="FE1" s="1">
        <v>195</v>
      </c>
      <c r="FF1" s="1">
        <v>196</v>
      </c>
      <c r="FG1" s="1">
        <v>197</v>
      </c>
      <c r="FH1" s="1">
        <v>198</v>
      </c>
      <c r="FI1" s="1">
        <v>199</v>
      </c>
      <c r="FJ1" s="1">
        <v>200</v>
      </c>
      <c r="FK1" s="1">
        <v>201</v>
      </c>
      <c r="FL1" s="1">
        <v>202</v>
      </c>
      <c r="FM1" s="1">
        <v>203</v>
      </c>
      <c r="FN1" s="1">
        <v>204</v>
      </c>
      <c r="FO1" s="1">
        <v>205</v>
      </c>
      <c r="FP1" s="1">
        <v>206</v>
      </c>
      <c r="FQ1" s="1">
        <v>207</v>
      </c>
      <c r="FR1" s="1">
        <v>208</v>
      </c>
      <c r="FS1" s="1">
        <v>209</v>
      </c>
      <c r="FT1" s="1">
        <v>210</v>
      </c>
      <c r="FU1" s="1">
        <v>211</v>
      </c>
      <c r="FV1" s="1">
        <v>212</v>
      </c>
      <c r="FW1" s="1">
        <v>213</v>
      </c>
      <c r="FX1" s="1">
        <v>214</v>
      </c>
      <c r="FY1" s="1">
        <v>215</v>
      </c>
      <c r="FZ1" s="1">
        <v>216</v>
      </c>
      <c r="GA1" s="1">
        <v>217</v>
      </c>
      <c r="GB1" s="1">
        <v>218</v>
      </c>
      <c r="GC1" s="1">
        <v>219</v>
      </c>
      <c r="GD1" s="1">
        <v>220</v>
      </c>
      <c r="GE1" s="1">
        <v>221</v>
      </c>
      <c r="GF1" s="1">
        <v>222</v>
      </c>
      <c r="GG1" s="1">
        <v>223</v>
      </c>
      <c r="GH1" s="1">
        <v>224</v>
      </c>
      <c r="GI1" s="1">
        <v>225</v>
      </c>
      <c r="GJ1" s="1">
        <v>226</v>
      </c>
      <c r="GK1" s="1">
        <v>227</v>
      </c>
      <c r="GL1" s="1">
        <v>228</v>
      </c>
      <c r="GM1" s="1">
        <v>229</v>
      </c>
      <c r="GN1" s="1">
        <v>230</v>
      </c>
      <c r="GO1" s="1">
        <v>231</v>
      </c>
      <c r="GP1" s="1">
        <v>232</v>
      </c>
      <c r="GQ1" s="1">
        <v>233</v>
      </c>
      <c r="GR1" s="1">
        <v>234</v>
      </c>
      <c r="GS1" s="1">
        <v>235</v>
      </c>
      <c r="GT1" s="1">
        <v>236</v>
      </c>
      <c r="GU1" s="1">
        <v>237</v>
      </c>
      <c r="GV1" s="1">
        <v>238</v>
      </c>
      <c r="GW1" s="1">
        <v>239</v>
      </c>
      <c r="GX1" s="1">
        <v>240</v>
      </c>
      <c r="GY1" s="1">
        <v>241</v>
      </c>
      <c r="GZ1" s="1">
        <v>242</v>
      </c>
      <c r="HA1" s="1">
        <v>243</v>
      </c>
      <c r="HB1" s="1">
        <v>244</v>
      </c>
      <c r="HC1" s="1">
        <v>245</v>
      </c>
      <c r="HD1" s="1">
        <v>246</v>
      </c>
      <c r="HE1" s="1">
        <v>247</v>
      </c>
      <c r="HF1" s="1">
        <v>248</v>
      </c>
      <c r="HG1" s="1">
        <v>249</v>
      </c>
      <c r="HH1" s="1">
        <v>250</v>
      </c>
      <c r="HI1" s="1">
        <v>251</v>
      </c>
      <c r="HJ1" s="1">
        <v>252</v>
      </c>
      <c r="HK1" s="1">
        <v>253</v>
      </c>
      <c r="HL1" s="1">
        <v>254</v>
      </c>
      <c r="HM1" s="1">
        <v>255</v>
      </c>
      <c r="HN1" s="1">
        <v>256</v>
      </c>
      <c r="HO1" s="1">
        <v>257</v>
      </c>
      <c r="HP1" s="1">
        <v>258</v>
      </c>
      <c r="HQ1" s="1">
        <v>259</v>
      </c>
      <c r="HR1" s="1">
        <v>260</v>
      </c>
      <c r="HS1" s="1">
        <v>261</v>
      </c>
      <c r="HT1" s="1">
        <v>262</v>
      </c>
      <c r="HU1" s="1">
        <v>263</v>
      </c>
      <c r="HV1" s="1">
        <v>264</v>
      </c>
      <c r="HW1" s="1">
        <v>265</v>
      </c>
      <c r="HX1" s="1">
        <v>266</v>
      </c>
      <c r="HY1" s="1">
        <v>267</v>
      </c>
      <c r="HZ1" s="1">
        <v>268</v>
      </c>
      <c r="IA1" s="1">
        <v>269</v>
      </c>
      <c r="IB1" s="1">
        <v>270</v>
      </c>
      <c r="IC1" s="1">
        <v>271</v>
      </c>
      <c r="ID1" s="1">
        <v>272</v>
      </c>
      <c r="IE1" s="1">
        <v>273</v>
      </c>
      <c r="IF1" s="1">
        <v>274</v>
      </c>
      <c r="IG1" s="1">
        <v>275</v>
      </c>
      <c r="IH1" s="1">
        <v>276</v>
      </c>
      <c r="II1" s="1">
        <v>277</v>
      </c>
      <c r="IJ1" s="1">
        <v>278</v>
      </c>
      <c r="IK1" s="1">
        <v>279</v>
      </c>
      <c r="IL1" s="1">
        <v>280</v>
      </c>
      <c r="IM1" s="1">
        <v>281</v>
      </c>
      <c r="IN1" s="1">
        <v>282</v>
      </c>
      <c r="IO1" s="1">
        <v>283</v>
      </c>
      <c r="IP1" s="1">
        <v>284</v>
      </c>
      <c r="IQ1" s="1">
        <v>285</v>
      </c>
      <c r="IR1" s="1">
        <v>286</v>
      </c>
      <c r="IS1" s="1">
        <v>287</v>
      </c>
      <c r="IT1" s="1">
        <v>288</v>
      </c>
      <c r="IU1" s="1">
        <v>289</v>
      </c>
      <c r="IV1" s="1">
        <v>290</v>
      </c>
      <c r="IW1" s="1">
        <v>291</v>
      </c>
      <c r="IX1" s="1">
        <v>292</v>
      </c>
      <c r="IY1" s="1">
        <v>293</v>
      </c>
      <c r="IZ1" s="1">
        <v>294</v>
      </c>
      <c r="JA1" s="1">
        <v>295</v>
      </c>
      <c r="JB1" s="1">
        <v>296</v>
      </c>
      <c r="JC1" s="1">
        <v>297</v>
      </c>
      <c r="JD1" s="1">
        <v>298</v>
      </c>
      <c r="JE1" s="1">
        <v>299</v>
      </c>
      <c r="JF1" s="1">
        <v>300</v>
      </c>
      <c r="JG1" s="1">
        <v>301</v>
      </c>
      <c r="JH1" s="1">
        <v>302</v>
      </c>
    </row>
    <row r="2" spans="1:337" x14ac:dyDescent="0.25">
      <c r="A2" s="3" t="s">
        <v>1</v>
      </c>
      <c r="B2" s="7">
        <v>37986</v>
      </c>
      <c r="C2" s="7">
        <v>38017</v>
      </c>
      <c r="D2" s="7">
        <v>38046</v>
      </c>
      <c r="E2" s="7">
        <v>38077</v>
      </c>
      <c r="F2" s="7">
        <v>38107</v>
      </c>
      <c r="G2" s="7">
        <v>38138</v>
      </c>
      <c r="H2" s="7">
        <v>38168</v>
      </c>
      <c r="I2" s="7">
        <v>38199</v>
      </c>
      <c r="J2" s="7">
        <v>38230</v>
      </c>
      <c r="K2" s="7">
        <v>38260</v>
      </c>
      <c r="L2" s="7">
        <v>38291</v>
      </c>
      <c r="M2" s="7">
        <v>38321</v>
      </c>
      <c r="N2" s="7">
        <v>38352</v>
      </c>
      <c r="O2" s="7">
        <v>38383</v>
      </c>
      <c r="P2" s="7">
        <v>38411</v>
      </c>
      <c r="Q2" s="7">
        <v>38442</v>
      </c>
      <c r="R2" s="7">
        <v>38472</v>
      </c>
      <c r="S2" s="7">
        <v>38503</v>
      </c>
      <c r="T2" s="7">
        <v>38533</v>
      </c>
      <c r="U2" s="7">
        <v>38564</v>
      </c>
      <c r="V2" s="7">
        <v>38595</v>
      </c>
      <c r="W2" s="7">
        <v>38625</v>
      </c>
      <c r="X2" s="7">
        <v>38656</v>
      </c>
      <c r="Y2" s="7">
        <v>38686</v>
      </c>
      <c r="Z2" s="7">
        <v>38717</v>
      </c>
      <c r="AA2" s="7">
        <v>38748</v>
      </c>
      <c r="AB2" s="7">
        <v>38776</v>
      </c>
      <c r="AC2" s="7">
        <v>38807</v>
      </c>
      <c r="AD2" s="7">
        <v>38837</v>
      </c>
      <c r="AE2" s="7">
        <v>38868</v>
      </c>
      <c r="AF2" s="7">
        <v>38898</v>
      </c>
      <c r="AG2" s="7">
        <v>38929</v>
      </c>
      <c r="AH2" s="7">
        <v>38960</v>
      </c>
      <c r="AI2" s="7">
        <v>38990</v>
      </c>
      <c r="AJ2" s="7">
        <v>39021</v>
      </c>
      <c r="AK2" s="7">
        <v>39051</v>
      </c>
      <c r="AL2" s="7">
        <v>39082</v>
      </c>
      <c r="AM2" s="7">
        <v>39113</v>
      </c>
      <c r="AN2" s="7">
        <v>39141</v>
      </c>
      <c r="AO2" s="7">
        <v>39172</v>
      </c>
      <c r="AP2" s="7">
        <v>39202</v>
      </c>
      <c r="AQ2" s="7">
        <v>39233</v>
      </c>
      <c r="AR2" s="7">
        <v>39263</v>
      </c>
      <c r="AS2" s="7">
        <v>39294</v>
      </c>
      <c r="AT2" s="7">
        <v>39325</v>
      </c>
      <c r="AU2" s="7">
        <v>39355</v>
      </c>
      <c r="AV2" s="7">
        <v>39386</v>
      </c>
      <c r="AW2" s="7">
        <v>39416</v>
      </c>
      <c r="AX2" s="7">
        <v>39447</v>
      </c>
      <c r="AY2" s="7">
        <v>39478</v>
      </c>
      <c r="AZ2" s="7">
        <v>39507</v>
      </c>
      <c r="BA2" s="7">
        <v>39538</v>
      </c>
      <c r="BB2" s="7">
        <v>39568</v>
      </c>
      <c r="BC2" s="7">
        <v>39599</v>
      </c>
      <c r="BD2" s="7">
        <v>39629</v>
      </c>
      <c r="BE2" s="7">
        <v>39660</v>
      </c>
      <c r="BF2" s="7">
        <v>39691</v>
      </c>
      <c r="BG2" s="7">
        <v>39721</v>
      </c>
      <c r="BH2" s="7">
        <v>39752</v>
      </c>
      <c r="BI2" s="7">
        <v>39782</v>
      </c>
      <c r="BJ2" s="7">
        <v>39813</v>
      </c>
      <c r="BK2" s="7">
        <v>39844</v>
      </c>
      <c r="BL2" s="7">
        <v>39872</v>
      </c>
      <c r="BM2" s="7">
        <v>39903</v>
      </c>
      <c r="BN2" s="7">
        <v>39933</v>
      </c>
      <c r="BO2" s="7">
        <v>39964</v>
      </c>
      <c r="BP2" s="7">
        <v>39994</v>
      </c>
      <c r="BQ2" s="7">
        <v>40025</v>
      </c>
      <c r="BR2" s="7">
        <v>40056</v>
      </c>
      <c r="BS2" s="7">
        <v>40086</v>
      </c>
      <c r="BT2" s="7">
        <v>40117</v>
      </c>
      <c r="BU2" s="7">
        <v>40147</v>
      </c>
      <c r="BV2" s="7">
        <v>40178</v>
      </c>
      <c r="BW2" s="7">
        <v>40209</v>
      </c>
      <c r="BX2" s="7">
        <v>40237</v>
      </c>
      <c r="BY2" s="7">
        <v>40268</v>
      </c>
      <c r="BZ2" s="7">
        <v>40298</v>
      </c>
      <c r="CA2" s="7">
        <v>40329</v>
      </c>
      <c r="CB2" s="7">
        <v>40359</v>
      </c>
      <c r="CC2" s="7">
        <v>40390</v>
      </c>
      <c r="CD2" s="7">
        <v>40421</v>
      </c>
      <c r="CE2" s="7">
        <v>40451</v>
      </c>
      <c r="CF2" s="7">
        <v>40482</v>
      </c>
      <c r="CG2" s="7">
        <v>40512</v>
      </c>
      <c r="CH2" s="7">
        <v>40543</v>
      </c>
      <c r="CI2" s="7">
        <v>40574</v>
      </c>
      <c r="CJ2" s="7">
        <v>40602</v>
      </c>
      <c r="CK2" s="7">
        <v>40633</v>
      </c>
      <c r="CL2" s="7">
        <v>40663</v>
      </c>
      <c r="CM2" s="7">
        <v>40694</v>
      </c>
      <c r="CN2" s="7">
        <v>40724</v>
      </c>
      <c r="CO2" s="7">
        <v>40755</v>
      </c>
      <c r="CP2" s="7">
        <v>40786</v>
      </c>
      <c r="CQ2" s="7">
        <v>40816</v>
      </c>
      <c r="CR2" s="7">
        <v>40847</v>
      </c>
      <c r="CS2" s="7">
        <v>40877</v>
      </c>
      <c r="CT2" s="7">
        <v>40908</v>
      </c>
      <c r="CU2" s="7">
        <v>40939</v>
      </c>
      <c r="CV2" s="8">
        <v>40968</v>
      </c>
      <c r="CW2" s="7">
        <v>40999</v>
      </c>
      <c r="CX2" s="7">
        <v>41029</v>
      </c>
      <c r="CY2" s="7">
        <v>41060</v>
      </c>
      <c r="CZ2" s="7">
        <v>41090</v>
      </c>
      <c r="DA2" s="7">
        <v>41121</v>
      </c>
      <c r="DB2" s="7">
        <v>41152</v>
      </c>
      <c r="DC2" s="7">
        <v>41182</v>
      </c>
      <c r="DD2" s="7">
        <v>41213</v>
      </c>
      <c r="DE2" s="7">
        <v>41243</v>
      </c>
      <c r="DF2" s="7">
        <v>41274</v>
      </c>
      <c r="DG2" s="7">
        <v>41305</v>
      </c>
      <c r="DH2" s="7">
        <v>41333</v>
      </c>
      <c r="DI2" s="7">
        <v>41364</v>
      </c>
      <c r="DJ2" s="7">
        <v>41394</v>
      </c>
      <c r="DK2" s="7">
        <v>41425</v>
      </c>
      <c r="DL2" s="7">
        <v>41455</v>
      </c>
      <c r="DM2" s="7">
        <v>41486</v>
      </c>
      <c r="DN2" s="7">
        <v>41517</v>
      </c>
      <c r="DO2" s="7">
        <v>41547</v>
      </c>
      <c r="DP2" s="7">
        <v>41578</v>
      </c>
      <c r="DQ2" s="7">
        <v>41608</v>
      </c>
      <c r="DR2" s="7">
        <v>41639</v>
      </c>
      <c r="DS2" s="7">
        <v>41670</v>
      </c>
      <c r="DT2" s="7">
        <v>41698</v>
      </c>
      <c r="DU2" s="7">
        <v>41729</v>
      </c>
      <c r="DV2" s="7">
        <v>41759</v>
      </c>
      <c r="DW2" s="7">
        <v>41790</v>
      </c>
      <c r="DX2" s="7">
        <v>41820</v>
      </c>
      <c r="DY2" s="7">
        <v>41851</v>
      </c>
      <c r="DZ2" s="7">
        <v>41882</v>
      </c>
      <c r="EA2" s="7">
        <v>41912</v>
      </c>
      <c r="EB2" s="7">
        <v>41943</v>
      </c>
      <c r="EC2" s="7">
        <v>41973</v>
      </c>
      <c r="ED2" s="7">
        <v>42004</v>
      </c>
      <c r="EE2" s="7">
        <v>42035</v>
      </c>
      <c r="EF2" s="7">
        <v>42063</v>
      </c>
      <c r="EG2" s="7">
        <v>42094</v>
      </c>
      <c r="EH2" s="7">
        <v>42124</v>
      </c>
      <c r="EI2" s="7">
        <v>42155</v>
      </c>
      <c r="EJ2" s="7">
        <v>42185</v>
      </c>
      <c r="EK2" s="7">
        <v>42216</v>
      </c>
      <c r="EL2" s="7">
        <v>42247</v>
      </c>
      <c r="EM2" s="7">
        <v>42277</v>
      </c>
      <c r="EN2" s="7">
        <v>42308</v>
      </c>
      <c r="EO2" s="7">
        <v>42338</v>
      </c>
      <c r="EP2" s="7">
        <v>42369</v>
      </c>
      <c r="EQ2" s="7">
        <v>42400</v>
      </c>
      <c r="ER2" s="7">
        <v>42429</v>
      </c>
      <c r="ES2" s="7">
        <v>42460</v>
      </c>
      <c r="ET2" s="7">
        <v>42490</v>
      </c>
      <c r="EU2" s="7">
        <v>42521</v>
      </c>
      <c r="EV2" s="7">
        <v>42551</v>
      </c>
      <c r="EW2" s="7">
        <v>42582</v>
      </c>
      <c r="EX2" s="7">
        <v>42613</v>
      </c>
      <c r="EY2" s="7">
        <v>42643</v>
      </c>
      <c r="EZ2" s="7">
        <v>42674</v>
      </c>
      <c r="FA2" s="7">
        <v>42704</v>
      </c>
      <c r="FB2" s="7">
        <v>42735</v>
      </c>
      <c r="FC2" s="7">
        <v>42766</v>
      </c>
      <c r="FD2" s="7">
        <v>42794</v>
      </c>
      <c r="FE2" s="7">
        <v>42825</v>
      </c>
      <c r="FF2" s="7">
        <v>42855</v>
      </c>
      <c r="FG2" s="7">
        <v>42886</v>
      </c>
      <c r="FH2" s="7">
        <v>42916</v>
      </c>
      <c r="FI2" s="7">
        <v>42947</v>
      </c>
      <c r="FJ2" s="7">
        <v>42978</v>
      </c>
      <c r="FK2" s="7">
        <v>43008</v>
      </c>
      <c r="FL2" s="7">
        <v>43039</v>
      </c>
      <c r="FM2" s="7">
        <v>43069</v>
      </c>
      <c r="FN2" s="7">
        <v>43100</v>
      </c>
      <c r="FO2" s="7">
        <v>43131</v>
      </c>
      <c r="FP2" s="7">
        <v>43159</v>
      </c>
      <c r="FQ2" s="7">
        <v>43190</v>
      </c>
      <c r="FR2" s="7">
        <v>43220</v>
      </c>
      <c r="FS2" s="7">
        <v>43251</v>
      </c>
      <c r="FT2" s="7">
        <v>43281</v>
      </c>
      <c r="FU2" s="7">
        <v>43312</v>
      </c>
      <c r="FV2" s="7">
        <v>43343</v>
      </c>
      <c r="FW2" s="7">
        <v>43373</v>
      </c>
      <c r="FX2" s="7">
        <v>43404</v>
      </c>
      <c r="FY2" s="7">
        <v>43434</v>
      </c>
      <c r="FZ2" s="7">
        <v>43465</v>
      </c>
      <c r="GA2" s="7">
        <v>43496</v>
      </c>
      <c r="GB2" s="7">
        <v>43524</v>
      </c>
      <c r="GC2" s="7">
        <v>43555</v>
      </c>
      <c r="GD2" s="7">
        <v>43585</v>
      </c>
      <c r="GE2" s="7">
        <v>43616</v>
      </c>
      <c r="GF2" s="7">
        <v>43646</v>
      </c>
      <c r="GG2" s="7">
        <v>43677</v>
      </c>
      <c r="GH2" s="7">
        <v>43708</v>
      </c>
      <c r="GI2" s="7">
        <v>43738</v>
      </c>
      <c r="GJ2" s="7">
        <v>43769</v>
      </c>
      <c r="GK2" s="7">
        <v>43799</v>
      </c>
      <c r="GL2" s="7">
        <v>43830</v>
      </c>
      <c r="GM2" s="7">
        <v>43861</v>
      </c>
      <c r="GN2" s="7">
        <v>43890</v>
      </c>
      <c r="GO2" s="7">
        <v>43921</v>
      </c>
      <c r="GP2" s="7">
        <v>43951</v>
      </c>
      <c r="GQ2" s="7">
        <v>43982</v>
      </c>
      <c r="GR2" s="7">
        <v>44012</v>
      </c>
      <c r="GS2" s="7">
        <v>44043</v>
      </c>
      <c r="GT2" s="7">
        <v>44074</v>
      </c>
      <c r="GU2" s="7">
        <v>44104</v>
      </c>
      <c r="GV2" s="7">
        <v>44135</v>
      </c>
      <c r="GW2" s="7">
        <v>44165</v>
      </c>
      <c r="GX2" s="7">
        <v>44196</v>
      </c>
      <c r="GY2" s="7">
        <v>44227</v>
      </c>
      <c r="GZ2" s="7">
        <v>44255</v>
      </c>
      <c r="HA2" s="7">
        <v>44286</v>
      </c>
      <c r="HB2" s="7">
        <v>44316</v>
      </c>
      <c r="HC2" s="7">
        <v>44347</v>
      </c>
      <c r="HD2" s="7">
        <v>44377</v>
      </c>
      <c r="HE2" s="7">
        <v>44408</v>
      </c>
      <c r="HF2" s="7">
        <v>44439</v>
      </c>
      <c r="HG2" s="7">
        <v>44469</v>
      </c>
      <c r="HH2" s="7">
        <v>44500</v>
      </c>
      <c r="HI2" s="7">
        <v>44530</v>
      </c>
      <c r="HJ2" s="7">
        <v>44561</v>
      </c>
      <c r="HK2" s="7">
        <v>44592</v>
      </c>
      <c r="HL2" s="7">
        <v>44620</v>
      </c>
      <c r="HM2" s="7">
        <v>44651</v>
      </c>
      <c r="HN2" s="7">
        <v>44681</v>
      </c>
      <c r="HO2" s="7">
        <v>44712</v>
      </c>
      <c r="HP2" s="7">
        <v>44742</v>
      </c>
      <c r="HQ2" s="7">
        <v>44773</v>
      </c>
      <c r="HR2" s="7">
        <v>44804</v>
      </c>
      <c r="HS2" s="7">
        <v>44834</v>
      </c>
      <c r="HT2" s="7">
        <v>44865</v>
      </c>
      <c r="HU2" s="7">
        <v>44895</v>
      </c>
      <c r="HV2" s="7">
        <v>44926</v>
      </c>
      <c r="HW2" s="7">
        <v>44957</v>
      </c>
      <c r="HX2" s="7">
        <v>44985</v>
      </c>
      <c r="HY2" s="7">
        <v>45016</v>
      </c>
      <c r="HZ2" s="7">
        <v>45046</v>
      </c>
      <c r="IA2" s="7">
        <v>45077</v>
      </c>
      <c r="IB2" s="7">
        <v>45107</v>
      </c>
      <c r="IC2" s="7">
        <v>45138</v>
      </c>
      <c r="ID2" s="7">
        <v>45169</v>
      </c>
      <c r="IE2" s="7">
        <v>45199</v>
      </c>
      <c r="IF2" s="7">
        <v>45230</v>
      </c>
      <c r="IG2" s="7">
        <v>45260</v>
      </c>
      <c r="IH2" s="7">
        <v>45291</v>
      </c>
      <c r="II2" s="7">
        <v>45322</v>
      </c>
      <c r="IJ2" s="7">
        <v>45351</v>
      </c>
      <c r="IK2" s="7">
        <v>45382</v>
      </c>
      <c r="IL2" s="7">
        <v>45412</v>
      </c>
      <c r="IM2" s="7">
        <v>45443</v>
      </c>
      <c r="IN2" s="7">
        <v>45473</v>
      </c>
      <c r="IO2" s="7">
        <v>45504</v>
      </c>
      <c r="IP2" s="7">
        <v>45535</v>
      </c>
      <c r="IQ2" s="7">
        <v>45565</v>
      </c>
      <c r="IR2" s="7">
        <v>45596</v>
      </c>
      <c r="IS2" s="7">
        <v>45626</v>
      </c>
      <c r="IT2" s="7">
        <v>45657</v>
      </c>
      <c r="IU2" s="7">
        <v>45688</v>
      </c>
      <c r="IV2" s="7">
        <v>45716</v>
      </c>
      <c r="IW2" s="7">
        <v>45747</v>
      </c>
      <c r="IX2" s="7">
        <v>45777</v>
      </c>
      <c r="IY2" s="7">
        <v>45808</v>
      </c>
      <c r="IZ2" s="7">
        <v>45838</v>
      </c>
      <c r="JA2" s="7">
        <v>45869</v>
      </c>
      <c r="JB2" s="7">
        <v>45900</v>
      </c>
      <c r="JC2" s="7">
        <v>45930</v>
      </c>
      <c r="JD2" s="7">
        <v>45961</v>
      </c>
      <c r="JE2" s="7">
        <v>45991</v>
      </c>
      <c r="JF2" s="7">
        <v>46022</v>
      </c>
      <c r="JG2" s="7">
        <v>46053</v>
      </c>
      <c r="JH2" s="7">
        <v>46081</v>
      </c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</row>
    <row r="3" spans="1:337" x14ac:dyDescent="0.25">
      <c r="A3" s="4">
        <v>1</v>
      </c>
      <c r="B3" s="1">
        <v>2236945.0736352508</v>
      </c>
      <c r="C3" s="1">
        <v>2254122.5840115082</v>
      </c>
      <c r="D3" s="1">
        <v>2198994.6665427126</v>
      </c>
      <c r="E3" s="1">
        <v>2136455.2882757648</v>
      </c>
      <c r="F3" s="1">
        <v>2093695.3975320908</v>
      </c>
      <c r="G3" s="1">
        <v>2055818.8741096966</v>
      </c>
      <c r="H3" s="1">
        <v>2043452.7698538085</v>
      </c>
      <c r="I3" s="1">
        <v>2056448.0297338059</v>
      </c>
      <c r="J3" s="1">
        <v>2068401.5300388229</v>
      </c>
      <c r="K3" s="1">
        <v>2112666.126715689</v>
      </c>
      <c r="L3" s="1">
        <v>2141813.5483998815</v>
      </c>
      <c r="M3" s="1">
        <v>2142670.4567019315</v>
      </c>
      <c r="N3" s="1">
        <v>2179557.0319641465</v>
      </c>
      <c r="O3" s="1">
        <v>2172843.6468380261</v>
      </c>
      <c r="P3" s="1">
        <v>2126485.726392732</v>
      </c>
      <c r="Q3" s="1">
        <v>2088066.919709425</v>
      </c>
      <c r="R3" s="1">
        <v>2032346.5032833721</v>
      </c>
      <c r="S3" s="1">
        <v>1975046.9066514613</v>
      </c>
      <c r="T3" s="1">
        <v>1946710.4051143778</v>
      </c>
      <c r="U3" s="1">
        <v>1995618.5709767146</v>
      </c>
      <c r="V3" s="1">
        <v>2024275.6336743878</v>
      </c>
      <c r="W3" s="1">
        <v>2059218.9809594844</v>
      </c>
      <c r="X3" s="1">
        <v>2099562.0012282887</v>
      </c>
      <c r="Y3" s="1">
        <v>2104609.0071283109</v>
      </c>
      <c r="Z3" s="1">
        <v>2166398.3375162436</v>
      </c>
      <c r="AA3" s="1">
        <v>2169837.1688492638</v>
      </c>
      <c r="AB3" s="1">
        <v>2135636.9656166676</v>
      </c>
      <c r="AC3" s="1">
        <v>2099584.304556842</v>
      </c>
      <c r="AD3" s="1">
        <v>2018001.0521962815</v>
      </c>
      <c r="AE3" s="1">
        <v>1970468.6118389894</v>
      </c>
      <c r="AF3" s="1">
        <v>1948983.7771464572</v>
      </c>
      <c r="AG3" s="1">
        <v>1979402.0015284847</v>
      </c>
      <c r="AH3" s="1">
        <v>1987130.6421028897</v>
      </c>
      <c r="AI3" s="1">
        <v>2016525.488456354</v>
      </c>
      <c r="AJ3" s="1">
        <v>2042042.2063765242</v>
      </c>
      <c r="AK3" s="1">
        <v>2034789.261300185</v>
      </c>
      <c r="AL3" s="1">
        <v>2086795.2669381811</v>
      </c>
      <c r="AM3" s="1">
        <v>2078171.9563834209</v>
      </c>
      <c r="AN3" s="1">
        <v>2041282.9186963546</v>
      </c>
      <c r="AO3" s="1">
        <v>2000529.9184521963</v>
      </c>
      <c r="AP3" s="1">
        <v>1949097.0576380452</v>
      </c>
      <c r="AQ3" s="1">
        <v>1928643.7398342784</v>
      </c>
      <c r="AR3" s="1">
        <v>1949542.3011287875</v>
      </c>
      <c r="AS3" s="1">
        <v>1996836.7608678909</v>
      </c>
      <c r="AT3" s="1">
        <v>2026416.1513167906</v>
      </c>
      <c r="AU3" s="1">
        <v>2057097.1059743613</v>
      </c>
      <c r="AV3" s="1">
        <v>2090856.5719743462</v>
      </c>
      <c r="AW3" s="1">
        <v>2100295.7663106937</v>
      </c>
      <c r="AX3" s="1">
        <v>2190860.4485840425</v>
      </c>
      <c r="AY3" s="1">
        <v>2251492.0746665336</v>
      </c>
      <c r="AZ3" s="1">
        <v>2307678.0313189421</v>
      </c>
      <c r="BA3" s="1">
        <v>2267130.79068626</v>
      </c>
      <c r="BB3" s="1">
        <v>2294377.4765836322</v>
      </c>
      <c r="BC3" s="1">
        <v>2359296.6244923854</v>
      </c>
      <c r="BD3" s="1">
        <v>2410734.9115539808</v>
      </c>
      <c r="BE3" s="1">
        <v>2493321.8322300985</v>
      </c>
      <c r="BF3" s="1">
        <v>2574699.7166058514</v>
      </c>
      <c r="BG3" s="1">
        <v>2727050.0857007727</v>
      </c>
      <c r="BH3" s="1">
        <v>2917403.8067112779</v>
      </c>
      <c r="BI3" s="1">
        <v>3113760.9024970522</v>
      </c>
      <c r="BJ3" s="1">
        <v>3332104.0559325283</v>
      </c>
      <c r="BK3" s="1">
        <v>3446082.7608254375</v>
      </c>
      <c r="BL3" s="1">
        <v>3588689.7614913536</v>
      </c>
      <c r="BM3" s="1">
        <v>3691508.829602845</v>
      </c>
      <c r="BN3" s="1">
        <v>3697456.6416485803</v>
      </c>
      <c r="BO3" s="1">
        <v>3680195.1844228902</v>
      </c>
      <c r="BP3" s="1">
        <v>3617923.2996582743</v>
      </c>
      <c r="BQ3" s="1">
        <v>3623075.9443089021</v>
      </c>
      <c r="BR3" s="1">
        <v>3680485.9638806446</v>
      </c>
      <c r="BS3" s="1">
        <v>3833732.5598839656</v>
      </c>
      <c r="BT3" s="1">
        <v>3921193.4803247927</v>
      </c>
      <c r="BU3" s="1">
        <v>3930250.1522566015</v>
      </c>
      <c r="BV3" s="1">
        <v>4065081.8035423914</v>
      </c>
      <c r="BW3" s="1">
        <v>4102569.4382304144</v>
      </c>
      <c r="BX3" s="1">
        <v>4163698.8936477154</v>
      </c>
      <c r="BY3" s="1">
        <v>4174261.1173595795</v>
      </c>
      <c r="BZ3" s="1">
        <v>4102292.0865802052</v>
      </c>
      <c r="CA3" s="1">
        <v>4029669.0686458084</v>
      </c>
      <c r="CB3" s="1">
        <v>3946008.717695063</v>
      </c>
      <c r="CC3" s="1">
        <v>3928175.6306742178</v>
      </c>
      <c r="CD3" s="1">
        <v>3998265.5888831234</v>
      </c>
      <c r="CE3" s="1">
        <v>4095956.3105702996</v>
      </c>
      <c r="CF3" s="1">
        <v>4144900.6507454515</v>
      </c>
      <c r="CG3" s="1">
        <v>4132286.9333192157</v>
      </c>
      <c r="CH3" s="1">
        <v>4176543.3325179126</v>
      </c>
      <c r="CI3" s="1">
        <v>4275711.4107986148</v>
      </c>
      <c r="CJ3" s="1">
        <v>4300435.3610180691</v>
      </c>
      <c r="CK3" s="1">
        <v>4312455.4211990898</v>
      </c>
      <c r="CL3" s="1">
        <v>4193366.0038733878</v>
      </c>
      <c r="CM3" s="1">
        <v>4129991.2658331469</v>
      </c>
      <c r="CN3" s="1">
        <v>4078450.7035584156</v>
      </c>
      <c r="CO3" s="1">
        <v>4122605.0625064243</v>
      </c>
      <c r="CP3" s="1">
        <v>4163798.0696072094</v>
      </c>
      <c r="CQ3" s="1">
        <v>4316876.9233058747</v>
      </c>
      <c r="CR3" s="1">
        <v>4452557.5628576698</v>
      </c>
      <c r="CS3" s="1">
        <v>4456655.9522028603</v>
      </c>
      <c r="CT3" s="1">
        <v>4531744.0970979575</v>
      </c>
      <c r="CU3" s="1">
        <v>4686479.0561641473</v>
      </c>
      <c r="CV3" s="1">
        <v>4744294.8282919135</v>
      </c>
      <c r="CW3" s="1">
        <v>4725710.7389108269</v>
      </c>
      <c r="CX3" s="1">
        <v>4696266.0856970195</v>
      </c>
      <c r="CY3" s="1">
        <v>4689950.6098133959</v>
      </c>
      <c r="CZ3" s="1">
        <v>4574761.3006715551</v>
      </c>
      <c r="DA3" s="1">
        <v>4651714.1851601098</v>
      </c>
      <c r="DB3" s="1">
        <v>4683157.3284233771</v>
      </c>
      <c r="DC3" s="1">
        <v>4814907.0340850167</v>
      </c>
      <c r="DD3" s="1">
        <v>4911077.2121778447</v>
      </c>
      <c r="DE3" s="1">
        <v>4936170.5855764616</v>
      </c>
      <c r="DF3" s="1">
        <v>4980464.6032154988</v>
      </c>
      <c r="DG3" s="1">
        <v>5039785.9020834342</v>
      </c>
      <c r="DH3" s="1">
        <v>5021839.6951517053</v>
      </c>
      <c r="DI3" s="1">
        <v>4994280.4616359882</v>
      </c>
      <c r="DJ3" s="1">
        <v>4906482.5160350734</v>
      </c>
      <c r="DK3" s="1">
        <v>4794943.1394805666</v>
      </c>
      <c r="DL3" s="1">
        <v>4702380.72167789</v>
      </c>
      <c r="DM3" s="1">
        <v>4716049.8461260702</v>
      </c>
      <c r="DN3" s="1">
        <v>4731338.7336744461</v>
      </c>
      <c r="DO3" s="1">
        <v>4800858.8477646355</v>
      </c>
      <c r="DP3" s="1">
        <v>4852360.762462398</v>
      </c>
      <c r="DQ3" s="1">
        <v>4761578.7970619965</v>
      </c>
      <c r="DR3" s="1">
        <v>4779232.6602929328</v>
      </c>
      <c r="DS3" s="1">
        <v>4839129.8051139563</v>
      </c>
      <c r="DT3" s="1">
        <v>4765417.0819755625</v>
      </c>
      <c r="DU3" s="1">
        <v>4710120.823841067</v>
      </c>
      <c r="DV3" s="1">
        <v>4563837.3271708237</v>
      </c>
      <c r="DW3" s="1">
        <v>4436862.6233454607</v>
      </c>
      <c r="DX3" s="1">
        <v>4370928.7473807111</v>
      </c>
      <c r="DY3" s="1">
        <v>4435014.1555908993</v>
      </c>
      <c r="DZ3" s="1">
        <v>4449630.0351207778</v>
      </c>
      <c r="EA3" s="1">
        <v>4525720.3161313534</v>
      </c>
      <c r="EB3" s="1">
        <v>4554959.8979896326</v>
      </c>
      <c r="EC3" s="1">
        <v>4447800.0185496919</v>
      </c>
      <c r="ED3" s="1">
        <v>4553006.1122680157</v>
      </c>
      <c r="EE3" s="1">
        <v>4528141.085210951</v>
      </c>
      <c r="EF3" s="1">
        <v>4462417.3081039693</v>
      </c>
      <c r="EG3" s="1">
        <v>4338408.9390279306</v>
      </c>
      <c r="EH3" s="1">
        <v>4199031.8744394761</v>
      </c>
      <c r="EI3" s="1">
        <v>4081326.9098879779</v>
      </c>
      <c r="EJ3" s="1">
        <v>4069805.6568963327</v>
      </c>
      <c r="EK3" s="1">
        <v>4039195.1521024508</v>
      </c>
      <c r="EL3" s="1">
        <v>4081775.5395253729</v>
      </c>
      <c r="EM3" s="1">
        <v>4168338.9036371093</v>
      </c>
      <c r="EN3" s="1">
        <v>4187094.7731573274</v>
      </c>
      <c r="EO3" s="1">
        <v>4087329.6537473933</v>
      </c>
      <c r="EP3" s="1">
        <v>4178444.606303005</v>
      </c>
      <c r="EQ3" s="1">
        <v>4139111.7714068228</v>
      </c>
      <c r="ER3" s="1">
        <v>4096051.1684990376</v>
      </c>
      <c r="ES3" s="1">
        <v>3991578.7139740912</v>
      </c>
      <c r="ET3" s="1">
        <v>3893464.5823218022</v>
      </c>
      <c r="EU3" s="1">
        <v>3793205.1508055571</v>
      </c>
      <c r="EV3" s="1">
        <v>3694279.4026095304</v>
      </c>
      <c r="EW3" s="1">
        <v>3686146.3719320069</v>
      </c>
      <c r="EX3" s="1">
        <v>3713013.3950760774</v>
      </c>
      <c r="EY3" s="1">
        <v>3785451.0291822758</v>
      </c>
      <c r="EZ3" s="1">
        <v>3745604.9602178792</v>
      </c>
      <c r="FA3" s="1">
        <v>3737486.3207901018</v>
      </c>
      <c r="FB3" s="1">
        <v>3774340.0126295686</v>
      </c>
      <c r="FC3" s="1">
        <v>3750977.7987590395</v>
      </c>
      <c r="FD3" s="1">
        <v>3702060.6666564625</v>
      </c>
      <c r="FE3" s="1">
        <v>3602415.3403943628</v>
      </c>
      <c r="FF3" s="1">
        <v>3449635.587042057</v>
      </c>
      <c r="FG3" s="1">
        <v>3331655.6823316417</v>
      </c>
      <c r="FH3" s="1">
        <v>3292527.4293884174</v>
      </c>
      <c r="FI3" s="1">
        <v>3359879.5156232868</v>
      </c>
      <c r="FJ3" s="1">
        <v>3426159.2691733758</v>
      </c>
      <c r="FK3" s="1">
        <v>3483255.0124689052</v>
      </c>
      <c r="FL3" s="1">
        <v>3487541.5088276025</v>
      </c>
      <c r="FM3" s="1">
        <v>3407078.9681489496</v>
      </c>
      <c r="FN3" s="1">
        <v>3485134.8027375033</v>
      </c>
      <c r="FO3" s="1">
        <v>3476520.9854857861</v>
      </c>
      <c r="FP3" s="1">
        <v>3417074.3207054315</v>
      </c>
      <c r="FQ3" s="1">
        <v>3332905.7280235495</v>
      </c>
      <c r="FR3" s="1">
        <v>3233988.8545450852</v>
      </c>
      <c r="FS3" s="1">
        <v>3169748.2221089457</v>
      </c>
      <c r="FT3" s="1">
        <v>3120883.5382324141</v>
      </c>
      <c r="FU3" s="1">
        <v>3176329.6048213076</v>
      </c>
      <c r="FV3" s="1">
        <v>3224084.8739564321</v>
      </c>
      <c r="FW3" s="1">
        <v>3266310.76569854</v>
      </c>
      <c r="FX3" s="1">
        <v>3262217.3881796608</v>
      </c>
      <c r="FY3" s="1">
        <v>3191500.5043643974</v>
      </c>
      <c r="FZ3" s="1">
        <v>3277510.8438105602</v>
      </c>
      <c r="GA3" s="1">
        <v>3291235.5293450002</v>
      </c>
      <c r="GB3" s="1">
        <v>3251898.3762922371</v>
      </c>
      <c r="GC3" s="1">
        <v>3178100.023731519</v>
      </c>
      <c r="GD3" s="1">
        <v>3078445.7424301337</v>
      </c>
      <c r="GE3" s="1">
        <v>2988546.0963915125</v>
      </c>
      <c r="GF3" s="1">
        <v>2988823.1231965777</v>
      </c>
      <c r="GG3" s="1">
        <v>3065346.9504592298</v>
      </c>
      <c r="GH3" s="1">
        <v>3103868.5442113965</v>
      </c>
      <c r="GI3" s="1">
        <v>3141420.7276948649</v>
      </c>
      <c r="GJ3" s="1">
        <v>3211543.1730390443</v>
      </c>
      <c r="GK3" s="1">
        <v>3170876.4395628618</v>
      </c>
      <c r="GL3" s="1">
        <v>3254996.4006982129</v>
      </c>
      <c r="GM3" s="1">
        <v>3274276.4936204045</v>
      </c>
      <c r="GN3" s="1">
        <v>3210912.8707024558</v>
      </c>
      <c r="GO3" s="1">
        <v>3529140.3012003684</v>
      </c>
      <c r="GP3" s="1">
        <v>3974202.3858323563</v>
      </c>
      <c r="GQ3" s="1">
        <v>3863593.7051765062</v>
      </c>
      <c r="GR3" s="1">
        <v>3911864.3075252757</v>
      </c>
      <c r="GS3" s="1">
        <v>3873068.5629765783</v>
      </c>
      <c r="GT3" s="1">
        <v>3865613.1574810608</v>
      </c>
      <c r="GU3" s="1">
        <v>3832094.829414268</v>
      </c>
      <c r="GV3" s="1">
        <v>3833408.0391158182</v>
      </c>
      <c r="GW3" s="1">
        <v>3820812.5679818848</v>
      </c>
      <c r="GX3" s="1">
        <v>4014157.4100647494</v>
      </c>
      <c r="GY3" s="1">
        <v>3980719.7348923748</v>
      </c>
      <c r="GZ3" s="1">
        <v>4027809.0388260698</v>
      </c>
      <c r="HA3" s="1" t="str">
        <f t="shared" ref="GZ3:JH6" si="0">IF(GZ3="","","")</f>
        <v/>
      </c>
      <c r="HB3" s="1" t="str">
        <f t="shared" si="0"/>
        <v/>
      </c>
      <c r="HC3" s="1" t="str">
        <f t="shared" si="0"/>
        <v/>
      </c>
      <c r="HD3" s="1" t="str">
        <f t="shared" si="0"/>
        <v/>
      </c>
      <c r="HE3" s="1" t="str">
        <f t="shared" si="0"/>
        <v/>
      </c>
      <c r="HF3" s="1" t="str">
        <f t="shared" si="0"/>
        <v/>
      </c>
      <c r="HG3" s="1" t="str">
        <f t="shared" si="0"/>
        <v/>
      </c>
      <c r="HH3" s="1" t="str">
        <f t="shared" si="0"/>
        <v/>
      </c>
      <c r="HI3" s="1" t="str">
        <f t="shared" si="0"/>
        <v/>
      </c>
      <c r="HJ3" s="1" t="str">
        <f t="shared" si="0"/>
        <v/>
      </c>
      <c r="HK3" s="1" t="str">
        <f t="shared" si="0"/>
        <v/>
      </c>
      <c r="HL3" s="1" t="str">
        <f t="shared" si="0"/>
        <v/>
      </c>
      <c r="HM3" s="1" t="str">
        <f t="shared" si="0"/>
        <v/>
      </c>
      <c r="HN3" s="1" t="str">
        <f t="shared" si="0"/>
        <v/>
      </c>
      <c r="HO3" s="1" t="str">
        <f t="shared" si="0"/>
        <v/>
      </c>
      <c r="HP3" s="1" t="str">
        <f t="shared" si="0"/>
        <v/>
      </c>
      <c r="HQ3" s="1" t="str">
        <f t="shared" si="0"/>
        <v/>
      </c>
      <c r="HR3" s="1" t="str">
        <f t="shared" si="0"/>
        <v/>
      </c>
      <c r="HS3" s="1" t="str">
        <f t="shared" si="0"/>
        <v/>
      </c>
      <c r="HT3" s="1" t="str">
        <f t="shared" si="0"/>
        <v/>
      </c>
      <c r="HU3" s="1" t="str">
        <f t="shared" si="0"/>
        <v/>
      </c>
      <c r="HV3" s="1" t="str">
        <f t="shared" si="0"/>
        <v/>
      </c>
      <c r="HW3" s="1" t="str">
        <f t="shared" si="0"/>
        <v/>
      </c>
      <c r="HX3" s="1" t="str">
        <f t="shared" si="0"/>
        <v/>
      </c>
      <c r="HY3" s="1" t="str">
        <f t="shared" si="0"/>
        <v/>
      </c>
      <c r="HZ3" s="1" t="str">
        <f t="shared" si="0"/>
        <v/>
      </c>
      <c r="IA3" s="1" t="str">
        <f t="shared" si="0"/>
        <v/>
      </c>
      <c r="IB3" s="1" t="str">
        <f t="shared" si="0"/>
        <v/>
      </c>
      <c r="IC3" s="1" t="str">
        <f t="shared" si="0"/>
        <v/>
      </c>
      <c r="ID3" s="1" t="str">
        <f t="shared" si="0"/>
        <v/>
      </c>
      <c r="IE3" s="1" t="str">
        <f t="shared" si="0"/>
        <v/>
      </c>
      <c r="IF3" s="1" t="str">
        <f t="shared" si="0"/>
        <v/>
      </c>
      <c r="IG3" s="1" t="str">
        <f t="shared" si="0"/>
        <v/>
      </c>
      <c r="IH3" s="1" t="str">
        <f t="shared" si="0"/>
        <v/>
      </c>
      <c r="II3" s="1" t="str">
        <f t="shared" si="0"/>
        <v/>
      </c>
      <c r="IJ3" s="1" t="str">
        <f t="shared" si="0"/>
        <v/>
      </c>
      <c r="IK3" s="1" t="str">
        <f t="shared" si="0"/>
        <v/>
      </c>
      <c r="IL3" s="1" t="str">
        <f t="shared" si="0"/>
        <v/>
      </c>
      <c r="IM3" s="1" t="str">
        <f t="shared" si="0"/>
        <v/>
      </c>
      <c r="IN3" s="1" t="str">
        <f t="shared" si="0"/>
        <v/>
      </c>
      <c r="IO3" s="1" t="str">
        <f t="shared" si="0"/>
        <v/>
      </c>
      <c r="IP3" s="1" t="str">
        <f t="shared" si="0"/>
        <v/>
      </c>
      <c r="IQ3" s="1" t="str">
        <f t="shared" si="0"/>
        <v/>
      </c>
      <c r="IR3" s="1" t="str">
        <f t="shared" si="0"/>
        <v/>
      </c>
      <c r="IS3" s="1" t="str">
        <f t="shared" si="0"/>
        <v/>
      </c>
      <c r="IT3" s="1" t="str">
        <f t="shared" si="0"/>
        <v/>
      </c>
      <c r="IU3" s="1" t="str">
        <f t="shared" si="0"/>
        <v/>
      </c>
      <c r="IV3" s="1" t="str">
        <f t="shared" si="0"/>
        <v/>
      </c>
      <c r="IW3" s="1" t="str">
        <f t="shared" si="0"/>
        <v/>
      </c>
      <c r="IX3" s="1" t="str">
        <f t="shared" si="0"/>
        <v/>
      </c>
      <c r="IY3" s="1" t="str">
        <f t="shared" si="0"/>
        <v/>
      </c>
      <c r="IZ3" s="1" t="str">
        <f t="shared" si="0"/>
        <v/>
      </c>
      <c r="JA3" s="1" t="str">
        <f t="shared" si="0"/>
        <v/>
      </c>
      <c r="JB3" s="1" t="str">
        <f t="shared" si="0"/>
        <v/>
      </c>
      <c r="JC3" s="1" t="str">
        <f t="shared" si="0"/>
        <v/>
      </c>
      <c r="JD3" s="1" t="str">
        <f t="shared" si="0"/>
        <v/>
      </c>
      <c r="JE3" s="1" t="str">
        <f t="shared" si="0"/>
        <v/>
      </c>
      <c r="JF3" s="1" t="str">
        <f t="shared" si="0"/>
        <v/>
      </c>
      <c r="JG3" s="1" t="str">
        <f t="shared" si="0"/>
        <v/>
      </c>
      <c r="JH3" s="1" t="str">
        <f t="shared" si="0"/>
        <v/>
      </c>
      <c r="LY3" s="1"/>
    </row>
    <row r="4" spans="1:337" x14ac:dyDescent="0.25">
      <c r="A4" s="4">
        <v>2</v>
      </c>
      <c r="B4" s="1">
        <v>2258230.6489723232</v>
      </c>
      <c r="C4" s="1">
        <v>2217874.6437950395</v>
      </c>
      <c r="D4" s="1">
        <v>2144610.7189525831</v>
      </c>
      <c r="E4" s="1">
        <v>2087386.2495917021</v>
      </c>
      <c r="F4" s="1">
        <v>2057889.8926148396</v>
      </c>
      <c r="G4" s="1">
        <v>2044281.7252632456</v>
      </c>
      <c r="H4" s="1">
        <v>2068090.1108328202</v>
      </c>
      <c r="I4" s="1">
        <v>2070199.5894293189</v>
      </c>
      <c r="J4" s="1">
        <v>2123016.776846935</v>
      </c>
      <c r="K4" s="1">
        <v>2156663.6307309195</v>
      </c>
      <c r="L4" s="1">
        <v>2158258.8028217433</v>
      </c>
      <c r="M4" s="1">
        <v>2203283.9452418163</v>
      </c>
      <c r="N4" s="1">
        <v>2178422.5514467126</v>
      </c>
      <c r="O4" s="1">
        <v>2135097.9138207273</v>
      </c>
      <c r="P4" s="1">
        <v>2076609.7249795608</v>
      </c>
      <c r="Q4" s="1">
        <v>2028519.1238352554</v>
      </c>
      <c r="R4" s="1">
        <v>1993048.9721500017</v>
      </c>
      <c r="S4" s="1">
        <v>1947815.0111691584</v>
      </c>
      <c r="T4" s="1">
        <v>1970258.2922722651</v>
      </c>
      <c r="U4" s="1">
        <v>2005212.0250982221</v>
      </c>
      <c r="V4" s="1">
        <v>2069919.2301175252</v>
      </c>
      <c r="W4" s="1">
        <v>2104965.3094280683</v>
      </c>
      <c r="X4" s="1">
        <v>2107800.6142541384</v>
      </c>
      <c r="Y4" s="1">
        <v>2168413.3002364347</v>
      </c>
      <c r="Z4" s="1">
        <v>2166149.8179795044</v>
      </c>
      <c r="AA4" s="1">
        <v>2136024.2832537377</v>
      </c>
      <c r="AB4" s="1">
        <v>2088911.8010413223</v>
      </c>
      <c r="AC4" s="1">
        <v>2032477.7442958851</v>
      </c>
      <c r="AD4" s="1">
        <v>1977446.4850690719</v>
      </c>
      <c r="AE4" s="1">
        <v>1956329.2418707761</v>
      </c>
      <c r="AF4" s="1">
        <v>1976577.1846065812</v>
      </c>
      <c r="AG4" s="1">
        <v>1987073.9762965713</v>
      </c>
      <c r="AH4" s="1">
        <v>2028481.9732791814</v>
      </c>
      <c r="AI4" s="1">
        <v>2059132.974608093</v>
      </c>
      <c r="AJ4" s="1">
        <v>2047447.9921057699</v>
      </c>
      <c r="AK4" s="1">
        <v>2094136.1480170302</v>
      </c>
      <c r="AL4" s="1">
        <v>2081259.0731038665</v>
      </c>
      <c r="AM4" s="1">
        <v>2041170.0300647337</v>
      </c>
      <c r="AN4" s="1">
        <v>1986412.3837978793</v>
      </c>
      <c r="AO4" s="1">
        <v>1928518.8713129065</v>
      </c>
      <c r="AP4" s="1">
        <v>1908652.2834461574</v>
      </c>
      <c r="AQ4" s="1">
        <v>1915974.8193439653</v>
      </c>
      <c r="AR4" s="1">
        <v>1980465.5143452752</v>
      </c>
      <c r="AS4" s="1">
        <v>1996589.0020441818</v>
      </c>
      <c r="AT4" s="1">
        <v>2066285.3189823935</v>
      </c>
      <c r="AU4" s="1">
        <v>2098722.1687827292</v>
      </c>
      <c r="AV4" s="1">
        <v>2097500.0871677939</v>
      </c>
      <c r="AW4" s="1">
        <v>2164491.7966406904</v>
      </c>
      <c r="AX4" s="1">
        <v>2187752.9397004992</v>
      </c>
      <c r="AY4" s="1">
        <v>2227430.5252204891</v>
      </c>
      <c r="AZ4" s="1">
        <v>2272586.699701081</v>
      </c>
      <c r="BA4" s="1">
        <v>2205896.3468630714</v>
      </c>
      <c r="BB4" s="1">
        <v>2289167.2159802606</v>
      </c>
      <c r="BC4" s="1">
        <v>2414082.3437957526</v>
      </c>
      <c r="BD4" s="1">
        <v>2488046.2097456674</v>
      </c>
      <c r="BE4" s="1">
        <v>2549576.4605233651</v>
      </c>
      <c r="BF4" s="1">
        <v>2665616.5490714861</v>
      </c>
      <c r="BG4" s="1">
        <v>2837432.7650354812</v>
      </c>
      <c r="BH4" s="1">
        <v>3023511.2005320098</v>
      </c>
      <c r="BI4" s="1">
        <v>3280491.7135791145</v>
      </c>
      <c r="BJ4" s="1">
        <v>3458293.6466679042</v>
      </c>
      <c r="BK4" s="1">
        <v>3543167.9600077202</v>
      </c>
      <c r="BL4" s="1">
        <v>3667661.8256740337</v>
      </c>
      <c r="BM4" s="1">
        <v>3759577.2733623399</v>
      </c>
      <c r="BN4" s="1">
        <v>3793924.9908330813</v>
      </c>
      <c r="BO4" s="1">
        <v>3762965.4741186453</v>
      </c>
      <c r="BP4" s="1">
        <v>3731406.6236216691</v>
      </c>
      <c r="BQ4" s="1">
        <v>3660390.3779785093</v>
      </c>
      <c r="BR4" s="1">
        <v>3795926.6452100314</v>
      </c>
      <c r="BS4" s="1">
        <v>3960111.1110734055</v>
      </c>
      <c r="BT4" s="1">
        <v>3993863.3012271533</v>
      </c>
      <c r="BU4" s="1">
        <v>4052528.1536648758</v>
      </c>
      <c r="BV4" s="1">
        <v>4111902.4563162578</v>
      </c>
      <c r="BW4" s="1">
        <v>4127124.5680943173</v>
      </c>
      <c r="BX4" s="1">
        <v>4173375.7689746036</v>
      </c>
      <c r="BY4" s="1">
        <v>4158105.0974959647</v>
      </c>
      <c r="BZ4" s="1">
        <v>4086135.975030608</v>
      </c>
      <c r="CA4" s="1">
        <v>4024101.1281935629</v>
      </c>
      <c r="CB4" s="1">
        <v>3984975.7286484828</v>
      </c>
      <c r="CC4" s="1">
        <v>3922560.2552560084</v>
      </c>
      <c r="CD4" s="1">
        <v>4068159.5545272003</v>
      </c>
      <c r="CE4" s="1">
        <v>4173024.7266645343</v>
      </c>
      <c r="CF4" s="1">
        <v>4186889.325877069</v>
      </c>
      <c r="CG4" s="1">
        <v>4223243.8870406803</v>
      </c>
      <c r="CH4" s="1">
        <v>4189095.2639881219</v>
      </c>
      <c r="CI4" s="1">
        <v>4261704.3856044188</v>
      </c>
      <c r="CJ4" s="1">
        <v>4280326.2065421278</v>
      </c>
      <c r="CK4" s="1">
        <v>4267869.439078589</v>
      </c>
      <c r="CL4" s="1">
        <v>4136224.7576696286</v>
      </c>
      <c r="CM4" s="1">
        <v>4099538.5609573964</v>
      </c>
      <c r="CN4" s="1">
        <v>4118929.584962307</v>
      </c>
      <c r="CO4" s="1">
        <v>4138596.755970648</v>
      </c>
      <c r="CP4" s="1">
        <v>4229352.2168858089</v>
      </c>
      <c r="CQ4" s="1">
        <v>4398457.6504325857</v>
      </c>
      <c r="CR4" s="1">
        <v>4509726.6847168729</v>
      </c>
      <c r="CS4" s="1">
        <v>4600683.0015426204</v>
      </c>
      <c r="CT4" s="1">
        <v>4586000.5230223201</v>
      </c>
      <c r="CU4" s="1">
        <v>4695823.4866511188</v>
      </c>
      <c r="CV4" s="1">
        <v>4719114.6821608022</v>
      </c>
      <c r="CW4" s="1">
        <v>4670361.0752853993</v>
      </c>
      <c r="CX4" s="1">
        <v>4674299.301028559</v>
      </c>
      <c r="CY4" s="1">
        <v>4680056.0824325942</v>
      </c>
      <c r="CZ4" s="1">
        <v>4620514.9540822748</v>
      </c>
      <c r="DA4" s="1">
        <v>4734091.7149612512</v>
      </c>
      <c r="DB4" s="1">
        <v>4796842.0866934834</v>
      </c>
      <c r="DC4" s="1">
        <v>4878308.6897987621</v>
      </c>
      <c r="DD4" s="1">
        <v>4940578.7025173781</v>
      </c>
      <c r="DE4" s="1">
        <v>5098946.5191516783</v>
      </c>
      <c r="DF4" s="1">
        <v>5041737.3785729855</v>
      </c>
      <c r="DG4" s="1">
        <v>5042867.4527106974</v>
      </c>
      <c r="DH4" s="1">
        <v>4992010.7924902923</v>
      </c>
      <c r="DI4" s="1">
        <v>4908276.2094937395</v>
      </c>
      <c r="DJ4" s="1">
        <v>4795472.7755470313</v>
      </c>
      <c r="DK4" s="1">
        <v>4756386.6484685354</v>
      </c>
      <c r="DL4" s="1">
        <v>4713247.6227135342</v>
      </c>
      <c r="DM4" s="1">
        <v>4752149.215887473</v>
      </c>
      <c r="DN4" s="1">
        <v>4815223.2508603986</v>
      </c>
      <c r="DO4" s="1">
        <v>4832341.5102211926</v>
      </c>
      <c r="DP4" s="1">
        <v>4819395.2354507111</v>
      </c>
      <c r="DQ4" s="1">
        <v>4855441.2268524868</v>
      </c>
      <c r="DR4" s="1">
        <v>4784798.691765043</v>
      </c>
      <c r="DS4" s="1">
        <v>4800551.9540097993</v>
      </c>
      <c r="DT4" s="1">
        <v>4662675.2368916813</v>
      </c>
      <c r="DU4" s="1">
        <v>4596211.7554902229</v>
      </c>
      <c r="DV4" s="1">
        <v>4433060.9825534225</v>
      </c>
      <c r="DW4" s="1">
        <v>4351836.2883273484</v>
      </c>
      <c r="DX4" s="1">
        <v>4364744.8473412357</v>
      </c>
      <c r="DY4" s="1">
        <v>4464760.1134717539</v>
      </c>
      <c r="DZ4" s="1">
        <v>4522763.6483430453</v>
      </c>
      <c r="EA4" s="1">
        <v>4545846.5970054865</v>
      </c>
      <c r="EB4" s="1">
        <v>4506924.5059929648</v>
      </c>
      <c r="EC4" s="1">
        <v>4546531.8007775424</v>
      </c>
      <c r="ED4" s="1">
        <v>4552002.1145437416</v>
      </c>
      <c r="EE4" s="1">
        <v>4483674.2802355252</v>
      </c>
      <c r="EF4" s="1">
        <v>4367400.0647277031</v>
      </c>
      <c r="EG4" s="1">
        <v>4206737.6921587307</v>
      </c>
      <c r="EH4" s="1">
        <v>4068737.6978847515</v>
      </c>
      <c r="EI4" s="1">
        <v>4011724.8217487251</v>
      </c>
      <c r="EJ4" s="1">
        <v>4088745.6603193283</v>
      </c>
      <c r="EK4" s="1">
        <v>4048488.1226493279</v>
      </c>
      <c r="EL4" s="1">
        <v>4153710.6376934107</v>
      </c>
      <c r="EM4" s="1">
        <v>4173497.2416007612</v>
      </c>
      <c r="EN4" s="1">
        <v>4145714.7840307476</v>
      </c>
      <c r="EO4" s="1">
        <v>4173300.9927864308</v>
      </c>
      <c r="EP4" s="1">
        <v>4188417.926513128</v>
      </c>
      <c r="EQ4" s="1">
        <v>4071486.7655470385</v>
      </c>
      <c r="ER4" s="1">
        <v>3996751.5149071515</v>
      </c>
      <c r="ES4" s="1">
        <v>3867047.1250475235</v>
      </c>
      <c r="ET4" s="1">
        <v>3787245.6747873607</v>
      </c>
      <c r="EU4" s="1">
        <v>3727842.8017876688</v>
      </c>
      <c r="EV4" s="1">
        <v>3694740.0297561511</v>
      </c>
      <c r="EW4" s="1">
        <v>3696840.6030987469</v>
      </c>
      <c r="EX4" s="1">
        <v>3779844.8977353354</v>
      </c>
      <c r="EY4" s="1">
        <v>3783791.82558975</v>
      </c>
      <c r="EZ4" s="1">
        <v>3678326.3546580626</v>
      </c>
      <c r="FA4" s="1">
        <v>3823593.671310992</v>
      </c>
      <c r="FB4" s="1">
        <v>3762548.6729330909</v>
      </c>
      <c r="FC4" s="1">
        <v>3698682.2947388198</v>
      </c>
      <c r="FD4" s="1">
        <v>3595955.9110402446</v>
      </c>
      <c r="FE4" s="1">
        <v>3480756.1120124795</v>
      </c>
      <c r="FF4" s="1">
        <v>3315180.1866604174</v>
      </c>
      <c r="FG4" s="1">
        <v>3242722.1778790681</v>
      </c>
      <c r="FH4" s="1">
        <v>3308608.1926043266</v>
      </c>
      <c r="FI4" s="1">
        <v>3400140.8232235042</v>
      </c>
      <c r="FJ4" s="1">
        <v>3512152.5423725136</v>
      </c>
      <c r="FK4" s="1">
        <v>3507607.5631470801</v>
      </c>
      <c r="FL4" s="1">
        <v>3421225.3875815887</v>
      </c>
      <c r="FM4" s="1">
        <v>3488949.5144097256</v>
      </c>
      <c r="FN4" s="1">
        <v>3490981.8899344821</v>
      </c>
      <c r="FO4" s="1">
        <v>3423515.0763902357</v>
      </c>
      <c r="FP4" s="1">
        <v>3319514.1728042718</v>
      </c>
      <c r="FQ4" s="1">
        <v>3215839.9092317522</v>
      </c>
      <c r="FR4" s="1">
        <v>3136992.8028361257</v>
      </c>
      <c r="FS4" s="1">
        <v>3147152.8840671582</v>
      </c>
      <c r="FT4" s="1">
        <v>3157628.8586940113</v>
      </c>
      <c r="FU4" s="1">
        <v>3220461.5674618967</v>
      </c>
      <c r="FV4" s="1">
        <v>3299083.7245031027</v>
      </c>
      <c r="FW4" s="1">
        <v>3283415.2250284767</v>
      </c>
      <c r="FX4" s="1">
        <v>3204793.4948767698</v>
      </c>
      <c r="FY4" s="1">
        <v>3266060.9749832363</v>
      </c>
      <c r="FZ4" s="1">
        <v>3283134.6373995962</v>
      </c>
      <c r="GA4" s="1">
        <v>3257902.1658649333</v>
      </c>
      <c r="GB4" s="1">
        <v>3162739.1710545365</v>
      </c>
      <c r="GC4" s="1">
        <v>3084374.7355069406</v>
      </c>
      <c r="GD4" s="1">
        <v>2994300.5597853372</v>
      </c>
      <c r="GE4" s="1">
        <v>2952462.4230566062</v>
      </c>
      <c r="GF4" s="1">
        <v>3036680.726161791</v>
      </c>
      <c r="GG4" s="1">
        <v>3111874.3053046656</v>
      </c>
      <c r="GH4" s="1">
        <v>3181164.7021745658</v>
      </c>
      <c r="GI4" s="1">
        <v>3158173.1027264083</v>
      </c>
      <c r="GJ4" s="1">
        <v>3188897.632337912</v>
      </c>
      <c r="GK4" s="1">
        <v>3261916.8605074016</v>
      </c>
      <c r="GL4" s="1">
        <v>3279239.733149997</v>
      </c>
      <c r="GM4" s="1">
        <v>3246698.7729170541</v>
      </c>
      <c r="GN4" s="1">
        <v>3128499.4236346842</v>
      </c>
      <c r="GO4" s="1">
        <v>3481630.9884371152</v>
      </c>
      <c r="GP4" s="1">
        <v>4098534.048811296</v>
      </c>
      <c r="GQ4" s="1">
        <v>3942887.6770881205</v>
      </c>
      <c r="GR4" s="1">
        <v>4019566.300224632</v>
      </c>
      <c r="GS4" s="1">
        <v>3980892.8891353598</v>
      </c>
      <c r="GT4" s="1">
        <v>3963008.0507840971</v>
      </c>
      <c r="GU4" s="1">
        <v>3840028.5630437899</v>
      </c>
      <c r="GV4" s="1">
        <v>3771160.9216284342</v>
      </c>
      <c r="GW4" s="1">
        <v>3911987.434254976</v>
      </c>
      <c r="GX4" s="1">
        <v>4043748.5594642176</v>
      </c>
      <c r="GY4" s="1">
        <v>4018015.4473481695</v>
      </c>
      <c r="GZ4" s="1">
        <v>4009818.7318323702</v>
      </c>
      <c r="HA4" s="1" t="str">
        <f t="shared" si="0"/>
        <v/>
      </c>
      <c r="HB4" s="1" t="str">
        <f t="shared" si="0"/>
        <v/>
      </c>
      <c r="HC4" s="1" t="str">
        <f t="shared" si="0"/>
        <v/>
      </c>
      <c r="HD4" s="1" t="str">
        <f t="shared" si="0"/>
        <v/>
      </c>
      <c r="HE4" s="1" t="str">
        <f t="shared" si="0"/>
        <v/>
      </c>
      <c r="HF4" s="1" t="str">
        <f t="shared" si="0"/>
        <v/>
      </c>
      <c r="HG4" s="1" t="str">
        <f t="shared" si="0"/>
        <v/>
      </c>
      <c r="HH4" s="1" t="str">
        <f t="shared" si="0"/>
        <v/>
      </c>
      <c r="HI4" s="1" t="str">
        <f t="shared" si="0"/>
        <v/>
      </c>
      <c r="HJ4" s="1" t="str">
        <f t="shared" si="0"/>
        <v/>
      </c>
      <c r="HK4" s="1" t="str">
        <f t="shared" si="0"/>
        <v/>
      </c>
      <c r="HL4" s="1" t="str">
        <f t="shared" si="0"/>
        <v/>
      </c>
      <c r="HM4" s="1" t="str">
        <f t="shared" si="0"/>
        <v/>
      </c>
      <c r="HN4" s="1" t="str">
        <f t="shared" si="0"/>
        <v/>
      </c>
      <c r="HO4" s="1" t="str">
        <f t="shared" si="0"/>
        <v/>
      </c>
      <c r="HP4" s="1" t="str">
        <f t="shared" si="0"/>
        <v/>
      </c>
      <c r="HQ4" s="1" t="str">
        <f t="shared" si="0"/>
        <v/>
      </c>
      <c r="HR4" s="1" t="str">
        <f t="shared" si="0"/>
        <v/>
      </c>
      <c r="HS4" s="1" t="str">
        <f t="shared" si="0"/>
        <v/>
      </c>
      <c r="HT4" s="1" t="str">
        <f t="shared" si="0"/>
        <v/>
      </c>
      <c r="HU4" s="1" t="str">
        <f t="shared" si="0"/>
        <v/>
      </c>
      <c r="HV4" s="1" t="str">
        <f t="shared" si="0"/>
        <v/>
      </c>
      <c r="HW4" s="1" t="str">
        <f t="shared" si="0"/>
        <v/>
      </c>
      <c r="HX4" s="1" t="str">
        <f t="shared" si="0"/>
        <v/>
      </c>
      <c r="HY4" s="1" t="str">
        <f t="shared" si="0"/>
        <v/>
      </c>
      <c r="HZ4" s="1" t="str">
        <f t="shared" si="0"/>
        <v/>
      </c>
      <c r="IA4" s="1" t="str">
        <f t="shared" si="0"/>
        <v/>
      </c>
      <c r="IB4" s="1" t="str">
        <f t="shared" si="0"/>
        <v/>
      </c>
      <c r="IC4" s="1" t="str">
        <f t="shared" si="0"/>
        <v/>
      </c>
      <c r="ID4" s="1" t="str">
        <f t="shared" si="0"/>
        <v/>
      </c>
      <c r="IE4" s="1" t="str">
        <f t="shared" si="0"/>
        <v/>
      </c>
      <c r="IF4" s="1" t="str">
        <f t="shared" si="0"/>
        <v/>
      </c>
      <c r="IG4" s="1" t="str">
        <f t="shared" si="0"/>
        <v/>
      </c>
      <c r="IH4" s="1" t="str">
        <f t="shared" si="0"/>
        <v/>
      </c>
      <c r="II4" s="1" t="str">
        <f t="shared" si="0"/>
        <v/>
      </c>
      <c r="IJ4" s="1" t="str">
        <f t="shared" si="0"/>
        <v/>
      </c>
      <c r="IK4" s="1" t="str">
        <f t="shared" si="0"/>
        <v/>
      </c>
      <c r="IL4" s="1" t="str">
        <f t="shared" si="0"/>
        <v/>
      </c>
      <c r="IM4" s="1" t="str">
        <f t="shared" si="0"/>
        <v/>
      </c>
      <c r="IN4" s="1" t="str">
        <f t="shared" si="0"/>
        <v/>
      </c>
      <c r="IO4" s="1" t="str">
        <f t="shared" si="0"/>
        <v/>
      </c>
      <c r="IP4" s="1" t="str">
        <f t="shared" si="0"/>
        <v/>
      </c>
      <c r="IQ4" s="1" t="str">
        <f t="shared" si="0"/>
        <v/>
      </c>
      <c r="IR4" s="1" t="str">
        <f t="shared" si="0"/>
        <v/>
      </c>
      <c r="IS4" s="1" t="str">
        <f t="shared" si="0"/>
        <v/>
      </c>
      <c r="IT4" s="1" t="str">
        <f t="shared" si="0"/>
        <v/>
      </c>
      <c r="IU4" s="1" t="str">
        <f t="shared" si="0"/>
        <v/>
      </c>
      <c r="IV4" s="1" t="str">
        <f t="shared" si="0"/>
        <v/>
      </c>
      <c r="IW4" s="1" t="str">
        <f t="shared" si="0"/>
        <v/>
      </c>
      <c r="IX4" s="1" t="str">
        <f t="shared" si="0"/>
        <v/>
      </c>
      <c r="IY4" s="1" t="str">
        <f t="shared" si="0"/>
        <v/>
      </c>
      <c r="IZ4" s="1" t="str">
        <f t="shared" si="0"/>
        <v/>
      </c>
      <c r="JA4" s="1" t="str">
        <f t="shared" si="0"/>
        <v/>
      </c>
      <c r="JB4" s="1" t="str">
        <f t="shared" si="0"/>
        <v/>
      </c>
      <c r="JC4" s="1" t="str">
        <f t="shared" si="0"/>
        <v/>
      </c>
      <c r="JD4" s="1" t="str">
        <f t="shared" si="0"/>
        <v/>
      </c>
      <c r="JE4" s="1" t="str">
        <f t="shared" si="0"/>
        <v/>
      </c>
      <c r="JF4" s="1" t="str">
        <f t="shared" si="0"/>
        <v/>
      </c>
      <c r="JG4" s="1" t="str">
        <f t="shared" si="0"/>
        <v/>
      </c>
      <c r="JH4" s="1" t="str">
        <f t="shared" si="0"/>
        <v/>
      </c>
      <c r="LY4" s="1"/>
    </row>
    <row r="5" spans="1:337" x14ac:dyDescent="0.25">
      <c r="A5" s="5">
        <v>3</v>
      </c>
      <c r="B5" s="1">
        <v>2240831.4788843491</v>
      </c>
      <c r="C5" s="1">
        <v>2168378.7944535697</v>
      </c>
      <c r="D5" s="1">
        <v>2092526.9419360403</v>
      </c>
      <c r="E5" s="1">
        <v>2047670.4803644624</v>
      </c>
      <c r="F5" s="1">
        <v>2042854.9895349285</v>
      </c>
      <c r="G5" s="1">
        <v>2067536.0202252283</v>
      </c>
      <c r="H5" s="1">
        <v>2085086.9688718822</v>
      </c>
      <c r="I5" s="1">
        <v>2125334.1892616535</v>
      </c>
      <c r="J5" s="1">
        <v>2171009.1046382077</v>
      </c>
      <c r="K5" s="1">
        <v>2171172.138688243</v>
      </c>
      <c r="L5" s="1">
        <v>2220988.7102806526</v>
      </c>
      <c r="M5" s="1">
        <v>2200395.0479083806</v>
      </c>
      <c r="N5" s="1">
        <v>2137607.6925325729</v>
      </c>
      <c r="O5" s="1">
        <v>2094186.6263883656</v>
      </c>
      <c r="P5" s="1">
        <v>2011423.1375971003</v>
      </c>
      <c r="Q5" s="1">
        <v>1983945.1230154342</v>
      </c>
      <c r="R5" s="1">
        <v>1969081.8728349446</v>
      </c>
      <c r="S5" s="1">
        <v>1973338.1902069598</v>
      </c>
      <c r="T5" s="1">
        <v>1977091.7083383685</v>
      </c>
      <c r="U5" s="1">
        <v>2048370.6415095674</v>
      </c>
      <c r="V5" s="1">
        <v>2115758.8960404936</v>
      </c>
      <c r="W5" s="1">
        <v>2113872.5521129994</v>
      </c>
      <c r="X5" s="1">
        <v>2173092.2161021158</v>
      </c>
      <c r="Y5" s="1">
        <v>2169436.4130297438</v>
      </c>
      <c r="Z5" s="1">
        <v>2132491.5874998779</v>
      </c>
      <c r="AA5" s="1">
        <v>2090342.5309428049</v>
      </c>
      <c r="AB5" s="1">
        <v>2025049.9833451672</v>
      </c>
      <c r="AC5" s="1">
        <v>1995234.3390691257</v>
      </c>
      <c r="AD5" s="1">
        <v>1962657.3370937486</v>
      </c>
      <c r="AE5" s="1">
        <v>1982572.0043061292</v>
      </c>
      <c r="AF5" s="1">
        <v>1983093.5626895383</v>
      </c>
      <c r="AG5" s="1">
        <v>2029849.9889765091</v>
      </c>
      <c r="AH5" s="1">
        <v>2071432.9503579363</v>
      </c>
      <c r="AI5" s="1">
        <v>2068293.3782321573</v>
      </c>
      <c r="AJ5" s="1">
        <v>2108656.2404939933</v>
      </c>
      <c r="AK5" s="1">
        <v>2089371.1842343858</v>
      </c>
      <c r="AL5" s="1">
        <v>2045040.2302735774</v>
      </c>
      <c r="AM5" s="1">
        <v>1985678.2947440776</v>
      </c>
      <c r="AN5" s="1">
        <v>1916343.2122583566</v>
      </c>
      <c r="AO5" s="1">
        <v>1886710.580478197</v>
      </c>
      <c r="AP5" s="1">
        <v>1896327.8687334952</v>
      </c>
      <c r="AQ5" s="1">
        <v>1943983.6826454457</v>
      </c>
      <c r="AR5" s="1">
        <v>1980462.9368486572</v>
      </c>
      <c r="AS5" s="1">
        <v>2035345.482766015</v>
      </c>
      <c r="AT5" s="1">
        <v>2107967.7267125119</v>
      </c>
      <c r="AU5" s="1">
        <v>2105760.1607192149</v>
      </c>
      <c r="AV5" s="1">
        <v>2161993.6749361744</v>
      </c>
      <c r="AW5" s="1">
        <v>2163370.4801170332</v>
      </c>
      <c r="AX5" s="1">
        <v>2161579.0328488406</v>
      </c>
      <c r="AY5" s="1">
        <v>2179901.9307402582</v>
      </c>
      <c r="AZ5" s="1">
        <v>2219952.7405558191</v>
      </c>
      <c r="BA5" s="1">
        <v>2178593.7329935008</v>
      </c>
      <c r="BB5" s="1">
        <v>2311410.5440455978</v>
      </c>
      <c r="BC5" s="1">
        <v>2490793.9718866986</v>
      </c>
      <c r="BD5" s="1">
        <v>2520196.9927391247</v>
      </c>
      <c r="BE5" s="1">
        <v>2624989.949671295</v>
      </c>
      <c r="BF5" s="1">
        <v>2764349.0638532834</v>
      </c>
      <c r="BG5" s="1">
        <v>2919437.2055393304</v>
      </c>
      <c r="BH5" s="1">
        <v>3192596.3336167401</v>
      </c>
      <c r="BI5" s="1">
        <v>3395377.7328482838</v>
      </c>
      <c r="BJ5" s="1">
        <v>3540258.1358289998</v>
      </c>
      <c r="BK5" s="1">
        <v>3616753.4574525887</v>
      </c>
      <c r="BL5" s="1">
        <v>3728446.7962919958</v>
      </c>
      <c r="BM5" s="1">
        <v>3881703.5466279341</v>
      </c>
      <c r="BN5" s="1">
        <v>3912539.7011662424</v>
      </c>
      <c r="BO5" s="1">
        <v>3905816.7601931039</v>
      </c>
      <c r="BP5" s="1">
        <v>3803826.0311507992</v>
      </c>
      <c r="BQ5" s="1">
        <v>3760788.29043908</v>
      </c>
      <c r="BR5" s="1">
        <v>3914754.2487967983</v>
      </c>
      <c r="BS5" s="1">
        <v>4066779.273270308</v>
      </c>
      <c r="BT5" s="1">
        <v>4143537.3039086228</v>
      </c>
      <c r="BU5" s="1">
        <v>4097614.5587302633</v>
      </c>
      <c r="BV5" s="1">
        <v>4124871.9203762636</v>
      </c>
      <c r="BW5" s="1">
        <v>4129131.9666203987</v>
      </c>
      <c r="BX5" s="1">
        <v>4158035.9068037486</v>
      </c>
      <c r="BY5" s="1">
        <v>4159340.0895407647</v>
      </c>
      <c r="BZ5" s="1">
        <v>4089355.9343140018</v>
      </c>
      <c r="CA5" s="1">
        <v>4075358.5760341845</v>
      </c>
      <c r="CB5" s="1">
        <v>3990660.948207452</v>
      </c>
      <c r="CC5" s="1">
        <v>3966434.6123778475</v>
      </c>
      <c r="CD5" s="1">
        <v>4131301.8445338071</v>
      </c>
      <c r="CE5" s="1">
        <v>4213802.2870023511</v>
      </c>
      <c r="CF5" s="1">
        <v>4293837.4422282819</v>
      </c>
      <c r="CG5" s="1">
        <v>4259573.0068961028</v>
      </c>
      <c r="CH5" s="1">
        <v>4175239.442537942</v>
      </c>
      <c r="CI5" s="1">
        <v>4236750.9106124612</v>
      </c>
      <c r="CJ5" s="1">
        <v>4231062.717186546</v>
      </c>
      <c r="CK5" s="1">
        <v>4231887.5394161083</v>
      </c>
      <c r="CL5" s="1">
        <v>4108580.6753472956</v>
      </c>
      <c r="CM5" s="1">
        <v>4124473.3026682124</v>
      </c>
      <c r="CN5" s="1">
        <v>4142028.8619579282</v>
      </c>
      <c r="CO5" s="1">
        <v>4190327.6025680099</v>
      </c>
      <c r="CP5" s="1">
        <v>4278574.268921366</v>
      </c>
      <c r="CQ5" s="1">
        <v>4444239.6752618114</v>
      </c>
      <c r="CR5" s="1">
        <v>4675439.654838983</v>
      </c>
      <c r="CS5" s="1">
        <v>4668216.6001676852</v>
      </c>
      <c r="CT5" s="1">
        <v>4603812.4546041973</v>
      </c>
      <c r="CU5" s="1">
        <v>4672135.3059309963</v>
      </c>
      <c r="CV5" s="1">
        <v>4692020.7359879389</v>
      </c>
      <c r="CW5" s="1">
        <v>4618329.3946907017</v>
      </c>
      <c r="CX5" s="1">
        <v>4678474.8633865723</v>
      </c>
      <c r="CY5" s="1">
        <v>4749493.6317165028</v>
      </c>
      <c r="CZ5" s="1">
        <v>4689420.3844952993</v>
      </c>
      <c r="DA5" s="1">
        <v>4851231.198175299</v>
      </c>
      <c r="DB5" s="1">
        <v>4846218.6650352189</v>
      </c>
      <c r="DC5" s="1">
        <v>4899315.6982537173</v>
      </c>
      <c r="DD5" s="1">
        <v>5101184.8429238256</v>
      </c>
      <c r="DE5" s="1">
        <v>5185089.7169564124</v>
      </c>
      <c r="DF5" s="1">
        <v>5028201.2449564058</v>
      </c>
      <c r="DG5" s="1">
        <v>5012852.7555366606</v>
      </c>
      <c r="DH5" s="1">
        <v>4912413.5091431485</v>
      </c>
      <c r="DI5" s="1">
        <v>4792632.3357135784</v>
      </c>
      <c r="DJ5" s="1">
        <v>4758306.956684011</v>
      </c>
      <c r="DK5" s="1">
        <v>4779393.0207977155</v>
      </c>
      <c r="DL5" s="1">
        <v>4747308.4934947155</v>
      </c>
      <c r="DM5" s="1">
        <v>4840942.6033117631</v>
      </c>
      <c r="DN5" s="1">
        <v>4855326.3128372431</v>
      </c>
      <c r="DO5" s="1">
        <v>4789589.5529909013</v>
      </c>
      <c r="DP5" s="1">
        <v>4926186.7653772067</v>
      </c>
      <c r="DQ5" s="1">
        <v>4888591.5965364352</v>
      </c>
      <c r="DR5" s="1">
        <v>4733295.396111168</v>
      </c>
      <c r="DS5" s="1">
        <v>4722453.9385107979</v>
      </c>
      <c r="DT5" s="1">
        <v>4545497.1402837411</v>
      </c>
      <c r="DU5" s="1">
        <v>4456919.2411293834</v>
      </c>
      <c r="DV5" s="1">
        <v>4343114.7256261418</v>
      </c>
      <c r="DW5" s="1">
        <v>4344537.6836589146</v>
      </c>
      <c r="DX5" s="1">
        <v>4380849.8140745917</v>
      </c>
      <c r="DY5" s="1">
        <v>4552036.512349356</v>
      </c>
      <c r="DZ5" s="1">
        <v>4563333.5063693393</v>
      </c>
      <c r="EA5" s="1">
        <v>4495201.5583534166</v>
      </c>
      <c r="EB5" s="1">
        <v>4615985.4070627913</v>
      </c>
      <c r="EC5" s="1">
        <v>4563079.3559919279</v>
      </c>
      <c r="ED5" s="1">
        <v>4521124.2890484668</v>
      </c>
      <c r="EE5" s="1">
        <v>4399507.0592761785</v>
      </c>
      <c r="EF5" s="1">
        <v>4239858.1593784019</v>
      </c>
      <c r="EG5" s="1">
        <v>4072986.1562145147</v>
      </c>
      <c r="EH5" s="1">
        <v>3989530.2323900769</v>
      </c>
      <c r="EI5" s="1">
        <v>3999509.9721505479</v>
      </c>
      <c r="EJ5" s="1">
        <v>4107098.5574243106</v>
      </c>
      <c r="EK5" s="1">
        <v>4116390.2975568343</v>
      </c>
      <c r="EL5" s="1">
        <v>4167217.8836122961</v>
      </c>
      <c r="EM5" s="1">
        <v>4142072.558535012</v>
      </c>
      <c r="EN5" s="1">
        <v>4248686.5810654163</v>
      </c>
      <c r="EO5" s="1">
        <v>4181595.4326063865</v>
      </c>
      <c r="EP5" s="1">
        <v>4140043.1334078149</v>
      </c>
      <c r="EQ5" s="1">
        <v>3970373.9786039116</v>
      </c>
      <c r="ER5" s="1">
        <v>3870201.5381554281</v>
      </c>
      <c r="ES5" s="1">
        <v>3754001.3296467112</v>
      </c>
      <c r="ET5" s="1">
        <v>3722934.2305177962</v>
      </c>
      <c r="EU5" s="1">
        <v>3739578.4118443551</v>
      </c>
      <c r="EV5" s="1">
        <v>3710968.7816592269</v>
      </c>
      <c r="EW5" s="1">
        <v>3761053.6513874936</v>
      </c>
      <c r="EX5" s="1">
        <v>3769483.3204348111</v>
      </c>
      <c r="EY5" s="1">
        <v>3726787.573377762</v>
      </c>
      <c r="EZ5" s="1">
        <v>3753755.1555950912</v>
      </c>
      <c r="FA5" s="1">
        <v>3829462.3399634212</v>
      </c>
      <c r="FB5" s="1">
        <v>3712446.3725496372</v>
      </c>
      <c r="FC5" s="1">
        <v>3602127.4581516767</v>
      </c>
      <c r="FD5" s="1">
        <v>3487168.5730030779</v>
      </c>
      <c r="FE5" s="1">
        <v>3349244.0403830251</v>
      </c>
      <c r="FF5" s="1">
        <v>3222007.1531169079</v>
      </c>
      <c r="FG5" s="1">
        <v>3241893.1973615042</v>
      </c>
      <c r="FH5" s="1">
        <v>3331785.9211923713</v>
      </c>
      <c r="FI5" s="1">
        <v>3479695.8581556659</v>
      </c>
      <c r="FJ5" s="1">
        <v>3546625.8639545753</v>
      </c>
      <c r="FK5" s="1">
        <v>3457558.8335571941</v>
      </c>
      <c r="FL5" s="1">
        <v>3506614.5456020162</v>
      </c>
      <c r="FM5" s="1">
        <v>3496260.1692343736</v>
      </c>
      <c r="FN5" s="1">
        <v>3446431.3701616554</v>
      </c>
      <c r="FO5" s="1">
        <v>3328248.4892878551</v>
      </c>
      <c r="FP5" s="1">
        <v>3210409.9775063675</v>
      </c>
      <c r="FQ5" s="1">
        <v>3114485.2274792837</v>
      </c>
      <c r="FR5" s="1">
        <v>3098422.7218626835</v>
      </c>
      <c r="FS5" s="1">
        <v>3173174.3392387172</v>
      </c>
      <c r="FT5" s="1">
        <v>3197652.9150962732</v>
      </c>
      <c r="FU5" s="1">
        <v>3303521.8912777323</v>
      </c>
      <c r="FV5" s="1">
        <v>3318660.2359892922</v>
      </c>
      <c r="FW5" s="1">
        <v>3236669.1137194023</v>
      </c>
      <c r="FX5" s="1">
        <v>3283088.4398898464</v>
      </c>
      <c r="FY5" s="1">
        <v>3265538.5841138288</v>
      </c>
      <c r="FZ5" s="1">
        <v>3243249.1102425535</v>
      </c>
      <c r="GA5" s="1">
        <v>3164534.4156509736</v>
      </c>
      <c r="GB5" s="1">
        <v>3076924.966414962</v>
      </c>
      <c r="GC5" s="1">
        <v>2997882.1318537178</v>
      </c>
      <c r="GD5" s="1">
        <v>2963891.4006588208</v>
      </c>
      <c r="GE5" s="1">
        <v>2992063.834589825</v>
      </c>
      <c r="GF5" s="1">
        <v>3079368.2967655337</v>
      </c>
      <c r="GG5" s="1">
        <v>3188591.7297736639</v>
      </c>
      <c r="GH5" s="1">
        <v>3202338.2588969059</v>
      </c>
      <c r="GI5" s="1">
        <v>3126172.7401685743</v>
      </c>
      <c r="GJ5" s="1">
        <v>3288495.0392408501</v>
      </c>
      <c r="GK5" s="1">
        <v>3285232.6952696452</v>
      </c>
      <c r="GL5" s="1">
        <v>3257044.2455813782</v>
      </c>
      <c r="GM5" s="1">
        <v>3172834.8908075495</v>
      </c>
      <c r="GN5" s="1">
        <v>3041846.9160275953</v>
      </c>
      <c r="GO5" s="1">
        <v>3472515.8909890978</v>
      </c>
      <c r="GP5" s="1">
        <v>4245917.5919665163</v>
      </c>
      <c r="GQ5" s="1">
        <v>4072593.6480320888</v>
      </c>
      <c r="GR5" s="1">
        <v>4113678.7192331702</v>
      </c>
      <c r="GS5" s="1">
        <v>4118460.7152930107</v>
      </c>
      <c r="GT5" s="1">
        <v>4036695.5399726038</v>
      </c>
      <c r="GU5" s="1">
        <v>3786928.0327740116</v>
      </c>
      <c r="GV5" s="1">
        <v>3848502.2942510368</v>
      </c>
      <c r="GW5" s="1">
        <v>3918866.2460949109</v>
      </c>
      <c r="GX5" s="1">
        <v>4059276.3675253596</v>
      </c>
      <c r="GY5" s="1">
        <v>3983108.2401836831</v>
      </c>
      <c r="GZ5" s="1">
        <v>3955120.9321500198</v>
      </c>
      <c r="HA5" s="1" t="str">
        <f t="shared" si="0"/>
        <v/>
      </c>
      <c r="HB5" s="1" t="str">
        <f t="shared" si="0"/>
        <v/>
      </c>
      <c r="HC5" s="1" t="str">
        <f t="shared" si="0"/>
        <v/>
      </c>
      <c r="HD5" s="1" t="str">
        <f t="shared" si="0"/>
        <v/>
      </c>
      <c r="HE5" s="1" t="str">
        <f t="shared" si="0"/>
        <v/>
      </c>
      <c r="HF5" s="1" t="str">
        <f t="shared" si="0"/>
        <v/>
      </c>
      <c r="HG5" s="1" t="str">
        <f t="shared" si="0"/>
        <v/>
      </c>
      <c r="HH5" s="1" t="str">
        <f t="shared" si="0"/>
        <v/>
      </c>
      <c r="HI5" s="1" t="str">
        <f t="shared" si="0"/>
        <v/>
      </c>
      <c r="HJ5" s="1" t="str">
        <f t="shared" si="0"/>
        <v/>
      </c>
      <c r="HK5" s="1" t="str">
        <f t="shared" si="0"/>
        <v/>
      </c>
      <c r="HL5" s="1" t="str">
        <f t="shared" si="0"/>
        <v/>
      </c>
      <c r="HM5" s="1" t="str">
        <f t="shared" si="0"/>
        <v/>
      </c>
      <c r="HN5" s="1" t="str">
        <f t="shared" si="0"/>
        <v/>
      </c>
      <c r="HO5" s="1" t="str">
        <f t="shared" si="0"/>
        <v/>
      </c>
      <c r="HP5" s="1" t="str">
        <f t="shared" si="0"/>
        <v/>
      </c>
      <c r="HQ5" s="1" t="str">
        <f t="shared" si="0"/>
        <v/>
      </c>
      <c r="HR5" s="1" t="str">
        <f t="shared" si="0"/>
        <v/>
      </c>
      <c r="HS5" s="1" t="str">
        <f t="shared" si="0"/>
        <v/>
      </c>
      <c r="HT5" s="1" t="str">
        <f t="shared" si="0"/>
        <v/>
      </c>
      <c r="HU5" s="1" t="str">
        <f t="shared" si="0"/>
        <v/>
      </c>
      <c r="HV5" s="1" t="str">
        <f t="shared" si="0"/>
        <v/>
      </c>
      <c r="HW5" s="1" t="str">
        <f t="shared" si="0"/>
        <v/>
      </c>
      <c r="HX5" s="1" t="str">
        <f t="shared" si="0"/>
        <v/>
      </c>
      <c r="HY5" s="1" t="str">
        <f t="shared" si="0"/>
        <v/>
      </c>
      <c r="HZ5" s="1" t="str">
        <f t="shared" si="0"/>
        <v/>
      </c>
      <c r="IA5" s="1" t="str">
        <f t="shared" si="0"/>
        <v/>
      </c>
      <c r="IB5" s="1" t="str">
        <f t="shared" si="0"/>
        <v/>
      </c>
      <c r="IC5" s="1" t="str">
        <f t="shared" si="0"/>
        <v/>
      </c>
      <c r="ID5" s="1" t="str">
        <f t="shared" si="0"/>
        <v/>
      </c>
      <c r="IE5" s="1" t="str">
        <f t="shared" si="0"/>
        <v/>
      </c>
      <c r="IF5" s="1" t="str">
        <f t="shared" si="0"/>
        <v/>
      </c>
      <c r="IG5" s="1" t="str">
        <f t="shared" si="0"/>
        <v/>
      </c>
      <c r="IH5" s="1" t="str">
        <f t="shared" si="0"/>
        <v/>
      </c>
      <c r="II5" s="1" t="str">
        <f t="shared" si="0"/>
        <v/>
      </c>
      <c r="IJ5" s="1" t="str">
        <f t="shared" si="0"/>
        <v/>
      </c>
      <c r="IK5" s="1" t="str">
        <f t="shared" si="0"/>
        <v/>
      </c>
      <c r="IL5" s="1" t="str">
        <f t="shared" si="0"/>
        <v/>
      </c>
      <c r="IM5" s="1" t="str">
        <f t="shared" si="0"/>
        <v/>
      </c>
      <c r="IN5" s="1" t="str">
        <f t="shared" si="0"/>
        <v/>
      </c>
      <c r="IO5" s="1" t="str">
        <f t="shared" si="0"/>
        <v/>
      </c>
      <c r="IP5" s="1" t="str">
        <f t="shared" si="0"/>
        <v/>
      </c>
      <c r="IQ5" s="1" t="str">
        <f t="shared" si="0"/>
        <v/>
      </c>
      <c r="IR5" s="1" t="str">
        <f t="shared" si="0"/>
        <v/>
      </c>
      <c r="IS5" s="1" t="str">
        <f t="shared" si="0"/>
        <v/>
      </c>
      <c r="IT5" s="1" t="str">
        <f t="shared" si="0"/>
        <v/>
      </c>
      <c r="IU5" s="1" t="str">
        <f t="shared" si="0"/>
        <v/>
      </c>
      <c r="IV5" s="1" t="str">
        <f t="shared" si="0"/>
        <v/>
      </c>
      <c r="IW5" s="1" t="str">
        <f t="shared" si="0"/>
        <v/>
      </c>
      <c r="IX5" s="1" t="str">
        <f t="shared" si="0"/>
        <v/>
      </c>
      <c r="IY5" s="1" t="str">
        <f t="shared" si="0"/>
        <v/>
      </c>
      <c r="IZ5" s="1" t="str">
        <f t="shared" si="0"/>
        <v/>
      </c>
      <c r="JA5" s="1" t="str">
        <f t="shared" si="0"/>
        <v/>
      </c>
      <c r="JB5" s="1" t="str">
        <f t="shared" si="0"/>
        <v/>
      </c>
      <c r="JC5" s="1" t="str">
        <f t="shared" si="0"/>
        <v/>
      </c>
      <c r="JD5" s="1" t="str">
        <f t="shared" si="0"/>
        <v/>
      </c>
      <c r="JE5" s="1" t="str">
        <f t="shared" si="0"/>
        <v/>
      </c>
      <c r="JF5" s="1" t="str">
        <f t="shared" si="0"/>
        <v/>
      </c>
      <c r="JG5" s="1" t="str">
        <f t="shared" si="0"/>
        <v/>
      </c>
      <c r="JH5" s="1" t="str">
        <f t="shared" si="0"/>
        <v/>
      </c>
      <c r="LY5" s="1"/>
    </row>
    <row r="6" spans="1:337" x14ac:dyDescent="0.25">
      <c r="A6" s="5">
        <v>4</v>
      </c>
      <c r="B6" s="1">
        <v>2188598.5123634194</v>
      </c>
      <c r="C6" s="1">
        <v>2121376.3912051804</v>
      </c>
      <c r="D6" s="1">
        <v>2055987.0565720624</v>
      </c>
      <c r="E6" s="1">
        <v>2034931.9534811936</v>
      </c>
      <c r="F6" s="1">
        <v>2066311.6828662469</v>
      </c>
      <c r="G6" s="1">
        <v>2086157.2684366214</v>
      </c>
      <c r="H6" s="1">
        <v>2138767.877625965</v>
      </c>
      <c r="I6" s="1">
        <v>2172017.0220806142</v>
      </c>
      <c r="J6" s="1">
        <v>2185782.6262534019</v>
      </c>
      <c r="K6" s="1">
        <v>2233675.6435885723</v>
      </c>
      <c r="L6" s="1">
        <v>2212186.8090364896</v>
      </c>
      <c r="M6" s="1">
        <v>2162393.1706265975</v>
      </c>
      <c r="N6" s="1">
        <v>2094023.7853824089</v>
      </c>
      <c r="O6" s="1">
        <v>2018903.3055872652</v>
      </c>
      <c r="P6" s="1">
        <v>1963578.0945897531</v>
      </c>
      <c r="Q6" s="1">
        <v>1960188.0566455259</v>
      </c>
      <c r="R6" s="1">
        <v>1996006.7184738074</v>
      </c>
      <c r="S6" s="1">
        <v>1977524.4890604545</v>
      </c>
      <c r="T6" s="1">
        <v>2016430.5833321086</v>
      </c>
      <c r="U6" s="1">
        <v>2091658.1501378743</v>
      </c>
      <c r="V6" s="1">
        <v>2127080.4163605524</v>
      </c>
      <c r="W6" s="1">
        <v>2177617.6283152523</v>
      </c>
      <c r="X6" s="1">
        <v>2173901.7471224358</v>
      </c>
      <c r="Y6" s="1">
        <v>2134219.6208109749</v>
      </c>
      <c r="Z6" s="1">
        <v>2085537.7702046458</v>
      </c>
      <c r="AA6" s="1">
        <v>2025815.098523021</v>
      </c>
      <c r="AB6" s="1">
        <v>1985169.8172051706</v>
      </c>
      <c r="AC6" s="1">
        <v>1981610.5596488416</v>
      </c>
      <c r="AD6" s="1">
        <v>1992322.8557054193</v>
      </c>
      <c r="AE6" s="1">
        <v>1986966.400748784</v>
      </c>
      <c r="AF6" s="1">
        <v>2025491.9447056612</v>
      </c>
      <c r="AG6" s="1">
        <v>2073501.6022492326</v>
      </c>
      <c r="AH6" s="1">
        <v>2081593.4193410233</v>
      </c>
      <c r="AI6" s="1">
        <v>2131344.9270175602</v>
      </c>
      <c r="AJ6" s="1">
        <v>2107524.3585995063</v>
      </c>
      <c r="AK6" s="1">
        <v>2054840.558115257</v>
      </c>
      <c r="AL6" s="1">
        <v>1990158.5475963473</v>
      </c>
      <c r="AM6" s="1">
        <v>1915208.8319586557</v>
      </c>
      <c r="AN6" s="1">
        <v>1873235.1152428109</v>
      </c>
      <c r="AO6" s="1">
        <v>1873439.6141401173</v>
      </c>
      <c r="AP6" s="1">
        <v>1921071.7781915299</v>
      </c>
      <c r="AQ6" s="1">
        <v>1946979.9416222121</v>
      </c>
      <c r="AR6" s="1">
        <v>2019531.1469888936</v>
      </c>
      <c r="AS6" s="1">
        <v>2078106.6703087804</v>
      </c>
      <c r="AT6" s="1">
        <v>2114362.3116277386</v>
      </c>
      <c r="AU6" s="1">
        <v>2169677.3052295353</v>
      </c>
      <c r="AV6" s="1">
        <v>2160391.2031077398</v>
      </c>
      <c r="AW6" s="1">
        <v>2136683.3386139404</v>
      </c>
      <c r="AX6" s="1">
        <v>2117069.8381851348</v>
      </c>
      <c r="AY6" s="1">
        <v>2115959.1639430705</v>
      </c>
      <c r="AZ6" s="1">
        <v>2196464.0489822505</v>
      </c>
      <c r="BA6" s="1">
        <v>2174501.9059558716</v>
      </c>
      <c r="BB6" s="1">
        <v>2376989.9131281236</v>
      </c>
      <c r="BC6" s="1">
        <v>2537610.4787767944</v>
      </c>
      <c r="BD6" s="1">
        <v>2602082.4289704841</v>
      </c>
      <c r="BE6" s="1">
        <v>2707219.9142471887</v>
      </c>
      <c r="BF6" s="1">
        <v>2850033.1708003674</v>
      </c>
      <c r="BG6" s="1">
        <v>3062125.3146466948</v>
      </c>
      <c r="BH6" s="1">
        <v>3289295.6847452475</v>
      </c>
      <c r="BI6" s="1">
        <v>3476893.6171097746</v>
      </c>
      <c r="BJ6" s="1">
        <v>3624925.7692813305</v>
      </c>
      <c r="BK6" s="1">
        <v>3666709.7494635871</v>
      </c>
      <c r="BL6" s="1">
        <v>3843515.9278300046</v>
      </c>
      <c r="BM6" s="1">
        <v>4028446.300887553</v>
      </c>
      <c r="BN6" s="1">
        <v>4065274.7084543006</v>
      </c>
      <c r="BO6" s="1">
        <v>4000985.5136420699</v>
      </c>
      <c r="BP6" s="1">
        <v>3934673.6725564748</v>
      </c>
      <c r="BQ6" s="1">
        <v>3857341.6822179183</v>
      </c>
      <c r="BR6" s="1">
        <v>3979231.8164797202</v>
      </c>
      <c r="BS6" s="1">
        <v>4223496.7355482392</v>
      </c>
      <c r="BT6" s="1">
        <v>4212184.9993435619</v>
      </c>
      <c r="BU6" s="1">
        <v>4100673.0719728693</v>
      </c>
      <c r="BV6" s="1">
        <v>4072660.5641450565</v>
      </c>
      <c r="BW6" s="1">
        <v>4110062.3415583987</v>
      </c>
      <c r="BX6" s="1">
        <v>4158335.2973048491</v>
      </c>
      <c r="BY6" s="1">
        <v>4176926.8835964524</v>
      </c>
      <c r="BZ6" s="1">
        <v>4144557.7631954988</v>
      </c>
      <c r="CA6" s="1">
        <v>4099486.7228794042</v>
      </c>
      <c r="CB6" s="1">
        <v>4038368.6578091071</v>
      </c>
      <c r="CC6" s="1">
        <v>4003507.0029183347</v>
      </c>
      <c r="CD6" s="1">
        <v>4164779.8338968446</v>
      </c>
      <c r="CE6" s="1">
        <v>4333534.6779620191</v>
      </c>
      <c r="CF6" s="1">
        <v>4349627.760656856</v>
      </c>
      <c r="CG6" s="1">
        <v>4258623.4937677085</v>
      </c>
      <c r="CH6" s="1">
        <v>4107413.0896252543</v>
      </c>
      <c r="CI6" s="1">
        <v>4181343.2878269926</v>
      </c>
      <c r="CJ6" s="1">
        <v>4200510.4415882304</v>
      </c>
      <c r="CK6" s="1">
        <v>4214448.043366259</v>
      </c>
      <c r="CL6" s="1">
        <v>4141178.1917959838</v>
      </c>
      <c r="CM6" s="1">
        <v>4147472.5909584677</v>
      </c>
      <c r="CN6" s="1">
        <v>4201206.2650154624</v>
      </c>
      <c r="CO6" s="1">
        <v>4226679.2594648786</v>
      </c>
      <c r="CP6" s="1">
        <v>4292641.317592158</v>
      </c>
      <c r="CQ6" s="1">
        <v>4579645.1058946177</v>
      </c>
      <c r="CR6" s="1">
        <v>4755096.4433163237</v>
      </c>
      <c r="CS6" s="1">
        <v>4683075.3879616857</v>
      </c>
      <c r="CT6" s="1">
        <v>4573623.3469911497</v>
      </c>
      <c r="CU6" s="1">
        <v>4639324.3176818211</v>
      </c>
      <c r="CV6" s="1">
        <v>4657726.2625081651</v>
      </c>
      <c r="CW6" s="1">
        <v>4587190.3588849343</v>
      </c>
      <c r="CX6" s="1">
        <v>4732904.1105560306</v>
      </c>
      <c r="CY6" s="1">
        <v>4833826.2624984309</v>
      </c>
      <c r="CZ6" s="1">
        <v>4796787.803866609</v>
      </c>
      <c r="DA6" s="1">
        <v>4911518.7756725019</v>
      </c>
      <c r="DB6" s="1">
        <v>4885190.570054559</v>
      </c>
      <c r="DC6" s="1">
        <v>5060050.4688392999</v>
      </c>
      <c r="DD6" s="1">
        <v>5192635.0036933869</v>
      </c>
      <c r="DE6" s="1">
        <v>5171089.3253236338</v>
      </c>
      <c r="DF6" s="1">
        <v>4977311.4567177575</v>
      </c>
      <c r="DG6" s="1">
        <v>4942952.9182524923</v>
      </c>
      <c r="DH6" s="1">
        <v>4811253.1846801229</v>
      </c>
      <c r="DI6" s="1">
        <v>4738148.656062739</v>
      </c>
      <c r="DJ6" s="1">
        <v>4807405.2253579944</v>
      </c>
      <c r="DK6" s="1">
        <v>4799645.9429677017</v>
      </c>
      <c r="DL6" s="1">
        <v>4836926.4599520108</v>
      </c>
      <c r="DM6" s="1">
        <v>4881952.0664128326</v>
      </c>
      <c r="DN6" s="1">
        <v>4801686.9200302623</v>
      </c>
      <c r="DO6" s="1">
        <v>4890844.0209845025</v>
      </c>
      <c r="DP6" s="1">
        <v>4969285.5310260328</v>
      </c>
      <c r="DQ6" s="1">
        <v>4871711.2827449339</v>
      </c>
      <c r="DR6" s="1">
        <v>4618698.5606310265</v>
      </c>
      <c r="DS6" s="1">
        <v>4620029.1046811547</v>
      </c>
      <c r="DT6" s="1">
        <v>4395161.9894129746</v>
      </c>
      <c r="DU6" s="1">
        <v>4371090.2141432613</v>
      </c>
      <c r="DV6" s="1">
        <v>4333855.4378900612</v>
      </c>
      <c r="DW6" s="1">
        <v>4352152.7112311283</v>
      </c>
      <c r="DX6" s="1">
        <v>4451285.3286059927</v>
      </c>
      <c r="DY6" s="1">
        <v>4596328.7882349193</v>
      </c>
      <c r="DZ6" s="1">
        <v>4518388.0694555733</v>
      </c>
      <c r="EA6" s="1">
        <v>4614459.5977672003</v>
      </c>
      <c r="EB6" s="1">
        <v>4640375.4877986228</v>
      </c>
      <c r="EC6" s="1">
        <v>4539309.9580158573</v>
      </c>
      <c r="ED6" s="1">
        <v>4431874.3627501</v>
      </c>
      <c r="EE6" s="1">
        <v>4278186.3426419906</v>
      </c>
      <c r="EF6" s="1">
        <v>4099271.1979592349</v>
      </c>
      <c r="EG6" s="1">
        <v>4001200.0712697832</v>
      </c>
      <c r="EH6" s="1">
        <v>3977231.2505339212</v>
      </c>
      <c r="EI6" s="1">
        <v>4002291.6279401989</v>
      </c>
      <c r="EJ6" s="1">
        <v>4183099.8821276091</v>
      </c>
      <c r="EK6" s="1">
        <v>4106214.7041926896</v>
      </c>
      <c r="EL6" s="1">
        <v>4121743.4453106839</v>
      </c>
      <c r="EM6" s="1">
        <v>4235565.5916910479</v>
      </c>
      <c r="EN6" s="1">
        <v>4271351.8797746971</v>
      </c>
      <c r="EO6" s="1">
        <v>4135436.9217951223</v>
      </c>
      <c r="EP6" s="1">
        <v>4045760.1804292621</v>
      </c>
      <c r="EQ6" s="1">
        <v>3837631.9597387002</v>
      </c>
      <c r="ER6" s="1">
        <v>3761093.2124757655</v>
      </c>
      <c r="ES6" s="1">
        <v>3679289.4374112408</v>
      </c>
      <c r="ET6" s="1">
        <v>3741929.7224273775</v>
      </c>
      <c r="EU6" s="1">
        <v>3765502.5183225488</v>
      </c>
      <c r="EV6" s="1">
        <v>3778602.587818841</v>
      </c>
      <c r="EW6" s="1">
        <v>3743664.8004482109</v>
      </c>
      <c r="EX6" s="1">
        <v>3721949.394706992</v>
      </c>
      <c r="EY6" s="1">
        <v>3810439.6366659738</v>
      </c>
      <c r="EZ6" s="1">
        <v>3757620.996324853</v>
      </c>
      <c r="FA6" s="1">
        <v>3800834.005622094</v>
      </c>
      <c r="FB6" s="1">
        <v>3592363.8743959558</v>
      </c>
      <c r="FC6" s="1">
        <v>3484529.3066125619</v>
      </c>
      <c r="FD6" s="1">
        <v>3358078.418420752</v>
      </c>
      <c r="FE6" s="1">
        <v>3266412.6166143743</v>
      </c>
      <c r="FF6" s="1">
        <v>3219373.7045379588</v>
      </c>
      <c r="FG6" s="1">
        <v>3255174.3010085383</v>
      </c>
      <c r="FH6" s="1">
        <v>3397403.6693531265</v>
      </c>
      <c r="FI6" s="1">
        <v>3509317.4534010757</v>
      </c>
      <c r="FJ6" s="1">
        <v>3506831.3645907789</v>
      </c>
      <c r="FK6" s="1">
        <v>3549423.7323283525</v>
      </c>
      <c r="FL6" s="1">
        <v>3520218.4114784524</v>
      </c>
      <c r="FM6" s="1">
        <v>3447889.5122853196</v>
      </c>
      <c r="FN6" s="1">
        <v>3351076.2529587159</v>
      </c>
      <c r="FO6" s="1">
        <v>3213216.3159300173</v>
      </c>
      <c r="FP6" s="1">
        <v>3097382.148261237</v>
      </c>
      <c r="FQ6" s="1">
        <v>3074488.233030492</v>
      </c>
      <c r="FR6" s="1">
        <v>3132081.0237892466</v>
      </c>
      <c r="FS6" s="1">
        <v>3209833.6431121072</v>
      </c>
      <c r="FT6" s="1">
        <v>3277554.2228128491</v>
      </c>
      <c r="FU6" s="1">
        <v>3324580.0784790106</v>
      </c>
      <c r="FV6" s="1">
        <v>3275452.681220632</v>
      </c>
      <c r="FW6" s="1">
        <v>3323625.3242562837</v>
      </c>
      <c r="FX6" s="1">
        <v>3289631.098735489</v>
      </c>
      <c r="FY6" s="1">
        <v>3217983.0265107518</v>
      </c>
      <c r="FZ6" s="1">
        <v>3148781.5373991895</v>
      </c>
      <c r="GA6" s="1">
        <v>3083140.8307129662</v>
      </c>
      <c r="GB6" s="1">
        <v>2991381.953605928</v>
      </c>
      <c r="GC6" s="1">
        <v>2957937.8784171888</v>
      </c>
      <c r="GD6" s="1">
        <v>2985616.3651353586</v>
      </c>
      <c r="GE6" s="1">
        <v>3017084.61819058</v>
      </c>
      <c r="GF6" s="1">
        <v>3160584.2055944577</v>
      </c>
      <c r="GG6" s="1">
        <v>3208540.8811610183</v>
      </c>
      <c r="GH6" s="1">
        <v>3169790.186318839</v>
      </c>
      <c r="GI6" s="1">
        <v>3219483.1144837942</v>
      </c>
      <c r="GJ6" s="1">
        <v>3316281.8262032918</v>
      </c>
      <c r="GK6" s="1">
        <v>3269288.8993370691</v>
      </c>
      <c r="GL6" s="1">
        <v>3189220.8326083031</v>
      </c>
      <c r="GM6" s="1">
        <v>3096471.8784998539</v>
      </c>
      <c r="GN6" s="1">
        <v>2961082.5766181019</v>
      </c>
      <c r="GO6" s="1">
        <v>3488492.8353388021</v>
      </c>
      <c r="GP6" s="1">
        <v>4432392.2585590212</v>
      </c>
      <c r="GQ6" s="1">
        <v>4172905.4621690251</v>
      </c>
      <c r="GR6" s="1">
        <v>4237179.6696051005</v>
      </c>
      <c r="GS6" s="1">
        <v>4172404.6601920589</v>
      </c>
      <c r="GT6" s="1">
        <v>4071338.7796740374</v>
      </c>
      <c r="GU6" s="1">
        <v>3861134.8853326119</v>
      </c>
      <c r="GV6" s="1">
        <v>3845053.3008586587</v>
      </c>
      <c r="GW6" s="1">
        <v>3988052.5399437929</v>
      </c>
      <c r="GX6" s="1">
        <v>4045642.1223415257</v>
      </c>
      <c r="GY6" s="1">
        <v>3909922.6778683872</v>
      </c>
      <c r="GZ6" s="1">
        <v>3912307.3870340199</v>
      </c>
      <c r="HA6" s="1" t="str">
        <f t="shared" si="0"/>
        <v/>
      </c>
      <c r="HB6" s="1" t="str">
        <f t="shared" si="0"/>
        <v/>
      </c>
      <c r="HC6" s="1" t="str">
        <f t="shared" si="0"/>
        <v/>
      </c>
      <c r="HD6" s="1" t="str">
        <f t="shared" si="0"/>
        <v/>
      </c>
      <c r="HE6" s="1" t="str">
        <f t="shared" si="0"/>
        <v/>
      </c>
      <c r="HF6" s="1" t="str">
        <f t="shared" si="0"/>
        <v/>
      </c>
      <c r="HG6" s="1" t="str">
        <f t="shared" si="0"/>
        <v/>
      </c>
      <c r="HH6" s="1" t="str">
        <f t="shared" si="0"/>
        <v/>
      </c>
      <c r="HI6" s="1" t="str">
        <f t="shared" si="0"/>
        <v/>
      </c>
      <c r="HJ6" s="1" t="str">
        <f t="shared" si="0"/>
        <v/>
      </c>
      <c r="HK6" s="1" t="str">
        <f t="shared" si="0"/>
        <v/>
      </c>
      <c r="HL6" s="1" t="str">
        <f t="shared" si="0"/>
        <v/>
      </c>
      <c r="HM6" s="1" t="str">
        <f t="shared" si="0"/>
        <v/>
      </c>
      <c r="HN6" s="1" t="str">
        <f t="shared" si="0"/>
        <v/>
      </c>
      <c r="HO6" s="1" t="str">
        <f t="shared" si="0"/>
        <v/>
      </c>
      <c r="HP6" s="1" t="str">
        <f t="shared" si="0"/>
        <v/>
      </c>
      <c r="HQ6" s="1" t="str">
        <f t="shared" si="0"/>
        <v/>
      </c>
      <c r="HR6" s="1" t="str">
        <f t="shared" si="0"/>
        <v/>
      </c>
      <c r="HS6" s="1" t="str">
        <f t="shared" si="0"/>
        <v/>
      </c>
      <c r="HT6" s="1" t="str">
        <f t="shared" si="0"/>
        <v/>
      </c>
      <c r="HU6" s="1" t="str">
        <f t="shared" si="0"/>
        <v/>
      </c>
      <c r="HV6" s="1" t="str">
        <f t="shared" si="0"/>
        <v/>
      </c>
      <c r="HW6" s="1" t="str">
        <f t="shared" si="0"/>
        <v/>
      </c>
      <c r="HX6" s="1" t="str">
        <f t="shared" si="0"/>
        <v/>
      </c>
      <c r="HY6" s="1" t="str">
        <f t="shared" si="0"/>
        <v/>
      </c>
      <c r="HZ6" s="1" t="str">
        <f t="shared" si="0"/>
        <v/>
      </c>
      <c r="IA6" s="1" t="str">
        <f t="shared" si="0"/>
        <v/>
      </c>
      <c r="IB6" s="1" t="str">
        <f t="shared" si="0"/>
        <v/>
      </c>
      <c r="IC6" s="1" t="str">
        <f t="shared" si="0"/>
        <v/>
      </c>
      <c r="ID6" s="1" t="str">
        <f t="shared" si="0"/>
        <v/>
      </c>
      <c r="IE6" s="1" t="str">
        <f t="shared" si="0"/>
        <v/>
      </c>
      <c r="IF6" s="1" t="str">
        <f t="shared" si="0"/>
        <v/>
      </c>
      <c r="IG6" s="1" t="str">
        <f t="shared" si="0"/>
        <v/>
      </c>
      <c r="IH6" s="1" t="str">
        <f t="shared" si="0"/>
        <v/>
      </c>
      <c r="II6" s="1" t="str">
        <f t="shared" si="0"/>
        <v/>
      </c>
      <c r="IJ6" s="1" t="str">
        <f t="shared" si="0"/>
        <v/>
      </c>
      <c r="IK6" s="1" t="str">
        <f t="shared" si="0"/>
        <v/>
      </c>
      <c r="IL6" s="1" t="str">
        <f t="shared" si="0"/>
        <v/>
      </c>
      <c r="IM6" s="1" t="str">
        <f t="shared" si="0"/>
        <v/>
      </c>
      <c r="IN6" s="1" t="str">
        <f t="shared" si="0"/>
        <v/>
      </c>
      <c r="IO6" s="1" t="str">
        <f t="shared" si="0"/>
        <v/>
      </c>
      <c r="IP6" s="1" t="str">
        <f t="shared" si="0"/>
        <v/>
      </c>
      <c r="IQ6" s="1" t="str">
        <f t="shared" si="0"/>
        <v/>
      </c>
      <c r="IR6" s="1" t="str">
        <f t="shared" si="0"/>
        <v/>
      </c>
      <c r="IS6" s="1" t="str">
        <f t="shared" si="0"/>
        <v/>
      </c>
      <c r="IT6" s="1" t="str">
        <f t="shared" si="0"/>
        <v/>
      </c>
      <c r="IU6" s="1" t="str">
        <f t="shared" si="0"/>
        <v/>
      </c>
      <c r="IV6" s="1" t="str">
        <f t="shared" si="0"/>
        <v/>
      </c>
      <c r="IW6" s="1" t="str">
        <f t="shared" si="0"/>
        <v/>
      </c>
      <c r="IX6" s="1" t="str">
        <f t="shared" si="0"/>
        <v/>
      </c>
      <c r="IY6" s="1" t="str">
        <f t="shared" si="0"/>
        <v/>
      </c>
      <c r="IZ6" s="1" t="str">
        <f t="shared" si="0"/>
        <v/>
      </c>
      <c r="JA6" s="1" t="str">
        <f t="shared" si="0"/>
        <v/>
      </c>
      <c r="JB6" s="1" t="str">
        <f t="shared" si="0"/>
        <v/>
      </c>
      <c r="JC6" s="1" t="str">
        <f t="shared" si="0"/>
        <v/>
      </c>
      <c r="JD6" s="1" t="str">
        <f t="shared" si="0"/>
        <v/>
      </c>
      <c r="JE6" s="1" t="str">
        <f t="shared" si="0"/>
        <v/>
      </c>
      <c r="JF6" s="1" t="str">
        <f t="shared" si="0"/>
        <v/>
      </c>
      <c r="JG6" s="1" t="str">
        <f t="shared" si="0"/>
        <v/>
      </c>
      <c r="JH6" s="1" t="str">
        <f t="shared" ref="GZ6:JH10" si="1">IF(JG6="","","")</f>
        <v/>
      </c>
      <c r="LY6" s="1"/>
    </row>
    <row r="7" spans="1:337" x14ac:dyDescent="0.25">
      <c r="A7" s="5">
        <v>5</v>
      </c>
      <c r="B7" s="1">
        <v>2139693.5526241446</v>
      </c>
      <c r="C7" s="1">
        <v>2078157.2131173422</v>
      </c>
      <c r="D7" s="1">
        <v>2041295.5483045077</v>
      </c>
      <c r="E7" s="1">
        <v>2058037.8159127301</v>
      </c>
      <c r="F7" s="1">
        <v>2082390.4248564602</v>
      </c>
      <c r="G7" s="1">
        <v>2140769.0781976776</v>
      </c>
      <c r="H7" s="1">
        <v>2184917.5245569497</v>
      </c>
      <c r="I7" s="1">
        <v>2188075.6470540296</v>
      </c>
      <c r="J7" s="1">
        <v>2257014.4960907446</v>
      </c>
      <c r="K7" s="1">
        <v>2241328.9541249978</v>
      </c>
      <c r="L7" s="1">
        <v>2180768.5507208407</v>
      </c>
      <c r="M7" s="1">
        <v>2125912.7886269782</v>
      </c>
      <c r="N7" s="1">
        <v>2028845.4759193156</v>
      </c>
      <c r="O7" s="1">
        <v>1978193.132336593</v>
      </c>
      <c r="P7" s="1">
        <v>1940139.4142517187</v>
      </c>
      <c r="Q7" s="1">
        <v>1984625.2008538796</v>
      </c>
      <c r="R7" s="1">
        <v>2003502.8956447972</v>
      </c>
      <c r="S7" s="1">
        <v>2016043.8655771383</v>
      </c>
      <c r="T7" s="1">
        <v>2056504.7544282973</v>
      </c>
      <c r="U7" s="1">
        <v>2098133.6505336561</v>
      </c>
      <c r="V7" s="1">
        <v>2190283.0554557242</v>
      </c>
      <c r="W7" s="1">
        <v>2178446.5690079983</v>
      </c>
      <c r="X7" s="1">
        <v>2139735.8687201082</v>
      </c>
      <c r="Y7" s="1">
        <v>2086868.1436369866</v>
      </c>
      <c r="Z7" s="1">
        <v>2021136.4063741229</v>
      </c>
      <c r="AA7" s="1">
        <v>1985590.9942548242</v>
      </c>
      <c r="AB7" s="1">
        <v>1971815.6984230746</v>
      </c>
      <c r="AC7" s="1">
        <v>2011771.2390142055</v>
      </c>
      <c r="AD7" s="1">
        <v>1994610.9476719382</v>
      </c>
      <c r="AE7" s="1">
        <v>2028127.874255796</v>
      </c>
      <c r="AF7" s="1">
        <v>2069708.2228301917</v>
      </c>
      <c r="AG7" s="1">
        <v>2082775.3473747503</v>
      </c>
      <c r="AH7" s="1">
        <v>2143333.8323341738</v>
      </c>
      <c r="AI7" s="1">
        <v>2130688.1407464063</v>
      </c>
      <c r="AJ7" s="1">
        <v>2073108.6385438512</v>
      </c>
      <c r="AK7" s="1">
        <v>2000336.8268840297</v>
      </c>
      <c r="AL7" s="1">
        <v>1920194.2866564691</v>
      </c>
      <c r="AM7" s="1">
        <v>1873777.5038484214</v>
      </c>
      <c r="AN7" s="1">
        <v>1859035.7674445291</v>
      </c>
      <c r="AO7" s="1">
        <v>1900669.8354530528</v>
      </c>
      <c r="AP7" s="1">
        <v>1921301.0383806431</v>
      </c>
      <c r="AQ7" s="1">
        <v>1988031.1329346609</v>
      </c>
      <c r="AR7" s="1">
        <v>2060945.2087152214</v>
      </c>
      <c r="AS7" s="1">
        <v>2086517.1782238702</v>
      </c>
      <c r="AT7" s="1">
        <v>2178898.3729018131</v>
      </c>
      <c r="AU7" s="1">
        <v>2168460.0863135718</v>
      </c>
      <c r="AV7" s="1">
        <v>2131860.5274196537</v>
      </c>
      <c r="AW7" s="1">
        <v>2091443.0780338163</v>
      </c>
      <c r="AX7" s="1">
        <v>2051628.3894574265</v>
      </c>
      <c r="AY7" s="1">
        <v>2084157.1567407046</v>
      </c>
      <c r="AZ7" s="1">
        <v>2195950.519717087</v>
      </c>
      <c r="BA7" s="1">
        <v>2213921.2113250373</v>
      </c>
      <c r="BB7" s="1">
        <v>2410917.5095863435</v>
      </c>
      <c r="BC7" s="1">
        <v>2622518.3720385944</v>
      </c>
      <c r="BD7" s="1">
        <v>2692358.1389337596</v>
      </c>
      <c r="BE7" s="1">
        <v>2782521.2296914505</v>
      </c>
      <c r="BF7" s="1">
        <v>2983739.4300879873</v>
      </c>
      <c r="BG7" s="1">
        <v>3131930.282605642</v>
      </c>
      <c r="BH7" s="1">
        <v>3341911.7861952437</v>
      </c>
      <c r="BI7" s="1">
        <v>3557003.708635156</v>
      </c>
      <c r="BJ7" s="1">
        <v>3689515.5273146089</v>
      </c>
      <c r="BK7" s="1">
        <v>3765719.2279378427</v>
      </c>
      <c r="BL7" s="1">
        <v>3983543.6586933155</v>
      </c>
      <c r="BM7" s="1">
        <v>4228293.5797980856</v>
      </c>
      <c r="BN7" s="1">
        <v>4194792.8637048211</v>
      </c>
      <c r="BO7" s="1">
        <v>4168960.7914282959</v>
      </c>
      <c r="BP7" s="1">
        <v>4069145.4010108579</v>
      </c>
      <c r="BQ7" s="1">
        <v>3913140.0880856439</v>
      </c>
      <c r="BR7" s="1">
        <v>4149960.2111921846</v>
      </c>
      <c r="BS7" s="1">
        <v>4305607.272697717</v>
      </c>
      <c r="BT7" s="1">
        <v>4233875.7997591319</v>
      </c>
      <c r="BU7" s="1">
        <v>4063935.2303611659</v>
      </c>
      <c r="BV7" s="1">
        <v>3982009.5589842792</v>
      </c>
      <c r="BW7" s="1">
        <v>4103182.9673408121</v>
      </c>
      <c r="BX7" s="1">
        <v>4175993.2414886961</v>
      </c>
      <c r="BY7" s="1">
        <v>4237560.2956605814</v>
      </c>
      <c r="BZ7" s="1">
        <v>4190471.4373913896</v>
      </c>
      <c r="CA7" s="1">
        <v>4168526.4378077472</v>
      </c>
      <c r="CB7" s="1">
        <v>4083676.4229420535</v>
      </c>
      <c r="CC7" s="1">
        <v>4038687.6521175122</v>
      </c>
      <c r="CD7" s="1">
        <v>4269097.2877618503</v>
      </c>
      <c r="CE7" s="1">
        <v>4370047.2515571602</v>
      </c>
      <c r="CF7" s="1">
        <v>4360363.919610709</v>
      </c>
      <c r="CG7" s="1">
        <v>4232147.5370589821</v>
      </c>
      <c r="CH7" s="1">
        <v>4007601.9779007821</v>
      </c>
      <c r="CI7" s="1">
        <v>4145068.5396852181</v>
      </c>
      <c r="CJ7" s="1">
        <v>4170756.4655934134</v>
      </c>
      <c r="CK7" s="1">
        <v>4248420.9109255318</v>
      </c>
      <c r="CL7" s="1">
        <v>4167934.2285184674</v>
      </c>
      <c r="CM7" s="1">
        <v>4210266.1949288882</v>
      </c>
      <c r="CN7" s="1">
        <v>4243025.6994100707</v>
      </c>
      <c r="CO7" s="1">
        <v>4257212.20587001</v>
      </c>
      <c r="CP7" s="1">
        <v>4399313.9281329783</v>
      </c>
      <c r="CQ7" s="1">
        <v>4643741.899364165</v>
      </c>
      <c r="CR7" s="1">
        <v>4790080.3749057613</v>
      </c>
      <c r="CS7" s="1">
        <v>4645002.8452812843</v>
      </c>
      <c r="CT7" s="1">
        <v>4505782.3596840482</v>
      </c>
      <c r="CU7" s="1">
        <v>4613590.1352692265</v>
      </c>
      <c r="CV7" s="1">
        <v>4638498.9807250537</v>
      </c>
      <c r="CW7" s="1">
        <v>4660779.6094408352</v>
      </c>
      <c r="CX7" s="1">
        <v>4815094.4850759562</v>
      </c>
      <c r="CY7" s="1">
        <v>4942527.1797191091</v>
      </c>
      <c r="CZ7" s="1">
        <v>4848865.4946816768</v>
      </c>
      <c r="DA7" s="1">
        <v>4928246.6385639478</v>
      </c>
      <c r="DB7" s="1">
        <v>5002953.3128518723</v>
      </c>
      <c r="DC7" s="1">
        <v>5133361.5795891238</v>
      </c>
      <c r="DD7" s="1">
        <v>5218862.638588082</v>
      </c>
      <c r="DE7" s="1">
        <v>5161796.5641297307</v>
      </c>
      <c r="DF7" s="1">
        <v>4887872.5686035287</v>
      </c>
      <c r="DG7" s="1">
        <v>4844150.7573180404</v>
      </c>
      <c r="DH7" s="1">
        <v>4750912.0834512077</v>
      </c>
      <c r="DI7" s="1">
        <v>4771808.170796277</v>
      </c>
      <c r="DJ7" s="1">
        <v>4851490.2777434662</v>
      </c>
      <c r="DK7" s="1">
        <v>4879461.9301093295</v>
      </c>
      <c r="DL7" s="1">
        <v>4871954.4823278375</v>
      </c>
      <c r="DM7" s="1">
        <v>4841693.8785978518</v>
      </c>
      <c r="DN7" s="1">
        <v>4913520.8613506071</v>
      </c>
      <c r="DO7" s="1">
        <v>4925573.4153433638</v>
      </c>
      <c r="DP7" s="1">
        <v>4964446.9172073696</v>
      </c>
      <c r="DQ7" s="1">
        <v>4789368.7600967837</v>
      </c>
      <c r="DR7" s="1">
        <v>4479255.8063157368</v>
      </c>
      <c r="DS7" s="1">
        <v>4489826.4465704821</v>
      </c>
      <c r="DT7" s="1">
        <v>4309121.5341744404</v>
      </c>
      <c r="DU7" s="1">
        <v>4368748.7309381701</v>
      </c>
      <c r="DV7" s="1">
        <v>4335912.7045378741</v>
      </c>
      <c r="DW7" s="1">
        <v>4406442.5045608804</v>
      </c>
      <c r="DX7" s="1">
        <v>4452886.4421340991</v>
      </c>
      <c r="DY7" s="1">
        <v>4538912.6059481092</v>
      </c>
      <c r="DZ7" s="1">
        <v>4609104.2325685527</v>
      </c>
      <c r="EA7" s="1">
        <v>4633296.1724379715</v>
      </c>
      <c r="EB7" s="1">
        <v>4617653.881867256</v>
      </c>
      <c r="EC7" s="1">
        <v>4440609.9000894427</v>
      </c>
      <c r="ED7" s="1">
        <v>4319712.2566276286</v>
      </c>
      <c r="EE7" s="1">
        <v>4140102.1330709034</v>
      </c>
      <c r="EF7" s="1">
        <v>4031191.1176426895</v>
      </c>
      <c r="EG7" s="1">
        <v>3999926.4184891852</v>
      </c>
      <c r="EH7" s="1">
        <v>3977560.5138860564</v>
      </c>
      <c r="EI7" s="1">
        <v>4049871.0840859902</v>
      </c>
      <c r="EJ7" s="1">
        <v>4200980.4956142176</v>
      </c>
      <c r="EK7" s="1">
        <v>4076834.6546055055</v>
      </c>
      <c r="EL7" s="1">
        <v>4216150.4250382651</v>
      </c>
      <c r="EM7" s="1">
        <v>4245983.7078060396</v>
      </c>
      <c r="EN7" s="1">
        <v>4248005.8401571941</v>
      </c>
      <c r="EO7" s="1">
        <v>4042175.0248359744</v>
      </c>
      <c r="EP7" s="1">
        <v>3929808.3460867712</v>
      </c>
      <c r="EQ7" s="1">
        <v>3730589.5380456573</v>
      </c>
      <c r="ER7" s="1">
        <v>3689188.5434620613</v>
      </c>
      <c r="ES7" s="1">
        <v>3690165.3534014095</v>
      </c>
      <c r="ET7" s="1">
        <v>3762712.8599332352</v>
      </c>
      <c r="EU7" s="1">
        <v>3846823.0333577632</v>
      </c>
      <c r="EV7" s="1">
        <v>3760705.2240325185</v>
      </c>
      <c r="EW7" s="1">
        <v>3706308.0119960327</v>
      </c>
      <c r="EX7" s="1">
        <v>3801008.3997493363</v>
      </c>
      <c r="EY7" s="1">
        <v>3812056.9543918371</v>
      </c>
      <c r="EZ7" s="1">
        <v>3712891.3593225256</v>
      </c>
      <c r="FA7" s="1">
        <v>3707096.7085676882</v>
      </c>
      <c r="FB7" s="1">
        <v>3477936.8730010092</v>
      </c>
      <c r="FC7" s="1">
        <v>3365947.8957750965</v>
      </c>
      <c r="FD7" s="1">
        <v>3277224.0034112325</v>
      </c>
      <c r="FE7" s="1">
        <v>3270471.8102726103</v>
      </c>
      <c r="FF7" s="1">
        <v>3225299.9017707147</v>
      </c>
      <c r="FG7" s="1">
        <v>3300877.525237089</v>
      </c>
      <c r="FH7" s="1">
        <v>3410253.1074991245</v>
      </c>
      <c r="FI7" s="1">
        <v>3456710.5639943136</v>
      </c>
      <c r="FJ7" s="1">
        <v>3596534.7112419377</v>
      </c>
      <c r="FK7" s="1">
        <v>3554463.5636328729</v>
      </c>
      <c r="FL7" s="1">
        <v>3489438.897042681</v>
      </c>
      <c r="FM7" s="1">
        <v>3355714.2078463752</v>
      </c>
      <c r="FN7" s="1">
        <v>3237924.0835824581</v>
      </c>
      <c r="FO7" s="1">
        <v>3112511.8353840187</v>
      </c>
      <c r="FP7" s="1">
        <v>3049879.9815716883</v>
      </c>
      <c r="FQ7" s="1">
        <v>3109743.6194114452</v>
      </c>
      <c r="FR7" s="1">
        <v>3160549.6788565009</v>
      </c>
      <c r="FS7" s="1">
        <v>3283213.9671295066</v>
      </c>
      <c r="FT7" s="1">
        <v>3295835.5784769794</v>
      </c>
      <c r="FU7" s="1">
        <v>3287339.4105499778</v>
      </c>
      <c r="FV7" s="1">
        <v>3361896.2495534392</v>
      </c>
      <c r="FW7" s="1">
        <v>3323146.3934752634</v>
      </c>
      <c r="FX7" s="1">
        <v>3256767.3983912249</v>
      </c>
      <c r="FY7" s="1">
        <v>3128688.5728675947</v>
      </c>
      <c r="FZ7" s="1">
        <v>3060029.334111752</v>
      </c>
      <c r="GA7" s="1">
        <v>2994792.7882217183</v>
      </c>
      <c r="GB7" s="1">
        <v>2953748.3755937959</v>
      </c>
      <c r="GC7" s="1">
        <v>2991262.7364755403</v>
      </c>
      <c r="GD7" s="1">
        <v>3012121.2869371409</v>
      </c>
      <c r="GE7" s="1">
        <v>3076171.7106111124</v>
      </c>
      <c r="GF7" s="1">
        <v>3181026.8917033966</v>
      </c>
      <c r="GG7" s="1">
        <v>3181471.6672575064</v>
      </c>
      <c r="GH7" s="1">
        <v>3261031.6415464524</v>
      </c>
      <c r="GI7" s="1">
        <v>3231513.1742946501</v>
      </c>
      <c r="GJ7" s="1">
        <v>3291657.6258072266</v>
      </c>
      <c r="GK7" s="1">
        <v>3195583.0266387984</v>
      </c>
      <c r="GL7" s="1">
        <v>3111015.9757343545</v>
      </c>
      <c r="GM7" s="1">
        <v>3027345.4632264324</v>
      </c>
      <c r="GN7" s="1">
        <v>2940493.8004488926</v>
      </c>
      <c r="GO7" s="1">
        <v>3546448.6128098308</v>
      </c>
      <c r="GP7" s="1">
        <v>4582474.436857583</v>
      </c>
      <c r="GQ7" s="1">
        <v>4316981.8254821673</v>
      </c>
      <c r="GR7" s="1">
        <v>4342284.8131920537</v>
      </c>
      <c r="GS7" s="1">
        <v>4174649.7721616402</v>
      </c>
      <c r="GT7" s="1">
        <v>4173791.9651026828</v>
      </c>
      <c r="GU7" s="1">
        <v>3879293.5368271517</v>
      </c>
      <c r="GV7" s="1">
        <v>3884361.349764959</v>
      </c>
      <c r="GW7" s="1">
        <v>3957520.1303726854</v>
      </c>
      <c r="GX7" s="1">
        <v>4016340.7081334218</v>
      </c>
      <c r="GY7" s="1">
        <v>3849581.1578051168</v>
      </c>
      <c r="GZ7" s="1">
        <v>3878136.8540273001</v>
      </c>
      <c r="HA7" s="1" t="str">
        <f t="shared" si="1"/>
        <v/>
      </c>
      <c r="HB7" s="1" t="str">
        <f t="shared" si="1"/>
        <v/>
      </c>
      <c r="HC7" s="1" t="str">
        <f t="shared" si="1"/>
        <v/>
      </c>
      <c r="HD7" s="1" t="str">
        <f t="shared" si="1"/>
        <v/>
      </c>
      <c r="HE7" s="1" t="str">
        <f t="shared" si="1"/>
        <v/>
      </c>
      <c r="HF7" s="1" t="str">
        <f t="shared" si="1"/>
        <v/>
      </c>
      <c r="HG7" s="1" t="str">
        <f t="shared" si="1"/>
        <v/>
      </c>
      <c r="HH7" s="1" t="str">
        <f t="shared" si="1"/>
        <v/>
      </c>
      <c r="HI7" s="1" t="str">
        <f t="shared" si="1"/>
        <v/>
      </c>
      <c r="HJ7" s="1" t="str">
        <f t="shared" si="1"/>
        <v/>
      </c>
      <c r="HK7" s="1" t="str">
        <f t="shared" si="1"/>
        <v/>
      </c>
      <c r="HL7" s="1" t="str">
        <f t="shared" si="1"/>
        <v/>
      </c>
      <c r="HM7" s="1" t="str">
        <f t="shared" si="1"/>
        <v/>
      </c>
      <c r="HN7" s="1" t="str">
        <f t="shared" si="1"/>
        <v/>
      </c>
      <c r="HO7" s="1" t="str">
        <f t="shared" si="1"/>
        <v/>
      </c>
      <c r="HP7" s="1" t="str">
        <f t="shared" si="1"/>
        <v/>
      </c>
      <c r="HQ7" s="1" t="str">
        <f t="shared" si="1"/>
        <v/>
      </c>
      <c r="HR7" s="1" t="str">
        <f t="shared" si="1"/>
        <v/>
      </c>
      <c r="HS7" s="1" t="str">
        <f t="shared" si="1"/>
        <v/>
      </c>
      <c r="HT7" s="1" t="str">
        <f t="shared" si="1"/>
        <v/>
      </c>
      <c r="HU7" s="1" t="str">
        <f t="shared" si="1"/>
        <v/>
      </c>
      <c r="HV7" s="1" t="str">
        <f t="shared" si="1"/>
        <v/>
      </c>
      <c r="HW7" s="1" t="str">
        <f t="shared" si="1"/>
        <v/>
      </c>
      <c r="HX7" s="1" t="str">
        <f t="shared" si="1"/>
        <v/>
      </c>
      <c r="HY7" s="1" t="str">
        <f t="shared" si="1"/>
        <v/>
      </c>
      <c r="HZ7" s="1" t="str">
        <f t="shared" si="1"/>
        <v/>
      </c>
      <c r="IA7" s="1" t="str">
        <f t="shared" si="1"/>
        <v/>
      </c>
      <c r="IB7" s="1" t="str">
        <f t="shared" si="1"/>
        <v/>
      </c>
      <c r="IC7" s="1" t="str">
        <f t="shared" si="1"/>
        <v/>
      </c>
      <c r="ID7" s="1" t="str">
        <f t="shared" si="1"/>
        <v/>
      </c>
      <c r="IE7" s="1" t="str">
        <f t="shared" si="1"/>
        <v/>
      </c>
      <c r="IF7" s="1" t="str">
        <f t="shared" si="1"/>
        <v/>
      </c>
      <c r="IG7" s="1" t="str">
        <f t="shared" si="1"/>
        <v/>
      </c>
      <c r="IH7" s="1" t="str">
        <f t="shared" si="1"/>
        <v/>
      </c>
      <c r="II7" s="1" t="str">
        <f t="shared" si="1"/>
        <v/>
      </c>
      <c r="IJ7" s="1" t="str">
        <f t="shared" si="1"/>
        <v/>
      </c>
      <c r="IK7" s="1" t="str">
        <f t="shared" si="1"/>
        <v/>
      </c>
      <c r="IL7" s="1" t="str">
        <f t="shared" si="1"/>
        <v/>
      </c>
      <c r="IM7" s="1" t="str">
        <f t="shared" si="1"/>
        <v/>
      </c>
      <c r="IN7" s="1" t="str">
        <f t="shared" si="1"/>
        <v/>
      </c>
      <c r="IO7" s="1" t="str">
        <f t="shared" si="1"/>
        <v/>
      </c>
      <c r="IP7" s="1" t="str">
        <f t="shared" si="1"/>
        <v/>
      </c>
      <c r="IQ7" s="1" t="str">
        <f t="shared" si="1"/>
        <v/>
      </c>
      <c r="IR7" s="1" t="str">
        <f t="shared" si="1"/>
        <v/>
      </c>
      <c r="IS7" s="1" t="str">
        <f t="shared" si="1"/>
        <v/>
      </c>
      <c r="IT7" s="1" t="str">
        <f t="shared" si="1"/>
        <v/>
      </c>
      <c r="IU7" s="1" t="str">
        <f t="shared" si="1"/>
        <v/>
      </c>
      <c r="IV7" s="1" t="str">
        <f t="shared" si="1"/>
        <v/>
      </c>
      <c r="IW7" s="1" t="str">
        <f t="shared" si="1"/>
        <v/>
      </c>
      <c r="IX7" s="1" t="str">
        <f t="shared" si="1"/>
        <v/>
      </c>
      <c r="IY7" s="1" t="str">
        <f t="shared" si="1"/>
        <v/>
      </c>
      <c r="IZ7" s="1" t="str">
        <f t="shared" si="1"/>
        <v/>
      </c>
      <c r="JA7" s="1" t="str">
        <f t="shared" si="1"/>
        <v/>
      </c>
      <c r="JB7" s="1" t="str">
        <f t="shared" si="1"/>
        <v/>
      </c>
      <c r="JC7" s="1" t="str">
        <f t="shared" si="1"/>
        <v/>
      </c>
      <c r="JD7" s="1" t="str">
        <f t="shared" si="1"/>
        <v/>
      </c>
      <c r="JE7" s="1" t="str">
        <f t="shared" si="1"/>
        <v/>
      </c>
      <c r="JF7" s="1" t="str">
        <f t="shared" si="1"/>
        <v/>
      </c>
      <c r="JG7" s="1" t="str">
        <f t="shared" si="1"/>
        <v/>
      </c>
      <c r="JH7" s="1" t="str">
        <f t="shared" si="1"/>
        <v/>
      </c>
      <c r="LY7" s="1"/>
    </row>
    <row r="8" spans="1:337" x14ac:dyDescent="0.25">
      <c r="A8" s="5">
        <v>6</v>
      </c>
      <c r="B8" s="1">
        <v>2099099.8108392772</v>
      </c>
      <c r="C8" s="1">
        <v>2073145.4481991818</v>
      </c>
      <c r="D8" s="1">
        <v>2065030.9515739896</v>
      </c>
      <c r="E8" s="1">
        <v>2074003.1092992437</v>
      </c>
      <c r="F8" s="1">
        <v>2139511.000798393</v>
      </c>
      <c r="G8" s="1">
        <v>2187553.4129827479</v>
      </c>
      <c r="H8" s="1">
        <v>2211471.5774245439</v>
      </c>
      <c r="I8" s="1">
        <v>2258825.3057861603</v>
      </c>
      <c r="J8" s="1">
        <v>2261756.9034001483</v>
      </c>
      <c r="K8" s="1">
        <v>2198375.7129662326</v>
      </c>
      <c r="L8" s="1">
        <v>2145569.088458336</v>
      </c>
      <c r="M8" s="1">
        <v>2059792.421305889</v>
      </c>
      <c r="N8" s="1">
        <v>1982656.7118015443</v>
      </c>
      <c r="O8" s="1">
        <v>1947575.0234162931</v>
      </c>
      <c r="P8" s="1">
        <v>1963004.5106804133</v>
      </c>
      <c r="Q8" s="1">
        <v>1993219.4810648316</v>
      </c>
      <c r="R8" s="1">
        <v>2047275.0105445827</v>
      </c>
      <c r="S8" s="1">
        <v>2059014.8867602572</v>
      </c>
      <c r="T8" s="1">
        <v>2060625.493818868</v>
      </c>
      <c r="U8" s="1">
        <v>2161281.6753321867</v>
      </c>
      <c r="V8" s="1">
        <v>2185503.5961477757</v>
      </c>
      <c r="W8" s="1">
        <v>2144237.5606370266</v>
      </c>
      <c r="X8" s="1">
        <v>2092346.5863371878</v>
      </c>
      <c r="Y8" s="1">
        <v>2022257.6597592086</v>
      </c>
      <c r="Z8" s="1">
        <v>1981593.1164125809</v>
      </c>
      <c r="AA8" s="1">
        <v>1971840.1798376197</v>
      </c>
      <c r="AB8" s="1">
        <v>2001804.8903765546</v>
      </c>
      <c r="AC8" s="1">
        <v>2017344.9645597276</v>
      </c>
      <c r="AD8" s="1">
        <v>2036134.2676217454</v>
      </c>
      <c r="AE8" s="1">
        <v>2070024.31456367</v>
      </c>
      <c r="AF8" s="1">
        <v>2077319.5248703985</v>
      </c>
      <c r="AG8" s="1">
        <v>2146382.055031619</v>
      </c>
      <c r="AH8" s="1">
        <v>2142125.3364926525</v>
      </c>
      <c r="AI8" s="1">
        <v>2097415.7983755185</v>
      </c>
      <c r="AJ8" s="1">
        <v>2019860.4903329681</v>
      </c>
      <c r="AK8" s="1">
        <v>1930849.2954224732</v>
      </c>
      <c r="AL8" s="1">
        <v>1877455.5709556453</v>
      </c>
      <c r="AM8" s="1">
        <v>1858497.9667334389</v>
      </c>
      <c r="AN8" s="1">
        <v>1885028.8256402495</v>
      </c>
      <c r="AO8" s="1">
        <v>1896466.7392074005</v>
      </c>
      <c r="AP8" s="1">
        <v>1958502.0021084282</v>
      </c>
      <c r="AQ8" s="1">
        <v>2029502.9898040579</v>
      </c>
      <c r="AR8" s="1">
        <v>2067785.7711606876</v>
      </c>
      <c r="AS8" s="1">
        <v>2150670.9737957576</v>
      </c>
      <c r="AT8" s="1">
        <v>2175569.5723810433</v>
      </c>
      <c r="AU8" s="1">
        <v>2141447.0973844538</v>
      </c>
      <c r="AV8" s="1">
        <v>2086396.859073943</v>
      </c>
      <c r="AW8" s="1">
        <v>2025652.3339999849</v>
      </c>
      <c r="AX8" s="1">
        <v>2020460.4320715996</v>
      </c>
      <c r="AY8" s="1">
        <v>2076040.8358885178</v>
      </c>
      <c r="AZ8" s="1">
        <v>2240634.4520509872</v>
      </c>
      <c r="BA8" s="1">
        <v>2215002.6274051936</v>
      </c>
      <c r="BB8" s="1">
        <v>2484832.9889893662</v>
      </c>
      <c r="BC8" s="1">
        <v>2712898.8278473564</v>
      </c>
      <c r="BD8" s="1">
        <v>2752691.8156294692</v>
      </c>
      <c r="BE8" s="1">
        <v>2891386.6068188213</v>
      </c>
      <c r="BF8" s="1">
        <v>3060126.4253172344</v>
      </c>
      <c r="BG8" s="1">
        <v>3178904.0405085003</v>
      </c>
      <c r="BH8" s="1">
        <v>3386510.9157360746</v>
      </c>
      <c r="BI8" s="1">
        <v>3617996.7186957458</v>
      </c>
      <c r="BJ8" s="1">
        <v>3794131.3163856184</v>
      </c>
      <c r="BK8" s="1">
        <v>3886702.7360325037</v>
      </c>
      <c r="BL8" s="1">
        <v>4174609.1196887363</v>
      </c>
      <c r="BM8" s="1">
        <v>4388717.3700791225</v>
      </c>
      <c r="BN8" s="1">
        <v>4365626.9720233772</v>
      </c>
      <c r="BO8" s="1">
        <v>4331513.785318112</v>
      </c>
      <c r="BP8" s="1">
        <v>4164152.6884414749</v>
      </c>
      <c r="BQ8" s="1">
        <v>4050990.5802357392</v>
      </c>
      <c r="BR8" s="1">
        <v>4203019.1491273539</v>
      </c>
      <c r="BS8" s="1">
        <v>4333007.3879647302</v>
      </c>
      <c r="BT8" s="1">
        <v>4222445.7660887213</v>
      </c>
      <c r="BU8" s="1">
        <v>4005199.4136545314</v>
      </c>
      <c r="BV8" s="1">
        <v>3934826.1514738067</v>
      </c>
      <c r="BW8" s="1">
        <v>4113703.6186841098</v>
      </c>
      <c r="BX8" s="1">
        <v>4237846.4302420896</v>
      </c>
      <c r="BY8" s="1">
        <v>4287713.2925501093</v>
      </c>
      <c r="BZ8" s="1">
        <v>4284634.8142680861</v>
      </c>
      <c r="CA8" s="1">
        <v>4229920.5764605599</v>
      </c>
      <c r="CB8" s="1">
        <v>4131779.3139747055</v>
      </c>
      <c r="CC8" s="1">
        <v>4122931.5631419499</v>
      </c>
      <c r="CD8" s="1">
        <v>4311674.2173838234</v>
      </c>
      <c r="CE8" s="1">
        <v>4366084.7150112772</v>
      </c>
      <c r="CF8" s="1">
        <v>4336227.2613764508</v>
      </c>
      <c r="CG8" s="1">
        <v>4166466.042303524</v>
      </c>
      <c r="CH8" s="1">
        <v>3942776.7972172173</v>
      </c>
      <c r="CI8" s="1">
        <v>4121951.1108742785</v>
      </c>
      <c r="CJ8" s="1">
        <v>4235644.9659180501</v>
      </c>
      <c r="CK8" s="1">
        <v>4287394.4534425</v>
      </c>
      <c r="CL8" s="1">
        <v>4233697.3945191605</v>
      </c>
      <c r="CM8" s="1">
        <v>4253359.7870434895</v>
      </c>
      <c r="CN8" s="1">
        <v>4266199.5993149392</v>
      </c>
      <c r="CO8" s="1">
        <v>4338661.9917776231</v>
      </c>
      <c r="CP8" s="1">
        <v>4456510.6703300998</v>
      </c>
      <c r="CQ8" s="1">
        <v>4669751.8818655144</v>
      </c>
      <c r="CR8" s="1">
        <v>4769847.5668258555</v>
      </c>
      <c r="CS8" s="1">
        <v>4592339.0694808941</v>
      </c>
      <c r="CT8" s="1">
        <v>4457258.1339286547</v>
      </c>
      <c r="CU8" s="1">
        <v>4592559.8894874379</v>
      </c>
      <c r="CV8" s="1">
        <v>4704722.1774866749</v>
      </c>
      <c r="CW8" s="1">
        <v>4751593.4217161722</v>
      </c>
      <c r="CX8" s="1">
        <v>4927624.4998487066</v>
      </c>
      <c r="CY8" s="1">
        <v>5017103.2427730225</v>
      </c>
      <c r="CZ8" s="1">
        <v>4862843.9964280669</v>
      </c>
      <c r="DA8" s="1">
        <v>5090465.3276450643</v>
      </c>
      <c r="DB8" s="1">
        <v>5091141.259854475</v>
      </c>
      <c r="DC8" s="1">
        <v>5153760.5272465525</v>
      </c>
      <c r="DD8" s="1">
        <v>5209787.9241420962</v>
      </c>
      <c r="DE8" s="1">
        <v>5104320.0226857588</v>
      </c>
      <c r="DF8" s="1">
        <v>4791556.8843254345</v>
      </c>
      <c r="DG8" s="1">
        <v>4788427.2941474561</v>
      </c>
      <c r="DH8" s="1">
        <v>4765507.792583324</v>
      </c>
      <c r="DI8" s="1">
        <v>4822628.9144010507</v>
      </c>
      <c r="DJ8" s="1">
        <v>4921807.5976237785</v>
      </c>
      <c r="DK8" s="1">
        <v>4922687.8455655109</v>
      </c>
      <c r="DL8" s="1">
        <v>4851888.8136759158</v>
      </c>
      <c r="DM8" s="1">
        <v>4933849.3823063765</v>
      </c>
      <c r="DN8" s="1">
        <v>4932394.737693348</v>
      </c>
      <c r="DO8" s="1">
        <v>4914465.1926728701</v>
      </c>
      <c r="DP8" s="1">
        <v>4907242.3506478928</v>
      </c>
      <c r="DQ8" s="1">
        <v>4656725.8621270973</v>
      </c>
      <c r="DR8" s="1">
        <v>4356113.6656651534</v>
      </c>
      <c r="DS8" s="1">
        <v>4407020.3224339448</v>
      </c>
      <c r="DT8" s="1">
        <v>4313542.9864791334</v>
      </c>
      <c r="DU8" s="1">
        <v>4385169.1025489885</v>
      </c>
      <c r="DV8" s="1">
        <v>4384904.6884553488</v>
      </c>
      <c r="DW8" s="1">
        <v>4414868.2457419503</v>
      </c>
      <c r="DX8" s="1">
        <v>4384756.4892300162</v>
      </c>
      <c r="DY8" s="1">
        <v>4665110.3120445628</v>
      </c>
      <c r="DZ8" s="1">
        <v>4626868.4609899018</v>
      </c>
      <c r="EA8" s="1">
        <v>4614743.6840304248</v>
      </c>
      <c r="EB8" s="1">
        <v>4531110.5172959967</v>
      </c>
      <c r="EC8" s="1">
        <v>4318954.308598727</v>
      </c>
      <c r="ED8" s="1">
        <v>4202860.1795738144</v>
      </c>
      <c r="EE8" s="1">
        <v>4081126.4458601112</v>
      </c>
      <c r="EF8" s="1">
        <v>4023231.5138204433</v>
      </c>
      <c r="EG8" s="1">
        <v>3994038.5237812093</v>
      </c>
      <c r="EH8" s="1">
        <v>4028838.5567377759</v>
      </c>
      <c r="EI8" s="1">
        <v>4051415.651172901</v>
      </c>
      <c r="EJ8" s="1">
        <v>4146827.4794438081</v>
      </c>
      <c r="EK8" s="1">
        <v>4127819.8512805318</v>
      </c>
      <c r="EL8" s="1">
        <v>4207980.8578769891</v>
      </c>
      <c r="EM8" s="1">
        <v>4213516.018063846</v>
      </c>
      <c r="EN8" s="1">
        <v>4155945.3682959657</v>
      </c>
      <c r="EO8" s="1">
        <v>3916962.6347314711</v>
      </c>
      <c r="EP8" s="1">
        <v>3827213.205844928</v>
      </c>
      <c r="EQ8" s="1">
        <v>3661912.5464658421</v>
      </c>
      <c r="ER8" s="1">
        <v>3700025.5207796833</v>
      </c>
      <c r="ES8" s="1">
        <v>3709760.2559327567</v>
      </c>
      <c r="ET8" s="1">
        <v>3834253.2663884303</v>
      </c>
      <c r="EU8" s="1">
        <v>3833416.9121243856</v>
      </c>
      <c r="EV8" s="1">
        <v>3700045.4763814872</v>
      </c>
      <c r="EW8" s="1">
        <v>3762752.4752932107</v>
      </c>
      <c r="EX8" s="1">
        <v>3797866.7161212638</v>
      </c>
      <c r="EY8" s="1">
        <v>3764848.390804301</v>
      </c>
      <c r="EZ8" s="1">
        <v>3617111.0141616045</v>
      </c>
      <c r="FA8" s="1">
        <v>3611270.4494870552</v>
      </c>
      <c r="FB8" s="1">
        <v>3360146.0596986441</v>
      </c>
      <c r="FC8" s="1">
        <v>3292182.7194663538</v>
      </c>
      <c r="FD8" s="1">
        <v>3280670.9647488287</v>
      </c>
      <c r="FE8" s="1">
        <v>3287713.1649065996</v>
      </c>
      <c r="FF8" s="1">
        <v>3272308.7700515622</v>
      </c>
      <c r="FG8" s="1">
        <v>3302605.6331877187</v>
      </c>
      <c r="FH8" s="1">
        <v>3347876.3927818304</v>
      </c>
      <c r="FI8" s="1">
        <v>3552472.0912657068</v>
      </c>
      <c r="FJ8" s="1">
        <v>3616536.149882054</v>
      </c>
      <c r="FK8" s="1">
        <v>3514446.6378290551</v>
      </c>
      <c r="FL8" s="1">
        <v>3393829.8428421901</v>
      </c>
      <c r="FM8" s="1">
        <v>3260423.5422088746</v>
      </c>
      <c r="FN8" s="1">
        <v>3141250.0725794099</v>
      </c>
      <c r="FO8" s="1">
        <v>3069037.5440445198</v>
      </c>
      <c r="FP8" s="1">
        <v>3085842.0193436332</v>
      </c>
      <c r="FQ8" s="1">
        <v>3128477.6757659772</v>
      </c>
      <c r="FR8" s="1">
        <v>3215623.4032766279</v>
      </c>
      <c r="FS8" s="1">
        <v>3305998.2470358275</v>
      </c>
      <c r="FT8" s="1">
        <v>3248728.1163784191</v>
      </c>
      <c r="FU8" s="1">
        <v>3354379.9610850606</v>
      </c>
      <c r="FV8" s="1">
        <v>3363513.2326513575</v>
      </c>
      <c r="FW8" s="1">
        <v>3284421.8185404185</v>
      </c>
      <c r="FX8" s="1">
        <v>3162312.0556476554</v>
      </c>
      <c r="FY8" s="1">
        <v>3038684.4395329943</v>
      </c>
      <c r="FZ8" s="1">
        <v>2967580.1461874275</v>
      </c>
      <c r="GA8" s="1">
        <v>2957561.763749266</v>
      </c>
      <c r="GB8" s="1">
        <v>2980917.3823360642</v>
      </c>
      <c r="GC8" s="1">
        <v>3013322.3508521458</v>
      </c>
      <c r="GD8" s="1">
        <v>3065342.5704175057</v>
      </c>
      <c r="GE8" s="1">
        <v>3096874.2282978124</v>
      </c>
      <c r="GF8" s="1">
        <v>3142023.5224747905</v>
      </c>
      <c r="GG8" s="1">
        <v>3268318.7091766535</v>
      </c>
      <c r="GH8" s="1">
        <v>3284521.5598552036</v>
      </c>
      <c r="GI8" s="1">
        <v>3200383.922356369</v>
      </c>
      <c r="GJ8" s="1">
        <v>3237315.6380654969</v>
      </c>
      <c r="GK8" s="1">
        <v>3117695.9485999662</v>
      </c>
      <c r="GL8" s="1">
        <v>3043024.9324776214</v>
      </c>
      <c r="GM8" s="1">
        <v>3019163.959760143</v>
      </c>
      <c r="GN8" s="1">
        <v>2982857.2121057701</v>
      </c>
      <c r="GO8" s="1">
        <v>3608967.9133310723</v>
      </c>
      <c r="GP8" s="1">
        <v>4775308.5161241256</v>
      </c>
      <c r="GQ8" s="1">
        <v>4422138.6921750326</v>
      </c>
      <c r="GR8" s="1">
        <v>4422540.8699034723</v>
      </c>
      <c r="GS8" s="1">
        <v>4300488.2804946052</v>
      </c>
      <c r="GT8" s="1">
        <v>4219323.2426593648</v>
      </c>
      <c r="GU8" s="1">
        <v>3962855.3112318171</v>
      </c>
      <c r="GV8" s="1">
        <v>3868428.3806477441</v>
      </c>
      <c r="GW8" s="1">
        <v>3891058.8527441286</v>
      </c>
      <c r="GX8" s="1">
        <v>3976715.5325373425</v>
      </c>
      <c r="GY8" s="1">
        <v>3813827.120033829</v>
      </c>
      <c r="GZ8" s="1">
        <v>3936299.8022420499</v>
      </c>
      <c r="HA8" s="1" t="str">
        <f t="shared" si="1"/>
        <v/>
      </c>
      <c r="HB8" s="1" t="str">
        <f t="shared" si="1"/>
        <v/>
      </c>
      <c r="HC8" s="1" t="str">
        <f t="shared" si="1"/>
        <v/>
      </c>
      <c r="HD8" s="1" t="str">
        <f t="shared" si="1"/>
        <v/>
      </c>
      <c r="HE8" s="1" t="str">
        <f t="shared" si="1"/>
        <v/>
      </c>
      <c r="HF8" s="1" t="str">
        <f t="shared" si="1"/>
        <v/>
      </c>
      <c r="HG8" s="1" t="str">
        <f t="shared" si="1"/>
        <v/>
      </c>
      <c r="HH8" s="1" t="str">
        <f t="shared" si="1"/>
        <v/>
      </c>
      <c r="HI8" s="1" t="str">
        <f t="shared" si="1"/>
        <v/>
      </c>
      <c r="HJ8" s="1" t="str">
        <f t="shared" si="1"/>
        <v/>
      </c>
      <c r="HK8" s="1" t="str">
        <f t="shared" si="1"/>
        <v/>
      </c>
      <c r="HL8" s="1" t="str">
        <f t="shared" si="1"/>
        <v/>
      </c>
      <c r="HM8" s="1" t="str">
        <f t="shared" si="1"/>
        <v/>
      </c>
      <c r="HN8" s="1" t="str">
        <f t="shared" si="1"/>
        <v/>
      </c>
      <c r="HO8" s="1" t="str">
        <f t="shared" si="1"/>
        <v/>
      </c>
      <c r="HP8" s="1" t="str">
        <f t="shared" si="1"/>
        <v/>
      </c>
      <c r="HQ8" s="1" t="str">
        <f t="shared" si="1"/>
        <v/>
      </c>
      <c r="HR8" s="1" t="str">
        <f t="shared" si="1"/>
        <v/>
      </c>
      <c r="HS8" s="1" t="str">
        <f t="shared" si="1"/>
        <v/>
      </c>
      <c r="HT8" s="1" t="str">
        <f t="shared" si="1"/>
        <v/>
      </c>
      <c r="HU8" s="1" t="str">
        <f t="shared" si="1"/>
        <v/>
      </c>
      <c r="HV8" s="1" t="str">
        <f t="shared" si="1"/>
        <v/>
      </c>
      <c r="HW8" s="1" t="str">
        <f t="shared" si="1"/>
        <v/>
      </c>
      <c r="HX8" s="1" t="str">
        <f t="shared" si="1"/>
        <v/>
      </c>
      <c r="HY8" s="1" t="str">
        <f t="shared" si="1"/>
        <v/>
      </c>
      <c r="HZ8" s="1" t="str">
        <f t="shared" si="1"/>
        <v/>
      </c>
      <c r="IA8" s="1" t="str">
        <f t="shared" si="1"/>
        <v/>
      </c>
      <c r="IB8" s="1" t="str">
        <f t="shared" si="1"/>
        <v/>
      </c>
      <c r="IC8" s="1" t="str">
        <f t="shared" si="1"/>
        <v/>
      </c>
      <c r="ID8" s="1" t="str">
        <f t="shared" si="1"/>
        <v/>
      </c>
      <c r="IE8" s="1" t="str">
        <f t="shared" si="1"/>
        <v/>
      </c>
      <c r="IF8" s="1" t="str">
        <f t="shared" si="1"/>
        <v/>
      </c>
      <c r="IG8" s="1" t="str">
        <f t="shared" si="1"/>
        <v/>
      </c>
      <c r="IH8" s="1" t="str">
        <f t="shared" si="1"/>
        <v/>
      </c>
      <c r="II8" s="1" t="str">
        <f t="shared" si="1"/>
        <v/>
      </c>
      <c r="IJ8" s="1" t="str">
        <f t="shared" si="1"/>
        <v/>
      </c>
      <c r="IK8" s="1" t="str">
        <f t="shared" si="1"/>
        <v/>
      </c>
      <c r="IL8" s="1" t="str">
        <f t="shared" si="1"/>
        <v/>
      </c>
      <c r="IM8" s="1" t="str">
        <f t="shared" si="1"/>
        <v/>
      </c>
      <c r="IN8" s="1" t="str">
        <f t="shared" si="1"/>
        <v/>
      </c>
      <c r="IO8" s="1" t="str">
        <f t="shared" si="1"/>
        <v/>
      </c>
      <c r="IP8" s="1" t="str">
        <f t="shared" si="1"/>
        <v/>
      </c>
      <c r="IQ8" s="1" t="str">
        <f t="shared" si="1"/>
        <v/>
      </c>
      <c r="IR8" s="1" t="str">
        <f t="shared" si="1"/>
        <v/>
      </c>
      <c r="IS8" s="1" t="str">
        <f t="shared" si="1"/>
        <v/>
      </c>
      <c r="IT8" s="1" t="str">
        <f t="shared" si="1"/>
        <v/>
      </c>
      <c r="IU8" s="1" t="str">
        <f t="shared" si="1"/>
        <v/>
      </c>
      <c r="IV8" s="1" t="str">
        <f t="shared" si="1"/>
        <v/>
      </c>
      <c r="IW8" s="1" t="str">
        <f t="shared" si="1"/>
        <v/>
      </c>
      <c r="IX8" s="1" t="str">
        <f t="shared" si="1"/>
        <v/>
      </c>
      <c r="IY8" s="1" t="str">
        <f t="shared" si="1"/>
        <v/>
      </c>
      <c r="IZ8" s="1" t="str">
        <f t="shared" si="1"/>
        <v/>
      </c>
      <c r="JA8" s="1" t="str">
        <f t="shared" si="1"/>
        <v/>
      </c>
      <c r="JB8" s="1" t="str">
        <f t="shared" si="1"/>
        <v/>
      </c>
      <c r="JC8" s="1" t="str">
        <f t="shared" si="1"/>
        <v/>
      </c>
      <c r="JD8" s="1" t="str">
        <f t="shared" si="1"/>
        <v/>
      </c>
      <c r="JE8" s="1" t="str">
        <f t="shared" si="1"/>
        <v/>
      </c>
      <c r="JF8" s="1" t="str">
        <f t="shared" si="1"/>
        <v/>
      </c>
      <c r="JG8" s="1" t="str">
        <f t="shared" si="1"/>
        <v/>
      </c>
      <c r="JH8" s="1" t="str">
        <f t="shared" si="1"/>
        <v/>
      </c>
      <c r="LY8" s="1"/>
    </row>
    <row r="9" spans="1:337" x14ac:dyDescent="0.25">
      <c r="A9" s="4">
        <v>7</v>
      </c>
      <c r="B9" s="1">
        <v>2087638.4092519633</v>
      </c>
      <c r="C9" s="1">
        <v>2103455.1840104405</v>
      </c>
      <c r="D9" s="1">
        <v>2082995.5273201331</v>
      </c>
      <c r="E9" s="1">
        <v>2125756.7908406765</v>
      </c>
      <c r="F9" s="1">
        <v>2184237.0305137755</v>
      </c>
      <c r="G9" s="1">
        <v>2209807.6003211811</v>
      </c>
      <c r="H9" s="1">
        <v>2275193.8926618742</v>
      </c>
      <c r="I9" s="1">
        <v>2263227.909067452</v>
      </c>
      <c r="J9" s="1">
        <v>2227590.7546741124</v>
      </c>
      <c r="K9" s="1">
        <v>2158087.7928771228</v>
      </c>
      <c r="L9" s="1">
        <v>2078085.3694499787</v>
      </c>
      <c r="M9" s="1">
        <v>2022570.6743963887</v>
      </c>
      <c r="N9" s="1">
        <v>1959865.7077050111</v>
      </c>
      <c r="O9" s="1">
        <v>1969298.8238712316</v>
      </c>
      <c r="P9" s="1">
        <v>1966743.7688816281</v>
      </c>
      <c r="Q9" s="1">
        <v>2034940.1258419333</v>
      </c>
      <c r="R9" s="1">
        <v>2089756.863509133</v>
      </c>
      <c r="S9" s="1">
        <v>2065133.9676419059</v>
      </c>
      <c r="T9" s="1">
        <v>2120330.0353825148</v>
      </c>
      <c r="U9" s="1">
        <v>2161913.5904678986</v>
      </c>
      <c r="V9" s="1">
        <v>2153244.4671889474</v>
      </c>
      <c r="W9" s="1">
        <v>2096617.895046867</v>
      </c>
      <c r="X9" s="1">
        <v>2028158.3844637913</v>
      </c>
      <c r="Y9" s="1">
        <v>1983592.4042983674</v>
      </c>
      <c r="Z9" s="1">
        <v>1967755.2333917427</v>
      </c>
      <c r="AA9" s="1">
        <v>2001502.9170283535</v>
      </c>
      <c r="AB9" s="1">
        <v>2008085.770204097</v>
      </c>
      <c r="AC9" s="1">
        <v>2060753.1478083502</v>
      </c>
      <c r="AD9" s="1">
        <v>2078968.4726414476</v>
      </c>
      <c r="AE9" s="1">
        <v>2079048.889735674</v>
      </c>
      <c r="AF9" s="1">
        <v>2140138.3234162726</v>
      </c>
      <c r="AG9" s="1">
        <v>2147551.7091454137</v>
      </c>
      <c r="AH9" s="1">
        <v>2109161.9326612139</v>
      </c>
      <c r="AI9" s="1">
        <v>2048139.890293488</v>
      </c>
      <c r="AJ9" s="1">
        <v>1952008.8594729605</v>
      </c>
      <c r="AK9" s="1">
        <v>1888235.7596424781</v>
      </c>
      <c r="AL9" s="1">
        <v>1863682.5474785781</v>
      </c>
      <c r="AM9" s="1">
        <v>1880303.5286475196</v>
      </c>
      <c r="AN9" s="1">
        <v>1880115.770102507</v>
      </c>
      <c r="AO9" s="1">
        <v>1933149.9556113731</v>
      </c>
      <c r="AP9" s="1">
        <v>1998383.1857177061</v>
      </c>
      <c r="AQ9" s="1">
        <v>2036189.7429627494</v>
      </c>
      <c r="AR9" s="1">
        <v>2131642.3760865368</v>
      </c>
      <c r="AS9" s="1">
        <v>2150202.824666047</v>
      </c>
      <c r="AT9" s="1">
        <v>2152713.6044390388</v>
      </c>
      <c r="AU9" s="1">
        <v>2094166.0827860041</v>
      </c>
      <c r="AV9" s="1">
        <v>2021289.450000931</v>
      </c>
      <c r="AW9" s="1">
        <v>1995950.8191717612</v>
      </c>
      <c r="AX9" s="1">
        <v>2013413.2926469631</v>
      </c>
      <c r="AY9" s="1">
        <v>2110315.3576958822</v>
      </c>
      <c r="AZ9" s="1">
        <v>2241112.8752604378</v>
      </c>
      <c r="BA9" s="1">
        <v>2254524.5259921146</v>
      </c>
      <c r="BB9" s="1">
        <v>2565931.4574954817</v>
      </c>
      <c r="BC9" s="1">
        <v>2777994.9070459157</v>
      </c>
      <c r="BD9" s="1">
        <v>2852091.1245584828</v>
      </c>
      <c r="BE9" s="1">
        <v>2955896.6758840289</v>
      </c>
      <c r="BF9" s="1">
        <v>3094469.4810754484</v>
      </c>
      <c r="BG9" s="1">
        <v>3207377.3507158151</v>
      </c>
      <c r="BH9" s="1">
        <v>3422012.1787417885</v>
      </c>
      <c r="BI9" s="1">
        <v>3712660.4542433443</v>
      </c>
      <c r="BJ9" s="1">
        <v>3926492.782798009</v>
      </c>
      <c r="BK9" s="1">
        <v>4062856.6383030359</v>
      </c>
      <c r="BL9" s="1">
        <v>4350508.9117713384</v>
      </c>
      <c r="BM9" s="1">
        <v>4588123.8586880099</v>
      </c>
      <c r="BN9" s="1">
        <v>4540385.9942129301</v>
      </c>
      <c r="BO9" s="1">
        <v>4446885.6638367129</v>
      </c>
      <c r="BP9" s="1">
        <v>4351787.8050334863</v>
      </c>
      <c r="BQ9" s="1">
        <v>4098017.6464145668</v>
      </c>
      <c r="BR9" s="1">
        <v>4215205.9887729287</v>
      </c>
      <c r="BS9" s="1">
        <v>4326287.0373334587</v>
      </c>
      <c r="BT9" s="1">
        <v>4175408.9530817317</v>
      </c>
      <c r="BU9" s="1">
        <v>3966244.2481626729</v>
      </c>
      <c r="BV9" s="1">
        <v>3933874.5315540684</v>
      </c>
      <c r="BW9" s="1">
        <v>4161752.8687559878</v>
      </c>
      <c r="BX9" s="1">
        <v>4285147.0691337874</v>
      </c>
      <c r="BY9" s="1">
        <v>4376338.0103412811</v>
      </c>
      <c r="BZ9" s="1">
        <v>4374133.6730397418</v>
      </c>
      <c r="CA9" s="1">
        <v>4272248.7423747228</v>
      </c>
      <c r="CB9" s="1">
        <v>4205027.2819892643</v>
      </c>
      <c r="CC9" s="1">
        <v>4133625.9615640342</v>
      </c>
      <c r="CD9" s="1">
        <v>4316078.1878724564</v>
      </c>
      <c r="CE9" s="1">
        <v>4330331.8812514823</v>
      </c>
      <c r="CF9" s="1">
        <v>4284515.6106289569</v>
      </c>
      <c r="CG9" s="1">
        <v>4113034.1415659008</v>
      </c>
      <c r="CH9" s="1">
        <v>3898992.0403916566</v>
      </c>
      <c r="CI9" s="1">
        <v>4175132.0572477039</v>
      </c>
      <c r="CJ9" s="1">
        <v>4277737.7564010145</v>
      </c>
      <c r="CK9" s="1">
        <v>4358418.4965262366</v>
      </c>
      <c r="CL9" s="1">
        <v>4283174.4124012701</v>
      </c>
      <c r="CM9" s="1">
        <v>4278942.3535045497</v>
      </c>
      <c r="CN9" s="1">
        <v>4365458.0766480789</v>
      </c>
      <c r="CO9" s="1">
        <v>4377679.4723469317</v>
      </c>
      <c r="CP9" s="1">
        <v>4471182.1444053166</v>
      </c>
      <c r="CQ9" s="1">
        <v>4645413.9365577176</v>
      </c>
      <c r="CR9" s="1">
        <v>4717350.0949646961</v>
      </c>
      <c r="CS9" s="1">
        <v>4558928.6534612216</v>
      </c>
      <c r="CT9" s="1">
        <v>4428140.1171605624</v>
      </c>
      <c r="CU9" s="1">
        <v>4633283.0613765288</v>
      </c>
      <c r="CV9" s="1">
        <v>4794729.3986451421</v>
      </c>
      <c r="CW9" s="1">
        <v>4880364.7551981825</v>
      </c>
      <c r="CX9" s="1">
        <v>5008686.6356510231</v>
      </c>
      <c r="CY9" s="1">
        <v>5060122.8728564698</v>
      </c>
      <c r="CZ9" s="1">
        <v>5011874.4640291641</v>
      </c>
      <c r="DA9" s="1">
        <v>5191124.9214545144</v>
      </c>
      <c r="DB9" s="1">
        <v>5119562.1469703373</v>
      </c>
      <c r="DC9" s="1">
        <v>5142479.7004962415</v>
      </c>
      <c r="DD9" s="1">
        <v>5143342.5066185556</v>
      </c>
      <c r="DE9" s="1">
        <v>5056642.4112619106</v>
      </c>
      <c r="DF9" s="1">
        <v>4737895.6726587284</v>
      </c>
      <c r="DG9" s="1">
        <v>4813529.7850464303</v>
      </c>
      <c r="DH9" s="1">
        <v>4800218.9070355296</v>
      </c>
      <c r="DI9" s="1">
        <v>4924580.1784760393</v>
      </c>
      <c r="DJ9" s="1">
        <v>4978399.7938465262</v>
      </c>
      <c r="DK9" s="1">
        <v>4937541.630854968</v>
      </c>
      <c r="DL9" s="1">
        <v>4937266.3090813495</v>
      </c>
      <c r="DM9" s="1">
        <v>4964835.3750978671</v>
      </c>
      <c r="DN9" s="1">
        <v>4908639.949948878</v>
      </c>
      <c r="DO9" s="1">
        <v>4857625.2566729775</v>
      </c>
      <c r="DP9" s="1">
        <v>4786501.9924572557</v>
      </c>
      <c r="DQ9" s="1">
        <v>4532036.212406829</v>
      </c>
      <c r="DR9" s="1">
        <v>4283057.0206827782</v>
      </c>
      <c r="DS9" s="1">
        <v>4387594.4350131489</v>
      </c>
      <c r="DT9" s="1">
        <v>4321046.9818048198</v>
      </c>
      <c r="DU9" s="1">
        <v>4461684.6977129895</v>
      </c>
      <c r="DV9" s="1">
        <v>4385216.3549516741</v>
      </c>
      <c r="DW9" s="1">
        <v>4345821.7996328063</v>
      </c>
      <c r="DX9" s="1">
        <v>4470961.2667931244</v>
      </c>
      <c r="DY9" s="1">
        <v>4688137.1178528909</v>
      </c>
      <c r="DZ9" s="1">
        <v>4613023.6601755889</v>
      </c>
      <c r="EA9" s="1">
        <v>4549984.5854063742</v>
      </c>
      <c r="EB9" s="1">
        <v>4430043.8367939182</v>
      </c>
      <c r="EC9" s="1">
        <v>4214912.2783473525</v>
      </c>
      <c r="ED9" s="1">
        <v>4138193.5263273148</v>
      </c>
      <c r="EE9" s="1">
        <v>4085908.005959074</v>
      </c>
      <c r="EF9" s="1">
        <v>4023103.2355130967</v>
      </c>
      <c r="EG9" s="1">
        <v>4044210.3792449869</v>
      </c>
      <c r="EH9" s="1">
        <v>4028282.7714907601</v>
      </c>
      <c r="EI9" s="1">
        <v>3997885.8746951628</v>
      </c>
      <c r="EJ9" s="1">
        <v>4243157.0579407644</v>
      </c>
      <c r="EK9" s="1">
        <v>4119039.7911483524</v>
      </c>
      <c r="EL9" s="1">
        <v>4156284.8535495573</v>
      </c>
      <c r="EM9" s="1">
        <v>4128036.9497289462</v>
      </c>
      <c r="EN9" s="1">
        <v>4046544.0171721037</v>
      </c>
      <c r="EO9" s="1">
        <v>3815681.6305629332</v>
      </c>
      <c r="EP9" s="1">
        <v>3762598.6782045779</v>
      </c>
      <c r="EQ9" s="1">
        <v>3675602.240046232</v>
      </c>
      <c r="ER9" s="1">
        <v>3718967.1014005649</v>
      </c>
      <c r="ES9" s="1">
        <v>3786953.7084989911</v>
      </c>
      <c r="ET9" s="1">
        <v>3835308.9422710165</v>
      </c>
      <c r="EU9" s="1">
        <v>3780596.0787721649</v>
      </c>
      <c r="EV9" s="1">
        <v>3766983.5237229206</v>
      </c>
      <c r="EW9" s="1">
        <v>3753772.2974868617</v>
      </c>
      <c r="EX9" s="1">
        <v>3750320.4676875006</v>
      </c>
      <c r="EY9" s="1">
        <v>3683717.4709432349</v>
      </c>
      <c r="EZ9" s="1">
        <v>3499023.4896475347</v>
      </c>
      <c r="FA9" s="1">
        <v>3513163.719089251</v>
      </c>
      <c r="FB9" s="1">
        <v>3287366.4662603624</v>
      </c>
      <c r="FC9" s="1">
        <v>3297333.6004132177</v>
      </c>
      <c r="FD9" s="1">
        <v>3297789.707794155</v>
      </c>
      <c r="FE9" s="1">
        <v>3341165.0927999644</v>
      </c>
      <c r="FF9" s="1">
        <v>3265346.2705243719</v>
      </c>
      <c r="FG9" s="1">
        <v>3238569.7023347691</v>
      </c>
      <c r="FH9" s="1">
        <v>3415470.0238655256</v>
      </c>
      <c r="FI9" s="1">
        <v>3574185.1445623483</v>
      </c>
      <c r="FJ9" s="1">
        <v>3587788.9716208642</v>
      </c>
      <c r="FK9" s="1">
        <v>3431242.9976667124</v>
      </c>
      <c r="FL9" s="1">
        <v>3290929.0685321661</v>
      </c>
      <c r="FM9" s="1">
        <v>3155030.9444531398</v>
      </c>
      <c r="FN9" s="1">
        <v>3104268.4028947675</v>
      </c>
      <c r="FO9" s="1">
        <v>3100448.9999540085</v>
      </c>
      <c r="FP9" s="1">
        <v>3114095.0528765875</v>
      </c>
      <c r="FQ9" s="1">
        <v>3186048.1269510747</v>
      </c>
      <c r="FR9" s="1">
        <v>3247949.8759000376</v>
      </c>
      <c r="FS9" s="1">
        <v>3297589.4023174546</v>
      </c>
      <c r="FT9" s="1">
        <v>3334256.2613836909</v>
      </c>
      <c r="FU9" s="1">
        <v>3364941.6830608989</v>
      </c>
      <c r="FV9" s="1">
        <v>3336015.5307557434</v>
      </c>
      <c r="FW9" s="1">
        <v>3203426.9791473243</v>
      </c>
      <c r="FX9" s="1">
        <v>3070908.3591450062</v>
      </c>
      <c r="FY9" s="1">
        <v>2934971.0440216931</v>
      </c>
      <c r="FZ9" s="1">
        <v>2936791.7742589153</v>
      </c>
      <c r="GA9" s="1">
        <v>2982035.2126532686</v>
      </c>
      <c r="GB9" s="1">
        <v>3005125.9740399392</v>
      </c>
      <c r="GC9" s="1">
        <v>3070497.5029535796</v>
      </c>
      <c r="GD9" s="1">
        <v>3092126.0430518258</v>
      </c>
      <c r="GE9" s="1">
        <v>3043358.9052151619</v>
      </c>
      <c r="GF9" s="1">
        <v>3232911.1470261635</v>
      </c>
      <c r="GG9" s="1">
        <v>3292786.8352026958</v>
      </c>
      <c r="GH9" s="1">
        <v>3258253.2134926459</v>
      </c>
      <c r="GI9" s="1">
        <v>3132125.4178279908</v>
      </c>
      <c r="GJ9" s="1">
        <v>3172237.1268815836</v>
      </c>
      <c r="GK9" s="1">
        <v>3059449.371932948</v>
      </c>
      <c r="GL9" s="1">
        <v>3018281.5474227648</v>
      </c>
      <c r="GM9" s="1">
        <v>3050482.3853826383</v>
      </c>
      <c r="GN9" s="1">
        <v>2998514.491743926</v>
      </c>
      <c r="GO9" s="1">
        <v>3700636.0932927774</v>
      </c>
      <c r="GP9" s="1">
        <v>4886808.4118763898</v>
      </c>
      <c r="GQ9" s="1">
        <v>4490227.9308973495</v>
      </c>
      <c r="GR9" s="1">
        <v>4581004.3859610753</v>
      </c>
      <c r="GS9" s="1">
        <v>4329740.5853255447</v>
      </c>
      <c r="GT9" s="1">
        <v>4322073.0935276337</v>
      </c>
      <c r="GU9" s="1">
        <v>3965587.8261750937</v>
      </c>
      <c r="GV9" s="1">
        <v>3831995.8321145405</v>
      </c>
      <c r="GW9" s="1">
        <v>3829794.8245960996</v>
      </c>
      <c r="GX9" s="1">
        <v>3945131.525886178</v>
      </c>
      <c r="GY9" s="1">
        <v>3853986.2904775408</v>
      </c>
      <c r="GZ9" s="1">
        <v>3969251.6855213102</v>
      </c>
      <c r="HA9" s="1" t="str">
        <f t="shared" si="1"/>
        <v/>
      </c>
      <c r="HB9" s="1" t="str">
        <f t="shared" si="1"/>
        <v/>
      </c>
      <c r="HC9" s="1" t="str">
        <f t="shared" si="1"/>
        <v/>
      </c>
      <c r="HD9" s="1" t="str">
        <f t="shared" si="1"/>
        <v/>
      </c>
      <c r="HE9" s="1" t="str">
        <f t="shared" si="1"/>
        <v/>
      </c>
      <c r="HF9" s="1" t="str">
        <f t="shared" si="1"/>
        <v/>
      </c>
      <c r="HG9" s="1" t="str">
        <f t="shared" si="1"/>
        <v/>
      </c>
      <c r="HH9" s="1" t="str">
        <f t="shared" si="1"/>
        <v/>
      </c>
      <c r="HI9" s="1" t="str">
        <f t="shared" si="1"/>
        <v/>
      </c>
      <c r="HJ9" s="1" t="str">
        <f t="shared" si="1"/>
        <v/>
      </c>
      <c r="HK9" s="1" t="str">
        <f t="shared" si="1"/>
        <v/>
      </c>
      <c r="HL9" s="1" t="str">
        <f t="shared" si="1"/>
        <v/>
      </c>
      <c r="HM9" s="1" t="str">
        <f t="shared" si="1"/>
        <v/>
      </c>
      <c r="HN9" s="1" t="str">
        <f t="shared" si="1"/>
        <v/>
      </c>
      <c r="HO9" s="1" t="str">
        <f t="shared" si="1"/>
        <v/>
      </c>
      <c r="HP9" s="1" t="str">
        <f t="shared" si="1"/>
        <v/>
      </c>
      <c r="HQ9" s="1" t="str">
        <f t="shared" si="1"/>
        <v/>
      </c>
      <c r="HR9" s="1" t="str">
        <f t="shared" si="1"/>
        <v/>
      </c>
      <c r="HS9" s="1" t="str">
        <f t="shared" si="1"/>
        <v/>
      </c>
      <c r="HT9" s="1" t="str">
        <f t="shared" si="1"/>
        <v/>
      </c>
      <c r="HU9" s="1" t="str">
        <f t="shared" si="1"/>
        <v/>
      </c>
      <c r="HV9" s="1" t="str">
        <f t="shared" si="1"/>
        <v/>
      </c>
      <c r="HW9" s="1" t="str">
        <f t="shared" si="1"/>
        <v/>
      </c>
      <c r="HX9" s="1" t="str">
        <f t="shared" si="1"/>
        <v/>
      </c>
      <c r="HY9" s="1" t="str">
        <f t="shared" si="1"/>
        <v/>
      </c>
      <c r="HZ9" s="1" t="str">
        <f t="shared" si="1"/>
        <v/>
      </c>
      <c r="IA9" s="1" t="str">
        <f t="shared" si="1"/>
        <v/>
      </c>
      <c r="IB9" s="1" t="str">
        <f t="shared" si="1"/>
        <v/>
      </c>
      <c r="IC9" s="1" t="str">
        <f t="shared" si="1"/>
        <v/>
      </c>
      <c r="ID9" s="1" t="str">
        <f t="shared" si="1"/>
        <v/>
      </c>
      <c r="IE9" s="1" t="str">
        <f t="shared" si="1"/>
        <v/>
      </c>
      <c r="IF9" s="1" t="str">
        <f t="shared" si="1"/>
        <v/>
      </c>
      <c r="IG9" s="1" t="str">
        <f t="shared" si="1"/>
        <v/>
      </c>
      <c r="IH9" s="1" t="str">
        <f t="shared" si="1"/>
        <v/>
      </c>
      <c r="II9" s="1" t="str">
        <f t="shared" si="1"/>
        <v/>
      </c>
      <c r="IJ9" s="1" t="str">
        <f t="shared" si="1"/>
        <v/>
      </c>
      <c r="IK9" s="1" t="str">
        <f t="shared" si="1"/>
        <v/>
      </c>
      <c r="IL9" s="1" t="str">
        <f t="shared" si="1"/>
        <v/>
      </c>
      <c r="IM9" s="1" t="str">
        <f t="shared" si="1"/>
        <v/>
      </c>
      <c r="IN9" s="1" t="str">
        <f t="shared" si="1"/>
        <v/>
      </c>
      <c r="IO9" s="1" t="str">
        <f t="shared" si="1"/>
        <v/>
      </c>
      <c r="IP9" s="1" t="str">
        <f t="shared" si="1"/>
        <v/>
      </c>
      <c r="IQ9" s="1" t="str">
        <f t="shared" si="1"/>
        <v/>
      </c>
      <c r="IR9" s="1" t="str">
        <f t="shared" si="1"/>
        <v/>
      </c>
      <c r="IS9" s="1" t="str">
        <f t="shared" si="1"/>
        <v/>
      </c>
      <c r="IT9" s="1" t="str">
        <f t="shared" si="1"/>
        <v/>
      </c>
      <c r="IU9" s="1" t="str">
        <f t="shared" si="1"/>
        <v/>
      </c>
      <c r="IV9" s="1" t="str">
        <f t="shared" si="1"/>
        <v/>
      </c>
      <c r="IW9" s="1" t="str">
        <f t="shared" si="1"/>
        <v/>
      </c>
      <c r="IX9" s="1" t="str">
        <f t="shared" si="1"/>
        <v/>
      </c>
      <c r="IY9" s="1" t="str">
        <f t="shared" si="1"/>
        <v/>
      </c>
      <c r="IZ9" s="1" t="str">
        <f t="shared" si="1"/>
        <v/>
      </c>
      <c r="JA9" s="1" t="str">
        <f t="shared" si="1"/>
        <v/>
      </c>
      <c r="JB9" s="1" t="str">
        <f t="shared" si="1"/>
        <v/>
      </c>
      <c r="JC9" s="1" t="str">
        <f t="shared" si="1"/>
        <v/>
      </c>
      <c r="JD9" s="1" t="str">
        <f t="shared" si="1"/>
        <v/>
      </c>
      <c r="JE9" s="1" t="str">
        <f t="shared" si="1"/>
        <v/>
      </c>
      <c r="JF9" s="1" t="str">
        <f t="shared" si="1"/>
        <v/>
      </c>
      <c r="JG9" s="1" t="str">
        <f t="shared" si="1"/>
        <v/>
      </c>
      <c r="JH9" s="1" t="str">
        <f t="shared" si="1"/>
        <v/>
      </c>
      <c r="LY9" s="1"/>
    </row>
    <row r="10" spans="1:337" x14ac:dyDescent="0.25">
      <c r="A10" s="4">
        <v>8</v>
      </c>
      <c r="B10" s="1">
        <v>2118888.0567662716</v>
      </c>
      <c r="C10" s="1">
        <v>2122665.3459247202</v>
      </c>
      <c r="D10" s="1">
        <v>2137936.6148967561</v>
      </c>
      <c r="E10" s="1">
        <v>2171505.3490499826</v>
      </c>
      <c r="F10" s="1">
        <v>2208745.2663266659</v>
      </c>
      <c r="G10" s="1">
        <v>2271839.8177477857</v>
      </c>
      <c r="H10" s="1">
        <v>2266028.4718360039</v>
      </c>
      <c r="I10" s="1">
        <v>2222148.6578795533</v>
      </c>
      <c r="J10" s="1">
        <v>2183592.822224454</v>
      </c>
      <c r="K10" s="1">
        <v>2095451.5685252817</v>
      </c>
      <c r="L10" s="1">
        <v>2047103.3872145631</v>
      </c>
      <c r="M10" s="1">
        <v>1992451.5753060379</v>
      </c>
      <c r="N10" s="1">
        <v>1985068.0000304366</v>
      </c>
      <c r="O10" s="1">
        <v>1975651.914282751</v>
      </c>
      <c r="P10" s="1">
        <v>2003542.7633908857</v>
      </c>
      <c r="Q10" s="1">
        <v>2076905.8303516544</v>
      </c>
      <c r="R10" s="1">
        <v>2098802.6433261335</v>
      </c>
      <c r="S10" s="1">
        <v>2123189.7321841973</v>
      </c>
      <c r="T10" s="1">
        <v>2116266.9959549494</v>
      </c>
      <c r="U10" s="1">
        <v>2125247.9921085602</v>
      </c>
      <c r="V10" s="1">
        <v>2110133.3464591196</v>
      </c>
      <c r="W10" s="1">
        <v>2032289.625936572</v>
      </c>
      <c r="X10" s="1">
        <v>1989948.1807675404</v>
      </c>
      <c r="Y10" s="1">
        <v>1969247.9176089936</v>
      </c>
      <c r="Z10" s="1">
        <v>1996038.0824809123</v>
      </c>
      <c r="AA10" s="1">
        <v>2007558.6287699486</v>
      </c>
      <c r="AB10" s="1">
        <v>2051763.3634759695</v>
      </c>
      <c r="AC10" s="1">
        <v>2106289.6993634687</v>
      </c>
      <c r="AD10" s="1">
        <v>2084227.5711071799</v>
      </c>
      <c r="AE10" s="1">
        <v>2141546.0435293205</v>
      </c>
      <c r="AF10" s="1">
        <v>2140086.4943295736</v>
      </c>
      <c r="AG10" s="1">
        <v>2115745.1492763171</v>
      </c>
      <c r="AH10" s="1">
        <v>2059035.9597776909</v>
      </c>
      <c r="AI10" s="1">
        <v>1981204.0462851641</v>
      </c>
      <c r="AJ10" s="1">
        <v>1911635.7482035761</v>
      </c>
      <c r="AK10" s="1">
        <v>1873030.6838550884</v>
      </c>
      <c r="AL10" s="1">
        <v>1889743.4643010201</v>
      </c>
      <c r="AM10" s="1">
        <v>1875790.5387041548</v>
      </c>
      <c r="AN10" s="1">
        <v>1913050.9708105493</v>
      </c>
      <c r="AO10" s="1">
        <v>1971785.616653536</v>
      </c>
      <c r="AP10" s="1">
        <v>2002672.230664053</v>
      </c>
      <c r="AQ10" s="1">
        <v>2098073.9203431671</v>
      </c>
      <c r="AR10" s="1">
        <v>2128528.766857821</v>
      </c>
      <c r="AS10" s="1">
        <v>2123659.6354093654</v>
      </c>
      <c r="AT10" s="1">
        <v>2106213.2146922182</v>
      </c>
      <c r="AU10" s="1">
        <v>2030171.7757427311</v>
      </c>
      <c r="AV10" s="1">
        <v>1991874.7025265056</v>
      </c>
      <c r="AW10" s="1">
        <v>1987977.3645864029</v>
      </c>
      <c r="AX10" s="1">
        <v>2047520.6447433713</v>
      </c>
      <c r="AY10" s="1">
        <v>2109936.5851541944</v>
      </c>
      <c r="AZ10" s="1">
        <v>2281261.2277341411</v>
      </c>
      <c r="BA10" s="1">
        <v>2298863.2515416462</v>
      </c>
      <c r="BB10" s="1">
        <v>2607249.0328229894</v>
      </c>
      <c r="BC10" s="1">
        <v>2914275.6741919098</v>
      </c>
      <c r="BD10" s="1">
        <v>2890335.024052199</v>
      </c>
      <c r="BE10" s="1">
        <v>2987985.5951768532</v>
      </c>
      <c r="BF10" s="1">
        <v>3118341.3571580392</v>
      </c>
      <c r="BG10" s="1">
        <v>3227277.5241262722</v>
      </c>
      <c r="BH10" s="1">
        <v>3485178.0683758762</v>
      </c>
      <c r="BI10" s="1">
        <v>3825641.1487852531</v>
      </c>
      <c r="BJ10" s="1">
        <v>4097026.9831119506</v>
      </c>
      <c r="BK10" s="1">
        <v>4224546.1142509524</v>
      </c>
      <c r="BL10" s="1">
        <v>4546396.2418812346</v>
      </c>
      <c r="BM10" s="1">
        <v>4790187.6440077666</v>
      </c>
      <c r="BN10" s="1">
        <v>4698641.8175667115</v>
      </c>
      <c r="BO10" s="1">
        <v>4662828.5381862735</v>
      </c>
      <c r="BP10" s="1">
        <v>4435472.5589943938</v>
      </c>
      <c r="BQ10" s="1">
        <v>4113620.685982557</v>
      </c>
      <c r="BR10" s="1">
        <v>4187317.2300270302</v>
      </c>
      <c r="BS10" s="1">
        <v>4281154.8032397833</v>
      </c>
      <c r="BT10" s="1">
        <v>4153285.0437459499</v>
      </c>
      <c r="BU10" s="1">
        <v>3958454.9918928179</v>
      </c>
      <c r="BV10" s="1">
        <v>4023503.181289711</v>
      </c>
      <c r="BW10" s="1">
        <v>4208914.3580380967</v>
      </c>
      <c r="BX10" s="1">
        <v>4373004.8939540479</v>
      </c>
      <c r="BY10" s="1">
        <v>4466768.5343239903</v>
      </c>
      <c r="BZ10" s="1">
        <v>4435758.5099098943</v>
      </c>
      <c r="CA10" s="1">
        <v>4382093.9833530607</v>
      </c>
      <c r="CB10" s="1">
        <v>4231457.976508325</v>
      </c>
      <c r="CC10" s="1">
        <v>4109667.3348681163</v>
      </c>
      <c r="CD10" s="1">
        <v>4295038.8944494687</v>
      </c>
      <c r="CE10" s="1">
        <v>4284431.1146087712</v>
      </c>
      <c r="CF10" s="1">
        <v>4247155.4951433297</v>
      </c>
      <c r="CG10" s="1">
        <v>4075252.680970883</v>
      </c>
      <c r="CH10" s="1">
        <v>3903763.7451494033</v>
      </c>
      <c r="CI10" s="1">
        <v>4202143.4234554749</v>
      </c>
      <c r="CJ10" s="1">
        <v>4352492.4208015129</v>
      </c>
      <c r="CK10" s="1">
        <v>4425254.2421023259</v>
      </c>
      <c r="CL10" s="1">
        <v>4330699.8152866866</v>
      </c>
      <c r="CM10" s="1">
        <v>4378990.4878183892</v>
      </c>
      <c r="CN10" s="1">
        <v>4411879.906442794</v>
      </c>
      <c r="CO10" s="1">
        <v>4374188.5773766972</v>
      </c>
      <c r="CP10" s="1">
        <v>4412700.4481857549</v>
      </c>
      <c r="CQ10" s="1">
        <v>4595489.2425036486</v>
      </c>
      <c r="CR10" s="1">
        <v>4675102.844729186</v>
      </c>
      <c r="CS10" s="1">
        <v>4534355.0109293908</v>
      </c>
      <c r="CT10" s="1">
        <v>4494330.4265649412</v>
      </c>
      <c r="CU10" s="1">
        <v>4701172.0855842261</v>
      </c>
      <c r="CV10" s="1">
        <v>4936086.4430656806</v>
      </c>
      <c r="CW10" s="1">
        <v>4966519.1260460382</v>
      </c>
      <c r="CX10" s="1">
        <v>5056528.5978597142</v>
      </c>
      <c r="CY10" s="1">
        <v>5200661.3618850317</v>
      </c>
      <c r="CZ10" s="1">
        <v>5104131.8293117313</v>
      </c>
      <c r="DA10" s="1">
        <v>5230348.0265962565</v>
      </c>
      <c r="DB10" s="1">
        <v>5101222.5924831163</v>
      </c>
      <c r="DC10" s="1">
        <v>5069685.9722153414</v>
      </c>
      <c r="DD10" s="1">
        <v>5081383.1134040002</v>
      </c>
      <c r="DE10" s="1">
        <v>5030723.006362197</v>
      </c>
      <c r="DF10" s="1">
        <v>4778403.3918023603</v>
      </c>
      <c r="DG10" s="1">
        <v>4853655.2247260176</v>
      </c>
      <c r="DH10" s="1">
        <v>4871990.5509255975</v>
      </c>
      <c r="DI10" s="1">
        <v>4981080.804974704</v>
      </c>
      <c r="DJ10" s="1">
        <v>4971509.1218585363</v>
      </c>
      <c r="DK10" s="1">
        <v>5026869.3772727232</v>
      </c>
      <c r="DL10" s="1">
        <v>4973735.1711343471</v>
      </c>
      <c r="DM10" s="1">
        <v>4948585.666564662</v>
      </c>
      <c r="DN10" s="1">
        <v>4823819.2759080837</v>
      </c>
      <c r="DO10" s="1">
        <v>4751138.0820526602</v>
      </c>
      <c r="DP10" s="1">
        <v>4672729.5642934572</v>
      </c>
      <c r="DQ10" s="1">
        <v>4460173.4380309647</v>
      </c>
      <c r="DR10" s="1">
        <v>4275384.2466713712</v>
      </c>
      <c r="DS10" s="1">
        <v>4387660.788336562</v>
      </c>
      <c r="DT10" s="1">
        <v>4359706.4339975156</v>
      </c>
      <c r="DU10" s="1">
        <v>4489528.8625877127</v>
      </c>
      <c r="DV10" s="1">
        <v>4313116.0082530994</v>
      </c>
      <c r="DW10" s="1">
        <v>4440751.535586942</v>
      </c>
      <c r="DX10" s="1">
        <v>4480201.229718307</v>
      </c>
      <c r="DY10" s="1">
        <v>4675676.514388293</v>
      </c>
      <c r="DZ10" s="1">
        <v>4543441.5066683572</v>
      </c>
      <c r="EA10" s="1">
        <v>4436816.4657274839</v>
      </c>
      <c r="EB10" s="1">
        <v>4319214.3288160404</v>
      </c>
      <c r="EC10" s="1">
        <v>4154296.1976100756</v>
      </c>
      <c r="ED10" s="1">
        <v>4143170.718831338</v>
      </c>
      <c r="EE10" s="1">
        <v>4094799.2001753869</v>
      </c>
      <c r="EF10" s="1">
        <v>4073298.9187547294</v>
      </c>
      <c r="EG10" s="1">
        <v>4055571.6718135285</v>
      </c>
      <c r="EH10" s="1">
        <v>3964499.6511051184</v>
      </c>
      <c r="EI10" s="1">
        <v>4084717.2535701226</v>
      </c>
      <c r="EJ10" s="1">
        <v>4246831.6730169887</v>
      </c>
      <c r="EK10" s="1">
        <v>4072055.3298749188</v>
      </c>
      <c r="EL10" s="1">
        <v>4067811.6545185037</v>
      </c>
      <c r="EM10" s="1">
        <v>4022631.4517594315</v>
      </c>
      <c r="EN10" s="1">
        <v>3947334.241695663</v>
      </c>
      <c r="EO10" s="1">
        <v>3756886.2064389791</v>
      </c>
      <c r="EP10" s="1">
        <v>3780318.9648418278</v>
      </c>
      <c r="EQ10" s="1">
        <v>3680344.4717628974</v>
      </c>
      <c r="ER10" s="1">
        <v>3795313.1696569286</v>
      </c>
      <c r="ES10" s="1">
        <v>3764076.3983185021</v>
      </c>
      <c r="ET10" s="1">
        <v>3799645.9985532924</v>
      </c>
      <c r="EU10" s="1">
        <v>3850344.0436946694</v>
      </c>
      <c r="EV10" s="1">
        <v>3753068.2320607295</v>
      </c>
      <c r="EW10" s="1">
        <v>3702855.0515776025</v>
      </c>
      <c r="EX10" s="1">
        <v>3662063.2975859363</v>
      </c>
      <c r="EY10" s="1">
        <v>3583082.1949201939</v>
      </c>
      <c r="EZ10" s="1">
        <v>3386710.3528183103</v>
      </c>
      <c r="FA10" s="1">
        <v>3453904.5401885007</v>
      </c>
      <c r="FB10" s="1">
        <v>3296776.0244542751</v>
      </c>
      <c r="FC10" s="1">
        <v>3306720.7524164207</v>
      </c>
      <c r="FD10" s="1">
        <v>3353133.8820100548</v>
      </c>
      <c r="FE10" s="1">
        <v>3346733.0537230009</v>
      </c>
      <c r="FF10" s="1">
        <v>3183044.6076738406</v>
      </c>
      <c r="FG10" s="1">
        <v>3306556.9741390012</v>
      </c>
      <c r="FH10" s="1">
        <v>3412379.0265700989</v>
      </c>
      <c r="FI10" s="1">
        <v>3542934.0867927326</v>
      </c>
      <c r="FJ10" s="1">
        <v>3502761.6324981153</v>
      </c>
      <c r="FK10" s="1">
        <v>3341003.1161402408</v>
      </c>
      <c r="FL10" s="1">
        <v>3188093.4040322285</v>
      </c>
      <c r="FM10" s="1">
        <v>3103803.8021148941</v>
      </c>
      <c r="FN10" s="1">
        <v>3147321.014551938</v>
      </c>
      <c r="FO10" s="1">
        <v>3129620.8332630806</v>
      </c>
      <c r="FP10" s="1">
        <v>3173931.6694749575</v>
      </c>
      <c r="FQ10" s="1">
        <v>3197425.8494708589</v>
      </c>
      <c r="FR10" s="1">
        <v>3206115.8336927495</v>
      </c>
      <c r="FS10" s="1">
        <v>3343960.0223770821</v>
      </c>
      <c r="FT10" s="1">
        <v>3352277.7522142194</v>
      </c>
      <c r="FU10" s="1">
        <v>3335536.8908786178</v>
      </c>
      <c r="FV10" s="1">
        <v>3258789.5894249892</v>
      </c>
      <c r="FW10" s="1">
        <v>3128811.2750404077</v>
      </c>
      <c r="FX10" s="1">
        <v>2970917.9590790272</v>
      </c>
      <c r="FY10" s="1">
        <v>2885864.9913484873</v>
      </c>
      <c r="FZ10" s="1">
        <v>2970780.1135961106</v>
      </c>
      <c r="GA10" s="1">
        <v>3008736.4712976702</v>
      </c>
      <c r="GB10" s="1">
        <v>3058315.0478818752</v>
      </c>
      <c r="GC10" s="1">
        <v>3075827.3333820263</v>
      </c>
      <c r="GD10" s="1">
        <v>3048269.5330635444</v>
      </c>
      <c r="GE10" s="1">
        <v>3132595.6999894213</v>
      </c>
      <c r="GF10" s="1">
        <v>3254461.3889393564</v>
      </c>
      <c r="GG10" s="1">
        <v>3268378.9465931347</v>
      </c>
      <c r="GH10" s="1">
        <v>3186569.2734087678</v>
      </c>
      <c r="GI10" s="1">
        <v>3052568.0860768352</v>
      </c>
      <c r="GJ10" s="1">
        <v>3114312.2505814657</v>
      </c>
      <c r="GK10" s="1">
        <v>3030251.6293343846</v>
      </c>
      <c r="GL10" s="1">
        <v>3068081.70947685</v>
      </c>
      <c r="GM10" s="1">
        <v>3083616.9177090013</v>
      </c>
      <c r="GN10" s="1">
        <v>3078444.7156167938</v>
      </c>
      <c r="GO10" s="1">
        <v>3777634.7950057033</v>
      </c>
      <c r="GP10" s="1">
        <v>4927628.4090426238</v>
      </c>
      <c r="GQ10" s="1">
        <v>4647785.8129091449</v>
      </c>
      <c r="GR10" s="1">
        <v>4679267.9728160631</v>
      </c>
      <c r="GS10" s="1">
        <v>4405559.1515772752</v>
      </c>
      <c r="GT10" s="1">
        <v>4343911.1357614025</v>
      </c>
      <c r="GU10" s="1">
        <v>3890901.2055017021</v>
      </c>
      <c r="GV10" s="1">
        <v>3772600.1100944756</v>
      </c>
      <c r="GW10" s="1">
        <v>3793712.9135911372</v>
      </c>
      <c r="GX10" s="1">
        <v>4005862.5680174073</v>
      </c>
      <c r="GY10" s="1">
        <v>3886363.8365416704</v>
      </c>
      <c r="GZ10" s="1">
        <v>4035733.1501929699</v>
      </c>
      <c r="HA10" s="1" t="str">
        <f t="shared" si="1"/>
        <v/>
      </c>
      <c r="HB10" s="1" t="str">
        <f t="shared" si="1"/>
        <v/>
      </c>
      <c r="HC10" s="1" t="str">
        <f t="shared" si="1"/>
        <v/>
      </c>
      <c r="HD10" s="1" t="str">
        <f t="shared" si="1"/>
        <v/>
      </c>
      <c r="HE10" s="1" t="str">
        <f t="shared" si="1"/>
        <v/>
      </c>
      <c r="HF10" s="1" t="str">
        <f t="shared" si="1"/>
        <v/>
      </c>
      <c r="HG10" s="1" t="str">
        <f t="shared" si="1"/>
        <v/>
      </c>
      <c r="HH10" s="1" t="str">
        <f t="shared" si="1"/>
        <v/>
      </c>
      <c r="HI10" s="1" t="str">
        <f t="shared" si="1"/>
        <v/>
      </c>
      <c r="HJ10" s="1" t="str">
        <f t="shared" si="1"/>
        <v/>
      </c>
      <c r="HK10" s="1" t="str">
        <f t="shared" si="1"/>
        <v/>
      </c>
      <c r="HL10" s="1" t="str">
        <f t="shared" si="1"/>
        <v/>
      </c>
      <c r="HM10" s="1" t="str">
        <f t="shared" si="1"/>
        <v/>
      </c>
      <c r="HN10" s="1" t="str">
        <f t="shared" si="1"/>
        <v/>
      </c>
      <c r="HO10" s="1" t="str">
        <f t="shared" si="1"/>
        <v/>
      </c>
      <c r="HP10" s="1" t="str">
        <f t="shared" si="1"/>
        <v/>
      </c>
      <c r="HQ10" s="1" t="str">
        <f t="shared" si="1"/>
        <v/>
      </c>
      <c r="HR10" s="1" t="str">
        <f t="shared" si="1"/>
        <v/>
      </c>
      <c r="HS10" s="1" t="str">
        <f t="shared" si="1"/>
        <v/>
      </c>
      <c r="HT10" s="1" t="str">
        <f t="shared" si="1"/>
        <v/>
      </c>
      <c r="HU10" s="1" t="str">
        <f t="shared" si="1"/>
        <v/>
      </c>
      <c r="HV10" s="1" t="str">
        <f t="shared" si="1"/>
        <v/>
      </c>
      <c r="HW10" s="1" t="str">
        <f t="shared" si="1"/>
        <v/>
      </c>
      <c r="HX10" s="1" t="str">
        <f t="shared" si="1"/>
        <v/>
      </c>
      <c r="HY10" s="1" t="str">
        <f t="shared" si="1"/>
        <v/>
      </c>
      <c r="HZ10" s="1" t="str">
        <f t="shared" si="1"/>
        <v/>
      </c>
      <c r="IA10" s="1" t="str">
        <f t="shared" si="1"/>
        <v/>
      </c>
      <c r="IB10" s="1" t="str">
        <f t="shared" si="1"/>
        <v/>
      </c>
      <c r="IC10" s="1" t="str">
        <f t="shared" si="1"/>
        <v/>
      </c>
      <c r="ID10" s="1" t="str">
        <f t="shared" si="1"/>
        <v/>
      </c>
      <c r="IE10" s="1" t="str">
        <f t="shared" si="1"/>
        <v/>
      </c>
      <c r="IF10" s="1" t="str">
        <f t="shared" si="1"/>
        <v/>
      </c>
      <c r="IG10" s="1" t="str">
        <f t="shared" si="1"/>
        <v/>
      </c>
      <c r="IH10" s="1" t="str">
        <f t="shared" si="1"/>
        <v/>
      </c>
      <c r="II10" s="1" t="str">
        <f t="shared" si="1"/>
        <v/>
      </c>
      <c r="IJ10" s="1" t="str">
        <f t="shared" si="1"/>
        <v/>
      </c>
      <c r="IK10" s="1" t="str">
        <f t="shared" si="1"/>
        <v/>
      </c>
      <c r="IL10" s="1" t="str">
        <f t="shared" si="1"/>
        <v/>
      </c>
      <c r="IM10" s="1" t="str">
        <f t="shared" si="1"/>
        <v/>
      </c>
      <c r="IN10" s="1" t="str">
        <f t="shared" si="1"/>
        <v/>
      </c>
      <c r="IO10" s="1" t="str">
        <f t="shared" si="1"/>
        <v/>
      </c>
      <c r="IP10" s="1" t="str">
        <f t="shared" si="1"/>
        <v/>
      </c>
      <c r="IQ10" s="1" t="str">
        <f t="shared" si="1"/>
        <v/>
      </c>
      <c r="IR10" s="1" t="str">
        <f t="shared" si="1"/>
        <v/>
      </c>
      <c r="IS10" s="1" t="str">
        <f t="shared" si="1"/>
        <v/>
      </c>
      <c r="IT10" s="1" t="str">
        <f t="shared" si="1"/>
        <v/>
      </c>
      <c r="IU10" s="1" t="str">
        <f t="shared" si="1"/>
        <v/>
      </c>
      <c r="IV10" s="1" t="str">
        <f t="shared" si="1"/>
        <v/>
      </c>
      <c r="IW10" s="1" t="str">
        <f t="shared" si="1"/>
        <v/>
      </c>
      <c r="IX10" s="1" t="str">
        <f t="shared" si="1"/>
        <v/>
      </c>
      <c r="IY10" s="1" t="str">
        <f t="shared" si="1"/>
        <v/>
      </c>
      <c r="IZ10" s="1" t="str">
        <f t="shared" si="1"/>
        <v/>
      </c>
      <c r="JA10" s="1" t="str">
        <f t="shared" si="1"/>
        <v/>
      </c>
      <c r="JB10" s="1" t="str">
        <f t="shared" si="1"/>
        <v/>
      </c>
      <c r="JC10" s="1" t="str">
        <f t="shared" si="1"/>
        <v/>
      </c>
      <c r="JD10" s="1" t="str">
        <f t="shared" si="1"/>
        <v/>
      </c>
      <c r="JE10" s="1" t="str">
        <f t="shared" si="1"/>
        <v/>
      </c>
      <c r="JF10" s="1" t="str">
        <f t="shared" si="1"/>
        <v/>
      </c>
      <c r="JG10" s="1" t="str">
        <f t="shared" si="1"/>
        <v/>
      </c>
      <c r="JH10" s="1" t="str">
        <f t="shared" si="1"/>
        <v/>
      </c>
      <c r="LY10" s="1"/>
    </row>
    <row r="11" spans="1:337" x14ac:dyDescent="0.25">
      <c r="A11" s="5">
        <v>9</v>
      </c>
      <c r="B11" s="1">
        <v>2139050.534939664</v>
      </c>
      <c r="C11" s="1">
        <v>2176527.7463504802</v>
      </c>
      <c r="D11" s="1">
        <v>2184319.1876727939</v>
      </c>
      <c r="E11" s="1">
        <v>2202005.6841552774</v>
      </c>
      <c r="F11" s="1">
        <v>2272264.2491017804</v>
      </c>
      <c r="G11" s="1">
        <v>2273035.3638174268</v>
      </c>
      <c r="H11" s="1">
        <v>2230458.5997817554</v>
      </c>
      <c r="I11" s="1">
        <v>2184564.271689245</v>
      </c>
      <c r="J11" s="1">
        <v>2125031.1361299227</v>
      </c>
      <c r="K11" s="1">
        <v>2058285.3650948186</v>
      </c>
      <c r="L11" s="1">
        <v>2015400.2436877978</v>
      </c>
      <c r="M11" s="1">
        <v>2018463.373972347</v>
      </c>
      <c r="N11" s="1">
        <v>1988713.2728265333</v>
      </c>
      <c r="O11" s="1">
        <v>2014851.1871790269</v>
      </c>
      <c r="P11" s="1">
        <v>2042584.0840322324</v>
      </c>
      <c r="Q11" s="1">
        <v>2081460.5467453629</v>
      </c>
      <c r="R11" s="1">
        <v>2159609.2623095624</v>
      </c>
      <c r="S11" s="1">
        <v>2115581.9030253673</v>
      </c>
      <c r="T11" s="1">
        <v>2078393.8868904503</v>
      </c>
      <c r="U11" s="1">
        <v>2076973.8324910668</v>
      </c>
      <c r="V11" s="1">
        <v>2043104.6065043998</v>
      </c>
      <c r="W11" s="1">
        <v>1993803.8625842622</v>
      </c>
      <c r="X11" s="1">
        <v>1975419.9540194371</v>
      </c>
      <c r="Y11" s="1">
        <v>1996810.6697764639</v>
      </c>
      <c r="Z11" s="1">
        <v>2002811.6703823619</v>
      </c>
      <c r="AA11" s="1">
        <v>2050483.4692620295</v>
      </c>
      <c r="AB11" s="1">
        <v>2096900.3655604885</v>
      </c>
      <c r="AC11" s="1">
        <v>2115141.195610791</v>
      </c>
      <c r="AD11" s="1">
        <v>2147011.1681203945</v>
      </c>
      <c r="AE11" s="1">
        <v>2140214.0076804357</v>
      </c>
      <c r="AF11" s="1">
        <v>2107864.8532354869</v>
      </c>
      <c r="AG11" s="1">
        <v>2064803.0024273973</v>
      </c>
      <c r="AH11" s="1">
        <v>1991185.7339747697</v>
      </c>
      <c r="AI11" s="1">
        <v>1941377.0168169492</v>
      </c>
      <c r="AJ11" s="1">
        <v>1896217.441461266</v>
      </c>
      <c r="AK11" s="1">
        <v>1896645.7497833623</v>
      </c>
      <c r="AL11" s="1">
        <v>1885300.7217470384</v>
      </c>
      <c r="AM11" s="1">
        <v>1906861.9474154664</v>
      </c>
      <c r="AN11" s="1">
        <v>1946062.1135951027</v>
      </c>
      <c r="AO11" s="1">
        <v>1976567.1381972143</v>
      </c>
      <c r="AP11" s="1">
        <v>2063214.0122618983</v>
      </c>
      <c r="AQ11" s="1">
        <v>2099025.7943824613</v>
      </c>
      <c r="AR11" s="1">
        <v>2101641.7869073339</v>
      </c>
      <c r="AS11" s="1">
        <v>2075875.0622350723</v>
      </c>
      <c r="AT11" s="1">
        <v>2042306.868950448</v>
      </c>
      <c r="AU11" s="1">
        <v>1998850.2473425656</v>
      </c>
      <c r="AV11" s="1">
        <v>1986377.4006601018</v>
      </c>
      <c r="AW11" s="1">
        <v>2023043.7428151527</v>
      </c>
      <c r="AX11" s="1">
        <v>2049063.4326661839</v>
      </c>
      <c r="AY11" s="1">
        <v>2148074.2316049598</v>
      </c>
      <c r="AZ11" s="1">
        <v>2327417.3383506099</v>
      </c>
      <c r="BA11" s="1">
        <v>2314161.4602081515</v>
      </c>
      <c r="BB11" s="1">
        <v>2720506.556211499</v>
      </c>
      <c r="BC11" s="1">
        <v>2976071.5163059467</v>
      </c>
      <c r="BD11" s="1">
        <v>2907413.0573952282</v>
      </c>
      <c r="BE11" s="1">
        <v>2996135.5107351858</v>
      </c>
      <c r="BF11" s="1">
        <v>3140097.5552690905</v>
      </c>
      <c r="BG11" s="1">
        <v>3273579.1733886637</v>
      </c>
      <c r="BH11" s="1">
        <v>3574817.3640184607</v>
      </c>
      <c r="BI11" s="1">
        <v>3987062.9932563789</v>
      </c>
      <c r="BJ11" s="1">
        <v>4231573.0171100423</v>
      </c>
      <c r="BK11" s="1">
        <v>4422858.4426757917</v>
      </c>
      <c r="BL11" s="1">
        <v>4744366.2345351297</v>
      </c>
      <c r="BM11" s="1">
        <v>4977053.9306963887</v>
      </c>
      <c r="BN11" s="1">
        <v>4924497.5674640192</v>
      </c>
      <c r="BO11" s="1">
        <v>4769924.5941967871</v>
      </c>
      <c r="BP11" s="1">
        <v>4469175.0098763248</v>
      </c>
      <c r="BQ11" s="1">
        <v>4086818.7619597176</v>
      </c>
      <c r="BR11" s="1">
        <v>4101687.9304076061</v>
      </c>
      <c r="BS11" s="1">
        <v>4263907.4025469255</v>
      </c>
      <c r="BT11" s="1">
        <v>4161385.2320880629</v>
      </c>
      <c r="BU11" s="1">
        <v>4003766.2342244345</v>
      </c>
      <c r="BV11" s="1">
        <v>4063773.5657163104</v>
      </c>
      <c r="BW11" s="1">
        <v>4289544.9746330893</v>
      </c>
      <c r="BX11" s="1">
        <v>4462900.419421427</v>
      </c>
      <c r="BY11" s="1">
        <v>4543257.483363267</v>
      </c>
      <c r="BZ11" s="1">
        <v>4577599.9671790674</v>
      </c>
      <c r="CA11" s="1">
        <v>4432586.661510624</v>
      </c>
      <c r="CB11" s="1">
        <v>4223122.3025797196</v>
      </c>
      <c r="CC11" s="1">
        <v>4043245.4031858798</v>
      </c>
      <c r="CD11" s="1">
        <v>4232406.9783423319</v>
      </c>
      <c r="CE11" s="1">
        <v>4246275.7460635947</v>
      </c>
      <c r="CF11" s="1">
        <v>4214444.2645269465</v>
      </c>
      <c r="CG11" s="1">
        <v>4125146.5899357684</v>
      </c>
      <c r="CH11" s="1">
        <v>3910422.9925459512</v>
      </c>
      <c r="CI11" s="1">
        <v>4266096.7905859444</v>
      </c>
      <c r="CJ11" s="1">
        <v>4413306.3573814817</v>
      </c>
      <c r="CK11" s="1">
        <v>4480721.7047206536</v>
      </c>
      <c r="CL11" s="1">
        <v>4411008.6813864261</v>
      </c>
      <c r="CM11" s="1">
        <v>4426875.873696981</v>
      </c>
      <c r="CN11" s="1">
        <v>4426955.028008204</v>
      </c>
      <c r="CO11" s="1">
        <v>4330653.5771018025</v>
      </c>
      <c r="CP11" s="1">
        <v>4319254.1098401919</v>
      </c>
      <c r="CQ11" s="1">
        <v>4547954.3893988021</v>
      </c>
      <c r="CR11" s="1">
        <v>4655840.6368604023</v>
      </c>
      <c r="CS11" s="1">
        <v>4594133.417529311</v>
      </c>
      <c r="CT11" s="1">
        <v>4555366.9904841464</v>
      </c>
      <c r="CU11" s="1">
        <v>4829976.5353678418</v>
      </c>
      <c r="CV11" s="1">
        <v>5029510.5062413076</v>
      </c>
      <c r="CW11" s="1">
        <v>5026480.6523710489</v>
      </c>
      <c r="CX11" s="1">
        <v>5194419.1217649728</v>
      </c>
      <c r="CY11" s="1">
        <v>5284086.3655294403</v>
      </c>
      <c r="CZ11" s="1">
        <v>5135950.0763532482</v>
      </c>
      <c r="DA11" s="1">
        <v>5190188.9295449164</v>
      </c>
      <c r="DB11" s="1">
        <v>5025481.3724053726</v>
      </c>
      <c r="DC11" s="1">
        <v>4978431.1326850588</v>
      </c>
      <c r="DD11" s="1">
        <v>5055189.7899701875</v>
      </c>
      <c r="DE11" s="1">
        <v>5058488.1081178822</v>
      </c>
      <c r="DF11" s="1">
        <v>4812668.3613970634</v>
      </c>
      <c r="DG11" s="1">
        <v>4929954.1735678613</v>
      </c>
      <c r="DH11" s="1">
        <v>4950687.4184462894</v>
      </c>
      <c r="DI11" s="1">
        <v>4967434.8664456848</v>
      </c>
      <c r="DJ11" s="1">
        <v>5090963.1460590791</v>
      </c>
      <c r="DK11" s="1">
        <v>5068439.3576418832</v>
      </c>
      <c r="DL11" s="1">
        <v>4960044.5645100456</v>
      </c>
      <c r="DM11" s="1">
        <v>4841366.0332572823</v>
      </c>
      <c r="DN11" s="1">
        <v>4737928.762672958</v>
      </c>
      <c r="DO11" s="1">
        <v>4644989.9921958698</v>
      </c>
      <c r="DP11" s="1">
        <v>4610245.990011109</v>
      </c>
      <c r="DQ11" s="1">
        <v>4474170.101639783</v>
      </c>
      <c r="DR11" s="1">
        <v>4263176.835408817</v>
      </c>
      <c r="DS11" s="1">
        <v>4431839.6431778893</v>
      </c>
      <c r="DT11" s="1">
        <v>4394964.8585592927</v>
      </c>
      <c r="DU11" s="1">
        <v>4453841.1337656165</v>
      </c>
      <c r="DV11" s="1">
        <v>4405256.2984838085</v>
      </c>
      <c r="DW11" s="1">
        <v>4455687.8350348901</v>
      </c>
      <c r="DX11" s="1">
        <v>4451898.0866953116</v>
      </c>
      <c r="DY11" s="1">
        <v>4597930.78282905</v>
      </c>
      <c r="DZ11" s="1">
        <v>4435371.7233411614</v>
      </c>
      <c r="EA11" s="1">
        <v>4342242.3063816112</v>
      </c>
      <c r="EB11" s="1">
        <v>4276199.6927836277</v>
      </c>
      <c r="EC11" s="1">
        <v>4181561.8220876111</v>
      </c>
      <c r="ED11" s="1">
        <v>4153278.7576441281</v>
      </c>
      <c r="EE11" s="1">
        <v>4160285.7888169941</v>
      </c>
      <c r="EF11" s="1">
        <v>4075446.1418062318</v>
      </c>
      <c r="EG11" s="1">
        <v>4002179.803947174</v>
      </c>
      <c r="EH11" s="1">
        <v>4048645.0336456122</v>
      </c>
      <c r="EI11" s="1">
        <v>4087459.3193039196</v>
      </c>
      <c r="EJ11" s="1">
        <v>4204165.3542140201</v>
      </c>
      <c r="EK11" s="1">
        <v>3986248.5599014079</v>
      </c>
      <c r="EL11" s="1">
        <v>3964918.7905480885</v>
      </c>
      <c r="EM11" s="1">
        <v>3938313.0201667994</v>
      </c>
      <c r="EN11" s="1">
        <v>3886512.3133996623</v>
      </c>
      <c r="EO11" s="1">
        <v>3774403.8112545144</v>
      </c>
      <c r="EP11" s="1">
        <v>3807930.1474291226</v>
      </c>
      <c r="EQ11" s="1">
        <v>3745925.1733937087</v>
      </c>
      <c r="ER11" s="1">
        <v>3778377.3571682461</v>
      </c>
      <c r="ES11" s="1">
        <v>3703857.7582507925</v>
      </c>
      <c r="ET11" s="1">
        <v>3874152.492343198</v>
      </c>
      <c r="EU11" s="1">
        <v>3852085.0153991971</v>
      </c>
      <c r="EV11" s="1">
        <v>3698652.6947882152</v>
      </c>
      <c r="EW11" s="1">
        <v>3615562.8763154093</v>
      </c>
      <c r="EX11" s="1">
        <v>3551595.7764052483</v>
      </c>
      <c r="EY11" s="1">
        <v>3474673.8795655491</v>
      </c>
      <c r="EZ11" s="1">
        <v>3313633.0709568989</v>
      </c>
      <c r="FA11" s="1">
        <v>3462063.7250762368</v>
      </c>
      <c r="FB11" s="1">
        <v>3310031.4383949675</v>
      </c>
      <c r="FC11" s="1">
        <v>3352673.1427700734</v>
      </c>
      <c r="FD11" s="1">
        <v>3362062.010458536</v>
      </c>
      <c r="FE11" s="1">
        <v>3273990.2732994463</v>
      </c>
      <c r="FF11" s="1">
        <v>3245005.3689830801</v>
      </c>
      <c r="FG11" s="1">
        <v>3301276.9358713785</v>
      </c>
      <c r="FH11" s="1">
        <v>3355361.4672583519</v>
      </c>
      <c r="FI11" s="1">
        <v>3453110.3517426881</v>
      </c>
      <c r="FJ11" s="1">
        <v>3407746.8628279269</v>
      </c>
      <c r="FK11" s="1">
        <v>3255953.7604028331</v>
      </c>
      <c r="FL11" s="1">
        <v>3139758.5191107462</v>
      </c>
      <c r="FM11" s="1">
        <v>3133426.8935432127</v>
      </c>
      <c r="FN11" s="1">
        <v>3177444.1424079482</v>
      </c>
      <c r="FO11" s="1">
        <v>3192245.0977840284</v>
      </c>
      <c r="FP11" s="1">
        <v>3183377.5683785854</v>
      </c>
      <c r="FQ11" s="1">
        <v>3150111.5340259802</v>
      </c>
      <c r="FR11" s="1">
        <v>3279070.3455422902</v>
      </c>
      <c r="FS11" s="1">
        <v>3347518.2136787269</v>
      </c>
      <c r="FT11" s="1">
        <v>3325147.2917856481</v>
      </c>
      <c r="FU11" s="1">
        <v>3245570.379751388</v>
      </c>
      <c r="FV11" s="1">
        <v>3180909.2429702953</v>
      </c>
      <c r="FW11" s="1">
        <v>3040273.2892909497</v>
      </c>
      <c r="FX11" s="1">
        <v>2925483.3954644646</v>
      </c>
      <c r="FY11" s="1">
        <v>2914512.1420871392</v>
      </c>
      <c r="FZ11" s="1">
        <v>2989701.0214514183</v>
      </c>
      <c r="GA11" s="1">
        <v>3078030.9416230875</v>
      </c>
      <c r="GB11" s="1">
        <v>3075143.828241176</v>
      </c>
      <c r="GC11" s="1">
        <v>3038589.6367673334</v>
      </c>
      <c r="GD11" s="1">
        <v>3130990.4000977827</v>
      </c>
      <c r="GE11" s="1">
        <v>3139200.0032815756</v>
      </c>
      <c r="GF11" s="1">
        <v>3232884.318519895</v>
      </c>
      <c r="GG11" s="1">
        <v>3189871.9006473133</v>
      </c>
      <c r="GH11" s="1">
        <v>3115643.9462620728</v>
      </c>
      <c r="GI11" s="1">
        <v>2975341.1017448455</v>
      </c>
      <c r="GJ11" s="1">
        <v>3094404.2424166501</v>
      </c>
      <c r="GK11" s="1">
        <v>3055899.4615998734</v>
      </c>
      <c r="GL11" s="1">
        <v>3105266.4825561433</v>
      </c>
      <c r="GM11" s="1">
        <v>3163048.1026467727</v>
      </c>
      <c r="GN11" s="1">
        <v>3097145.4874151824</v>
      </c>
      <c r="GO11" s="1">
        <v>3826590.9888835829</v>
      </c>
      <c r="GP11" s="1">
        <v>5091863.1945012417</v>
      </c>
      <c r="GQ11" s="1">
        <v>4738431.457556149</v>
      </c>
      <c r="GR11" s="1">
        <v>4749077.8882055841</v>
      </c>
      <c r="GS11" s="1">
        <v>4405706.3249189407</v>
      </c>
      <c r="GT11" s="1">
        <v>4308991.4143835865</v>
      </c>
      <c r="GU11" s="1">
        <v>3831396.286809396</v>
      </c>
      <c r="GV11" s="1">
        <v>3735433.7999120015</v>
      </c>
      <c r="GW11" s="1">
        <v>3833795.6035835259</v>
      </c>
      <c r="GX11" s="1">
        <v>4015572.4252053918</v>
      </c>
      <c r="GY11" s="1">
        <v>3968480.8808518006</v>
      </c>
      <c r="GZ11" s="1">
        <v>4085350.7633315199</v>
      </c>
      <c r="HA11" s="1" t="str">
        <f t="shared" ref="GZ11:JH14" si="2">IF(GZ11="","","")</f>
        <v/>
      </c>
      <c r="HB11" s="1" t="str">
        <f t="shared" si="2"/>
        <v/>
      </c>
      <c r="HC11" s="1" t="str">
        <f t="shared" si="2"/>
        <v/>
      </c>
      <c r="HD11" s="1" t="str">
        <f t="shared" si="2"/>
        <v/>
      </c>
      <c r="HE11" s="1" t="str">
        <f t="shared" si="2"/>
        <v/>
      </c>
      <c r="HF11" s="1" t="str">
        <f t="shared" si="2"/>
        <v/>
      </c>
      <c r="HG11" s="1" t="str">
        <f t="shared" si="2"/>
        <v/>
      </c>
      <c r="HH11" s="1" t="str">
        <f t="shared" si="2"/>
        <v/>
      </c>
      <c r="HI11" s="1" t="str">
        <f t="shared" si="2"/>
        <v/>
      </c>
      <c r="HJ11" s="1" t="str">
        <f t="shared" si="2"/>
        <v/>
      </c>
      <c r="HK11" s="1" t="str">
        <f t="shared" si="2"/>
        <v/>
      </c>
      <c r="HL11" s="1" t="str">
        <f t="shared" si="2"/>
        <v/>
      </c>
      <c r="HM11" s="1" t="str">
        <f t="shared" si="2"/>
        <v/>
      </c>
      <c r="HN11" s="1" t="str">
        <f t="shared" si="2"/>
        <v/>
      </c>
      <c r="HO11" s="1" t="str">
        <f t="shared" si="2"/>
        <v/>
      </c>
      <c r="HP11" s="1" t="str">
        <f t="shared" si="2"/>
        <v/>
      </c>
      <c r="HQ11" s="1" t="str">
        <f t="shared" si="2"/>
        <v/>
      </c>
      <c r="HR11" s="1" t="str">
        <f t="shared" si="2"/>
        <v/>
      </c>
      <c r="HS11" s="1" t="str">
        <f t="shared" si="2"/>
        <v/>
      </c>
      <c r="HT11" s="1" t="str">
        <f t="shared" si="2"/>
        <v/>
      </c>
      <c r="HU11" s="1" t="str">
        <f t="shared" si="2"/>
        <v/>
      </c>
      <c r="HV11" s="1" t="str">
        <f t="shared" si="2"/>
        <v/>
      </c>
      <c r="HW11" s="1" t="str">
        <f t="shared" si="2"/>
        <v/>
      </c>
      <c r="HX11" s="1" t="str">
        <f t="shared" si="2"/>
        <v/>
      </c>
      <c r="HY11" s="1" t="str">
        <f t="shared" si="2"/>
        <v/>
      </c>
      <c r="HZ11" s="1" t="str">
        <f t="shared" si="2"/>
        <v/>
      </c>
      <c r="IA11" s="1" t="str">
        <f t="shared" si="2"/>
        <v/>
      </c>
      <c r="IB11" s="1" t="str">
        <f t="shared" si="2"/>
        <v/>
      </c>
      <c r="IC11" s="1" t="str">
        <f t="shared" si="2"/>
        <v/>
      </c>
      <c r="ID11" s="1" t="str">
        <f t="shared" si="2"/>
        <v/>
      </c>
      <c r="IE11" s="1" t="str">
        <f t="shared" si="2"/>
        <v/>
      </c>
      <c r="IF11" s="1" t="str">
        <f t="shared" si="2"/>
        <v/>
      </c>
      <c r="IG11" s="1" t="str">
        <f t="shared" si="2"/>
        <v/>
      </c>
      <c r="IH11" s="1" t="str">
        <f t="shared" si="2"/>
        <v/>
      </c>
      <c r="II11" s="1" t="str">
        <f t="shared" si="2"/>
        <v/>
      </c>
      <c r="IJ11" s="1" t="str">
        <f t="shared" si="2"/>
        <v/>
      </c>
      <c r="IK11" s="1" t="str">
        <f t="shared" si="2"/>
        <v/>
      </c>
      <c r="IL11" s="1" t="str">
        <f t="shared" si="2"/>
        <v/>
      </c>
      <c r="IM11" s="1" t="str">
        <f t="shared" si="2"/>
        <v/>
      </c>
      <c r="IN11" s="1" t="str">
        <f t="shared" si="2"/>
        <v/>
      </c>
      <c r="IO11" s="1" t="str">
        <f t="shared" si="2"/>
        <v/>
      </c>
      <c r="IP11" s="1" t="str">
        <f t="shared" si="2"/>
        <v/>
      </c>
      <c r="IQ11" s="1" t="str">
        <f t="shared" si="2"/>
        <v/>
      </c>
      <c r="IR11" s="1" t="str">
        <f t="shared" si="2"/>
        <v/>
      </c>
      <c r="IS11" s="1" t="str">
        <f t="shared" si="2"/>
        <v/>
      </c>
      <c r="IT11" s="1" t="str">
        <f t="shared" si="2"/>
        <v/>
      </c>
      <c r="IU11" s="1" t="str">
        <f t="shared" si="2"/>
        <v/>
      </c>
      <c r="IV11" s="1" t="str">
        <f t="shared" si="2"/>
        <v/>
      </c>
      <c r="IW11" s="1" t="str">
        <f t="shared" si="2"/>
        <v/>
      </c>
      <c r="IX11" s="1" t="str">
        <f t="shared" si="2"/>
        <v/>
      </c>
      <c r="IY11" s="1" t="str">
        <f t="shared" si="2"/>
        <v/>
      </c>
      <c r="IZ11" s="1" t="str">
        <f t="shared" si="2"/>
        <v/>
      </c>
      <c r="JA11" s="1" t="str">
        <f t="shared" si="2"/>
        <v/>
      </c>
      <c r="JB11" s="1" t="str">
        <f t="shared" si="2"/>
        <v/>
      </c>
      <c r="JC11" s="1" t="str">
        <f t="shared" si="2"/>
        <v/>
      </c>
      <c r="JD11" s="1" t="str">
        <f t="shared" si="2"/>
        <v/>
      </c>
      <c r="JE11" s="1" t="str">
        <f t="shared" si="2"/>
        <v/>
      </c>
      <c r="JF11" s="1" t="str">
        <f t="shared" si="2"/>
        <v/>
      </c>
      <c r="JG11" s="1" t="str">
        <f t="shared" si="2"/>
        <v/>
      </c>
      <c r="JH11" s="1" t="str">
        <f t="shared" si="2"/>
        <v/>
      </c>
      <c r="LY11" s="1"/>
    </row>
    <row r="12" spans="1:337" x14ac:dyDescent="0.25">
      <c r="A12" s="5">
        <v>10</v>
      </c>
      <c r="B12" s="1">
        <v>2198999.8546104208</v>
      </c>
      <c r="C12" s="1">
        <v>2226814.4294483131</v>
      </c>
      <c r="D12" s="1">
        <v>2210001.0672885356</v>
      </c>
      <c r="E12" s="1">
        <v>2259563.0989421289</v>
      </c>
      <c r="F12" s="1">
        <v>2267759.6510617319</v>
      </c>
      <c r="G12" s="1">
        <v>2233448.4266663585</v>
      </c>
      <c r="H12" s="1">
        <v>2195118.6553980317</v>
      </c>
      <c r="I12" s="1">
        <v>2124190.5571244601</v>
      </c>
      <c r="J12" s="1">
        <v>2087197.7514377616</v>
      </c>
      <c r="K12" s="1">
        <v>2032735.1875683814</v>
      </c>
      <c r="L12" s="1">
        <v>2045540.4726847634</v>
      </c>
      <c r="M12" s="1">
        <v>2026073.8561511433</v>
      </c>
      <c r="N12" s="1">
        <v>2028244.215296031</v>
      </c>
      <c r="O12" s="1">
        <v>2054019.0497394279</v>
      </c>
      <c r="P12" s="1">
        <v>2050220.8479914684</v>
      </c>
      <c r="Q12" s="1">
        <v>2143950.767221069</v>
      </c>
      <c r="R12" s="1">
        <v>2156097.9179242016</v>
      </c>
      <c r="S12" s="1">
        <v>2079385.8346060957</v>
      </c>
      <c r="T12" s="1">
        <v>2027893.8705879846</v>
      </c>
      <c r="U12" s="1">
        <v>2011604.4000347028</v>
      </c>
      <c r="V12" s="1">
        <v>2005454.2364356613</v>
      </c>
      <c r="W12" s="1">
        <v>1979313.8990701637</v>
      </c>
      <c r="X12" s="1">
        <v>2003867.6397811936</v>
      </c>
      <c r="Y12" s="1">
        <v>2004481.1012866125</v>
      </c>
      <c r="Z12" s="1">
        <v>2046208.4552047597</v>
      </c>
      <c r="AA12" s="1">
        <v>2095129.8874312686</v>
      </c>
      <c r="AB12" s="1">
        <v>2106633.8384008799</v>
      </c>
      <c r="AC12" s="1">
        <v>2181013.7989915763</v>
      </c>
      <c r="AD12" s="1">
        <v>2140596.7341647977</v>
      </c>
      <c r="AE12" s="1">
        <v>2107957.0920156813</v>
      </c>
      <c r="AF12" s="1">
        <v>2056717.3616007371</v>
      </c>
      <c r="AG12" s="1">
        <v>1998145.4508748893</v>
      </c>
      <c r="AH12" s="1">
        <v>1950249.8088187808</v>
      </c>
      <c r="AI12" s="1">
        <v>1927646.3872065037</v>
      </c>
      <c r="AJ12" s="1">
        <v>1921496.1410588673</v>
      </c>
      <c r="AK12" s="1">
        <v>1894266.5688567064</v>
      </c>
      <c r="AL12" s="1">
        <v>1918493.7454834329</v>
      </c>
      <c r="AM12" s="1">
        <v>1942176.7490456179</v>
      </c>
      <c r="AN12" s="1">
        <v>1947248.8401612449</v>
      </c>
      <c r="AO12" s="1">
        <v>2035455.871801869</v>
      </c>
      <c r="AP12" s="1">
        <v>2060926.7763040275</v>
      </c>
      <c r="AQ12" s="1">
        <v>2071551.5699720103</v>
      </c>
      <c r="AR12" s="1">
        <v>2061591.3910904489</v>
      </c>
      <c r="AS12" s="1">
        <v>2011229.5198804094</v>
      </c>
      <c r="AT12" s="1">
        <v>2010439.6138971327</v>
      </c>
      <c r="AU12" s="1">
        <v>1991651.6956715449</v>
      </c>
      <c r="AV12" s="1">
        <v>2022974.0532299916</v>
      </c>
      <c r="AW12" s="1">
        <v>2023116.8754470297</v>
      </c>
      <c r="AX12" s="1">
        <v>2086739.1475481994</v>
      </c>
      <c r="AY12" s="1">
        <v>2190388.3194982908</v>
      </c>
      <c r="AZ12" s="1">
        <v>2345003.8444301477</v>
      </c>
      <c r="BA12" s="1">
        <v>2392564.0491830772</v>
      </c>
      <c r="BB12" s="1">
        <v>2757617.5988300145</v>
      </c>
      <c r="BC12" s="1">
        <v>3004547.7684578234</v>
      </c>
      <c r="BD12" s="1">
        <v>2895110.5697318241</v>
      </c>
      <c r="BE12" s="1">
        <v>2980923.8520250344</v>
      </c>
      <c r="BF12" s="1">
        <v>3184349.847509562</v>
      </c>
      <c r="BG12" s="1">
        <v>3344940.2979183188</v>
      </c>
      <c r="BH12" s="1">
        <v>3706069.6578756967</v>
      </c>
      <c r="BI12" s="1">
        <v>4111358.3878982617</v>
      </c>
      <c r="BJ12" s="1">
        <v>4422086.4377291603</v>
      </c>
      <c r="BK12" s="1">
        <v>4609446.901400283</v>
      </c>
      <c r="BL12" s="1">
        <v>4927193.2399378819</v>
      </c>
      <c r="BM12" s="1">
        <v>5191838.1668913402</v>
      </c>
      <c r="BN12" s="1">
        <v>5068781.4705178514</v>
      </c>
      <c r="BO12" s="1">
        <v>4820419.5641770829</v>
      </c>
      <c r="BP12" s="1">
        <v>4464378.3173439354</v>
      </c>
      <c r="BQ12" s="1">
        <v>4017844.020859709</v>
      </c>
      <c r="BR12" s="1">
        <v>4073369.2917839717</v>
      </c>
      <c r="BS12" s="1">
        <v>4281737.4710519537</v>
      </c>
      <c r="BT12" s="1">
        <v>4231124.1150688566</v>
      </c>
      <c r="BU12" s="1">
        <v>4040051.9995757346</v>
      </c>
      <c r="BV12" s="1">
        <v>4183051.378246082</v>
      </c>
      <c r="BW12" s="1">
        <v>4371925.5855151033</v>
      </c>
      <c r="BX12" s="1">
        <v>4538861.1409971416</v>
      </c>
      <c r="BY12" s="1">
        <v>4644389.1687109563</v>
      </c>
      <c r="BZ12" s="1">
        <v>4641162.7914524665</v>
      </c>
      <c r="CA12" s="1">
        <v>4454645.8994640354</v>
      </c>
      <c r="CB12" s="1">
        <v>4183810.1481721117</v>
      </c>
      <c r="CC12" s="1">
        <v>3966366.760523553</v>
      </c>
      <c r="CD12" s="1">
        <v>4171831.2556473147</v>
      </c>
      <c r="CE12" s="1">
        <v>4229463.141903108</v>
      </c>
      <c r="CF12" s="1">
        <v>4264194.9840629604</v>
      </c>
      <c r="CG12" s="1">
        <v>4151253.0331818564</v>
      </c>
      <c r="CH12" s="1">
        <v>3950608.8985264958</v>
      </c>
      <c r="CI12" s="1">
        <v>4321563.1808514502</v>
      </c>
      <c r="CJ12" s="1">
        <v>4445012.5896437429</v>
      </c>
      <c r="CK12" s="1">
        <v>4576849.1401521042</v>
      </c>
      <c r="CL12" s="1">
        <v>4461775.1042394061</v>
      </c>
      <c r="CM12" s="1">
        <v>4440347.8935665637</v>
      </c>
      <c r="CN12" s="1">
        <v>4383037.933755016</v>
      </c>
      <c r="CO12" s="1">
        <v>4251561.8568094373</v>
      </c>
      <c r="CP12" s="1">
        <v>4250850.3700637612</v>
      </c>
      <c r="CQ12" s="1">
        <v>4527583.0821316093</v>
      </c>
      <c r="CR12" s="1">
        <v>4703787.3677910389</v>
      </c>
      <c r="CS12" s="1">
        <v>4668928.6959278937</v>
      </c>
      <c r="CT12" s="1">
        <v>4636802.2903033542</v>
      </c>
      <c r="CU12" s="1">
        <v>4914929.4306683373</v>
      </c>
      <c r="CV12" s="1">
        <v>5062417.4644223917</v>
      </c>
      <c r="CW12" s="1">
        <v>5160800.9071745388</v>
      </c>
      <c r="CX12" s="1">
        <v>5268101.6033717031</v>
      </c>
      <c r="CY12" s="1">
        <v>5319974.9679628899</v>
      </c>
      <c r="CZ12" s="1">
        <v>5120792.1901099291</v>
      </c>
      <c r="DA12" s="1">
        <v>5110411.6702128286</v>
      </c>
      <c r="DB12" s="1">
        <v>4933215.0118824448</v>
      </c>
      <c r="DC12" s="1">
        <v>4942681.3927805787</v>
      </c>
      <c r="DD12" s="1">
        <v>5108187.9181628451</v>
      </c>
      <c r="DE12" s="1">
        <v>5101694.7355141127</v>
      </c>
      <c r="DF12" s="1">
        <v>4913994.7623378113</v>
      </c>
      <c r="DG12" s="1">
        <v>4986729.6327419542</v>
      </c>
      <c r="DH12" s="1">
        <v>4981606.3470122209</v>
      </c>
      <c r="DI12" s="1">
        <v>5092948.8569209538</v>
      </c>
      <c r="DJ12" s="1">
        <v>5125301.1590960063</v>
      </c>
      <c r="DK12" s="1">
        <v>5061932.4699533377</v>
      </c>
      <c r="DL12" s="1">
        <v>4873016.5700813225</v>
      </c>
      <c r="DM12" s="1">
        <v>4736434.5916317943</v>
      </c>
      <c r="DN12" s="1">
        <v>4644632.01455318</v>
      </c>
      <c r="DO12" s="1">
        <v>4581959.1569021195</v>
      </c>
      <c r="DP12" s="1">
        <v>4638889.7081321701</v>
      </c>
      <c r="DQ12" s="1">
        <v>4492428.0000916412</v>
      </c>
      <c r="DR12" s="1">
        <v>4299245.4531694986</v>
      </c>
      <c r="DS12" s="1">
        <v>4444798.9751057196</v>
      </c>
      <c r="DT12" s="1">
        <v>4341525.0039912593</v>
      </c>
      <c r="DU12" s="1">
        <v>4571030.5142211281</v>
      </c>
      <c r="DV12" s="1">
        <v>4417483.4159498233</v>
      </c>
      <c r="DW12" s="1">
        <v>4434104.1862751814</v>
      </c>
      <c r="DX12" s="1">
        <v>4363314.284362793</v>
      </c>
      <c r="DY12" s="1">
        <v>4487972.4097998459</v>
      </c>
      <c r="DZ12" s="1">
        <v>4332061.9469002793</v>
      </c>
      <c r="EA12" s="1">
        <v>4283966.3759678602</v>
      </c>
      <c r="EB12" s="1">
        <v>4293696.706802682</v>
      </c>
      <c r="EC12" s="1">
        <v>4193582.8895685491</v>
      </c>
      <c r="ED12" s="1">
        <v>4214889.7949241819</v>
      </c>
      <c r="EE12" s="1">
        <v>4179835.0550471088</v>
      </c>
      <c r="EF12" s="1">
        <v>4021367.7787979273</v>
      </c>
      <c r="EG12" s="1">
        <v>4088882.2107879375</v>
      </c>
      <c r="EH12" s="1">
        <v>4053573.5795836872</v>
      </c>
      <c r="EI12" s="1">
        <v>4047592.110572286</v>
      </c>
      <c r="EJ12" s="1">
        <v>4115481.1216674279</v>
      </c>
      <c r="EK12" s="1">
        <v>3891970.2435256033</v>
      </c>
      <c r="EL12" s="1">
        <v>3879396.094234996</v>
      </c>
      <c r="EM12" s="1">
        <v>3882335.0851690946</v>
      </c>
      <c r="EN12" s="1">
        <v>3910865.548921112</v>
      </c>
      <c r="EO12" s="1">
        <v>3789595.7976221349</v>
      </c>
      <c r="EP12" s="1">
        <v>3891958.8624608261</v>
      </c>
      <c r="EQ12" s="1">
        <v>3751027.1711568851</v>
      </c>
      <c r="ER12" s="1">
        <v>3723492.9085615613</v>
      </c>
      <c r="ES12" s="1">
        <v>3772325.7584745996</v>
      </c>
      <c r="ET12" s="1">
        <v>3884760.7509196652</v>
      </c>
      <c r="EU12" s="1">
        <v>3810860.0732081314</v>
      </c>
      <c r="EV12" s="1">
        <v>3601575.3862015279</v>
      </c>
      <c r="EW12" s="1">
        <v>3511519.9782971325</v>
      </c>
      <c r="EX12" s="1">
        <v>3448174.4353846377</v>
      </c>
      <c r="EY12" s="1">
        <v>3414285.7964180387</v>
      </c>
      <c r="EZ12" s="1">
        <v>3323782.4123774841</v>
      </c>
      <c r="FA12" s="1">
        <v>3487053.4590674532</v>
      </c>
      <c r="FB12" s="1">
        <v>3359816.6131068743</v>
      </c>
      <c r="FC12" s="1">
        <v>3363273.8709512954</v>
      </c>
      <c r="FD12" s="1">
        <v>3290145.6386339921</v>
      </c>
      <c r="FE12" s="1">
        <v>3349335.6356963934</v>
      </c>
      <c r="FF12" s="1">
        <v>3243638.0325651779</v>
      </c>
      <c r="FG12" s="1">
        <v>3252869.3908136897</v>
      </c>
      <c r="FH12" s="1">
        <v>3261274.0804537828</v>
      </c>
      <c r="FI12" s="1">
        <v>3354983.0557140503</v>
      </c>
      <c r="FJ12" s="1">
        <v>3323348.3167823628</v>
      </c>
      <c r="FK12" s="1">
        <v>3216834.1970674312</v>
      </c>
      <c r="FL12" s="1">
        <v>3171553.1188563704</v>
      </c>
      <c r="FM12" s="1">
        <v>3165417.6716027642</v>
      </c>
      <c r="FN12" s="1">
        <v>3238426.2141331676</v>
      </c>
      <c r="FO12" s="1">
        <v>3205437.0347986333</v>
      </c>
      <c r="FP12" s="1">
        <v>3117474.0430609798</v>
      </c>
      <c r="FQ12" s="1">
        <v>3219531.1446802951</v>
      </c>
      <c r="FR12" s="1">
        <v>3280034.9187914021</v>
      </c>
      <c r="FS12" s="1">
        <v>3318187.8242946686</v>
      </c>
      <c r="FT12" s="1">
        <v>3239967.96228744</v>
      </c>
      <c r="FU12" s="1">
        <v>3167762.2771553332</v>
      </c>
      <c r="FV12" s="1">
        <v>3109982.6105348482</v>
      </c>
      <c r="FW12" s="1">
        <v>3000670.4790082821</v>
      </c>
      <c r="FX12" s="1">
        <v>2957615.8451003991</v>
      </c>
      <c r="FY12" s="1">
        <v>2941642.2019577981</v>
      </c>
      <c r="FZ12" s="1">
        <v>3047458.5462411484</v>
      </c>
      <c r="GA12" s="1">
        <v>3096534.1711893342</v>
      </c>
      <c r="GB12" s="1">
        <v>3024341.5828593615</v>
      </c>
      <c r="GC12" s="1">
        <v>3120579.238485618</v>
      </c>
      <c r="GD12" s="1">
        <v>3135148.9364582896</v>
      </c>
      <c r="GE12" s="1">
        <v>3100350.2857079897</v>
      </c>
      <c r="GF12" s="1">
        <v>3153557.0471750712</v>
      </c>
      <c r="GG12" s="1">
        <v>3113592.4132339703</v>
      </c>
      <c r="GH12" s="1">
        <v>3064039.6974044489</v>
      </c>
      <c r="GI12" s="1">
        <v>2952444.2302534161</v>
      </c>
      <c r="GJ12" s="1">
        <v>3120965.6184491361</v>
      </c>
      <c r="GK12" s="1">
        <v>3088631.6071407832</v>
      </c>
      <c r="GL12" s="1">
        <v>3193458.8152919076</v>
      </c>
      <c r="GM12" s="1">
        <v>3191816.2725285492</v>
      </c>
      <c r="GN12" s="1">
        <v>3061175.5975967813</v>
      </c>
      <c r="GO12" s="1">
        <v>3919949.7673576763</v>
      </c>
      <c r="GP12" s="1">
        <v>5167666.5077359006</v>
      </c>
      <c r="GQ12" s="1">
        <v>4803170.8119405638</v>
      </c>
      <c r="GR12" s="1">
        <v>4770304.863116391</v>
      </c>
      <c r="GS12" s="1">
        <v>4368540.5750903487</v>
      </c>
      <c r="GT12" s="1">
        <v>4261704.1337174866</v>
      </c>
      <c r="GU12" s="1">
        <v>3805102.7967372295</v>
      </c>
      <c r="GV12" s="1">
        <v>3778594.0938617531</v>
      </c>
      <c r="GW12" s="1">
        <v>3863662.2356163869</v>
      </c>
      <c r="GX12" s="1">
        <v>4070024.083490259</v>
      </c>
      <c r="GY12" s="1">
        <v>4002628.7278897301</v>
      </c>
      <c r="GZ12" s="1">
        <v>4088439.4436985198</v>
      </c>
      <c r="HA12" s="1" t="str">
        <f t="shared" si="2"/>
        <v/>
      </c>
      <c r="HB12" s="1" t="str">
        <f t="shared" si="2"/>
        <v/>
      </c>
      <c r="HC12" s="1" t="str">
        <f t="shared" si="2"/>
        <v/>
      </c>
      <c r="HD12" s="1" t="str">
        <f t="shared" si="2"/>
        <v/>
      </c>
      <c r="HE12" s="1" t="str">
        <f t="shared" si="2"/>
        <v/>
      </c>
      <c r="HF12" s="1" t="str">
        <f t="shared" si="2"/>
        <v/>
      </c>
      <c r="HG12" s="1" t="str">
        <f t="shared" si="2"/>
        <v/>
      </c>
      <c r="HH12" s="1" t="str">
        <f t="shared" si="2"/>
        <v/>
      </c>
      <c r="HI12" s="1" t="str">
        <f t="shared" si="2"/>
        <v/>
      </c>
      <c r="HJ12" s="1" t="str">
        <f t="shared" si="2"/>
        <v/>
      </c>
      <c r="HK12" s="1" t="str">
        <f t="shared" si="2"/>
        <v/>
      </c>
      <c r="HL12" s="1" t="str">
        <f t="shared" si="2"/>
        <v/>
      </c>
      <c r="HM12" s="1" t="str">
        <f t="shared" si="2"/>
        <v/>
      </c>
      <c r="HN12" s="1" t="str">
        <f t="shared" si="2"/>
        <v/>
      </c>
      <c r="HO12" s="1" t="str">
        <f t="shared" si="2"/>
        <v/>
      </c>
      <c r="HP12" s="1" t="str">
        <f t="shared" si="2"/>
        <v/>
      </c>
      <c r="HQ12" s="1" t="str">
        <f t="shared" si="2"/>
        <v/>
      </c>
      <c r="HR12" s="1" t="str">
        <f t="shared" si="2"/>
        <v/>
      </c>
      <c r="HS12" s="1" t="str">
        <f t="shared" si="2"/>
        <v/>
      </c>
      <c r="HT12" s="1" t="str">
        <f t="shared" si="2"/>
        <v/>
      </c>
      <c r="HU12" s="1" t="str">
        <f t="shared" si="2"/>
        <v/>
      </c>
      <c r="HV12" s="1" t="str">
        <f t="shared" si="2"/>
        <v/>
      </c>
      <c r="HW12" s="1" t="str">
        <f t="shared" si="2"/>
        <v/>
      </c>
      <c r="HX12" s="1" t="str">
        <f t="shared" si="2"/>
        <v/>
      </c>
      <c r="HY12" s="1" t="str">
        <f t="shared" si="2"/>
        <v/>
      </c>
      <c r="HZ12" s="1" t="str">
        <f t="shared" si="2"/>
        <v/>
      </c>
      <c r="IA12" s="1" t="str">
        <f t="shared" si="2"/>
        <v/>
      </c>
      <c r="IB12" s="1" t="str">
        <f t="shared" si="2"/>
        <v/>
      </c>
      <c r="IC12" s="1" t="str">
        <f t="shared" si="2"/>
        <v/>
      </c>
      <c r="ID12" s="1" t="str">
        <f t="shared" si="2"/>
        <v/>
      </c>
      <c r="IE12" s="1" t="str">
        <f t="shared" si="2"/>
        <v/>
      </c>
      <c r="IF12" s="1" t="str">
        <f t="shared" si="2"/>
        <v/>
      </c>
      <c r="IG12" s="1" t="str">
        <f t="shared" si="2"/>
        <v/>
      </c>
      <c r="IH12" s="1" t="str">
        <f t="shared" si="2"/>
        <v/>
      </c>
      <c r="II12" s="1" t="str">
        <f t="shared" si="2"/>
        <v/>
      </c>
      <c r="IJ12" s="1" t="str">
        <f t="shared" si="2"/>
        <v/>
      </c>
      <c r="IK12" s="1" t="str">
        <f t="shared" si="2"/>
        <v/>
      </c>
      <c r="IL12" s="1" t="str">
        <f t="shared" si="2"/>
        <v/>
      </c>
      <c r="IM12" s="1" t="str">
        <f t="shared" si="2"/>
        <v/>
      </c>
      <c r="IN12" s="1" t="str">
        <f t="shared" si="2"/>
        <v/>
      </c>
      <c r="IO12" s="1" t="str">
        <f t="shared" si="2"/>
        <v/>
      </c>
      <c r="IP12" s="1" t="str">
        <f t="shared" si="2"/>
        <v/>
      </c>
      <c r="IQ12" s="1" t="str">
        <f t="shared" si="2"/>
        <v/>
      </c>
      <c r="IR12" s="1" t="str">
        <f t="shared" si="2"/>
        <v/>
      </c>
      <c r="IS12" s="1" t="str">
        <f t="shared" si="2"/>
        <v/>
      </c>
      <c r="IT12" s="1" t="str">
        <f t="shared" si="2"/>
        <v/>
      </c>
      <c r="IU12" s="1" t="str">
        <f t="shared" si="2"/>
        <v/>
      </c>
      <c r="IV12" s="1" t="str">
        <f t="shared" si="2"/>
        <v/>
      </c>
      <c r="IW12" s="1" t="str">
        <f t="shared" si="2"/>
        <v/>
      </c>
      <c r="IX12" s="1" t="str">
        <f t="shared" si="2"/>
        <v/>
      </c>
      <c r="IY12" s="1" t="str">
        <f t="shared" si="2"/>
        <v/>
      </c>
      <c r="IZ12" s="1" t="str">
        <f t="shared" si="2"/>
        <v/>
      </c>
      <c r="JA12" s="1" t="str">
        <f t="shared" si="2"/>
        <v/>
      </c>
      <c r="JB12" s="1" t="str">
        <f t="shared" si="2"/>
        <v/>
      </c>
      <c r="JC12" s="1" t="str">
        <f t="shared" si="2"/>
        <v/>
      </c>
      <c r="JD12" s="1" t="str">
        <f t="shared" si="2"/>
        <v/>
      </c>
      <c r="JE12" s="1" t="str">
        <f t="shared" si="2"/>
        <v/>
      </c>
      <c r="JF12" s="1" t="str">
        <f t="shared" si="2"/>
        <v/>
      </c>
      <c r="JG12" s="1" t="str">
        <f t="shared" si="2"/>
        <v/>
      </c>
      <c r="JH12" s="1" t="str">
        <f t="shared" si="2"/>
        <v/>
      </c>
      <c r="LY12" s="1"/>
    </row>
    <row r="13" spans="1:337" x14ac:dyDescent="0.25">
      <c r="A13" s="5">
        <v>11</v>
      </c>
      <c r="B13" s="1">
        <v>2250951.6139485007</v>
      </c>
      <c r="C13" s="1">
        <v>2252595.7572814357</v>
      </c>
      <c r="D13" s="1">
        <v>2270712.8542900784</v>
      </c>
      <c r="E13" s="1">
        <v>2260262.7239022832</v>
      </c>
      <c r="F13" s="1">
        <v>2232145.1398680429</v>
      </c>
      <c r="G13" s="1">
        <v>2192173.3212921685</v>
      </c>
      <c r="H13" s="1">
        <v>2132259.0303251082</v>
      </c>
      <c r="I13" s="1">
        <v>2085686.2544327294</v>
      </c>
      <c r="J13" s="1">
        <v>2061358.6059385883</v>
      </c>
      <c r="K13" s="1">
        <v>2062120.088897069</v>
      </c>
      <c r="L13" s="1">
        <v>2060364.2852483143</v>
      </c>
      <c r="M13" s="1">
        <v>2060556.7130693565</v>
      </c>
      <c r="N13" s="1">
        <v>2070856.1143210938</v>
      </c>
      <c r="O13" s="1">
        <v>2060783.5059963991</v>
      </c>
      <c r="P13" s="1">
        <v>2098250.3705429784</v>
      </c>
      <c r="Q13" s="1">
        <v>2134433.0654965439</v>
      </c>
      <c r="R13" s="1">
        <v>2124659.8548985049</v>
      </c>
      <c r="S13" s="1">
        <v>2031050.901317507</v>
      </c>
      <c r="T13" s="1">
        <v>1959650.9462409634</v>
      </c>
      <c r="U13" s="1">
        <v>1972712.411416084</v>
      </c>
      <c r="V13" s="1">
        <v>1994369.2623046469</v>
      </c>
      <c r="W13" s="1">
        <v>2007117.8011829709</v>
      </c>
      <c r="X13" s="1">
        <v>2011436.4833725709</v>
      </c>
      <c r="Y13" s="1">
        <v>2048537.8146410487</v>
      </c>
      <c r="Z13" s="1">
        <v>2091126.7021277435</v>
      </c>
      <c r="AA13" s="1">
        <v>2105465.9168749778</v>
      </c>
      <c r="AB13" s="1">
        <v>2170145.8334100209</v>
      </c>
      <c r="AC13" s="1">
        <v>2177605.4479700681</v>
      </c>
      <c r="AD13" s="1">
        <v>2114273.6718702558</v>
      </c>
      <c r="AE13" s="1">
        <v>2057531.8420701968</v>
      </c>
      <c r="AF13" s="1">
        <v>1990305.9031306407</v>
      </c>
      <c r="AG13" s="1">
        <v>1958945.385503449</v>
      </c>
      <c r="AH13" s="1">
        <v>1937177.2700250307</v>
      </c>
      <c r="AI13" s="1">
        <v>1956420.2456626166</v>
      </c>
      <c r="AJ13" s="1">
        <v>1921525.6406007982</v>
      </c>
      <c r="AK13" s="1">
        <v>1930541.8009335333</v>
      </c>
      <c r="AL13" s="1">
        <v>1955534.942566317</v>
      </c>
      <c r="AM13" s="1">
        <v>1943822.4986017307</v>
      </c>
      <c r="AN13" s="1">
        <v>2004818.1774742291</v>
      </c>
      <c r="AO13" s="1">
        <v>2031930.3233214873</v>
      </c>
      <c r="AP13" s="1">
        <v>2031546.1448985785</v>
      </c>
      <c r="AQ13" s="1">
        <v>2024326.8764423728</v>
      </c>
      <c r="AR13" s="1">
        <v>1994434.2165788475</v>
      </c>
      <c r="AS13" s="1">
        <v>1978274.1483455789</v>
      </c>
      <c r="AT13" s="1">
        <v>2004145.7596845708</v>
      </c>
      <c r="AU13" s="1">
        <v>2029904.5277708047</v>
      </c>
      <c r="AV13" s="1">
        <v>2020237.0040506204</v>
      </c>
      <c r="AW13" s="1">
        <v>2059617.5483099013</v>
      </c>
      <c r="AX13" s="1">
        <v>2129397.3917915616</v>
      </c>
      <c r="AY13" s="1">
        <v>2202286.9678597646</v>
      </c>
      <c r="AZ13" s="1">
        <v>2430029.0238732486</v>
      </c>
      <c r="BA13" s="1">
        <v>2403004.1184837511</v>
      </c>
      <c r="BB13" s="1">
        <v>2757586.9520593234</v>
      </c>
      <c r="BC13" s="1">
        <v>3029524.2996803336</v>
      </c>
      <c r="BD13" s="1">
        <v>2865708.5871552862</v>
      </c>
      <c r="BE13" s="1">
        <v>2992083.4673107285</v>
      </c>
      <c r="BF13" s="1">
        <v>3250810.6839844845</v>
      </c>
      <c r="BG13" s="1">
        <v>3448363.6306348387</v>
      </c>
      <c r="BH13" s="1">
        <v>3826367.466389427</v>
      </c>
      <c r="BI13" s="1">
        <v>4291175.0202971315</v>
      </c>
      <c r="BJ13" s="1">
        <v>4610504.0470685856</v>
      </c>
      <c r="BK13" s="1">
        <v>4780997.0042305635</v>
      </c>
      <c r="BL13" s="1">
        <v>5137533.8069024663</v>
      </c>
      <c r="BM13" s="1">
        <v>5363425.5124755427</v>
      </c>
      <c r="BN13" s="1">
        <v>5151831.4829436988</v>
      </c>
      <c r="BO13" s="1">
        <v>4838224.4923907351</v>
      </c>
      <c r="BP13" s="1">
        <v>4420931.2695551608</v>
      </c>
      <c r="BQ13" s="1">
        <v>3982794.3447457794</v>
      </c>
      <c r="BR13" s="1">
        <v>4081231.4324285104</v>
      </c>
      <c r="BS13" s="1">
        <v>4376416.6403636858</v>
      </c>
      <c r="BT13" s="1">
        <v>4290748.0112301512</v>
      </c>
      <c r="BU13" s="1">
        <v>4125238.6400893028</v>
      </c>
      <c r="BV13" s="1">
        <v>4297576.5566655435</v>
      </c>
      <c r="BW13" s="1">
        <v>4439893.3479429111</v>
      </c>
      <c r="BX13" s="1">
        <v>4639457.5037134141</v>
      </c>
      <c r="BY13" s="1">
        <v>4701211.510503497</v>
      </c>
      <c r="BZ13" s="1">
        <v>4669179.9973044479</v>
      </c>
      <c r="CA13" s="1">
        <v>4437829.3202638756</v>
      </c>
      <c r="CB13" s="1">
        <v>4116101.6653393786</v>
      </c>
      <c r="CC13" s="1">
        <v>3896128.2347491737</v>
      </c>
      <c r="CD13" s="1">
        <v>4114334.3817372038</v>
      </c>
      <c r="CE13" s="1">
        <v>4276048.7040168755</v>
      </c>
      <c r="CF13" s="1">
        <v>4300884.1641459055</v>
      </c>
      <c r="CG13" s="1">
        <v>4216453.5427411236</v>
      </c>
      <c r="CH13" s="1">
        <v>3990940.5923736999</v>
      </c>
      <c r="CI13" s="1">
        <v>4349671.7957062759</v>
      </c>
      <c r="CJ13" s="1">
        <v>4556062.1171643306</v>
      </c>
      <c r="CK13" s="1">
        <v>4630917.2057406455</v>
      </c>
      <c r="CL13" s="1">
        <v>4478117.8434542753</v>
      </c>
      <c r="CM13" s="1">
        <v>4402452.9959263932</v>
      </c>
      <c r="CN13" s="1">
        <v>4312273.8310335819</v>
      </c>
      <c r="CO13" s="1">
        <v>4195346.0494035818</v>
      </c>
      <c r="CP13" s="1">
        <v>4221671.6282742377</v>
      </c>
      <c r="CQ13" s="1">
        <v>4593155.2674651537</v>
      </c>
      <c r="CR13" s="1">
        <v>4774813.8283389919</v>
      </c>
      <c r="CS13" s="1">
        <v>4791773.8050584551</v>
      </c>
      <c r="CT13" s="1">
        <v>4695584.4426462539</v>
      </c>
      <c r="CU13" s="1">
        <v>4947169.0145637114</v>
      </c>
      <c r="CV13" s="1">
        <v>5235969.8503788356</v>
      </c>
      <c r="CW13" s="1">
        <v>5244724.2755147181</v>
      </c>
      <c r="CX13" s="1">
        <v>5309080.4564623851</v>
      </c>
      <c r="CY13" s="1">
        <v>5311995.0614449373</v>
      </c>
      <c r="CZ13" s="1">
        <v>5066661.1337117087</v>
      </c>
      <c r="DA13" s="1">
        <v>5033687.8121076971</v>
      </c>
      <c r="DB13" s="1">
        <v>4894135.7327779299</v>
      </c>
      <c r="DC13" s="1">
        <v>4999696.4260629397</v>
      </c>
      <c r="DD13" s="1">
        <v>5168270.6108498108</v>
      </c>
      <c r="DE13" s="1">
        <v>5183757.0991163868</v>
      </c>
      <c r="DF13" s="1">
        <v>4964289.989944011</v>
      </c>
      <c r="DG13" s="1">
        <v>4971649.0849229023</v>
      </c>
      <c r="DH13" s="1">
        <v>5095372.9119134098</v>
      </c>
      <c r="DI13" s="1">
        <v>5146871.8006724641</v>
      </c>
      <c r="DJ13" s="1">
        <v>5118108.1876206528</v>
      </c>
      <c r="DK13" s="1">
        <v>5015138.9352461658</v>
      </c>
      <c r="DL13" s="1">
        <v>4778219.4452550188</v>
      </c>
      <c r="DM13" s="1">
        <v>4647831.604183387</v>
      </c>
      <c r="DN13" s="1">
        <v>4579523.8012800403</v>
      </c>
      <c r="DO13" s="1">
        <v>4607193.1661461648</v>
      </c>
      <c r="DP13" s="1">
        <v>4672465.3744111843</v>
      </c>
      <c r="DQ13" s="1">
        <v>4578030.4303599037</v>
      </c>
      <c r="DR13" s="1">
        <v>4325207.4723950038</v>
      </c>
      <c r="DS13" s="1">
        <v>4392985.53696757</v>
      </c>
      <c r="DT13" s="1">
        <v>4458339.9061166449</v>
      </c>
      <c r="DU13" s="1">
        <v>4583456.3533948641</v>
      </c>
      <c r="DV13" s="1">
        <v>4393330.6991946539</v>
      </c>
      <c r="DW13" s="1">
        <v>4349368.5982298702</v>
      </c>
      <c r="DX13" s="1">
        <v>4251695.3496908247</v>
      </c>
      <c r="DY13" s="1">
        <v>4380691.0432338556</v>
      </c>
      <c r="DZ13" s="1">
        <v>4284101.3928398527</v>
      </c>
      <c r="EA13" s="1">
        <v>4315083.8648413066</v>
      </c>
      <c r="EB13" s="1">
        <v>4315939.7140710121</v>
      </c>
      <c r="EC13" s="1">
        <v>4271046.0395222809</v>
      </c>
      <c r="ED13" s="1">
        <v>4219034.4026256092</v>
      </c>
      <c r="EE13" s="1">
        <v>4129680.7554155076</v>
      </c>
      <c r="EF13" s="1">
        <v>4107051.2452862803</v>
      </c>
      <c r="EG13" s="1">
        <v>4096315.9354191013</v>
      </c>
      <c r="EH13" s="1">
        <v>4014321.6310096751</v>
      </c>
      <c r="EI13" s="1">
        <v>3962513.1884429152</v>
      </c>
      <c r="EJ13" s="1">
        <v>4010895.7359920801</v>
      </c>
      <c r="EK13" s="1">
        <v>3804585.5403594505</v>
      </c>
      <c r="EL13" s="1">
        <v>3830315.7477443377</v>
      </c>
      <c r="EM13" s="1">
        <v>3898429.3622119278</v>
      </c>
      <c r="EN13" s="1">
        <v>3934260.3341610008</v>
      </c>
      <c r="EO13" s="1">
        <v>3859984.9050047318</v>
      </c>
      <c r="EP13" s="1">
        <v>3877298.3927644501</v>
      </c>
      <c r="EQ13" s="1">
        <v>3706425.9041551459</v>
      </c>
      <c r="ER13" s="1">
        <v>3805630.6135238931</v>
      </c>
      <c r="ES13" s="1">
        <v>3772678.61140435</v>
      </c>
      <c r="ET13" s="1">
        <v>3840773.9913092041</v>
      </c>
      <c r="EU13" s="1">
        <v>3720920.5374458251</v>
      </c>
      <c r="EV13" s="1">
        <v>3499981.6488635358</v>
      </c>
      <c r="EW13" s="1">
        <v>3411141.7301517688</v>
      </c>
      <c r="EX13" s="1">
        <v>3387310.5994043183</v>
      </c>
      <c r="EY13" s="1">
        <v>3424213.380116269</v>
      </c>
      <c r="EZ13" s="1">
        <v>3346651.0956620937</v>
      </c>
      <c r="FA13" s="1">
        <v>3548027.3179208608</v>
      </c>
      <c r="FB13" s="1">
        <v>3371649.8101738803</v>
      </c>
      <c r="FC13" s="1">
        <v>3305123.0770708392</v>
      </c>
      <c r="FD13" s="1">
        <v>3366357.5908038849</v>
      </c>
      <c r="FE13" s="1">
        <v>3354008.4245768068</v>
      </c>
      <c r="FF13" s="1">
        <v>3202223.6899580704</v>
      </c>
      <c r="FG13" s="1">
        <v>3151359.2225607294</v>
      </c>
      <c r="FH13" s="1">
        <v>3148930.1890321756</v>
      </c>
      <c r="FI13" s="1">
        <v>3267398.7946931324</v>
      </c>
      <c r="FJ13" s="1">
        <v>3297833.1467770217</v>
      </c>
      <c r="FK13" s="1">
        <v>3255333.8102294807</v>
      </c>
      <c r="FL13" s="1">
        <v>3205624.7207953157</v>
      </c>
      <c r="FM13" s="1">
        <v>3238046.2117370255</v>
      </c>
      <c r="FN13" s="1">
        <v>3254692.3379389066</v>
      </c>
      <c r="FO13" s="1">
        <v>3144433.9698854433</v>
      </c>
      <c r="FP13" s="1">
        <v>3182668.7610682929</v>
      </c>
      <c r="FQ13" s="1">
        <v>3225976.3482467369</v>
      </c>
      <c r="FR13" s="1">
        <v>3243347.9458630076</v>
      </c>
      <c r="FS13" s="1">
        <v>3236065.8785465881</v>
      </c>
      <c r="FT13" s="1">
        <v>3156640.0325814243</v>
      </c>
      <c r="FU13" s="1">
        <v>3088429.4312052513</v>
      </c>
      <c r="FV13" s="1">
        <v>3089707.249071518</v>
      </c>
      <c r="FW13" s="1">
        <v>3040412.1916487087</v>
      </c>
      <c r="FX13" s="1">
        <v>2984267.8611519472</v>
      </c>
      <c r="FY13" s="1">
        <v>3008553.6669797581</v>
      </c>
      <c r="FZ13" s="1">
        <v>3060787.4593264852</v>
      </c>
      <c r="GA13" s="1">
        <v>3049484.0182937286</v>
      </c>
      <c r="GB13" s="1">
        <v>3109969.6622311389</v>
      </c>
      <c r="GC13" s="1">
        <v>3131519.9579575565</v>
      </c>
      <c r="GD13" s="1">
        <v>3100367.7454262506</v>
      </c>
      <c r="GE13" s="1">
        <v>3033979.0740817245</v>
      </c>
      <c r="GF13" s="1">
        <v>3070208.642794372</v>
      </c>
      <c r="GG13" s="1">
        <v>3055100.6192344679</v>
      </c>
      <c r="GH13" s="1">
        <v>3057655.1653810707</v>
      </c>
      <c r="GI13" s="1">
        <v>2997732.6333688153</v>
      </c>
      <c r="GJ13" s="1">
        <v>3157880.4171188632</v>
      </c>
      <c r="GK13" s="1">
        <v>3160667.2629268281</v>
      </c>
      <c r="GL13" s="1">
        <v>3216595.5921276845</v>
      </c>
      <c r="GM13" s="1">
        <v>3181338.3704886031</v>
      </c>
      <c r="GN13" s="1">
        <v>3146911.0792944059</v>
      </c>
      <c r="GO13" s="1">
        <v>3970052.3533928143</v>
      </c>
      <c r="GP13" s="1">
        <v>5231884.7308738697</v>
      </c>
      <c r="GQ13" s="1">
        <v>4819720.1556800734</v>
      </c>
      <c r="GR13" s="1">
        <v>4759791.1071664933</v>
      </c>
      <c r="GS13" s="1">
        <v>4335977.9533130173</v>
      </c>
      <c r="GT13" s="1">
        <v>4264510.067098273</v>
      </c>
      <c r="GU13" s="1">
        <v>3855296.9635166395</v>
      </c>
      <c r="GV13" s="1">
        <v>3807196.0517579787</v>
      </c>
      <c r="GW13" s="1">
        <v>3942862.8776760064</v>
      </c>
      <c r="GX13" s="1">
        <v>4128041.8204786228</v>
      </c>
      <c r="GY13" s="1">
        <v>3973534.0737931631</v>
      </c>
      <c r="GZ13" s="1">
        <v>4167417.4692720599</v>
      </c>
      <c r="HA13" s="1" t="str">
        <f t="shared" si="2"/>
        <v/>
      </c>
      <c r="HB13" s="1" t="str">
        <f t="shared" si="2"/>
        <v/>
      </c>
      <c r="HC13" s="1" t="str">
        <f t="shared" si="2"/>
        <v/>
      </c>
      <c r="HD13" s="1" t="str">
        <f t="shared" si="2"/>
        <v/>
      </c>
      <c r="HE13" s="1" t="str">
        <f t="shared" si="2"/>
        <v/>
      </c>
      <c r="HF13" s="1" t="str">
        <f t="shared" si="2"/>
        <v/>
      </c>
      <c r="HG13" s="1" t="str">
        <f t="shared" si="2"/>
        <v/>
      </c>
      <c r="HH13" s="1" t="str">
        <f t="shared" si="2"/>
        <v/>
      </c>
      <c r="HI13" s="1" t="str">
        <f t="shared" si="2"/>
        <v/>
      </c>
      <c r="HJ13" s="1" t="str">
        <f t="shared" si="2"/>
        <v/>
      </c>
      <c r="HK13" s="1" t="str">
        <f t="shared" si="2"/>
        <v/>
      </c>
      <c r="HL13" s="1" t="str">
        <f t="shared" si="2"/>
        <v/>
      </c>
      <c r="HM13" s="1" t="str">
        <f t="shared" si="2"/>
        <v/>
      </c>
      <c r="HN13" s="1" t="str">
        <f t="shared" si="2"/>
        <v/>
      </c>
      <c r="HO13" s="1" t="str">
        <f t="shared" si="2"/>
        <v/>
      </c>
      <c r="HP13" s="1" t="str">
        <f t="shared" si="2"/>
        <v/>
      </c>
      <c r="HQ13" s="1" t="str">
        <f t="shared" si="2"/>
        <v/>
      </c>
      <c r="HR13" s="1" t="str">
        <f t="shared" si="2"/>
        <v/>
      </c>
      <c r="HS13" s="1" t="str">
        <f t="shared" si="2"/>
        <v/>
      </c>
      <c r="HT13" s="1" t="str">
        <f t="shared" si="2"/>
        <v/>
      </c>
      <c r="HU13" s="1" t="str">
        <f t="shared" si="2"/>
        <v/>
      </c>
      <c r="HV13" s="1" t="str">
        <f t="shared" si="2"/>
        <v/>
      </c>
      <c r="HW13" s="1" t="str">
        <f t="shared" si="2"/>
        <v/>
      </c>
      <c r="HX13" s="1" t="str">
        <f t="shared" si="2"/>
        <v/>
      </c>
      <c r="HY13" s="1" t="str">
        <f t="shared" si="2"/>
        <v/>
      </c>
      <c r="HZ13" s="1" t="str">
        <f t="shared" si="2"/>
        <v/>
      </c>
      <c r="IA13" s="1" t="str">
        <f t="shared" si="2"/>
        <v/>
      </c>
      <c r="IB13" s="1" t="str">
        <f t="shared" si="2"/>
        <v/>
      </c>
      <c r="IC13" s="1" t="str">
        <f t="shared" si="2"/>
        <v/>
      </c>
      <c r="ID13" s="1" t="str">
        <f t="shared" si="2"/>
        <v/>
      </c>
      <c r="IE13" s="1" t="str">
        <f t="shared" si="2"/>
        <v/>
      </c>
      <c r="IF13" s="1" t="str">
        <f t="shared" si="2"/>
        <v/>
      </c>
      <c r="IG13" s="1" t="str">
        <f t="shared" si="2"/>
        <v/>
      </c>
      <c r="IH13" s="1" t="str">
        <f t="shared" si="2"/>
        <v/>
      </c>
      <c r="II13" s="1" t="str">
        <f t="shared" si="2"/>
        <v/>
      </c>
      <c r="IJ13" s="1" t="str">
        <f t="shared" si="2"/>
        <v/>
      </c>
      <c r="IK13" s="1" t="str">
        <f t="shared" si="2"/>
        <v/>
      </c>
      <c r="IL13" s="1" t="str">
        <f t="shared" si="2"/>
        <v/>
      </c>
      <c r="IM13" s="1" t="str">
        <f t="shared" si="2"/>
        <v/>
      </c>
      <c r="IN13" s="1" t="str">
        <f t="shared" si="2"/>
        <v/>
      </c>
      <c r="IO13" s="1" t="str">
        <f t="shared" si="2"/>
        <v/>
      </c>
      <c r="IP13" s="1" t="str">
        <f t="shared" si="2"/>
        <v/>
      </c>
      <c r="IQ13" s="1" t="str">
        <f t="shared" si="2"/>
        <v/>
      </c>
      <c r="IR13" s="1" t="str">
        <f t="shared" si="2"/>
        <v/>
      </c>
      <c r="IS13" s="1" t="str">
        <f t="shared" si="2"/>
        <v/>
      </c>
      <c r="IT13" s="1" t="str">
        <f t="shared" si="2"/>
        <v/>
      </c>
      <c r="IU13" s="1" t="str">
        <f t="shared" si="2"/>
        <v/>
      </c>
      <c r="IV13" s="1" t="str">
        <f t="shared" si="2"/>
        <v/>
      </c>
      <c r="IW13" s="1" t="str">
        <f t="shared" si="2"/>
        <v/>
      </c>
      <c r="IX13" s="1" t="str">
        <f t="shared" si="2"/>
        <v/>
      </c>
      <c r="IY13" s="1" t="str">
        <f t="shared" si="2"/>
        <v/>
      </c>
      <c r="IZ13" s="1" t="str">
        <f t="shared" si="2"/>
        <v/>
      </c>
      <c r="JA13" s="1" t="str">
        <f t="shared" si="2"/>
        <v/>
      </c>
      <c r="JB13" s="1" t="str">
        <f t="shared" si="2"/>
        <v/>
      </c>
      <c r="JC13" s="1" t="str">
        <f t="shared" si="2"/>
        <v/>
      </c>
      <c r="JD13" s="1" t="str">
        <f t="shared" si="2"/>
        <v/>
      </c>
      <c r="JE13" s="1" t="str">
        <f t="shared" si="2"/>
        <v/>
      </c>
      <c r="JF13" s="1" t="str">
        <f t="shared" si="2"/>
        <v/>
      </c>
      <c r="JG13" s="1" t="str">
        <f t="shared" si="2"/>
        <v/>
      </c>
      <c r="JH13" s="1" t="str">
        <f t="shared" si="2"/>
        <v/>
      </c>
      <c r="LY13" s="1"/>
    </row>
    <row r="14" spans="1:337" x14ac:dyDescent="0.25">
      <c r="A14" s="5">
        <v>12</v>
      </c>
      <c r="B14" s="1">
        <v>2268793.5790510774</v>
      </c>
      <c r="C14" s="1">
        <v>2316790.6839807564</v>
      </c>
      <c r="D14" s="1">
        <v>2266219.427390188</v>
      </c>
      <c r="E14" s="1">
        <v>2222801.6951931613</v>
      </c>
      <c r="F14" s="1">
        <v>2193752.9612341882</v>
      </c>
      <c r="G14" s="1">
        <v>2130547.0003995071</v>
      </c>
      <c r="H14" s="1">
        <v>2092326.1541067883</v>
      </c>
      <c r="I14" s="1">
        <v>2054529.483587692</v>
      </c>
      <c r="J14" s="1">
        <v>2091465.9039248303</v>
      </c>
      <c r="K14" s="1">
        <v>2069341.4670677157</v>
      </c>
      <c r="L14" s="1">
        <v>2102609.0323796505</v>
      </c>
      <c r="M14" s="1">
        <v>2103457.9914564267</v>
      </c>
      <c r="N14" s="1">
        <v>2072802.2690521344</v>
      </c>
      <c r="O14" s="1">
        <v>2111889.9384033093</v>
      </c>
      <c r="P14" s="1">
        <v>2090768.718265495</v>
      </c>
      <c r="Q14" s="1">
        <v>2096885.9864650033</v>
      </c>
      <c r="R14" s="1">
        <v>2077158.9933059576</v>
      </c>
      <c r="S14" s="1">
        <v>1961395.8502884586</v>
      </c>
      <c r="T14" s="1">
        <v>1918513.3006255589</v>
      </c>
      <c r="U14" s="1">
        <v>1957751.6577655436</v>
      </c>
      <c r="V14" s="1">
        <v>2025367.4601111866</v>
      </c>
      <c r="W14" s="1">
        <v>2015318.3883649344</v>
      </c>
      <c r="X14" s="1">
        <v>2055555.3357668167</v>
      </c>
      <c r="Y14" s="1">
        <v>2092871.4477480743</v>
      </c>
      <c r="Z14" s="1">
        <v>2100191.6538403723</v>
      </c>
      <c r="AA14" s="1">
        <v>2168898.3088321052</v>
      </c>
      <c r="AB14" s="1">
        <v>2170222.7821527971</v>
      </c>
      <c r="AC14" s="1">
        <v>2149269.6547257318</v>
      </c>
      <c r="AD14" s="1">
        <v>2057186.0657419045</v>
      </c>
      <c r="AE14" s="1">
        <v>1991204.5121762613</v>
      </c>
      <c r="AF14" s="1">
        <v>1951211.5017678374</v>
      </c>
      <c r="AG14" s="1">
        <v>1946206.0005166274</v>
      </c>
      <c r="AH14" s="1">
        <v>1966486.9244777393</v>
      </c>
      <c r="AI14" s="1">
        <v>1958122.2920410803</v>
      </c>
      <c r="AJ14" s="1">
        <v>1959083.6309175682</v>
      </c>
      <c r="AK14" s="1">
        <v>1968123.6586980252</v>
      </c>
      <c r="AL14" s="1">
        <v>1957449.8446084128</v>
      </c>
      <c r="AM14" s="1">
        <v>1999958.8965113689</v>
      </c>
      <c r="AN14" s="1">
        <v>2000459.5907229488</v>
      </c>
      <c r="AO14" s="1">
        <v>2001900.2004916789</v>
      </c>
      <c r="AP14" s="1">
        <v>1982063.6324258458</v>
      </c>
      <c r="AQ14" s="1">
        <v>1962318.4358041207</v>
      </c>
      <c r="AR14" s="1">
        <v>1965224.844896018</v>
      </c>
      <c r="AS14" s="1">
        <v>1970009.9511247519</v>
      </c>
      <c r="AT14" s="1">
        <v>2042507.5197545462</v>
      </c>
      <c r="AU14" s="1">
        <v>2026636.1602482009</v>
      </c>
      <c r="AV14" s="1">
        <v>2056912.7927474594</v>
      </c>
      <c r="AW14" s="1">
        <v>2102758.4150196128</v>
      </c>
      <c r="AX14" s="1">
        <v>2142939.6251435513</v>
      </c>
      <c r="AY14" s="1">
        <v>2278266.3646325781</v>
      </c>
      <c r="AZ14" s="1">
        <v>2442985.9960776726</v>
      </c>
      <c r="BA14" s="1">
        <v>2380734.4159314372</v>
      </c>
      <c r="BB14" s="1">
        <v>2743147.3613512488</v>
      </c>
      <c r="BC14" s="1">
        <v>3034757.8696132675</v>
      </c>
      <c r="BD14" s="1">
        <v>2865693.8297798955</v>
      </c>
      <c r="BE14" s="1">
        <v>3029310.1936930669</v>
      </c>
      <c r="BF14" s="1">
        <v>3349620.7787662596</v>
      </c>
      <c r="BG14" s="1">
        <v>3537909.8026137827</v>
      </c>
      <c r="BH14" s="1">
        <v>3964311.482898728</v>
      </c>
      <c r="BI14" s="1">
        <v>4469639.458377867</v>
      </c>
      <c r="BJ14" s="1">
        <v>4771661.4105098061</v>
      </c>
      <c r="BK14" s="1">
        <v>4980791.0413486166</v>
      </c>
      <c r="BL14" s="1">
        <v>5304928.09623974</v>
      </c>
      <c r="BM14" s="1">
        <v>5505734.930814296</v>
      </c>
      <c r="BN14" s="1">
        <v>5248991.6393135311</v>
      </c>
      <c r="BO14" s="1">
        <v>4820987.9466700908</v>
      </c>
      <c r="BP14" s="1">
        <v>4413303.2589388415</v>
      </c>
      <c r="BQ14" s="1">
        <v>3976189.0162552744</v>
      </c>
      <c r="BR14" s="1">
        <v>4169302.5295840339</v>
      </c>
      <c r="BS14" s="1">
        <v>4435943.7719075894</v>
      </c>
      <c r="BT14" s="1">
        <v>4406078.6937293485</v>
      </c>
      <c r="BU14" s="1">
        <v>4215520.3763916045</v>
      </c>
      <c r="BV14" s="1">
        <v>4354203.3526059557</v>
      </c>
      <c r="BW14" s="1">
        <v>4532128.7655966543</v>
      </c>
      <c r="BX14" s="1">
        <v>4695865.6775526786</v>
      </c>
      <c r="BY14" s="1">
        <v>4727264.7460201485</v>
      </c>
      <c r="BZ14" s="1">
        <v>4668995.1668713074</v>
      </c>
      <c r="CA14" s="1">
        <v>4384795.0269534113</v>
      </c>
      <c r="CB14" s="1">
        <v>4055224.0889376244</v>
      </c>
      <c r="CC14" s="1">
        <v>3847132.8744672323</v>
      </c>
      <c r="CD14" s="1">
        <v>4128011.9555083774</v>
      </c>
      <c r="CE14" s="1">
        <v>4302828.2708846545</v>
      </c>
      <c r="CF14" s="1">
        <v>4371616.9154676665</v>
      </c>
      <c r="CG14" s="1">
        <v>4263767.8583301548</v>
      </c>
      <c r="CH14" s="1">
        <v>4017054.3942873226</v>
      </c>
      <c r="CI14" s="1">
        <v>4448271.631119539</v>
      </c>
      <c r="CJ14" s="1">
        <v>4601973.0560934786</v>
      </c>
      <c r="CK14" s="1">
        <v>4640768.915859228</v>
      </c>
      <c r="CL14" s="1">
        <v>4443051.7385159247</v>
      </c>
      <c r="CM14" s="1">
        <v>4333580.8010330163</v>
      </c>
      <c r="CN14" s="1">
        <v>4252253.3643205678</v>
      </c>
      <c r="CO14" s="1">
        <v>4160137.7974466593</v>
      </c>
      <c r="CP14" s="1">
        <v>4271962.2012686692</v>
      </c>
      <c r="CQ14" s="1">
        <v>4655231.1246127244</v>
      </c>
      <c r="CR14" s="1">
        <v>4882729.7300508292</v>
      </c>
      <c r="CS14" s="1">
        <v>4873573.5354343485</v>
      </c>
      <c r="CT14" s="1">
        <v>4725145.0545698367</v>
      </c>
      <c r="CU14" s="1">
        <v>5117933.5890785661</v>
      </c>
      <c r="CV14" s="1">
        <v>5331815.0249231253</v>
      </c>
      <c r="CW14" s="1">
        <v>5276958.6002479997</v>
      </c>
      <c r="CX14" s="1">
        <v>5301350.2461775038</v>
      </c>
      <c r="CY14" s="1">
        <v>5274505.9458850957</v>
      </c>
      <c r="CZ14" s="1">
        <v>4982208.4788097637</v>
      </c>
      <c r="DA14" s="1">
        <v>5012540.4090216737</v>
      </c>
      <c r="DB14" s="1">
        <v>4954491.5480117239</v>
      </c>
      <c r="DC14" s="1">
        <v>5049332.683058423</v>
      </c>
      <c r="DD14" s="1">
        <v>5254249.9151112549</v>
      </c>
      <c r="DE14" s="1">
        <v>5256308.4886981789</v>
      </c>
      <c r="DF14" s="1">
        <v>4929264.8590542916</v>
      </c>
      <c r="DG14" s="1">
        <v>5076491.3790588956</v>
      </c>
      <c r="DH14" s="1">
        <v>5121892.5680469889</v>
      </c>
      <c r="DI14" s="1">
        <v>5132279.1062197201</v>
      </c>
      <c r="DJ14" s="1">
        <v>5073322.6808408611</v>
      </c>
      <c r="DK14" s="1">
        <v>4939367.2628745902</v>
      </c>
      <c r="DL14" s="1">
        <v>4674568.4092473648</v>
      </c>
      <c r="DM14" s="1">
        <v>4584972.8914607018</v>
      </c>
      <c r="DN14" s="1">
        <v>4581653.5594114857</v>
      </c>
      <c r="DO14" s="1">
        <v>4633314.0977573711</v>
      </c>
      <c r="DP14" s="1">
        <v>4769888.9501171056</v>
      </c>
      <c r="DQ14" s="1">
        <v>4610348.9172457103</v>
      </c>
      <c r="DR14" s="1">
        <v>4319433.9389951844</v>
      </c>
      <c r="DS14" s="1">
        <v>4492731.0381949963</v>
      </c>
      <c r="DT14" s="1">
        <v>4465951.9838549029</v>
      </c>
      <c r="DU14" s="1">
        <v>4550576.9226445835</v>
      </c>
      <c r="DV14" s="1">
        <v>4306139.5638835877</v>
      </c>
      <c r="DW14" s="1">
        <v>4243849.1557726068</v>
      </c>
      <c r="DX14" s="1">
        <v>4151211.2413302874</v>
      </c>
      <c r="DY14" s="1">
        <v>4334672.4630561816</v>
      </c>
      <c r="DZ14" s="1">
        <v>4293780.7082812795</v>
      </c>
      <c r="EA14" s="1">
        <v>4332167.6726493761</v>
      </c>
      <c r="EB14" s="1">
        <v>4403832.8558689868</v>
      </c>
      <c r="EC14" s="1">
        <v>4290571.7313708253</v>
      </c>
      <c r="ED14" s="1">
        <v>4184696.0530829933</v>
      </c>
      <c r="EE14" s="1">
        <v>4217075.6054623816</v>
      </c>
      <c r="EF14" s="1">
        <v>4100653.6462590448</v>
      </c>
      <c r="EG14" s="1">
        <v>4059548.9937577825</v>
      </c>
      <c r="EH14" s="1">
        <v>3918779.7813987378</v>
      </c>
      <c r="EI14" s="1">
        <v>3854181.2680754769</v>
      </c>
      <c r="EJ14" s="1">
        <v>3907698.6650282871</v>
      </c>
      <c r="EK14" s="1">
        <v>3744242.8392686062</v>
      </c>
      <c r="EL14" s="1">
        <v>3848492.2331407713</v>
      </c>
      <c r="EM14" s="1">
        <v>3915698.8763208962</v>
      </c>
      <c r="EN14" s="1">
        <v>4015606.1450519366</v>
      </c>
      <c r="EO14" s="1">
        <v>3874300.2390881646</v>
      </c>
      <c r="EP14" s="1">
        <v>3816858.5660724938</v>
      </c>
      <c r="EQ14" s="1">
        <v>3782962.8116738135</v>
      </c>
      <c r="ER14" s="1">
        <v>3819168.4154168391</v>
      </c>
      <c r="ES14" s="1">
        <v>3732236.4025062216</v>
      </c>
      <c r="ET14" s="1">
        <v>3757196.7201936431</v>
      </c>
      <c r="EU14" s="1">
        <v>3617914.2057220712</v>
      </c>
      <c r="EV14" s="1">
        <v>3388032.7348638093</v>
      </c>
      <c r="EW14" s="1">
        <v>3344614.3333345819</v>
      </c>
      <c r="EX14" s="1">
        <v>3405250.4908843674</v>
      </c>
      <c r="EY14" s="1">
        <v>3446582.1772605497</v>
      </c>
      <c r="EZ14" s="1">
        <v>3409002.8905883841</v>
      </c>
      <c r="FA14" s="1">
        <v>3570847.0124202212</v>
      </c>
      <c r="FB14" s="1">
        <v>3330528.9844105137</v>
      </c>
      <c r="FC14" s="1">
        <v>3374932.1796011641</v>
      </c>
      <c r="FD14" s="1">
        <v>3371703.3481953917</v>
      </c>
      <c r="FE14" s="1">
        <v>3315109.203732959</v>
      </c>
      <c r="FF14" s="1">
        <v>3094353.5824751002</v>
      </c>
      <c r="FG14" s="1">
        <v>3039514.1001805151</v>
      </c>
      <c r="FH14" s="1">
        <v>3052779.1287173098</v>
      </c>
      <c r="FI14" s="1">
        <v>3233626.1796097262</v>
      </c>
      <c r="FJ14" s="1">
        <v>3347452.0330344173</v>
      </c>
      <c r="FK14" s="1">
        <v>3282689.1159870345</v>
      </c>
      <c r="FL14" s="1">
        <v>3280061.4042966142</v>
      </c>
      <c r="FM14" s="1">
        <v>3248870.2069884934</v>
      </c>
      <c r="FN14" s="1">
        <v>3207474.4346595323</v>
      </c>
      <c r="FO14" s="1">
        <v>3222790.8128892793</v>
      </c>
      <c r="FP14" s="1">
        <v>3178670.069180374</v>
      </c>
      <c r="FQ14" s="1">
        <v>3191308.8429250983</v>
      </c>
      <c r="FR14" s="1">
        <v>3157445.2578484965</v>
      </c>
      <c r="FS14" s="1">
        <v>3144587.0164107499</v>
      </c>
      <c r="FT14" s="1">
        <v>3062039.1445276197</v>
      </c>
      <c r="FU14" s="1">
        <v>3061818.1702803308</v>
      </c>
      <c r="FV14" s="1">
        <v>3123133.5886429325</v>
      </c>
      <c r="FW14" s="1">
        <v>3070027.7654958824</v>
      </c>
      <c r="FX14" s="1">
        <v>3049556.7168379594</v>
      </c>
      <c r="FY14" s="1">
        <v>3016265.3601095723</v>
      </c>
      <c r="FZ14" s="1">
        <v>3018736.5207665889</v>
      </c>
      <c r="GA14" s="1">
        <v>3139460.2286410579</v>
      </c>
      <c r="GB14" s="1">
        <v>3118762.6612427295</v>
      </c>
      <c r="GC14" s="1">
        <v>3102414.8403202808</v>
      </c>
      <c r="GD14" s="1">
        <v>3027561.1767574358</v>
      </c>
      <c r="GE14" s="1">
        <v>2951362.1899461411</v>
      </c>
      <c r="GF14" s="1">
        <v>2991002.0365696447</v>
      </c>
      <c r="GG14" s="1">
        <v>3048638.7718371376</v>
      </c>
      <c r="GH14" s="1">
        <v>3095642.4995357464</v>
      </c>
      <c r="GI14" s="1">
        <v>3023583.0895582745</v>
      </c>
      <c r="GJ14" s="1">
        <v>3225961.5731708347</v>
      </c>
      <c r="GK14" s="1">
        <v>3194653.9279986788</v>
      </c>
      <c r="GL14" s="1">
        <v>3173415.865303847</v>
      </c>
      <c r="GM14" s="1">
        <v>3246914.6874288088</v>
      </c>
      <c r="GN14" s="1">
        <v>3143157.2285969523</v>
      </c>
      <c r="GO14" s="1">
        <v>3985797.5542550283</v>
      </c>
      <c r="GP14" s="1">
        <v>5257749.9903717013</v>
      </c>
      <c r="GQ14" s="1">
        <v>4827448.6584704155</v>
      </c>
      <c r="GR14" s="1">
        <v>4749319.0517302314</v>
      </c>
      <c r="GS14" s="1">
        <v>4327379.0213100323</v>
      </c>
      <c r="GT14" s="1">
        <v>4311785.3608873766</v>
      </c>
      <c r="GU14" s="1">
        <v>3862665.698717176</v>
      </c>
      <c r="GV14" s="1">
        <v>3846188.5857434464</v>
      </c>
      <c r="GW14" s="1">
        <v>3966346.7257950427</v>
      </c>
      <c r="GX14" s="1">
        <v>4125188.830906081</v>
      </c>
      <c r="GY14" s="1">
        <v>4075284.7327084071</v>
      </c>
      <c r="GZ14" s="1">
        <v>4197108.1616208898</v>
      </c>
      <c r="HA14" s="1" t="str">
        <f t="shared" si="2"/>
        <v/>
      </c>
      <c r="HB14" s="1" t="str">
        <f t="shared" si="2"/>
        <v/>
      </c>
      <c r="HC14" s="1" t="str">
        <f t="shared" si="2"/>
        <v/>
      </c>
      <c r="HD14" s="1" t="str">
        <f t="shared" si="2"/>
        <v/>
      </c>
      <c r="HE14" s="1" t="str">
        <f t="shared" si="2"/>
        <v/>
      </c>
      <c r="HF14" s="1" t="str">
        <f t="shared" si="2"/>
        <v/>
      </c>
      <c r="HG14" s="1" t="str">
        <f t="shared" si="2"/>
        <v/>
      </c>
      <c r="HH14" s="1" t="str">
        <f t="shared" si="2"/>
        <v/>
      </c>
      <c r="HI14" s="1" t="str">
        <f t="shared" si="2"/>
        <v/>
      </c>
      <c r="HJ14" s="1" t="str">
        <f t="shared" si="2"/>
        <v/>
      </c>
      <c r="HK14" s="1" t="str">
        <f t="shared" si="2"/>
        <v/>
      </c>
      <c r="HL14" s="1" t="str">
        <f t="shared" si="2"/>
        <v/>
      </c>
      <c r="HM14" s="1" t="str">
        <f t="shared" si="2"/>
        <v/>
      </c>
      <c r="HN14" s="1" t="str">
        <f t="shared" si="2"/>
        <v/>
      </c>
      <c r="HO14" s="1" t="str">
        <f t="shared" si="2"/>
        <v/>
      </c>
      <c r="HP14" s="1" t="str">
        <f t="shared" si="2"/>
        <v/>
      </c>
      <c r="HQ14" s="1" t="str">
        <f t="shared" si="2"/>
        <v/>
      </c>
      <c r="HR14" s="1" t="str">
        <f t="shared" si="2"/>
        <v/>
      </c>
      <c r="HS14" s="1" t="str">
        <f t="shared" si="2"/>
        <v/>
      </c>
      <c r="HT14" s="1" t="str">
        <f t="shared" si="2"/>
        <v/>
      </c>
      <c r="HU14" s="1" t="str">
        <f t="shared" si="2"/>
        <v/>
      </c>
      <c r="HV14" s="1" t="str">
        <f t="shared" si="2"/>
        <v/>
      </c>
      <c r="HW14" s="1" t="str">
        <f t="shared" si="2"/>
        <v/>
      </c>
      <c r="HX14" s="1" t="str">
        <f t="shared" si="2"/>
        <v/>
      </c>
      <c r="HY14" s="1" t="str">
        <f t="shared" si="2"/>
        <v/>
      </c>
      <c r="HZ14" s="1" t="str">
        <f t="shared" si="2"/>
        <v/>
      </c>
      <c r="IA14" s="1" t="str">
        <f t="shared" si="2"/>
        <v/>
      </c>
      <c r="IB14" s="1" t="str">
        <f t="shared" si="2"/>
        <v/>
      </c>
      <c r="IC14" s="1" t="str">
        <f t="shared" si="2"/>
        <v/>
      </c>
      <c r="ID14" s="1" t="str">
        <f t="shared" si="2"/>
        <v/>
      </c>
      <c r="IE14" s="1" t="str">
        <f t="shared" si="2"/>
        <v/>
      </c>
      <c r="IF14" s="1" t="str">
        <f t="shared" si="2"/>
        <v/>
      </c>
      <c r="IG14" s="1" t="str">
        <f t="shared" si="2"/>
        <v/>
      </c>
      <c r="IH14" s="1" t="str">
        <f t="shared" si="2"/>
        <v/>
      </c>
      <c r="II14" s="1" t="str">
        <f t="shared" si="2"/>
        <v/>
      </c>
      <c r="IJ14" s="1" t="str">
        <f t="shared" si="2"/>
        <v/>
      </c>
      <c r="IK14" s="1" t="str">
        <f t="shared" si="2"/>
        <v/>
      </c>
      <c r="IL14" s="1" t="str">
        <f t="shared" si="2"/>
        <v/>
      </c>
      <c r="IM14" s="1" t="str">
        <f t="shared" si="2"/>
        <v/>
      </c>
      <c r="IN14" s="1" t="str">
        <f t="shared" si="2"/>
        <v/>
      </c>
      <c r="IO14" s="1" t="str">
        <f t="shared" si="2"/>
        <v/>
      </c>
      <c r="IP14" s="1" t="str">
        <f t="shared" si="2"/>
        <v/>
      </c>
      <c r="IQ14" s="1" t="str">
        <f t="shared" si="2"/>
        <v/>
      </c>
      <c r="IR14" s="1" t="str">
        <f t="shared" si="2"/>
        <v/>
      </c>
      <c r="IS14" s="1" t="str">
        <f t="shared" si="2"/>
        <v/>
      </c>
      <c r="IT14" s="1" t="str">
        <f t="shared" si="2"/>
        <v/>
      </c>
      <c r="IU14" s="1" t="str">
        <f t="shared" si="2"/>
        <v/>
      </c>
      <c r="IV14" s="1" t="str">
        <f t="shared" si="2"/>
        <v/>
      </c>
      <c r="IW14" s="1" t="str">
        <f t="shared" si="2"/>
        <v/>
      </c>
      <c r="IX14" s="1" t="str">
        <f t="shared" si="2"/>
        <v/>
      </c>
      <c r="IY14" s="1" t="str">
        <f t="shared" si="2"/>
        <v/>
      </c>
      <c r="IZ14" s="1" t="str">
        <f t="shared" si="2"/>
        <v/>
      </c>
      <c r="JA14" s="1" t="str">
        <f t="shared" si="2"/>
        <v/>
      </c>
      <c r="JB14" s="1" t="str">
        <f t="shared" si="2"/>
        <v/>
      </c>
      <c r="JC14" s="1" t="str">
        <f t="shared" si="2"/>
        <v/>
      </c>
      <c r="JD14" s="1" t="str">
        <f t="shared" si="2"/>
        <v/>
      </c>
      <c r="JE14" s="1" t="str">
        <f t="shared" si="2"/>
        <v/>
      </c>
      <c r="JF14" s="1" t="str">
        <f t="shared" si="2"/>
        <v/>
      </c>
      <c r="JG14" s="1" t="str">
        <f t="shared" si="2"/>
        <v/>
      </c>
      <c r="JH14" s="1" t="str">
        <f t="shared" si="2"/>
        <v/>
      </c>
      <c r="LY14" s="1"/>
    </row>
    <row r="15" spans="1:337" hidden="1" x14ac:dyDescent="0.25">
      <c r="A15" s="5"/>
      <c r="LY15" s="1"/>
    </row>
    <row r="16" spans="1:337" hidden="1" x14ac:dyDescent="0.25">
      <c r="A16" s="5"/>
      <c r="LY16" s="1"/>
    </row>
    <row r="17" spans="1:337" hidden="1" x14ac:dyDescent="0.25">
      <c r="A17" s="5"/>
      <c r="LY17" s="1"/>
    </row>
    <row r="18" spans="1:337" hidden="1" x14ac:dyDescent="0.25">
      <c r="A18" s="5"/>
      <c r="LY18" s="1"/>
    </row>
    <row r="19" spans="1:337" hidden="1" x14ac:dyDescent="0.25">
      <c r="A19" s="5"/>
      <c r="LY19" s="1"/>
    </row>
    <row r="20" spans="1:337" hidden="1" x14ac:dyDescent="0.25">
      <c r="A20" s="5"/>
      <c r="LY20" s="1"/>
    </row>
    <row r="21" spans="1:337" hidden="1" x14ac:dyDescent="0.25">
      <c r="A21" s="5"/>
      <c r="LY21" s="1"/>
    </row>
    <row r="22" spans="1:337" hidden="1" x14ac:dyDescent="0.25">
      <c r="A22" s="5"/>
      <c r="LY22" s="1"/>
    </row>
    <row r="23" spans="1:337" hidden="1" x14ac:dyDescent="0.25">
      <c r="A23" s="5"/>
      <c r="LY23" s="1"/>
    </row>
    <row r="24" spans="1:337" hidden="1" x14ac:dyDescent="0.25">
      <c r="A24" s="5"/>
      <c r="LY24" s="1"/>
    </row>
    <row r="25" spans="1:337" hidden="1" x14ac:dyDescent="0.25">
      <c r="A25" s="5"/>
      <c r="LY25" s="1"/>
    </row>
    <row r="26" spans="1:337" hidden="1" x14ac:dyDescent="0.25">
      <c r="A26" s="5"/>
      <c r="LY26" s="1"/>
    </row>
    <row r="27" spans="1:337" x14ac:dyDescent="0.25">
      <c r="A27" s="5"/>
      <c r="JN27" s="18"/>
      <c r="LY27" s="1"/>
    </row>
    <row r="28" spans="1:337" x14ac:dyDescent="0.25">
      <c r="A28" s="5"/>
      <c r="B28" s="1">
        <f t="shared" ref="B28:BM28" si="3">IF(OR(B3="",C3=""),0,MIN(24,C28+1))</f>
        <v>24</v>
      </c>
      <c r="C28" s="1">
        <f t="shared" si="3"/>
        <v>24</v>
      </c>
      <c r="D28" s="1">
        <f t="shared" si="3"/>
        <v>24</v>
      </c>
      <c r="E28" s="1">
        <f t="shared" si="3"/>
        <v>24</v>
      </c>
      <c r="F28" s="1">
        <f t="shared" si="3"/>
        <v>24</v>
      </c>
      <c r="G28" s="1">
        <f t="shared" si="3"/>
        <v>24</v>
      </c>
      <c r="H28" s="1">
        <f t="shared" si="3"/>
        <v>24</v>
      </c>
      <c r="I28" s="1">
        <f t="shared" si="3"/>
        <v>24</v>
      </c>
      <c r="J28" s="1">
        <f t="shared" si="3"/>
        <v>24</v>
      </c>
      <c r="K28" s="1">
        <f t="shared" si="3"/>
        <v>24</v>
      </c>
      <c r="L28" s="1">
        <f t="shared" si="3"/>
        <v>24</v>
      </c>
      <c r="M28" s="1">
        <f t="shared" si="3"/>
        <v>24</v>
      </c>
      <c r="N28" s="1">
        <f t="shared" si="3"/>
        <v>24</v>
      </c>
      <c r="O28" s="1">
        <f t="shared" si="3"/>
        <v>24</v>
      </c>
      <c r="P28" s="1">
        <f t="shared" si="3"/>
        <v>24</v>
      </c>
      <c r="Q28" s="1">
        <f t="shared" si="3"/>
        <v>24</v>
      </c>
      <c r="R28" s="1">
        <f t="shared" si="3"/>
        <v>24</v>
      </c>
      <c r="S28" s="1">
        <f t="shared" si="3"/>
        <v>24</v>
      </c>
      <c r="T28" s="1">
        <f t="shared" si="3"/>
        <v>24</v>
      </c>
      <c r="U28" s="1">
        <f t="shared" si="3"/>
        <v>24</v>
      </c>
      <c r="V28" s="1">
        <f t="shared" si="3"/>
        <v>24</v>
      </c>
      <c r="W28" s="1">
        <f t="shared" si="3"/>
        <v>24</v>
      </c>
      <c r="X28" s="1">
        <f t="shared" si="3"/>
        <v>24</v>
      </c>
      <c r="Y28" s="1">
        <f t="shared" si="3"/>
        <v>24</v>
      </c>
      <c r="Z28" s="1">
        <f t="shared" si="3"/>
        <v>24</v>
      </c>
      <c r="AA28" s="1">
        <f t="shared" si="3"/>
        <v>24</v>
      </c>
      <c r="AB28" s="1">
        <f t="shared" si="3"/>
        <v>24</v>
      </c>
      <c r="AC28" s="1">
        <f t="shared" si="3"/>
        <v>24</v>
      </c>
      <c r="AD28" s="1">
        <f t="shared" si="3"/>
        <v>24</v>
      </c>
      <c r="AE28" s="1">
        <f t="shared" si="3"/>
        <v>24</v>
      </c>
      <c r="AF28" s="1">
        <f t="shared" si="3"/>
        <v>24</v>
      </c>
      <c r="AG28" s="1">
        <f t="shared" si="3"/>
        <v>24</v>
      </c>
      <c r="AH28" s="1">
        <f t="shared" si="3"/>
        <v>24</v>
      </c>
      <c r="AI28" s="1">
        <f t="shared" si="3"/>
        <v>24</v>
      </c>
      <c r="AJ28" s="1">
        <f t="shared" si="3"/>
        <v>24</v>
      </c>
      <c r="AK28" s="1">
        <f t="shared" si="3"/>
        <v>24</v>
      </c>
      <c r="AL28" s="1">
        <f t="shared" si="3"/>
        <v>24</v>
      </c>
      <c r="AM28" s="1">
        <f t="shared" si="3"/>
        <v>24</v>
      </c>
      <c r="AN28" s="1">
        <f t="shared" si="3"/>
        <v>24</v>
      </c>
      <c r="AO28" s="1">
        <f t="shared" si="3"/>
        <v>24</v>
      </c>
      <c r="AP28" s="1">
        <f t="shared" si="3"/>
        <v>24</v>
      </c>
      <c r="AQ28" s="1">
        <f t="shared" si="3"/>
        <v>24</v>
      </c>
      <c r="AR28" s="1">
        <f t="shared" si="3"/>
        <v>24</v>
      </c>
      <c r="AS28" s="1">
        <f t="shared" si="3"/>
        <v>24</v>
      </c>
      <c r="AT28" s="1">
        <f t="shared" si="3"/>
        <v>24</v>
      </c>
      <c r="AU28" s="1">
        <f t="shared" si="3"/>
        <v>24</v>
      </c>
      <c r="AV28" s="1">
        <f t="shared" si="3"/>
        <v>24</v>
      </c>
      <c r="AW28" s="1">
        <f t="shared" si="3"/>
        <v>24</v>
      </c>
      <c r="AX28" s="1">
        <f t="shared" si="3"/>
        <v>24</v>
      </c>
      <c r="AY28" s="1">
        <f t="shared" si="3"/>
        <v>24</v>
      </c>
      <c r="AZ28" s="1">
        <f t="shared" si="3"/>
        <v>24</v>
      </c>
      <c r="BA28" s="1">
        <f t="shared" si="3"/>
        <v>24</v>
      </c>
      <c r="BB28" s="1">
        <f t="shared" si="3"/>
        <v>24</v>
      </c>
      <c r="BC28" s="1">
        <f t="shared" si="3"/>
        <v>24</v>
      </c>
      <c r="BD28" s="1">
        <f t="shared" si="3"/>
        <v>24</v>
      </c>
      <c r="BE28" s="1">
        <f t="shared" si="3"/>
        <v>24</v>
      </c>
      <c r="BF28" s="1">
        <f t="shared" si="3"/>
        <v>24</v>
      </c>
      <c r="BG28" s="1">
        <f t="shared" si="3"/>
        <v>24</v>
      </c>
      <c r="BH28" s="1">
        <f t="shared" si="3"/>
        <v>24</v>
      </c>
      <c r="BI28" s="1">
        <f t="shared" si="3"/>
        <v>24</v>
      </c>
      <c r="BJ28" s="1">
        <f t="shared" si="3"/>
        <v>24</v>
      </c>
      <c r="BK28" s="1">
        <f t="shared" si="3"/>
        <v>24</v>
      </c>
      <c r="BL28" s="1">
        <f t="shared" si="3"/>
        <v>24</v>
      </c>
      <c r="BM28" s="1">
        <f t="shared" si="3"/>
        <v>24</v>
      </c>
      <c r="BN28" s="1">
        <f t="shared" ref="BN28:DY28" si="4">IF(OR(BN3="",BO3=""),0,MIN(24,BO28+1))</f>
        <v>24</v>
      </c>
      <c r="BO28" s="1">
        <f t="shared" si="4"/>
        <v>24</v>
      </c>
      <c r="BP28" s="1">
        <f t="shared" si="4"/>
        <v>24</v>
      </c>
      <c r="BQ28" s="1">
        <f t="shared" si="4"/>
        <v>24</v>
      </c>
      <c r="BR28" s="1">
        <f t="shared" si="4"/>
        <v>24</v>
      </c>
      <c r="BS28" s="1">
        <f t="shared" si="4"/>
        <v>24</v>
      </c>
      <c r="BT28" s="1">
        <f t="shared" si="4"/>
        <v>24</v>
      </c>
      <c r="BU28" s="1">
        <f t="shared" si="4"/>
        <v>24</v>
      </c>
      <c r="BV28" s="1">
        <f t="shared" si="4"/>
        <v>24</v>
      </c>
      <c r="BW28" s="1">
        <f t="shared" si="4"/>
        <v>24</v>
      </c>
      <c r="BX28" s="1">
        <f t="shared" si="4"/>
        <v>24</v>
      </c>
      <c r="BY28" s="1">
        <f t="shared" si="4"/>
        <v>24</v>
      </c>
      <c r="BZ28" s="1">
        <f t="shared" si="4"/>
        <v>24</v>
      </c>
      <c r="CA28" s="1">
        <f t="shared" si="4"/>
        <v>24</v>
      </c>
      <c r="CB28" s="1">
        <f t="shared" si="4"/>
        <v>24</v>
      </c>
      <c r="CC28" s="1">
        <f t="shared" si="4"/>
        <v>24</v>
      </c>
      <c r="CD28" s="1">
        <f t="shared" si="4"/>
        <v>24</v>
      </c>
      <c r="CE28" s="1">
        <f t="shared" si="4"/>
        <v>24</v>
      </c>
      <c r="CF28" s="1">
        <f t="shared" si="4"/>
        <v>24</v>
      </c>
      <c r="CG28" s="1">
        <f t="shared" si="4"/>
        <v>24</v>
      </c>
      <c r="CH28" s="1">
        <f t="shared" si="4"/>
        <v>24</v>
      </c>
      <c r="CI28" s="1">
        <f t="shared" si="4"/>
        <v>24</v>
      </c>
      <c r="CJ28" s="1">
        <f t="shared" si="4"/>
        <v>24</v>
      </c>
      <c r="CK28" s="1">
        <f t="shared" si="4"/>
        <v>24</v>
      </c>
      <c r="CL28" s="1">
        <f t="shared" si="4"/>
        <v>24</v>
      </c>
      <c r="CM28" s="1">
        <f t="shared" si="4"/>
        <v>24</v>
      </c>
      <c r="CN28" s="1">
        <f t="shared" si="4"/>
        <v>24</v>
      </c>
      <c r="CO28" s="1">
        <f t="shared" si="4"/>
        <v>24</v>
      </c>
      <c r="CP28" s="1">
        <f t="shared" si="4"/>
        <v>24</v>
      </c>
      <c r="CQ28" s="1">
        <f t="shared" si="4"/>
        <v>24</v>
      </c>
      <c r="CR28" s="1">
        <f t="shared" si="4"/>
        <v>24</v>
      </c>
      <c r="CS28" s="1">
        <f t="shared" si="4"/>
        <v>24</v>
      </c>
      <c r="CT28" s="1">
        <f t="shared" si="4"/>
        <v>24</v>
      </c>
      <c r="CU28" s="1">
        <f t="shared" si="4"/>
        <v>24</v>
      </c>
      <c r="CV28" s="1">
        <f t="shared" si="4"/>
        <v>24</v>
      </c>
      <c r="CW28" s="1">
        <f t="shared" si="4"/>
        <v>24</v>
      </c>
      <c r="CX28" s="1">
        <f t="shared" si="4"/>
        <v>24</v>
      </c>
      <c r="CY28" s="1">
        <f t="shared" si="4"/>
        <v>24</v>
      </c>
      <c r="CZ28" s="1">
        <f t="shared" si="4"/>
        <v>24</v>
      </c>
      <c r="DA28" s="1">
        <f t="shared" si="4"/>
        <v>24</v>
      </c>
      <c r="DB28" s="1">
        <f t="shared" si="4"/>
        <v>24</v>
      </c>
      <c r="DC28" s="1">
        <f t="shared" si="4"/>
        <v>24</v>
      </c>
      <c r="DD28" s="1">
        <f t="shared" si="4"/>
        <v>24</v>
      </c>
      <c r="DE28" s="1">
        <f t="shared" si="4"/>
        <v>24</v>
      </c>
      <c r="DF28" s="1">
        <f t="shared" si="4"/>
        <v>24</v>
      </c>
      <c r="DG28" s="1">
        <f t="shared" si="4"/>
        <v>24</v>
      </c>
      <c r="DH28" s="1">
        <f t="shared" si="4"/>
        <v>24</v>
      </c>
      <c r="DI28" s="1">
        <f t="shared" si="4"/>
        <v>24</v>
      </c>
      <c r="DJ28" s="1">
        <f t="shared" si="4"/>
        <v>24</v>
      </c>
      <c r="DK28" s="1">
        <f t="shared" si="4"/>
        <v>24</v>
      </c>
      <c r="DL28" s="1">
        <f t="shared" si="4"/>
        <v>24</v>
      </c>
      <c r="DM28" s="1">
        <f t="shared" si="4"/>
        <v>24</v>
      </c>
      <c r="DN28" s="1">
        <f t="shared" si="4"/>
        <v>24</v>
      </c>
      <c r="DO28" s="1">
        <f t="shared" si="4"/>
        <v>24</v>
      </c>
      <c r="DP28" s="1">
        <f t="shared" si="4"/>
        <v>24</v>
      </c>
      <c r="DQ28" s="1">
        <f t="shared" si="4"/>
        <v>24</v>
      </c>
      <c r="DR28" s="1">
        <f t="shared" si="4"/>
        <v>24</v>
      </c>
      <c r="DS28" s="1">
        <f t="shared" si="4"/>
        <v>24</v>
      </c>
      <c r="DT28" s="1">
        <f t="shared" si="4"/>
        <v>24</v>
      </c>
      <c r="DU28" s="1">
        <f t="shared" si="4"/>
        <v>24</v>
      </c>
      <c r="DV28" s="1">
        <f t="shared" si="4"/>
        <v>24</v>
      </c>
      <c r="DW28" s="1">
        <f t="shared" si="4"/>
        <v>24</v>
      </c>
      <c r="DX28" s="1">
        <f t="shared" si="4"/>
        <v>24</v>
      </c>
      <c r="DY28" s="1">
        <f t="shared" si="4"/>
        <v>24</v>
      </c>
      <c r="DZ28" s="1">
        <f t="shared" ref="DZ28:GK28" si="5">IF(OR(DZ3="",EA3=""),0,MIN(24,EA28+1))</f>
        <v>24</v>
      </c>
      <c r="EA28" s="1">
        <f t="shared" si="5"/>
        <v>24</v>
      </c>
      <c r="EB28" s="1">
        <f t="shared" si="5"/>
        <v>24</v>
      </c>
      <c r="EC28" s="1">
        <f t="shared" si="5"/>
        <v>24</v>
      </c>
      <c r="ED28" s="1">
        <f t="shared" si="5"/>
        <v>24</v>
      </c>
      <c r="EE28" s="1">
        <f t="shared" si="5"/>
        <v>24</v>
      </c>
      <c r="EF28" s="1">
        <f t="shared" si="5"/>
        <v>24</v>
      </c>
      <c r="EG28" s="1">
        <f t="shared" si="5"/>
        <v>24</v>
      </c>
      <c r="EH28" s="1">
        <f t="shared" si="5"/>
        <v>24</v>
      </c>
      <c r="EI28" s="1">
        <f t="shared" si="5"/>
        <v>24</v>
      </c>
      <c r="EJ28" s="1">
        <f t="shared" si="5"/>
        <v>24</v>
      </c>
      <c r="EK28" s="1">
        <f t="shared" si="5"/>
        <v>24</v>
      </c>
      <c r="EL28" s="1">
        <f t="shared" si="5"/>
        <v>24</v>
      </c>
      <c r="EM28" s="1">
        <f t="shared" si="5"/>
        <v>24</v>
      </c>
      <c r="EN28" s="1">
        <f t="shared" si="5"/>
        <v>24</v>
      </c>
      <c r="EO28" s="1">
        <f t="shared" si="5"/>
        <v>24</v>
      </c>
      <c r="EP28" s="1">
        <f t="shared" si="5"/>
        <v>24</v>
      </c>
      <c r="EQ28" s="1">
        <f t="shared" si="5"/>
        <v>24</v>
      </c>
      <c r="ER28" s="1">
        <f t="shared" si="5"/>
        <v>24</v>
      </c>
      <c r="ES28" s="1">
        <f t="shared" si="5"/>
        <v>24</v>
      </c>
      <c r="ET28" s="1">
        <f t="shared" si="5"/>
        <v>24</v>
      </c>
      <c r="EU28" s="1">
        <f t="shared" si="5"/>
        <v>24</v>
      </c>
      <c r="EV28" s="1">
        <f t="shared" si="5"/>
        <v>24</v>
      </c>
      <c r="EW28" s="1">
        <f t="shared" si="5"/>
        <v>24</v>
      </c>
      <c r="EX28" s="1">
        <f t="shared" si="5"/>
        <v>24</v>
      </c>
      <c r="EY28" s="1">
        <f t="shared" si="5"/>
        <v>24</v>
      </c>
      <c r="EZ28" s="1">
        <f t="shared" si="5"/>
        <v>24</v>
      </c>
      <c r="FA28" s="1">
        <f t="shared" si="5"/>
        <v>24</v>
      </c>
      <c r="FB28" s="1">
        <f t="shared" si="5"/>
        <v>24</v>
      </c>
      <c r="FC28" s="1">
        <f t="shared" si="5"/>
        <v>24</v>
      </c>
      <c r="FD28" s="1">
        <f t="shared" si="5"/>
        <v>24</v>
      </c>
      <c r="FE28" s="1">
        <f t="shared" si="5"/>
        <v>24</v>
      </c>
      <c r="FF28" s="1">
        <f t="shared" si="5"/>
        <v>24</v>
      </c>
      <c r="FG28" s="1">
        <f t="shared" si="5"/>
        <v>24</v>
      </c>
      <c r="FH28" s="1">
        <f t="shared" si="5"/>
        <v>24</v>
      </c>
      <c r="FI28" s="1">
        <f t="shared" si="5"/>
        <v>24</v>
      </c>
      <c r="FJ28" s="1">
        <f t="shared" si="5"/>
        <v>24</v>
      </c>
      <c r="FK28" s="1">
        <f t="shared" si="5"/>
        <v>24</v>
      </c>
      <c r="FL28" s="1">
        <f t="shared" si="5"/>
        <v>24</v>
      </c>
      <c r="FM28" s="1">
        <f t="shared" si="5"/>
        <v>24</v>
      </c>
      <c r="FN28" s="1">
        <f t="shared" si="5"/>
        <v>24</v>
      </c>
      <c r="FO28" s="1">
        <f t="shared" si="5"/>
        <v>24</v>
      </c>
      <c r="FP28" s="1">
        <f t="shared" si="5"/>
        <v>24</v>
      </c>
      <c r="FQ28" s="1">
        <f t="shared" si="5"/>
        <v>24</v>
      </c>
      <c r="FR28" s="1">
        <f t="shared" si="5"/>
        <v>24</v>
      </c>
      <c r="FS28" s="1">
        <f t="shared" si="5"/>
        <v>24</v>
      </c>
      <c r="FT28" s="1">
        <f t="shared" si="5"/>
        <v>24</v>
      </c>
      <c r="FU28" s="1">
        <f t="shared" si="5"/>
        <v>24</v>
      </c>
      <c r="FV28" s="1">
        <f t="shared" si="5"/>
        <v>24</v>
      </c>
      <c r="FW28" s="1">
        <f t="shared" si="5"/>
        <v>24</v>
      </c>
      <c r="FX28" s="1">
        <f t="shared" si="5"/>
        <v>24</v>
      </c>
      <c r="FY28" s="1">
        <f t="shared" si="5"/>
        <v>24</v>
      </c>
      <c r="FZ28" s="1">
        <f t="shared" si="5"/>
        <v>24</v>
      </c>
      <c r="GA28" s="1">
        <f t="shared" si="5"/>
        <v>24</v>
      </c>
      <c r="GB28" s="1">
        <f t="shared" si="5"/>
        <v>23</v>
      </c>
      <c r="GC28" s="1">
        <f t="shared" si="5"/>
        <v>22</v>
      </c>
      <c r="GD28" s="1">
        <f t="shared" si="5"/>
        <v>21</v>
      </c>
      <c r="GE28" s="1">
        <f t="shared" si="5"/>
        <v>20</v>
      </c>
      <c r="GF28" s="1">
        <f t="shared" si="5"/>
        <v>19</v>
      </c>
      <c r="GG28" s="1">
        <f t="shared" si="5"/>
        <v>18</v>
      </c>
      <c r="GH28" s="1">
        <f t="shared" si="5"/>
        <v>17</v>
      </c>
      <c r="GI28" s="1">
        <f t="shared" si="5"/>
        <v>16</v>
      </c>
      <c r="GJ28" s="1">
        <f t="shared" si="5"/>
        <v>15</v>
      </c>
      <c r="GK28" s="1">
        <f t="shared" si="5"/>
        <v>14</v>
      </c>
      <c r="GL28" s="1">
        <f t="shared" ref="GL28:GX28" si="6">IF(OR(GL3="",GM3=""),0,MIN(24,GM28+1))</f>
        <v>13</v>
      </c>
      <c r="GM28" s="1">
        <f t="shared" si="6"/>
        <v>12</v>
      </c>
      <c r="GN28" s="1">
        <f t="shared" si="6"/>
        <v>11</v>
      </c>
      <c r="GO28" s="1">
        <f t="shared" si="6"/>
        <v>10</v>
      </c>
      <c r="GP28" s="1">
        <f t="shared" si="6"/>
        <v>9</v>
      </c>
      <c r="GQ28" s="1">
        <f t="shared" si="6"/>
        <v>8</v>
      </c>
      <c r="GR28" s="1">
        <f t="shared" si="6"/>
        <v>7</v>
      </c>
      <c r="GS28" s="1">
        <f t="shared" si="6"/>
        <v>6</v>
      </c>
      <c r="GT28" s="1">
        <f t="shared" si="6"/>
        <v>5</v>
      </c>
      <c r="GU28" s="1">
        <f t="shared" si="6"/>
        <v>4</v>
      </c>
      <c r="GV28" s="1">
        <f t="shared" si="6"/>
        <v>3</v>
      </c>
      <c r="GW28" s="1">
        <f t="shared" si="6"/>
        <v>2</v>
      </c>
      <c r="GX28" s="1">
        <f t="shared" si="6"/>
        <v>1</v>
      </c>
      <c r="GY28" s="1">
        <f>IF(OR(GY3="",JH3=""),0,MIN(24,JH28+1))</f>
        <v>0</v>
      </c>
      <c r="GZ28" s="1">
        <f t="shared" ref="GZ28:HH28" si="7">IF(OR(GZ3="",HA3=""),0,MIN(24,HA28+1))</f>
        <v>0</v>
      </c>
      <c r="HA28" s="1">
        <f t="shared" si="7"/>
        <v>0</v>
      </c>
      <c r="HB28" s="1">
        <f t="shared" si="7"/>
        <v>0</v>
      </c>
      <c r="HC28" s="1">
        <f t="shared" si="7"/>
        <v>0</v>
      </c>
      <c r="HD28" s="1">
        <f t="shared" si="7"/>
        <v>0</v>
      </c>
      <c r="HE28" s="1">
        <f t="shared" si="7"/>
        <v>0</v>
      </c>
      <c r="HF28" s="1">
        <f t="shared" si="7"/>
        <v>0</v>
      </c>
      <c r="HG28" s="1">
        <f t="shared" si="7"/>
        <v>0</v>
      </c>
      <c r="HH28" s="1">
        <f t="shared" si="7"/>
        <v>0</v>
      </c>
      <c r="HI28" s="1">
        <f>IF(OR(HI3="",JR3=""),0,MIN(24,JR28+1))</f>
        <v>0</v>
      </c>
      <c r="HJ28" s="1">
        <f t="shared" ref="HJ28:HR28" si="8">IF(OR(HJ3="",HK3=""),0,MIN(24,HK28+1))</f>
        <v>0</v>
      </c>
      <c r="HK28" s="1">
        <f t="shared" si="8"/>
        <v>0</v>
      </c>
      <c r="HL28" s="1">
        <f t="shared" si="8"/>
        <v>0</v>
      </c>
      <c r="HM28" s="1">
        <f t="shared" si="8"/>
        <v>0</v>
      </c>
      <c r="HN28" s="1">
        <f t="shared" si="8"/>
        <v>0</v>
      </c>
      <c r="HO28" s="1">
        <f t="shared" si="8"/>
        <v>0</v>
      </c>
      <c r="HP28" s="1">
        <f t="shared" si="8"/>
        <v>0</v>
      </c>
      <c r="HQ28" s="1">
        <f t="shared" si="8"/>
        <v>0</v>
      </c>
      <c r="HR28" s="1">
        <f t="shared" si="8"/>
        <v>0</v>
      </c>
      <c r="HS28" s="1">
        <f>IF(OR(HS3="",KB3=""),0,MIN(24,KB28+1))</f>
        <v>0</v>
      </c>
      <c r="HT28" s="1">
        <f t="shared" ref="HT28:IB28" si="9">IF(OR(HT3="",HU3=""),0,MIN(24,HU28+1))</f>
        <v>0</v>
      </c>
      <c r="HU28" s="1">
        <f t="shared" si="9"/>
        <v>0</v>
      </c>
      <c r="HV28" s="1">
        <f t="shared" si="9"/>
        <v>0</v>
      </c>
      <c r="HW28" s="1">
        <f t="shared" si="9"/>
        <v>0</v>
      </c>
      <c r="HX28" s="1">
        <f t="shared" si="9"/>
        <v>0</v>
      </c>
      <c r="HY28" s="1">
        <f t="shared" si="9"/>
        <v>0</v>
      </c>
      <c r="HZ28" s="1">
        <f t="shared" si="9"/>
        <v>0</v>
      </c>
      <c r="IA28" s="1">
        <f t="shared" si="9"/>
        <v>0</v>
      </c>
      <c r="IB28" s="1">
        <f t="shared" si="9"/>
        <v>0</v>
      </c>
      <c r="IC28" s="1">
        <f>IF(OR(IC3="",KL3=""),0,MIN(24,KL28+1))</f>
        <v>0</v>
      </c>
      <c r="ID28" s="1">
        <f t="shared" ref="ID28:IL28" si="10">IF(OR(ID3="",IE3=""),0,MIN(24,IE28+1))</f>
        <v>0</v>
      </c>
      <c r="IE28" s="1">
        <f t="shared" si="10"/>
        <v>0</v>
      </c>
      <c r="IF28" s="1">
        <f t="shared" si="10"/>
        <v>0</v>
      </c>
      <c r="IG28" s="1">
        <f t="shared" si="10"/>
        <v>0</v>
      </c>
      <c r="IH28" s="1">
        <f t="shared" si="10"/>
        <v>0</v>
      </c>
      <c r="II28" s="1">
        <f t="shared" si="10"/>
        <v>0</v>
      </c>
      <c r="IJ28" s="1">
        <f t="shared" si="10"/>
        <v>0</v>
      </c>
      <c r="IK28" s="1">
        <f t="shared" si="10"/>
        <v>0</v>
      </c>
      <c r="IL28" s="1">
        <f t="shared" si="10"/>
        <v>0</v>
      </c>
      <c r="IM28" s="1">
        <f>IF(OR(IM3="",KV3=""),0,MIN(24,KV28+1))</f>
        <v>0</v>
      </c>
      <c r="IN28" s="1">
        <f t="shared" ref="IN28:IV28" si="11">IF(OR(IN3="",IO3=""),0,MIN(24,IO28+1))</f>
        <v>0</v>
      </c>
      <c r="IO28" s="1">
        <f t="shared" si="11"/>
        <v>0</v>
      </c>
      <c r="IP28" s="1">
        <f t="shared" si="11"/>
        <v>0</v>
      </c>
      <c r="IQ28" s="1">
        <f t="shared" si="11"/>
        <v>0</v>
      </c>
      <c r="IR28" s="1">
        <f t="shared" si="11"/>
        <v>0</v>
      </c>
      <c r="IS28" s="1">
        <f t="shared" si="11"/>
        <v>0</v>
      </c>
      <c r="IT28" s="1">
        <f t="shared" si="11"/>
        <v>0</v>
      </c>
      <c r="IU28" s="1">
        <f t="shared" si="11"/>
        <v>0</v>
      </c>
      <c r="IV28" s="1">
        <f t="shared" si="11"/>
        <v>0</v>
      </c>
      <c r="IW28" s="1">
        <f>IF(OR(IW3="",LF3=""),0,MIN(24,LF28+1))</f>
        <v>0</v>
      </c>
      <c r="IX28" s="1">
        <f t="shared" ref="IX28:JF28" si="12">IF(OR(IX3="",IY3=""),0,MIN(24,IY28+1))</f>
        <v>0</v>
      </c>
      <c r="IY28" s="1">
        <f t="shared" si="12"/>
        <v>0</v>
      </c>
      <c r="IZ28" s="1">
        <f t="shared" si="12"/>
        <v>0</v>
      </c>
      <c r="JA28" s="1">
        <f t="shared" si="12"/>
        <v>0</v>
      </c>
      <c r="JB28" s="1">
        <f t="shared" si="12"/>
        <v>0</v>
      </c>
      <c r="JC28" s="1">
        <f t="shared" si="12"/>
        <v>0</v>
      </c>
      <c r="JD28" s="1">
        <f t="shared" si="12"/>
        <v>0</v>
      </c>
      <c r="JE28" s="1">
        <f t="shared" si="12"/>
        <v>0</v>
      </c>
      <c r="JF28" s="1">
        <f t="shared" si="12"/>
        <v>0</v>
      </c>
      <c r="JG28" s="1">
        <f>IF(OR(JG3="",LP3=""),0,MIN(24,LP28+1))</f>
        <v>0</v>
      </c>
      <c r="JH28" s="1">
        <f>IF(OR(JH3="",JI3=""),0,MIN(24,JI28+1))</f>
        <v>0</v>
      </c>
      <c r="LY28" s="1"/>
    </row>
    <row r="29" spans="1:337" ht="15.75" x14ac:dyDescent="0.25">
      <c r="A29" s="3" t="s">
        <v>1</v>
      </c>
      <c r="B29" s="7">
        <v>37986</v>
      </c>
      <c r="C29" s="7">
        <v>38017</v>
      </c>
      <c r="D29" s="7">
        <v>38046</v>
      </c>
      <c r="E29" s="7">
        <v>38077</v>
      </c>
      <c r="F29" s="7">
        <v>38107</v>
      </c>
      <c r="G29" s="7">
        <v>38138</v>
      </c>
      <c r="H29" s="7">
        <v>38168</v>
      </c>
      <c r="I29" s="7">
        <v>38199</v>
      </c>
      <c r="J29" s="7">
        <v>38230</v>
      </c>
      <c r="K29" s="7">
        <v>38260</v>
      </c>
      <c r="L29" s="7">
        <v>38291</v>
      </c>
      <c r="M29" s="7">
        <v>38321</v>
      </c>
      <c r="N29" s="7">
        <v>38352</v>
      </c>
      <c r="O29" s="7">
        <v>38383</v>
      </c>
      <c r="P29" s="7">
        <v>38411</v>
      </c>
      <c r="Q29" s="7">
        <v>38442</v>
      </c>
      <c r="R29" s="7">
        <v>38472</v>
      </c>
      <c r="S29" s="7">
        <v>38503</v>
      </c>
      <c r="T29" s="7">
        <v>38533</v>
      </c>
      <c r="U29" s="7">
        <v>38564</v>
      </c>
      <c r="V29" s="7">
        <v>38595</v>
      </c>
      <c r="W29" s="7">
        <v>38625</v>
      </c>
      <c r="X29" s="7">
        <v>38656</v>
      </c>
      <c r="Y29" s="7">
        <v>38686</v>
      </c>
      <c r="Z29" s="7">
        <v>38717</v>
      </c>
      <c r="AA29" s="7">
        <v>38748</v>
      </c>
      <c r="AB29" s="7">
        <v>38776</v>
      </c>
      <c r="AC29" s="7">
        <v>38807</v>
      </c>
      <c r="AD29" s="7">
        <v>38837</v>
      </c>
      <c r="AE29" s="7">
        <v>38868</v>
      </c>
      <c r="AF29" s="7">
        <v>38898</v>
      </c>
      <c r="AG29" s="7">
        <v>38929</v>
      </c>
      <c r="AH29" s="7">
        <v>38960</v>
      </c>
      <c r="AI29" s="7">
        <v>38990</v>
      </c>
      <c r="AJ29" s="7">
        <v>39021</v>
      </c>
      <c r="AK29" s="7">
        <v>39051</v>
      </c>
      <c r="AL29" s="7">
        <v>39082</v>
      </c>
      <c r="AM29" s="7">
        <v>39113</v>
      </c>
      <c r="AN29" s="7">
        <v>39141</v>
      </c>
      <c r="AO29" s="7">
        <v>39172</v>
      </c>
      <c r="AP29" s="7">
        <v>39202</v>
      </c>
      <c r="AQ29" s="7">
        <v>39233</v>
      </c>
      <c r="AR29" s="7">
        <v>39263</v>
      </c>
      <c r="AS29" s="7">
        <v>39294</v>
      </c>
      <c r="AT29" s="7">
        <v>39325</v>
      </c>
      <c r="AU29" s="7">
        <v>39355</v>
      </c>
      <c r="AV29" s="7">
        <v>39386</v>
      </c>
      <c r="AW29" s="7">
        <v>39416</v>
      </c>
      <c r="AX29" s="7">
        <v>39447</v>
      </c>
      <c r="AY29" s="7">
        <v>39478</v>
      </c>
      <c r="AZ29" s="7">
        <v>39507</v>
      </c>
      <c r="BA29" s="7">
        <v>39538</v>
      </c>
      <c r="BB29" s="7">
        <v>39568</v>
      </c>
      <c r="BC29" s="7">
        <v>39599</v>
      </c>
      <c r="BD29" s="7">
        <v>39629</v>
      </c>
      <c r="BE29" s="7">
        <v>39660</v>
      </c>
      <c r="BF29" s="7">
        <v>39691</v>
      </c>
      <c r="BG29" s="7">
        <v>39721</v>
      </c>
      <c r="BH29" s="7">
        <v>39752</v>
      </c>
      <c r="BI29" s="7">
        <v>39782</v>
      </c>
      <c r="BJ29" s="7">
        <v>39813</v>
      </c>
      <c r="BK29" s="7">
        <v>39844</v>
      </c>
      <c r="BL29" s="7">
        <v>39872</v>
      </c>
      <c r="BM29" s="7">
        <v>39903</v>
      </c>
      <c r="BN29" s="7">
        <v>39933</v>
      </c>
      <c r="BO29" s="7">
        <v>39964</v>
      </c>
      <c r="BP29" s="7">
        <v>39994</v>
      </c>
      <c r="BQ29" s="7">
        <v>40025</v>
      </c>
      <c r="BR29" s="7">
        <v>40056</v>
      </c>
      <c r="BS29" s="7">
        <v>40086</v>
      </c>
      <c r="BT29" s="7">
        <v>40117</v>
      </c>
      <c r="BU29" s="7">
        <v>40147</v>
      </c>
      <c r="BV29" s="7">
        <v>40178</v>
      </c>
      <c r="BW29" s="7">
        <v>40209</v>
      </c>
      <c r="BX29" s="7">
        <v>40237</v>
      </c>
      <c r="BY29" s="7">
        <v>40268</v>
      </c>
      <c r="BZ29" s="7">
        <v>40298</v>
      </c>
      <c r="CA29" s="7">
        <v>40329</v>
      </c>
      <c r="CB29" s="7">
        <v>40359</v>
      </c>
      <c r="CC29" s="7">
        <v>40390</v>
      </c>
      <c r="CD29" s="7">
        <v>40421</v>
      </c>
      <c r="CE29" s="7">
        <v>40451</v>
      </c>
      <c r="CF29" s="7">
        <v>40482</v>
      </c>
      <c r="CG29" s="7">
        <v>40512</v>
      </c>
      <c r="CH29" s="7">
        <v>40543</v>
      </c>
      <c r="CI29" s="7">
        <v>40574</v>
      </c>
      <c r="CJ29" s="7">
        <v>40602</v>
      </c>
      <c r="CK29" s="7">
        <v>40633</v>
      </c>
      <c r="CL29" s="7">
        <v>40663</v>
      </c>
      <c r="CM29" s="7">
        <v>40694</v>
      </c>
      <c r="CN29" s="7">
        <v>40724</v>
      </c>
      <c r="CO29" s="7">
        <v>40755</v>
      </c>
      <c r="CP29" s="7">
        <v>40786</v>
      </c>
      <c r="CQ29" s="7">
        <v>40816</v>
      </c>
      <c r="CR29" s="7">
        <v>40847</v>
      </c>
      <c r="CS29" s="7">
        <v>40877</v>
      </c>
      <c r="CT29" s="7">
        <v>40908</v>
      </c>
      <c r="CU29" s="7">
        <v>40939</v>
      </c>
      <c r="CV29" s="8">
        <v>40968</v>
      </c>
      <c r="CW29" s="7">
        <v>40999</v>
      </c>
      <c r="CX29" s="7">
        <v>41029</v>
      </c>
      <c r="CY29" s="7">
        <v>41060</v>
      </c>
      <c r="CZ29" s="7">
        <v>41090</v>
      </c>
      <c r="DA29" s="7">
        <v>41121</v>
      </c>
      <c r="DB29" s="7">
        <v>41152</v>
      </c>
      <c r="DC29" s="7">
        <v>41182</v>
      </c>
      <c r="DD29" s="7">
        <v>41213</v>
      </c>
      <c r="DE29" s="7">
        <v>41243</v>
      </c>
      <c r="DF29" s="7">
        <v>41274</v>
      </c>
      <c r="DG29" s="7">
        <v>41305</v>
      </c>
      <c r="DH29" s="7">
        <v>41333</v>
      </c>
      <c r="DI29" s="7">
        <v>41364</v>
      </c>
      <c r="DJ29" s="7">
        <v>41394</v>
      </c>
      <c r="DK29" s="7">
        <v>41425</v>
      </c>
      <c r="DL29" s="7">
        <v>41455</v>
      </c>
      <c r="DM29" s="7">
        <v>41486</v>
      </c>
      <c r="DN29" s="7">
        <v>41517</v>
      </c>
      <c r="DO29" s="7">
        <v>41547</v>
      </c>
      <c r="DP29" s="7">
        <v>41578</v>
      </c>
      <c r="DQ29" s="7">
        <v>41608</v>
      </c>
      <c r="DR29" s="7">
        <v>41639</v>
      </c>
      <c r="DS29" s="7">
        <v>41670</v>
      </c>
      <c r="DT29" s="7">
        <v>41698</v>
      </c>
      <c r="DU29" s="7">
        <v>41729</v>
      </c>
      <c r="DV29" s="7">
        <v>41759</v>
      </c>
      <c r="DW29" s="7">
        <v>41790</v>
      </c>
      <c r="DX29" s="7">
        <v>41820</v>
      </c>
      <c r="DY29" s="7">
        <v>41851</v>
      </c>
      <c r="DZ29" s="7">
        <v>41882</v>
      </c>
      <c r="EA29" s="7">
        <v>41912</v>
      </c>
      <c r="EB29" s="7">
        <v>41943</v>
      </c>
      <c r="EC29" s="7">
        <v>41973</v>
      </c>
      <c r="ED29" s="7">
        <v>42004</v>
      </c>
      <c r="EE29" s="7">
        <v>42035</v>
      </c>
      <c r="EF29" s="7">
        <v>42063</v>
      </c>
      <c r="EG29" s="7">
        <v>42094</v>
      </c>
      <c r="EH29" s="7">
        <v>42124</v>
      </c>
      <c r="EI29" s="7">
        <v>42155</v>
      </c>
      <c r="EJ29" s="7">
        <v>42185</v>
      </c>
      <c r="EK29" s="7">
        <v>42216</v>
      </c>
      <c r="EL29" s="7">
        <v>42247</v>
      </c>
      <c r="EM29" s="7">
        <v>42277</v>
      </c>
      <c r="EN29" s="7">
        <v>42308</v>
      </c>
      <c r="EO29" s="7">
        <v>42338</v>
      </c>
      <c r="EP29" s="7">
        <v>42369</v>
      </c>
      <c r="EQ29" s="7">
        <v>42400</v>
      </c>
      <c r="ER29" s="7">
        <v>42429</v>
      </c>
      <c r="ES29" s="7">
        <v>42460</v>
      </c>
      <c r="ET29" s="7">
        <v>42490</v>
      </c>
      <c r="EU29" s="7">
        <v>42521</v>
      </c>
      <c r="EV29" s="7">
        <v>42551</v>
      </c>
      <c r="EW29" s="7">
        <v>42582</v>
      </c>
      <c r="EX29" s="7">
        <v>42613</v>
      </c>
      <c r="EY29" s="7">
        <v>42643</v>
      </c>
      <c r="EZ29" s="7">
        <v>42674</v>
      </c>
      <c r="FA29" s="7">
        <v>42704</v>
      </c>
      <c r="FB29" s="7">
        <v>42735</v>
      </c>
      <c r="FC29" s="7">
        <v>42766</v>
      </c>
      <c r="FD29" s="7">
        <v>42794</v>
      </c>
      <c r="FE29" s="7">
        <v>42825</v>
      </c>
      <c r="FF29" s="7">
        <v>42855</v>
      </c>
      <c r="FG29" s="7">
        <v>42886</v>
      </c>
      <c r="FH29" s="7">
        <v>42916</v>
      </c>
      <c r="FI29" s="7">
        <v>42947</v>
      </c>
      <c r="FJ29" s="7">
        <v>42978</v>
      </c>
      <c r="FK29" s="7">
        <v>43008</v>
      </c>
      <c r="FL29" s="7">
        <v>43039</v>
      </c>
      <c r="FM29" s="7">
        <v>43069</v>
      </c>
      <c r="FN29" s="7">
        <v>43100</v>
      </c>
      <c r="FO29" s="7">
        <v>43131</v>
      </c>
      <c r="FP29" s="7">
        <v>43159</v>
      </c>
      <c r="FQ29" s="7">
        <v>43190</v>
      </c>
      <c r="FR29" s="7">
        <v>43220</v>
      </c>
      <c r="FS29" s="7">
        <v>43251</v>
      </c>
      <c r="FT29" s="7">
        <v>43281</v>
      </c>
      <c r="FU29" s="7">
        <v>43312</v>
      </c>
      <c r="FV29" s="7">
        <v>43343</v>
      </c>
      <c r="FW29" s="7">
        <v>43373</v>
      </c>
      <c r="FX29" s="7">
        <v>43404</v>
      </c>
      <c r="FY29" s="7">
        <v>43434</v>
      </c>
      <c r="FZ29" s="7">
        <v>43465</v>
      </c>
      <c r="GA29" s="7">
        <v>43496</v>
      </c>
      <c r="GB29" s="7">
        <v>43524</v>
      </c>
      <c r="GC29" s="7">
        <v>43555</v>
      </c>
      <c r="GD29" s="7">
        <v>43585</v>
      </c>
      <c r="GE29" s="7">
        <v>43616</v>
      </c>
      <c r="GF29" s="7">
        <v>43646</v>
      </c>
      <c r="GG29" s="7">
        <v>43677</v>
      </c>
      <c r="GH29" s="7">
        <v>43708</v>
      </c>
      <c r="GI29" s="7">
        <v>43738</v>
      </c>
      <c r="GJ29" s="7">
        <v>43769</v>
      </c>
      <c r="GK29" s="7">
        <v>43799</v>
      </c>
      <c r="GL29" s="7">
        <v>43830</v>
      </c>
      <c r="GM29" s="7">
        <v>43861</v>
      </c>
      <c r="GN29" s="7">
        <v>43890</v>
      </c>
      <c r="GO29" s="7">
        <v>43921</v>
      </c>
      <c r="GP29" s="7">
        <v>43951</v>
      </c>
      <c r="GQ29" s="7">
        <v>43982</v>
      </c>
      <c r="GR29" s="7">
        <v>44012</v>
      </c>
      <c r="GS29" s="7">
        <v>44043</v>
      </c>
      <c r="GT29" s="7">
        <v>44074</v>
      </c>
      <c r="GU29" s="7">
        <v>44104</v>
      </c>
      <c r="GV29" s="7">
        <v>44135</v>
      </c>
      <c r="GW29" s="7">
        <v>44165</v>
      </c>
      <c r="GX29" s="7">
        <v>44196</v>
      </c>
      <c r="GY29" s="7">
        <v>44227</v>
      </c>
      <c r="GZ29" s="7">
        <v>44255</v>
      </c>
      <c r="HA29" s="7">
        <v>44286</v>
      </c>
      <c r="HB29" s="7">
        <v>44316</v>
      </c>
      <c r="HC29" s="7">
        <v>44347</v>
      </c>
      <c r="HD29" s="7">
        <v>44377</v>
      </c>
      <c r="HE29" s="7">
        <v>44408</v>
      </c>
      <c r="HF29" s="7">
        <v>44439</v>
      </c>
      <c r="HG29" s="7">
        <v>44469</v>
      </c>
      <c r="HH29" s="7">
        <v>44500</v>
      </c>
      <c r="HI29" s="7">
        <v>44530</v>
      </c>
      <c r="HJ29" s="7">
        <v>44561</v>
      </c>
      <c r="HK29" s="7">
        <v>44592</v>
      </c>
      <c r="HL29" s="7">
        <v>44620</v>
      </c>
      <c r="HM29" s="7">
        <v>44651</v>
      </c>
      <c r="HN29" s="7">
        <v>44681</v>
      </c>
      <c r="HO29" s="7">
        <v>44712</v>
      </c>
      <c r="HP29" s="7">
        <v>44742</v>
      </c>
      <c r="HQ29" s="7">
        <v>44773</v>
      </c>
      <c r="HR29" s="7">
        <v>44804</v>
      </c>
      <c r="HS29" s="7">
        <v>44834</v>
      </c>
      <c r="HT29" s="7">
        <v>44865</v>
      </c>
      <c r="HU29" s="7">
        <v>44895</v>
      </c>
      <c r="HV29" s="7">
        <v>44926</v>
      </c>
      <c r="HW29" s="7">
        <v>44957</v>
      </c>
      <c r="HX29" s="7">
        <v>44985</v>
      </c>
      <c r="HY29" s="7">
        <v>45016</v>
      </c>
      <c r="HZ29" s="7">
        <v>45046</v>
      </c>
      <c r="IA29" s="7">
        <v>45077</v>
      </c>
      <c r="IB29" s="7">
        <v>45107</v>
      </c>
      <c r="IC29" s="7">
        <v>45138</v>
      </c>
      <c r="ID29" s="7">
        <v>45169</v>
      </c>
      <c r="IE29" s="7">
        <v>45199</v>
      </c>
      <c r="IF29" s="7">
        <v>45230</v>
      </c>
      <c r="IG29" s="7">
        <v>45260</v>
      </c>
      <c r="IH29" s="7">
        <v>45291</v>
      </c>
      <c r="II29" s="7">
        <v>45322</v>
      </c>
      <c r="IJ29" s="7">
        <v>45351</v>
      </c>
      <c r="IK29" s="7">
        <v>45382</v>
      </c>
      <c r="IL29" s="7">
        <v>45412</v>
      </c>
      <c r="IM29" s="7">
        <v>45443</v>
      </c>
      <c r="IN29" s="7">
        <v>45473</v>
      </c>
      <c r="IO29" s="7">
        <v>45504</v>
      </c>
      <c r="IP29" s="7">
        <v>45535</v>
      </c>
      <c r="IQ29" s="7">
        <v>45565</v>
      </c>
      <c r="IR29" s="7">
        <v>45596</v>
      </c>
      <c r="IS29" s="7">
        <v>45626</v>
      </c>
      <c r="IT29" s="7">
        <v>45657</v>
      </c>
      <c r="IU29" s="7">
        <v>45688</v>
      </c>
      <c r="IV29" s="7">
        <v>45716</v>
      </c>
      <c r="IW29" s="7">
        <v>45747</v>
      </c>
      <c r="IX29" s="7">
        <v>45777</v>
      </c>
      <c r="IY29" s="7">
        <v>45808</v>
      </c>
      <c r="IZ29" s="7">
        <v>45838</v>
      </c>
      <c r="JA29" s="7">
        <v>45869</v>
      </c>
      <c r="JB29" s="7">
        <v>45900</v>
      </c>
      <c r="JC29" s="7">
        <v>45930</v>
      </c>
      <c r="JD29" s="7">
        <v>45961</v>
      </c>
      <c r="JE29" s="7">
        <v>45991</v>
      </c>
      <c r="JF29" s="7">
        <v>46022</v>
      </c>
      <c r="JG29" s="7">
        <v>46053</v>
      </c>
      <c r="JH29" s="7">
        <v>46081</v>
      </c>
      <c r="JI29" s="10" t="s">
        <v>2</v>
      </c>
      <c r="JJ29" s="11" t="s">
        <v>3</v>
      </c>
      <c r="JK29" s="10" t="s">
        <v>4</v>
      </c>
      <c r="JL29" s="12" t="s">
        <v>5</v>
      </c>
      <c r="JM29" s="10" t="s">
        <v>6</v>
      </c>
      <c r="JN29" s="19">
        <v>1.28</v>
      </c>
      <c r="LY29" s="1"/>
    </row>
    <row r="30" spans="1:337" x14ac:dyDescent="0.25">
      <c r="A30" s="4">
        <v>1</v>
      </c>
      <c r="B30" s="9">
        <f ca="1">IF(OR(B3="",B$28&lt;$A30),"",B3/OFFSET(ParoRegESP!$A$2,MATCH(B$29,ParoRegESP!$A$2:$A$500)+$A30-1,1)-1)</f>
        <v>1.964145929001182E-3</v>
      </c>
      <c r="C30" s="9">
        <f ca="1">IF(OR(C3="",C$28&lt;$A30),"",C3/OFFSET(ParoRegESP!$A$2,MATCH(C$29,ParoRegESP!$A$2:$A$500)+$A30-1,1)-1)</f>
        <v>1.5690796202184609E-2</v>
      </c>
      <c r="D30" s="9">
        <f ca="1">IF(OR(D3="",D$28&lt;$A30),"",D3/OFFSET(ParoRegESP!$A$2,MATCH(D$29,ParoRegESP!$A$2:$A$500)+$A30-1,1)-1)</f>
        <v>7.99830328707829E-3</v>
      </c>
      <c r="E30" s="9">
        <f ca="1">IF(OR(E3="",E$28&lt;$A30),"",E3/OFFSET(ParoRegESP!$A$2,MATCH(E$29,ParoRegESP!$A$2:$A$500)+$A30-1,1)-1)</f>
        <v>-1.2000393878221383E-2</v>
      </c>
      <c r="F30" s="9">
        <f ca="1">IF(OR(F3="",F$28&lt;$A30),"",F3/OFFSET(ParoRegESP!$A$2,MATCH(F$29,ParoRegESP!$A$2:$A$500)+$A30-1,1)-1)</f>
        <v>1.4317667138075141E-3</v>
      </c>
      <c r="G30" s="9">
        <f ca="1">IF(OR(G3="",G$28&lt;$A30),"",G3/OFFSET(ParoRegESP!$A$2,MATCH(G$29,ParoRegESP!$A$2:$A$500)+$A30-1,1)-1)</f>
        <v>8.3046751064652646E-4</v>
      </c>
      <c r="H30" s="9">
        <f ca="1">IF(OR(H3="",H$28&lt;$A30),"",H3/OFFSET(ParoRegESP!$A$2,MATCH(H$29,ParoRegESP!$A$2:$A$500)+$A30-1,1)-1)</f>
        <v>1.4514203454545793E-2</v>
      </c>
      <c r="I30" s="9">
        <f ca="1">IF(OR(I3="",I$28&lt;$A30),"",I3/OFFSET(ParoRegESP!$A$2,MATCH(I$29,ParoRegESP!$A$2:$A$500)+$A30-1,1)-1)</f>
        <v>3.3220629261083712E-3</v>
      </c>
      <c r="J30" s="9">
        <f ca="1">IF(OR(J3="",J$28&lt;$A30),"",J3/OFFSET(ParoRegESP!$A$2,MATCH(J$29,ParoRegESP!$A$2:$A$500)+$A30-1,1)-1)</f>
        <v>8.7234371668873933E-3</v>
      </c>
      <c r="K30" s="9">
        <f ca="1">IF(OR(K3="",K$28&lt;$A30),"",K3/OFFSET(ParoRegESP!$A$2,MATCH(K$29,ParoRegESP!$A$2:$A$500)+$A30-1,1)-1)</f>
        <v>1.7754567595840376E-2</v>
      </c>
      <c r="L30" s="9">
        <f ca="1">IF(OR(L3="",L$28&lt;$A30),"",L3/OFFSET(ParoRegESP!$A$2,MATCH(L$29,ParoRegESP!$A$2:$A$500)+$A30-1,1)-1)</f>
        <v>9.7707113656624323E-3</v>
      </c>
      <c r="M30" s="9">
        <f ca="1">IF(OR(M3="",M$28&lt;$A30),"",M3/OFFSET(ParoRegESP!$A$2,MATCH(M$29,ParoRegESP!$A$2:$A$500)+$A30-1,1)-1)</f>
        <v>1.4178654812377234E-2</v>
      </c>
      <c r="N30" s="9">
        <f ca="1">IF(OR(N3="",N$28&lt;$A30),"",N3/OFFSET(ParoRegESP!$A$2,MATCH(N$29,ParoRegESP!$A$2:$A$500)+$A30-1,1)-1)</f>
        <v>1.3590155853910879E-3</v>
      </c>
      <c r="O30" s="9">
        <f ca="1">IF(OR(O3="",O$28&lt;$A30),"",O3/OFFSET(ParoRegESP!$A$2,MATCH(O$29,ParoRegESP!$A$2:$A$500)+$A30-1,1)-1)</f>
        <v>3.4282711150843692E-3</v>
      </c>
      <c r="P30" s="9">
        <f ca="1">IF(OR(P3="",P$28&lt;$A30),"",P3/OFFSET(ParoRegESP!$A$2,MATCH(P$29,ParoRegESP!$A$2:$A$500)+$A30-1,1)-1)</f>
        <v>-8.5550979946094063E-3</v>
      </c>
      <c r="Q30" s="9">
        <f ca="1">IF(OR(Q3="",Q$28&lt;$A30),"",Q3/OFFSET(ParoRegESP!$A$2,MATCH(Q$29,ParoRegESP!$A$2:$A$500)+$A30-1,1)-1)</f>
        <v>-3.7587247234899257E-3</v>
      </c>
      <c r="R30" s="9">
        <f ca="1">IF(OR(R3="",R$28&lt;$A30),"",R3/OFFSET(ParoRegESP!$A$2,MATCH(R$29,ParoRegESP!$A$2:$A$500)+$A30-1,1)-1)</f>
        <v>1.2430801185105311E-2</v>
      </c>
      <c r="S30" s="9">
        <f ca="1">IF(OR(S3="",S$28&lt;$A30),"",S3/OFFSET(ParoRegESP!$A$2,MATCH(S$29,ParoRegESP!$A$2:$A$500)+$A30-1,1)-1)</f>
        <v>9.4642988091031555E-5</v>
      </c>
      <c r="T30" s="9">
        <f ca="1">IF(OR(T3="",T$28&lt;$A30),"",T3/OFFSET(ParoRegESP!$A$2,MATCH(T$29,ParoRegESP!$A$2:$A$500)+$A30-1,1)-1)</f>
        <v>-2.1466889488539698E-2</v>
      </c>
      <c r="U30" s="9">
        <f ca="1">IF(OR(U3="",U$28&lt;$A30),"",U3/OFFSET(ParoRegESP!$A$2,MATCH(U$29,ParoRegESP!$A$2:$A$500)+$A30-1,1)-1)</f>
        <v>-1.1634546420593916E-2</v>
      </c>
      <c r="V30" s="9">
        <f ca="1">IF(OR(V3="",V$28&lt;$A30),"",V3/OFFSET(ParoRegESP!$A$2,MATCH(V$29,ParoRegESP!$A$2:$A$500)+$A30-1,1)-1)</f>
        <v>5.4585556519977096E-3</v>
      </c>
      <c r="W30" s="9">
        <f ca="1">IF(OR(W3="",W$28&lt;$A30),"",W3/OFFSET(ParoRegESP!$A$2,MATCH(W$29,ParoRegESP!$A$2:$A$500)+$A30-1,1)-1)</f>
        <v>3.0971317393064801E-3</v>
      </c>
      <c r="X30" s="9">
        <f ca="1">IF(OR(X3="",X$28&lt;$A30),"",X3/OFFSET(ParoRegESP!$A$2,MATCH(X$29,ParoRegESP!$A$2:$A$500)+$A30-1,1)-1)</f>
        <v>1.9001905096864835E-3</v>
      </c>
      <c r="Y30" s="9">
        <f ca="1">IF(OR(Y3="",Y$28&lt;$A30),"",Y3/OFFSET(ParoRegESP!$A$2,MATCH(Y$29,ParoRegESP!$A$2:$A$500)+$A30-1,1)-1)</f>
        <v>7.950818918069924E-4</v>
      </c>
      <c r="Z30" s="9">
        <f ca="1">IF(OR(Z3="",Z$28&lt;$A30),"",Z3/OFFSET(ParoRegESP!$A$2,MATCH(Z$29,ParoRegESP!$A$2:$A$500)+$A30-1,1)-1)</f>
        <v>-2.3507508319152715E-3</v>
      </c>
      <c r="AA30" s="9">
        <f ca="1">IF(OR(AA3="",AA$28&lt;$A30),"",AA3/OFFSET(ParoRegESP!$A$2,MATCH(AA$29,ParoRegESP!$A$2:$A$500)+$A30-1,1)-1)</f>
        <v>2.5822836330435806E-4</v>
      </c>
      <c r="AB30" s="9">
        <f ca="1">IF(OR(AB3="",AB$28&lt;$A30),"",AB3/OFFSET(ParoRegESP!$A$2,MATCH(AB$29,ParoRegESP!$A$2:$A$500)+$A30-1,1)-1)</f>
        <v>-6.0008630939909491E-3</v>
      </c>
      <c r="AC30" s="9">
        <f ca="1">IF(OR(AC3="",AC$28&lt;$A30),"",AC3/OFFSET(ParoRegESP!$A$2,MATCH(AC$29,ParoRegESP!$A$2:$A$500)+$A30-1,1)-1)</f>
        <v>1.1518322010199089E-2</v>
      </c>
      <c r="AD30" s="9">
        <f ca="1">IF(OR(AD3="",AD$28&lt;$A30),"",AD3/OFFSET(ParoRegESP!$A$2,MATCH(AD$29,ParoRegESP!$A$2:$A$500)+$A30-1,1)-1)</f>
        <v>6.721309054441571E-3</v>
      </c>
      <c r="AE30" s="9">
        <f ca="1">IF(OR(AE3="",AE$28&lt;$A30),"",AE3/OFFSET(ParoRegESP!$A$2,MATCH(AE$29,ParoRegESP!$A$2:$A$500)+$A30-1,1)-1)</f>
        <v>5.4673248984258294E-3</v>
      </c>
      <c r="AF30" s="9">
        <f ca="1">IF(OR(AF3="",AF$28&lt;$A30),"",AF3/OFFSET(ParoRegESP!$A$2,MATCH(AF$29,ParoRegESP!$A$2:$A$500)+$A30-1,1)-1)</f>
        <v>-3.0691928187355222E-3</v>
      </c>
      <c r="AG30" s="9">
        <f ca="1">IF(OR(AG3="",AG$28&lt;$A30),"",AG3/OFFSET(ParoRegESP!$A$2,MATCH(AG$29,ParoRegESP!$A$2:$A$500)+$A30-1,1)-1)</f>
        <v>-2.1550879863583283E-3</v>
      </c>
      <c r="AH30" s="9">
        <f ca="1">IF(OR(AH3="",AH$28&lt;$A30),"",AH3/OFFSET(ParoRegESP!$A$2,MATCH(AH$29,ParoRegESP!$A$2:$A$500)+$A30-1,1)-1)</f>
        <v>1.0662701980854949E-2</v>
      </c>
      <c r="AI30" s="9">
        <f ca="1">IF(OR(AI3="",AI$28&lt;$A30),"",AI3/OFFSET(ParoRegESP!$A$2,MATCH(AI$29,ParoRegESP!$A$2:$A$500)+$A30-1,1)-1)</f>
        <v>1.1887324624983764E-2</v>
      </c>
      <c r="AJ30" s="9">
        <f ca="1">IF(OR(AJ3="",AJ$28&lt;$A30),"",AJ3/OFFSET(ParoRegESP!$A$2,MATCH(AJ$29,ParoRegESP!$A$2:$A$500)+$A30-1,1)-1)</f>
        <v>9.3310311850764993E-3</v>
      </c>
      <c r="AK30" s="9">
        <f ca="1">IF(OR(AK3="",AK$28&lt;$A30),"",AK3/OFFSET(ParoRegESP!$A$2,MATCH(AK$29,ParoRegESP!$A$2:$A$500)+$A30-1,1)-1)</f>
        <v>5.8907609623466417E-3</v>
      </c>
      <c r="AL30" s="9">
        <f ca="1">IF(OR(AL3="",AL$28&lt;$A30),"",AL3/OFFSET(ParoRegESP!$A$2,MATCH(AL$29,ParoRegESP!$A$2:$A$500)+$A30-1,1)-1)</f>
        <v>2.0587037063872771E-3</v>
      </c>
      <c r="AM30" s="9">
        <f ca="1">IF(OR(AM3="",AM$28&lt;$A30),"",AM3/OFFSET(ParoRegESP!$A$2,MATCH(AM$29,ParoRegESP!$A$2:$A$500)+$A30-1,1)-1)</f>
        <v>1.3959385543702574E-3</v>
      </c>
      <c r="AN30" s="9">
        <f ca="1">IF(OR(AN3="",AN$28&lt;$A30),"",AN3/OFFSET(ParoRegESP!$A$2,MATCH(AN$29,ParoRegESP!$A$2:$A$500)+$A30-1,1)-1)</f>
        <v>-8.8218079981730035E-3</v>
      </c>
      <c r="AO30" s="9">
        <f ca="1">IF(OR(AO3="",AO$28&lt;$A30),"",AO3/OFFSET(ParoRegESP!$A$2,MATCH(AO$29,ParoRegESP!$A$2:$A$500)+$A30-1,1)-1)</f>
        <v>-1.1167917313918307E-2</v>
      </c>
      <c r="AP30" s="9">
        <f ca="1">IF(OR(AP3="",AP$28&lt;$A30),"",AP3/OFFSET(ParoRegESP!$A$2,MATCH(AP$29,ParoRegESP!$A$2:$A$500)+$A30-1,1)-1)</f>
        <v>-1.2230672618641636E-2</v>
      </c>
      <c r="AQ30" s="9">
        <f ca="1">IF(OR(AQ3="",AQ$28&lt;$A30),"",AQ3/OFFSET(ParoRegESP!$A$2,MATCH(AQ$29,ParoRegESP!$A$2:$A$500)+$A30-1,1)-1)</f>
        <v>-1.8935778612777177E-2</v>
      </c>
      <c r="AR30" s="9">
        <f ca="1">IF(OR(AR3="",AR$28&lt;$A30),"",AR3/OFFSET(ParoRegESP!$A$2,MATCH(AR$29,ParoRegESP!$A$2:$A$500)+$A30-1,1)-1)</f>
        <v>-1.0554381467145491E-2</v>
      </c>
      <c r="AS30" s="9">
        <f ca="1">IF(OR(AS3="",AS$28&lt;$A30),"",AS3/OFFSET(ParoRegESP!$A$2,MATCH(AS$29,ParoRegESP!$A$2:$A$500)+$A30-1,1)-1)</f>
        <v>-1.5510181517938704E-2</v>
      </c>
      <c r="AT30" s="9">
        <f ca="1">IF(OR(AT3="",AT$28&lt;$A30),"",AT3/OFFSET(ParoRegESP!$A$2,MATCH(AT$29,ParoRegESP!$A$2:$A$500)+$A30-1,1)-1)</f>
        <v>4.4876164164757704E-3</v>
      </c>
      <c r="AU30" s="9">
        <f ca="1">IF(OR(AU3="",AU$28&lt;$A30),"",AU3/OFFSET(ParoRegESP!$A$2,MATCH(AU$29,ParoRegESP!$A$2:$A$500)+$A30-1,1)-1)</f>
        <v>4.1590362355730104E-3</v>
      </c>
      <c r="AV30" s="9">
        <f ca="1">IF(OR(AV3="",AV$28&lt;$A30),"",AV3/OFFSET(ParoRegESP!$A$2,MATCH(AV$29,ParoRegESP!$A$2:$A$500)+$A30-1,1)-1)</f>
        <v>-1.7266529698181099E-3</v>
      </c>
      <c r="AW30" s="9">
        <f ca="1">IF(OR(AW3="",AW$28&lt;$A30),"",AW3/OFFSET(ParoRegESP!$A$2,MATCH(AW$29,ParoRegESP!$A$2:$A$500)+$A30-1,1)-1)</f>
        <v>-1.3735894859003506E-2</v>
      </c>
      <c r="AX30" s="9">
        <f ca="1">IF(OR(AX3="",AX$28&lt;$A30),"",AX3/OFFSET(ParoRegESP!$A$2,MATCH(AX$29,ParoRegESP!$A$2:$A$500)+$A30-1,1)-1)</f>
        <v>-3.1417731098934532E-2</v>
      </c>
      <c r="AY30" s="9">
        <f ca="1">IF(OR(AY3="",AY$28&lt;$A30),"",AY3/OFFSET(ParoRegESP!$A$2,MATCH(AY$29,ParoRegESP!$A$2:$A$500)+$A30-1,1)-1)</f>
        <v>-2.7572267349016744E-2</v>
      </c>
      <c r="AZ30" s="9">
        <f ca="1">IF(OR(AZ3="",AZ$28&lt;$A30),"",AZ3/OFFSET(ParoRegESP!$A$2,MATCH(AZ$29,ParoRegESP!$A$2:$A$500)+$A30-1,1)-1)</f>
        <v>2.91312653068454E-3</v>
      </c>
      <c r="BA30" s="9">
        <f ca="1">IF(OR(BA3="",BA$28&lt;$A30),"",BA3/OFFSET(ParoRegESP!$A$2,MATCH(BA$29,ParoRegESP!$A$2:$A$500)+$A30-1,1)-1)</f>
        <v>-3.0526273409062221E-2</v>
      </c>
      <c r="BB30" s="9">
        <f ca="1">IF(OR(BB3="",BB$28&lt;$A30),"",BB3/OFFSET(ParoRegESP!$A$2,MATCH(BB$29,ParoRegESP!$A$2:$A$500)+$A30-1,1)-1)</f>
        <v>-2.5152172085600721E-2</v>
      </c>
      <c r="BC30" s="9">
        <f ca="1">IF(OR(BC3="",BC$28&lt;$A30),"",BC3/OFFSET(ParoRegESP!$A$2,MATCH(BC$29,ParoRegESP!$A$2:$A$500)+$A30-1,1)-1)</f>
        <v>-1.3021696363329061E-2</v>
      </c>
      <c r="BD30" s="9">
        <f ca="1">IF(OR(BD3="",BD$28&lt;$A30),"",BD3/OFFSET(ParoRegESP!$A$2,MATCH(BD$29,ParoRegESP!$A$2:$A$500)+$A30-1,1)-1)</f>
        <v>-6.6673459015553771E-3</v>
      </c>
      <c r="BE30" s="9">
        <f ca="1">IF(OR(BE3="",BE$28&lt;$A30),"",BE3/OFFSET(ParoRegESP!$A$2,MATCH(BE$29,ParoRegESP!$A$2:$A$500)+$A30-1,1)-1)</f>
        <v>-1.4497689040400163E-2</v>
      </c>
      <c r="BF30" s="9">
        <f ca="1">IF(OR(BF3="",BF$28&lt;$A30),"",BF3/OFFSET(ParoRegESP!$A$2,MATCH(BF$29,ParoRegESP!$A$2:$A$500)+$A30-1,1)-1)</f>
        <v>-1.9299497592013215E-2</v>
      </c>
      <c r="BG30" s="9">
        <f ca="1">IF(OR(BG3="",BG$28&lt;$A30),"",BG3/OFFSET(ParoRegESP!$A$2,MATCH(BG$29,ParoRegESP!$A$2:$A$500)+$A30-1,1)-1)</f>
        <v>-3.2283561010163608E-2</v>
      </c>
      <c r="BH30" s="9">
        <f ca="1">IF(OR(BH3="",BH$28&lt;$A30),"",BH3/OFFSET(ParoRegESP!$A$2,MATCH(BH$29,ParoRegESP!$A$2:$A$500)+$A30-1,1)-1)</f>
        <v>-2.4041059298685385E-2</v>
      </c>
      <c r="BI30" s="9">
        <f ca="1">IF(OR(BI3="",BI$28&lt;$A30),"",BI3/OFFSET(ParoRegESP!$A$2,MATCH(BI$29,ParoRegESP!$A$2:$A$500)+$A30-1,1)-1)</f>
        <v>-4.8585098331133114E-3</v>
      </c>
      <c r="BJ30" s="9">
        <f ca="1">IF(OR(BJ3="",BJ$28&lt;$A30),"",BJ3/OFFSET(ParoRegESP!$A$2,MATCH(BJ$29,ParoRegESP!$A$2:$A$500)+$A30-1,1)-1)</f>
        <v>1.2930628762142238E-3</v>
      </c>
      <c r="BK30" s="9">
        <f ca="1">IF(OR(BK3="",BK$28&lt;$A30),"",BK3/OFFSET(ParoRegESP!$A$2,MATCH(BK$29,ParoRegESP!$A$2:$A$500)+$A30-1,1)-1)</f>
        <v>-1.027503961951437E-2</v>
      </c>
      <c r="BL30" s="9">
        <f ca="1">IF(OR(BL3="",BL$28&lt;$A30),"",BL3/OFFSET(ParoRegESP!$A$2,MATCH(BL$29,ParoRegESP!$A$2:$A$500)+$A30-1,1)-1)</f>
        <v>-4.6353329000888843E-3</v>
      </c>
      <c r="BM30" s="9">
        <f ca="1">IF(OR(BM3="",BM$28&lt;$A30),"",BM3/OFFSET(ParoRegESP!$A$2,MATCH(BM$29,ParoRegESP!$A$2:$A$500)+$A30-1,1)-1)</f>
        <v>1.2792967012040135E-2</v>
      </c>
      <c r="BN30" s="9">
        <f ca="1">IF(OR(BN3="",BN$28&lt;$A30),"",BN3/OFFSET(ParoRegESP!$A$2,MATCH(BN$29,ParoRegESP!$A$2:$A$500)+$A30-1,1)-1)</f>
        <v>2.1357644457458802E-2</v>
      </c>
      <c r="BO30" s="9">
        <f ca="1">IF(OR(BO3="",BO$28&lt;$A30),"",BO3/OFFSET(ParoRegESP!$A$2,MATCH(BO$29,ParoRegESP!$A$2:$A$500)+$A30-1,1)-1)</f>
        <v>3.2344957843817967E-2</v>
      </c>
      <c r="BP30" s="9">
        <f ca="1">IF(OR(BP3="",BP$28&lt;$A30),"",BP3/OFFSET(ParoRegESP!$A$2,MATCH(BP$29,ParoRegESP!$A$2:$A$500)+$A30-1,1)-1)</f>
        <v>2.0831354593563223E-2</v>
      </c>
      <c r="BQ30" s="9">
        <f ca="1">IF(OR(BQ3="",BQ$28&lt;$A30),"",BQ3/OFFSET(ParoRegESP!$A$2,MATCH(BQ$29,ParoRegESP!$A$2:$A$500)+$A30-1,1)-1)</f>
        <v>-1.6544291366125119E-3</v>
      </c>
      <c r="BR30" s="9">
        <f ca="1">IF(OR(BR3="",BR$28&lt;$A30),"",BR3/OFFSET(ParoRegESP!$A$2,MATCH(BR$29,ParoRegESP!$A$2:$A$500)+$A30-1,1)-1)</f>
        <v>-7.80737293708611E-3</v>
      </c>
      <c r="BS30" s="9">
        <f ca="1">IF(OR(BS3="",BS$28&lt;$A30),"",BS3/OFFSET(ParoRegESP!$A$2,MATCH(BS$29,ParoRegESP!$A$2:$A$500)+$A30-1,1)-1)</f>
        <v>6.6641826227678003E-3</v>
      </c>
      <c r="BT30" s="9">
        <f ca="1">IF(OR(BT3="",BT$28&lt;$A30),"",BT3/OFFSET(ParoRegESP!$A$2,MATCH(BT$29,ParoRegESP!$A$2:$A$500)+$A30-1,1)-1)</f>
        <v>1.3504318831224937E-2</v>
      </c>
      <c r="BU30" s="9">
        <f ca="1">IF(OR(BU3="",BU$28&lt;$A30),"",BU3/OFFSET(ParoRegESP!$A$2,MATCH(BU$29,ParoRegESP!$A$2:$A$500)+$A30-1,1)-1)</f>
        <v>1.6941449623220084E-3</v>
      </c>
      <c r="BV30" s="9">
        <f ca="1">IF(OR(BV3="",BV$28&lt;$A30),"",BV3/OFFSET(ParoRegESP!$A$2,MATCH(BV$29,ParoRegESP!$A$2:$A$500)+$A30-1,1)-1)</f>
        <v>4.0975255588662218E-3</v>
      </c>
      <c r="BW30" s="9">
        <f ca="1">IF(OR(BW3="",BW$28&lt;$A30),"",BW3/OFFSET(ParoRegESP!$A$2,MATCH(BW$29,ParoRegESP!$A$2:$A$500)+$A30-1,1)-1)</f>
        <v>-6.792086371816719E-3</v>
      </c>
      <c r="BX30" s="9">
        <f ca="1">IF(OR(BX3="",BX$28&lt;$A30),"",BX3/OFFSET(ParoRegESP!$A$2,MATCH(BX$29,ParoRegESP!$A$2:$A$500)+$A30-1,1)-1)</f>
        <v>-6.9939453274991958E-4</v>
      </c>
      <c r="BY30" s="9">
        <f ca="1">IF(OR(BY3="",BY$28&lt;$A30),"",BY3/OFFSET(ParoRegESP!$A$2,MATCH(BY$29,ParoRegESP!$A$2:$A$500)+$A30-1,1)-1)</f>
        <v>7.6853817171294025E-3</v>
      </c>
      <c r="BZ30" s="9">
        <f ca="1">IF(OR(BZ3="",BZ$28&lt;$A30),"",BZ3/OFFSET(ParoRegESP!$A$2,MATCH(BZ$29,ParoRegESP!$A$2:$A$500)+$A30-1,1)-1)</f>
        <v>8.8756256035005254E-3</v>
      </c>
      <c r="CA30" s="9">
        <f ca="1">IF(OR(CA3="",CA$28&lt;$A30),"",CA3/OFFSET(ParoRegESP!$A$2,MATCH(CA$29,ParoRegESP!$A$2:$A$500)+$A30-1,1)-1)</f>
        <v>1.1877623726840092E-2</v>
      </c>
      <c r="CB30" s="9">
        <f ca="1">IF(OR(CB3="",CB$28&lt;$A30),"",CB3/OFFSET(ParoRegESP!$A$2,MATCH(CB$29,ParoRegESP!$A$2:$A$500)+$A30-1,1)-1)</f>
        <v>9.5765564087662014E-3</v>
      </c>
      <c r="CC30" s="9">
        <f ca="1">IF(OR(CC3="",CC$28&lt;$A30),"",CC3/OFFSET(ParoRegESP!$A$2,MATCH(CC$29,ParoRegESP!$A$2:$A$500)+$A30-1,1)-1)</f>
        <v>-1.0450607577267235E-2</v>
      </c>
      <c r="CD30" s="9">
        <f ca="1">IF(OR(CD3="",CD$28&lt;$A30),"",CD3/OFFSET(ParoRegESP!$A$2,MATCH(CD$29,ParoRegESP!$A$2:$A$500)+$A30-1,1)-1)</f>
        <v>-4.8528026956484727E-3</v>
      </c>
      <c r="CE30" s="9">
        <f ca="1">IF(OR(CE3="",CE$28&lt;$A30),"",CE3/OFFSET(ParoRegESP!$A$2,MATCH(CE$29,ParoRegESP!$A$2:$A$500)+$A30-1,1)-1)</f>
        <v>2.4425768947982096E-3</v>
      </c>
      <c r="CF30" s="9">
        <f ca="1">IF(OR(CF3="",CF$28&lt;$A30),"",CF3/OFFSET(ParoRegESP!$A$2,MATCH(CF$29,ParoRegESP!$A$2:$A$500)+$A30-1,1)-1)</f>
        <v>8.4195073990940283E-3</v>
      </c>
      <c r="CG30" s="9">
        <f ca="1">IF(OR(CG3="",CG$28&lt;$A30),"",CG3/OFFSET(ParoRegESP!$A$2,MATCH(CG$29,ParoRegESP!$A$2:$A$500)+$A30-1,1)-1)</f>
        <v>7.8569170156763679E-3</v>
      </c>
      <c r="CH30" s="9">
        <f ca="1">IF(OR(CH3="",CH$28&lt;$A30),"",CH3/OFFSET(ParoRegESP!$A$2,MATCH(CH$29,ParoRegESP!$A$2:$A$500)+$A30-1,1)-1)</f>
        <v>-1.2871573828259542E-2</v>
      </c>
      <c r="CI30" s="9">
        <f ca="1">IF(OR(CI3="",CI$28&lt;$A30),"",CI3/OFFSET(ParoRegESP!$A$2,MATCH(CI$29,ParoRegESP!$A$2:$A$500)+$A30-1,1)-1)</f>
        <v>-5.4780526805141561E-3</v>
      </c>
      <c r="CJ30" s="9">
        <f ca="1">IF(OR(CJ3="",CJ$28&lt;$A30),"",CJ3/OFFSET(ParoRegESP!$A$2,MATCH(CJ$29,ParoRegESP!$A$2:$A$500)+$A30-1,1)-1)</f>
        <v>-7.6687072736590922E-3</v>
      </c>
      <c r="CK30" s="9">
        <f ca="1">IF(OR(CK3="",CK$28&lt;$A30),"",CK3/OFFSET(ParoRegESP!$A$2,MATCH(CK$29,ParoRegESP!$A$2:$A$500)+$A30-1,1)-1)</f>
        <v>1.0094117431907801E-2</v>
      </c>
      <c r="CL30" s="9">
        <f ca="1">IF(OR(CL3="",CL$28&lt;$A30),"",CL3/OFFSET(ParoRegESP!$A$2,MATCH(CL$29,ParoRegESP!$A$2:$A$500)+$A30-1,1)-1)</f>
        <v>8.8479847008748891E-4</v>
      </c>
      <c r="CM30" s="9">
        <f ca="1">IF(OR(CM3="",CM$28&lt;$A30),"",CM3/OFFSET(ParoRegESP!$A$2,MATCH(CM$29,ParoRegESP!$A$2:$A$500)+$A30-1,1)-1)</f>
        <v>1.987059984979167E-3</v>
      </c>
      <c r="CN30" s="9">
        <f ca="1">IF(OR(CN3="",CN$28&lt;$A30),"",CN3/OFFSET(ParoRegESP!$A$2,MATCH(CN$29,ParoRegESP!$A$2:$A$500)+$A30-1,1)-1)</f>
        <v>-3.1651424074963241E-4</v>
      </c>
      <c r="CO30" s="9">
        <f ca="1">IF(OR(CO3="",CO$28&lt;$A30),"",CO3/OFFSET(ParoRegESP!$A$2,MATCH(CO$29,ParoRegESP!$A$2:$A$500)+$A30-1,1)-1)</f>
        <v>-2.0145447967431229E-3</v>
      </c>
      <c r="CP30" s="9">
        <f ca="1">IF(OR(CP3="",CP$28&lt;$A30),"",CP3/OFFSET(ParoRegESP!$A$2,MATCH(CP$29,ParoRegESP!$A$2:$A$500)+$A30-1,1)-1)</f>
        <v>-1.4892297804832921E-2</v>
      </c>
      <c r="CQ30" s="9">
        <f ca="1">IF(OR(CQ3="",CQ$28&lt;$A30),"",CQ3/OFFSET(ParoRegESP!$A$2,MATCH(CQ$29,ParoRegESP!$A$2:$A$500)+$A30-1,1)-1)</f>
        <v>-1.0100853968658341E-2</v>
      </c>
      <c r="CR30" s="9">
        <f ca="1">IF(OR(CR3="",CR$28&lt;$A30),"",CR3/OFFSET(ParoRegESP!$A$2,MATCH(CR$29,ParoRegESP!$A$2:$A$500)+$A30-1,1)-1)</f>
        <v>7.2606806387363054E-3</v>
      </c>
      <c r="CS30" s="9">
        <f ca="1">IF(OR(CS3="",CS$28&lt;$A30),"",CS3/OFFSET(ParoRegESP!$A$2,MATCH(CS$29,ParoRegESP!$A$2:$A$500)+$A30-1,1)-1)</f>
        <v>7.7553523363571575E-3</v>
      </c>
      <c r="CT30" s="9">
        <f ca="1">IF(OR(CT3="",CT$28&lt;$A30),"",CT3/OFFSET(ParoRegESP!$A$2,MATCH(CT$29,ParoRegESP!$A$2:$A$500)+$A30-1,1)-1)</f>
        <v>-1.4801616082259272E-2</v>
      </c>
      <c r="CU30" s="9">
        <f ca="1">IF(OR(CU3="",CU$28&lt;$A30),"",CU3/OFFSET(ParoRegESP!$A$2,MATCH(CU$29,ParoRegESP!$A$2:$A$500)+$A30-1,1)-1)</f>
        <v>-5.436844445054545E-3</v>
      </c>
      <c r="CV30" s="9">
        <f ca="1">IF(OR(CV3="",CV$28&lt;$A30),"",CV3/OFFSET(ParoRegESP!$A$2,MATCH(CV$29,ParoRegESP!$A$2:$A$500)+$A30-1,1)-1)</f>
        <v>-1.3833625963611818E-3</v>
      </c>
      <c r="CW30" s="9">
        <f ca="1">IF(OR(CW3="",CW$28&lt;$A30),"",CW3/OFFSET(ParoRegESP!$A$2,MATCH(CW$29,ParoRegESP!$A$2:$A$500)+$A30-1,1)-1)</f>
        <v>-3.9045833710119604E-3</v>
      </c>
      <c r="CX30" s="9">
        <f ca="1">IF(OR(CX3="",CX$28&lt;$A30),"",CX3/OFFSET(ParoRegESP!$A$2,MATCH(CX$29,ParoRegESP!$A$2:$A$500)+$A30-1,1)-1)</f>
        <v>-3.7877497236984414E-3</v>
      </c>
      <c r="CY30" s="9">
        <f ca="1">IF(OR(CY3="",CY$28&lt;$A30),"",CY3/OFFSET(ParoRegESP!$A$2,MATCH(CY$29,ParoRegESP!$A$2:$A$500)+$A30-1,1)-1)</f>
        <v>1.6181420804160185E-2</v>
      </c>
      <c r="CZ30" s="9">
        <f ca="1">IF(OR(CZ3="",CZ$28&lt;$A30),"",CZ3/OFFSET(ParoRegESP!$A$2,MATCH(CZ$29,ParoRegESP!$A$2:$A$500)+$A30-1,1)-1)</f>
        <v>-2.7670460698676624E-3</v>
      </c>
      <c r="DA30" s="9">
        <f ca="1">IF(OR(DA3="",DA$28&lt;$A30),"",DA3/OFFSET(ParoRegESP!$A$2,MATCH(DA$29,ParoRegESP!$A$2:$A$500)+$A30-1,1)-1)</f>
        <v>5.638186064896189E-3</v>
      </c>
      <c r="DB30" s="9">
        <f ca="1">IF(OR(DB3="",DB$28&lt;$A30),"",DB3/OFFSET(ParoRegESP!$A$2,MATCH(DB$29,ParoRegESP!$A$2:$A$500)+$A30-1,1)-1)</f>
        <v>-4.701457995715641E-3</v>
      </c>
      <c r="DC30" s="9">
        <f ca="1">IF(OR(DC3="",DC$28&lt;$A30),"",DC3/OFFSET(ParoRegESP!$A$2,MATCH(DC$29,ParoRegESP!$A$2:$A$500)+$A30-1,1)-1)</f>
        <v>-3.851015836071281E-3</v>
      </c>
      <c r="DD30" s="9">
        <f ca="1">IF(OR(DD3="",DD$28&lt;$A30),"",DD3/OFFSET(ParoRegESP!$A$2,MATCH(DD$29,ParoRegESP!$A$2:$A$500)+$A30-1,1)-1)</f>
        <v>6.6428967865839184E-4</v>
      </c>
      <c r="DE30" s="9">
        <f ca="1">IF(OR(DE3="",DE$28&lt;$A30),"",DE3/OFFSET(ParoRegESP!$A$2,MATCH(DE$29,ParoRegESP!$A$2:$A$500)+$A30-1,1)-1)</f>
        <v>1.8035178659713491E-2</v>
      </c>
      <c r="DF30" s="9">
        <f ca="1">IF(OR(DF3="",DF$28&lt;$A30),"",DF3/OFFSET(ParoRegESP!$A$2,MATCH(DF$29,ParoRegESP!$A$2:$A$500)+$A30-1,1)-1)</f>
        <v>-6.2921251358982744E-5</v>
      </c>
      <c r="DG30" s="9">
        <f ca="1">IF(OR(DG3="",DG$28&lt;$A30),"",DG3/OFFSET(ParoRegESP!$A$2,MATCH(DG$29,ParoRegESP!$A$2:$A$500)+$A30-1,1)-1)</f>
        <v>-8.6523553241457662E-5</v>
      </c>
      <c r="DH30" s="9">
        <f ca="1">IF(OR(DH3="",DH$28&lt;$A30),"",DH3/OFFSET(ParoRegESP!$A$2,MATCH(DH$29,ParoRegESP!$A$2:$A$500)+$A30-1,1)-1)</f>
        <v>-2.6618983132085106E-3</v>
      </c>
      <c r="DI30" s="9">
        <f ca="1">IF(OR(DI3="",DI$28&lt;$A30),"",DI3/OFFSET(ParoRegESP!$A$2,MATCH(DI$29,ParoRegESP!$A$2:$A$500)+$A30-1,1)-1)</f>
        <v>1.0196962987778502E-3</v>
      </c>
      <c r="DJ30" s="9">
        <f ca="1">IF(OR(DJ3="",DJ$28&lt;$A30),"",DJ3/OFFSET(ParoRegESP!$A$2,MATCH(DJ$29,ParoRegESP!$A$2:$A$500)+$A30-1,1)-1)</f>
        <v>3.1802790871331421E-3</v>
      </c>
      <c r="DK30" s="9">
        <f ca="1">IF(OR(DK3="",DK$28&lt;$A30),"",DK3/OFFSET(ParoRegESP!$A$2,MATCH(DK$29,ParoRegESP!$A$2:$A$500)+$A30-1,1)-1)</f>
        <v>6.5628126743539905E-3</v>
      </c>
      <c r="DL30" s="9">
        <f ca="1">IF(OR(DL3="",DL$28&lt;$A30),"",DL3/OFFSET(ParoRegESP!$A$2,MATCH(DL$29,ParoRegESP!$A$2:$A$500)+$A30-1,1)-1)</f>
        <v>7.5906849641005358E-4</v>
      </c>
      <c r="DM30" s="9">
        <f ca="1">IF(OR(DM3="",DM$28&lt;$A30),"",DM3/OFFSET(ParoRegESP!$A$2,MATCH(DM$29,ParoRegESP!$A$2:$A$500)+$A30-1,1)-1)</f>
        <v>3.674748573422093E-3</v>
      </c>
      <c r="DN30" s="9">
        <f ca="1">IF(OR(DN3="",DN$28&lt;$A30),"",DN3/OFFSET(ParoRegESP!$A$2,MATCH(DN$29,ParoRegESP!$A$2:$A$500)+$A30-1,1)-1)</f>
        <v>1.4782406644813229E-3</v>
      </c>
      <c r="DO30" s="9">
        <f ca="1">IF(OR(DO3="",DO$28&lt;$A30),"",DO3/OFFSET(ParoRegESP!$A$2,MATCH(DO$29,ParoRegESP!$A$2:$A$500)+$A30-1,1)-1)</f>
        <v>-2.1873445193127949E-3</v>
      </c>
      <c r="DP30" s="9">
        <f ca="1">IF(OR(DP3="",DP$28&lt;$A30),"",DP3/OFFSET(ParoRegESP!$A$2,MATCH(DP$29,ParoRegESP!$A$2:$A$500)+$A30-1,1)-1)</f>
        <v>9.0358897409552608E-3</v>
      </c>
      <c r="DQ30" s="9">
        <f ca="1">IF(OR(DQ3="",DQ$28&lt;$A30),"",DQ3/OFFSET(ParoRegESP!$A$2,MATCH(DQ$29,ParoRegESP!$A$2:$A$500)+$A30-1,1)-1)</f>
        <v>1.2813543093901369E-2</v>
      </c>
      <c r="DR30" s="9">
        <f ca="1">IF(OR(DR3="",DR$28&lt;$A30),"",DR3/OFFSET(ParoRegESP!$A$2,MATCH(DR$29,ParoRegESP!$A$2:$A$500)+$A30-1,1)-1)</f>
        <v>-7.3118319609813964E-3</v>
      </c>
      <c r="DS30" s="9">
        <f ca="1">IF(OR(DS3="",DS$28&lt;$A30),"",DS3/OFFSET(ParoRegESP!$A$2,MATCH(DS$29,ParoRegESP!$A$2:$A$500)+$A30-1,1)-1)</f>
        <v>5.536391194479684E-3</v>
      </c>
      <c r="DT30" s="9">
        <f ca="1">IF(OR(DT3="",DT$28&lt;$A30),"",DT3/OFFSET(ParoRegESP!$A$2,MATCH(DT$29,ParoRegESP!$A$2:$A$500)+$A30-1,1)-1)</f>
        <v>-6.3489926583515377E-3</v>
      </c>
      <c r="DU30" s="9">
        <f ca="1">IF(OR(DU3="",DU$28&lt;$A30),"",DU3/OFFSET(ParoRegESP!$A$2,MATCH(DU$29,ParoRegESP!$A$2:$A$500)+$A30-1,1)-1)</f>
        <v>5.51199076256359E-3</v>
      </c>
      <c r="DV30" s="9">
        <f ca="1">IF(OR(DV3="",DV$28&lt;$A30),"",DV3/OFFSET(ParoRegESP!$A$2,MATCH(DV$29,ParoRegESP!$A$2:$A$500)+$A30-1,1)-1)</f>
        <v>-1.8694123152744879E-3</v>
      </c>
      <c r="DW30" s="9">
        <f ca="1">IF(OR(DW3="",DW$28&lt;$A30),"",DW3/OFFSET(ParoRegESP!$A$2,MATCH(DW$29,ParoRegESP!$A$2:$A$500)+$A30-1,1)-1)</f>
        <v>-2.8852223226997209E-3</v>
      </c>
      <c r="DX30" s="9">
        <f ca="1">IF(OR(DX3="",DX$28&lt;$A30),"",DX3/OFFSET(ParoRegESP!$A$2,MATCH(DX$29,ParoRegESP!$A$2:$A$500)+$A30-1,1)-1)</f>
        <v>-1.1070769802502545E-2</v>
      </c>
      <c r="DY30" s="9">
        <f ca="1">IF(OR(DY3="",DY$28&lt;$A30),"",DY3/OFFSET(ParoRegESP!$A$2,MATCH(DY$29,ParoRegESP!$A$2:$A$500)+$A30-1,1)-1)</f>
        <v>1.5998797611749271E-3</v>
      </c>
      <c r="DZ30" s="9">
        <f ca="1">IF(OR(DZ3="",DZ$28&lt;$A30),"",DZ3/OFFSET(ParoRegESP!$A$2,MATCH(DZ$29,ParoRegESP!$A$2:$A$500)+$A30-1,1)-1)</f>
        <v>4.4518681118743686E-4</v>
      </c>
      <c r="EA30" s="9">
        <f ca="1">IF(OR(EA3="",EA$28&lt;$A30),"",EA3/OFFSET(ParoRegESP!$A$2,MATCH(EA$29,ParoRegESP!$A$2:$A$500)+$A30-1,1)-1)</f>
        <v>-2.3939270811079716E-4</v>
      </c>
      <c r="EB30" s="9">
        <f ca="1">IF(OR(EB3="",EB$28&lt;$A30),"",EB3/OFFSET(ParoRegESP!$A$2,MATCH(EB$29,ParoRegESP!$A$2:$A$500)+$A30-1,1)-1)</f>
        <v>9.4953006504336912E-3</v>
      </c>
      <c r="EC30" s="9">
        <f ca="1">IF(OR(EC3="",EC$28&lt;$A30),"",EC3/OFFSET(ParoRegESP!$A$2,MATCH(EC$29,ParoRegESP!$A$2:$A$500)+$A30-1,1)-1)</f>
        <v>2.001446355026637E-5</v>
      </c>
      <c r="ED30" s="9">
        <f ca="1">IF(OR(ED3="",ED$28&lt;$A30),"",ED3/OFFSET(ParoRegESP!$A$2,MATCH(ED$29,ParoRegESP!$A$2:$A$500)+$A30-1,1)-1)</f>
        <v>6.035567224544458E-3</v>
      </c>
      <c r="EE30" s="9">
        <f ca="1">IF(OR(EE3="",EE$28&lt;$A30),"",EE3/OFFSET(ParoRegESP!$A$2,MATCH(EE$29,ParoRegESP!$A$2:$A$500)+$A30-1,1)-1)</f>
        <v>3.5433384486189823E-3</v>
      </c>
      <c r="EF30" s="9">
        <f ca="1">IF(OR(EF3="",EF$28&lt;$A30),"",EF3/OFFSET(ParoRegESP!$A$2,MATCH(EF$29,ParoRegESP!$A$2:$A$500)+$A30-1,1)-1)</f>
        <v>2.3536504215284637E-3</v>
      </c>
      <c r="EG30" s="9">
        <f ca="1">IF(OR(EG3="",EG$28&lt;$A30),"",EG3/OFFSET(ParoRegESP!$A$2,MATCH(EG$29,ParoRegESP!$A$2:$A$500)+$A30-1,1)-1)</f>
        <v>1.2446155352139332E-3</v>
      </c>
      <c r="EH30" s="9">
        <f ca="1">IF(OR(EH3="",EH$28&lt;$A30),"",EH3/OFFSET(ParoRegESP!$A$2,MATCH(EH$29,ParoRegESP!$A$2:$A$500)+$A30-1,1)-1)</f>
        <v>-3.7957314099288375E-3</v>
      </c>
      <c r="EI30" s="9">
        <f ca="1">IF(OR(EI3="",EI$28&lt;$A30),"",EI3/OFFSET(ParoRegESP!$A$2,MATCH(EI$29,ParoRegESP!$A$2:$A$500)+$A30-1,1)-1)</f>
        <v>-9.4597607632888048E-3</v>
      </c>
      <c r="EJ30" s="9">
        <f ca="1">IF(OR(EJ3="",EJ$28&lt;$A30),"",EJ3/OFFSET(ParoRegESP!$A$2,MATCH(EJ$29,ParoRegESP!$A$2:$A$500)+$A30-1,1)-1)</f>
        <v>5.815138882353299E-3</v>
      </c>
      <c r="EK30" s="9">
        <f ca="1">IF(OR(EK3="",EK$28&lt;$A30),"",EK3/OFFSET(ParoRegESP!$A$2,MATCH(EK$29,ParoRegESP!$A$2:$A$500)+$A30-1,1)-1)</f>
        <v>-7.0698539923743642E-3</v>
      </c>
      <c r="EL30" s="9">
        <f ca="1">IF(OR(EL3="",EL$28&lt;$A30),"",EL3/OFFSET(ParoRegESP!$A$2,MATCH(EL$29,ParoRegESP!$A$2:$A$500)+$A30-1,1)-1)</f>
        <v>-2.9961735797109368E-3</v>
      </c>
      <c r="EM30" s="9">
        <f ca="1">IF(OR(EM3="",EM$28&lt;$A30),"",EM3/OFFSET(ParoRegESP!$A$2,MATCH(EM$29,ParoRegESP!$A$2:$A$500)+$A30-1,1)-1)</f>
        <v>-1.9227458979057532E-3</v>
      </c>
      <c r="EN30" s="9">
        <f ca="1">IF(OR(EN3="",EN$28&lt;$A30),"",EN3/OFFSET(ParoRegESP!$A$2,MATCH(EN$29,ParoRegESP!$A$2:$A$500)+$A30-1,1)-1)</f>
        <v>9.1091970635339692E-3</v>
      </c>
      <c r="EO30" s="9">
        <f ca="1">IF(OR(EO3="",EO$28&lt;$A30),"",EO3/OFFSET(ParoRegESP!$A$2,MATCH(EO$29,ParoRegESP!$A$2:$A$500)+$A30-1,1)-1)</f>
        <v>-1.5093035735136429E-3</v>
      </c>
      <c r="EP30" s="9">
        <f ca="1">IF(OR(EP3="",EP$28&lt;$A30),"",EP3/OFFSET(ParoRegESP!$A$2,MATCH(EP$29,ParoRegESP!$A$2:$A$500)+$A30-1,1)-1)</f>
        <v>6.6709806536413563E-3</v>
      </c>
      <c r="EQ30" s="9">
        <f ca="1">IF(OR(EQ3="",EQ$28&lt;$A30),"",EQ3/OFFSET(ParoRegESP!$A$2,MATCH(EQ$29,ParoRegESP!$A$2:$A$500)+$A30-1,1)-1)</f>
        <v>-3.3407838584520455E-3</v>
      </c>
      <c r="ER30" s="9">
        <f ca="1">IF(OR(ER3="",ER$28&lt;$A30),"",ER3/OFFSET(ParoRegESP!$A$2,MATCH(ER$29,ParoRegESP!$A$2:$A$500)+$A30-1,1)-1)</f>
        <v>3.1287923351919211E-4</v>
      </c>
      <c r="ES30" s="9">
        <f ca="1">IF(OR(ES3="",ES$28&lt;$A30),"",ES3/OFFSET(ParoRegESP!$A$2,MATCH(ES$29,ParoRegESP!$A$2:$A$500)+$A30-1,1)-1)</f>
        <v>-4.884430513161564E-3</v>
      </c>
      <c r="ET30" s="9">
        <f ca="1">IF(OR(ET3="",ET$28&lt;$A30),"",ET3/OFFSET(ParoRegESP!$A$2,MATCH(ET$29,ParoRegESP!$A$2:$A$500)+$A30-1,1)-1)</f>
        <v>5.2977867411896362E-4</v>
      </c>
      <c r="EU30" s="9">
        <f ca="1">IF(OR(EU3="",EU$28&lt;$A30),"",EU3/OFFSET(ParoRegESP!$A$2,MATCH(EU$29,ParoRegESP!$A$2:$A$500)+$A30-1,1)-1)</f>
        <v>6.9420695337940597E-3</v>
      </c>
      <c r="EV30" s="9">
        <f ca="1">IF(OR(EV3="",EV$28&lt;$A30),"",EV3/OFFSET(ParoRegESP!$A$2,MATCH(EV$29,ParoRegESP!$A$2:$A$500)+$A30-1,1)-1)</f>
        <v>3.0459453724851482E-3</v>
      </c>
      <c r="EW30" s="9">
        <f ca="1">IF(OR(EW3="",EW$28&lt;$A30),"",EW3/OFFSET(ParoRegESP!$A$2,MATCH(EW$29,ParoRegESP!$A$2:$A$500)+$A30-1,1)-1)</f>
        <v>-3.0695443803030464E-3</v>
      </c>
      <c r="EX30" s="9">
        <f ca="1">IF(OR(EX3="",EX$28&lt;$A30),"",EX3/OFFSET(ParoRegESP!$A$2,MATCH(EX$29,ParoRegESP!$A$2:$A$500)+$A30-1,1)-1)</f>
        <v>-1.9578020044965783E-3</v>
      </c>
      <c r="EY30" s="9">
        <f ca="1">IF(OR(EY3="",EY$28&lt;$A30),"",EY3/OFFSET(ParoRegESP!$A$2,MATCH(EY$29,ParoRegESP!$A$2:$A$500)+$A30-1,1)-1)</f>
        <v>5.43668712952039E-3</v>
      </c>
      <c r="EZ30" s="9">
        <f ca="1">IF(OR(EZ3="",EZ$28&lt;$A30),"",EZ3/OFFSET(ParoRegESP!$A$2,MATCH(EZ$29,ParoRegESP!$A$2:$A$500)+$A30-1,1)-1)</f>
        <v>-1.1667573863507807E-2</v>
      </c>
      <c r="FA30" s="9">
        <f ca="1">IF(OR(FA3="",FA$28&lt;$A30),"",FA3/OFFSET(ParoRegESP!$A$2,MATCH(FA$29,ParoRegESP!$A$2:$A$500)+$A30-1,1)-1)</f>
        <v>9.3201628718164731E-3</v>
      </c>
      <c r="FB30" s="9">
        <f ca="1">IF(OR(FB3="",FB$28&lt;$A30),"",FB3/OFFSET(ParoRegESP!$A$2,MATCH(FB$29,ParoRegESP!$A$2:$A$500)+$A30-1,1)-1)</f>
        <v>3.7521664572119917E-3</v>
      </c>
      <c r="FC30" s="9">
        <f ca="1">IF(OR(FC3="",FC$28&lt;$A30),"",FC3/OFFSET(ParoRegESP!$A$2,MATCH(FC$29,ParoRegESP!$A$2:$A$500)+$A30-1,1)-1)</f>
        <v>2.7139995840919084E-5</v>
      </c>
      <c r="FD30" s="9">
        <f ca="1">IF(OR(FD3="",FD$28&lt;$A30),"",FD3/OFFSET(ParoRegESP!$A$2,MATCH(FD$29,ParoRegESP!$A$2:$A$500)+$A30-1,1)-1)</f>
        <v>-6.9235925377997276E-5</v>
      </c>
      <c r="FE30" s="9">
        <f ca="1">IF(OR(FE3="",FE$28&lt;$A30),"",FE3/OFFSET(ParoRegESP!$A$2,MATCH(FE$29,ParoRegESP!$A$2:$A$500)+$A30-1,1)-1)</f>
        <v>8.2225145210859107E-3</v>
      </c>
      <c r="FF30" s="9">
        <f ca="1">IF(OR(FF3="",FF$28&lt;$A30),"",FF3/OFFSET(ParoRegESP!$A$2,MATCH(FF$29,ParoRegESP!$A$2:$A$500)+$A30-1,1)-1)</f>
        <v>-3.3204241385880184E-3</v>
      </c>
      <c r="FG30" s="9">
        <f ca="1">IF(OR(FG3="",FG$28&lt;$A30),"",FG3/OFFSET(ParoRegESP!$A$2,MATCH(FG$29,ParoRegESP!$A$2:$A$500)+$A30-1,1)-1)</f>
        <v>-9.2646650877371561E-3</v>
      </c>
      <c r="FH30" s="9">
        <f ca="1">IF(OR(FH3="",FH$28&lt;$A30),"",FH3/OFFSET(ParoRegESP!$A$2,MATCH(FH$29,ParoRegESP!$A$2:$A$500)+$A30-1,1)-1)</f>
        <v>-1.3008860696941071E-2</v>
      </c>
      <c r="FI30" s="9">
        <f ca="1">IF(OR(FI3="",FI$28&lt;$A30),"",FI3/OFFSET(ParoRegESP!$A$2,MATCH(FI$29,ParoRegESP!$A$2:$A$500)+$A30-1,1)-1)</f>
        <v>-6.635817377848241E-3</v>
      </c>
      <c r="FJ30" s="9">
        <f ca="1">IF(OR(FJ3="",FJ$28&lt;$A30),"",FJ3/OFFSET(ParoRegESP!$A$2,MATCH(FJ$29,ParoRegESP!$A$2:$A$500)+$A30-1,1)-1)</f>
        <v>4.6851661211559925E-3</v>
      </c>
      <c r="FK30" s="9">
        <f ca="1">IF(OR(FK3="",FK$28&lt;$A30),"",FK3/OFFSET(ParoRegESP!$A$2,MATCH(FK$29,ParoRegESP!$A$2:$A$500)+$A30-1,1)-1)</f>
        <v>4.6809607049111968E-3</v>
      </c>
      <c r="FL30" s="9">
        <f ca="1">IF(OR(FL3="",FL$28&lt;$A30),"",FL3/OFFSET(ParoRegESP!$A$2,MATCH(FL$29,ParoRegESP!$A$2:$A$500)+$A30-1,1)-1)</f>
        <v>3.8167634764150193E-3</v>
      </c>
      <c r="FM30" s="9">
        <f ca="1">IF(OR(FM3="",FM$28&lt;$A30),"",FM3/OFFSET(ParoRegESP!$A$2,MATCH(FM$29,ParoRegESP!$A$2:$A$500)+$A30-1,1)-1)</f>
        <v>-1.6707875046920728E-3</v>
      </c>
      <c r="FN30" s="9">
        <f ca="1">IF(OR(FN3="",FN$28&lt;$A30),"",FN3/OFFSET(ParoRegESP!$A$2,MATCH(FN$29,ParoRegESP!$A$2:$A$500)+$A30-1,1)-1)</f>
        <v>2.4756891753794363E-3</v>
      </c>
      <c r="FO30" s="9">
        <f ca="1">IF(OR(FO3="",FO$28&lt;$A30),"",FO3/OFFSET(ParoRegESP!$A$2,MATCH(FO$29,ParoRegESP!$A$2:$A$500)+$A30-1,1)-1)</f>
        <v>1.8076476049511125E-3</v>
      </c>
      <c r="FP30" s="9">
        <f ca="1">IF(OR(FP3="",FP$28&lt;$A30),"",FP3/OFFSET(ParoRegESP!$A$2,MATCH(FP$29,ParoRegESP!$A$2:$A$500)+$A30-1,1)-1)</f>
        <v>-1.6001746342328982E-3</v>
      </c>
      <c r="FQ30" s="9">
        <f ca="1">IF(OR(FQ3="",FQ$28&lt;$A30),"",FQ3/OFFSET(ParoRegESP!$A$2,MATCH(FQ$29,ParoRegESP!$A$2:$A$500)+$A30-1,1)-1)</f>
        <v>-8.8800635290442465E-4</v>
      </c>
      <c r="FR30" s="9">
        <f ca="1">IF(OR(FR3="",FR$28&lt;$A30),"",FR3/OFFSET(ParoRegESP!$A$2,MATCH(FR$29,ParoRegESP!$A$2:$A$500)+$A30-1,1)-1)</f>
        <v>-5.5782350197915997E-3</v>
      </c>
      <c r="FS30" s="9">
        <f ca="1">IF(OR(FS3="",FS$28&lt;$A30),"",FS3/OFFSET(ParoRegESP!$A$2,MATCH(FS$29,ParoRegESP!$A$2:$A$500)+$A30-1,1)-1)</f>
        <v>2.3990618156013443E-3</v>
      </c>
      <c r="FT30" s="9">
        <f ca="1">IF(OR(FT3="",FT$28&lt;$A30),"",FT3/OFFSET(ParoRegESP!$A$2,MATCH(FT$29,ParoRegESP!$A$2:$A$500)+$A30-1,1)-1)</f>
        <v>-4.5095269752852829E-3</v>
      </c>
      <c r="FU30" s="9">
        <f ca="1">IF(OR(FU3="",FU$28&lt;$A30),"",FU3/OFFSET(ParoRegESP!$A$2,MATCH(FU$29,ParoRegESP!$A$2:$A$500)+$A30-1,1)-1)</f>
        <v>-1.8033540385348212E-3</v>
      </c>
      <c r="FV30" s="9">
        <f ca="1">IF(OR(FV3="",FV$28&lt;$A30),"",FV3/OFFSET(ParoRegESP!$A$2,MATCH(FV$29,ParoRegESP!$A$2:$A$500)+$A30-1,1)-1)</f>
        <v>6.7371782425691418E-3</v>
      </c>
      <c r="FW30" s="9">
        <f ca="1">IF(OR(FW3="",FW$28&lt;$A30),"",FW3/OFFSET(ParoRegESP!$A$2,MATCH(FW$29,ParoRegESP!$A$2:$A$500)+$A30-1,1)-1)</f>
        <v>3.5664592740227707E-3</v>
      </c>
      <c r="FX30" s="9">
        <f ca="1">IF(OR(FX3="",FX$28&lt;$A30),"",FX3/OFFSET(ParoRegESP!$A$2,MATCH(FX$29,ParoRegESP!$A$2:$A$500)+$A30-1,1)-1)</f>
        <v>2.8745067596249729E-3</v>
      </c>
      <c r="FY30" s="9">
        <f ca="1">IF(OR(FY3="",FY$28&lt;$A30),"",FY3/OFFSET(ParoRegESP!$A$2,MATCH(FY$29,ParoRegESP!$A$2:$A$500)+$A30-1,1)-1)</f>
        <v>-3.3714847921983981E-3</v>
      </c>
      <c r="FZ30" s="9">
        <f ca="1">IF(OR(FZ3="",FZ$28&lt;$A30),"",FZ3/OFFSET(ParoRegESP!$A$2,MATCH(FZ$29,ParoRegESP!$A$2:$A$500)+$A30-1,1)-1)</f>
        <v>-2.5108814029504156E-3</v>
      </c>
      <c r="GA30" s="9">
        <f ca="1">IF(OR(GA3="",GA$28&lt;$A30),"",GA3/OFFSET(ParoRegESP!$A$2,MATCH(GA$29,ParoRegESP!$A$2:$A$500)+$A30-1,1)-1)</f>
        <v>6.6752892789390117E-4</v>
      </c>
      <c r="GB30" s="9">
        <f ca="1">IF(OR(GB3="",GB$28&lt;$A30),"",GB3/OFFSET(ParoRegESP!$A$2,MATCH(GB$29,ParoRegESP!$A$2:$A$500)+$A30-1,1)-1)</f>
        <v>-9.786609831767823E-4</v>
      </c>
      <c r="GC30" s="9">
        <f ca="1">IF(OR(GC3="",GC$28&lt;$A30),"",GC3/OFFSET(ParoRegESP!$A$2,MATCH(GC$29,ParoRegESP!$A$2:$A$500)+$A30-1,1)-1)</f>
        <v>4.5941901422379416E-3</v>
      </c>
      <c r="GD30" s="9">
        <f ca="1">IF(OR(GD3="",GD$28&lt;$A30),"",GD3/OFFSET(ParoRegESP!$A$2,MATCH(GD$29,ParoRegESP!$A$2:$A$500)+$A30-1,1)-1)</f>
        <v>-3.3942543422471605E-4</v>
      </c>
      <c r="GE30" s="9">
        <f ca="1">IF(OR(GE3="",GE$28&lt;$A30),"",GE3/OFFSET(ParoRegESP!$A$2,MATCH(GE$29,ParoRegESP!$A$2:$A$500)+$A30-1,1)-1)</f>
        <v>-8.9995787387968651E-3</v>
      </c>
      <c r="GF30" s="9">
        <f ca="1">IF(OR(GF3="",GF$28&lt;$A30),"",GF3/OFFSET(ParoRegESP!$A$2,MATCH(GF$29,ParoRegESP!$A$2:$A$500)+$A30-1,1)-1)</f>
        <v>-7.5080125652545737E-3</v>
      </c>
      <c r="GG30" s="9">
        <f ca="1">IF(OR(GG3="",GG$28&lt;$A30),"",GG3/OFFSET(ParoRegESP!$A$2,MATCH(GG$29,ParoRegESP!$A$2:$A$500)+$A30-1,1)-1)</f>
        <v>-1.4907983053391582E-4</v>
      </c>
      <c r="GH30" s="9">
        <f ca="1">IF(OR(GH3="",GH$28&lt;$A30),"",GH3/OFFSET(ParoRegESP!$A$2,MATCH(GH$29,ParoRegESP!$A$2:$A$500)+$A30-1,1)-1)</f>
        <v>7.844094530751855E-3</v>
      </c>
      <c r="GI30" s="9">
        <f ca="1">IF(OR(GI3="",GI$28&lt;$A30),"",GI3/OFFSET(ParoRegESP!$A$2,MATCH(GI$29,ParoRegESP!$A$2:$A$500)+$A30-1,1)-1)</f>
        <v>-1.1404078381328842E-2</v>
      </c>
      <c r="GJ30" s="9">
        <f ca="1">IF(OR(GJ3="",GJ$28&lt;$A30),"",GJ3/OFFSET(ParoRegESP!$A$2,MATCH(GJ$29,ParoRegESP!$A$2:$A$500)+$A30-1,1)-1)</f>
        <v>4.1771120858100641E-3</v>
      </c>
      <c r="GK30" s="9">
        <f ca="1">IF(OR(GK3="",GK$28&lt;$A30),"",GK3/OFFSET(ParoRegESP!$A$2,MATCH(GK$29,ParoRegESP!$A$2:$A$500)+$A30-1,1)-1)</f>
        <v>2.2984663265046557E-3</v>
      </c>
      <c r="GL30" s="9">
        <f ca="1">IF(OR(GL3="",GL$28&lt;$A30),"",GL3/OFFSET(ParoRegESP!$A$2,MATCH(GL$29,ParoRegESP!$A$2:$A$500)+$A30-1,1)-1)</f>
        <v>3.5139900241731858E-4</v>
      </c>
      <c r="GM30" s="9">
        <f ca="1">IF(OR(GM3="",GM$28&lt;$A30),"",GM3/OFFSET(ParoRegESP!$A$2,MATCH(GM$29,ParoRegESP!$A$2:$A$500)+$A30-1,1)-1)</f>
        <v>8.6965757490278239E-3</v>
      </c>
      <c r="GN30" s="9">
        <f ca="1">IF(OR(GN3="",GN$28&lt;$A30),"",GN3/OFFSET(ParoRegESP!$A$2,MATCH(GN$29,ParoRegESP!$A$2:$A$500)+$A30-1,1)-1)</f>
        <v>-9.5087221557051405E-2</v>
      </c>
      <c r="GO30" s="9">
        <f ca="1">IF(OR(GO3="",GO$28&lt;$A30),"",GO3/OFFSET(ParoRegESP!$A$2,MATCH(GO$29,ParoRegESP!$A$2:$A$500)+$A30-1,1)-1)</f>
        <v>-7.8842780922762756E-2</v>
      </c>
      <c r="GP30" s="9">
        <f ca="1">IF(OR(GP3="",GP$28&lt;$A30),"",GP3/OFFSET(ParoRegESP!$A$2,MATCH(GP$29,ParoRegESP!$A$2:$A$500)+$A30-1,1)-1)</f>
        <v>3.0179664613071422E-2</v>
      </c>
      <c r="GQ30" s="9">
        <f ca="1">IF(OR(GQ3="",GQ$28&lt;$A30),"",GQ3/OFFSET(ParoRegESP!$A$2,MATCH(GQ$29,ParoRegESP!$A$2:$A$500)+$A30-1,1)-1)</f>
        <v>1.839830966938738E-4</v>
      </c>
      <c r="GR30" s="9">
        <f ca="1">IF(OR(GR3="",GR$28&lt;$A30),"",GR3/OFFSET(ParoRegESP!$A$2,MATCH(GR$29,ParoRegESP!$A$2:$A$500)+$A30-1,1)-1)</f>
        <v>3.6795403255119208E-2</v>
      </c>
      <c r="GS30" s="9">
        <f ca="1">IF(OR(GS3="",GS$28&lt;$A30),"",GS3/OFFSET(ParoRegESP!$A$2,MATCH(GS$29,ParoRegESP!$A$2:$A$500)+$A30-1,1)-1)</f>
        <v>1.8474362137243183E-2</v>
      </c>
      <c r="GT30" s="9">
        <f ca="1">IF(OR(GT3="",GT$28&lt;$A30),"",GT3/OFFSET(ParoRegESP!$A$2,MATCH(GT$29,ParoRegESP!$A$2:$A$500)+$A30-1,1)-1)</f>
        <v>2.3600823909286195E-2</v>
      </c>
      <c r="GU30" s="9">
        <f ca="1">IF(OR(GU3="",GU$28&lt;$A30),"",GU3/OFFSET(ParoRegESP!$A$2,MATCH(GU$29,ParoRegESP!$A$2:$A$500)+$A30-1,1)-1)</f>
        <v>1.5817463144738309E-3</v>
      </c>
      <c r="GV30" s="9">
        <f ca="1">IF(OR(GV3="",GV$28&lt;$A30),"",GV3/OFFSET(ParoRegESP!$A$2,MATCH(GV$29,ParoRegESP!$A$2:$A$500)+$A30-1,1)-1)</f>
        <v>-4.6487952376181862E-3</v>
      </c>
      <c r="GW30" s="9">
        <f ca="1">IF(OR(GW3="",GW$28&lt;$A30),"",GW3/OFFSET(ParoRegESP!$A$2,MATCH(GW$29,ParoRegESP!$A$2:$A$500)+$A30-1,1)-1)</f>
        <v>-1.7315344602856109E-2</v>
      </c>
      <c r="GX30" s="9">
        <f ca="1">IF(OR(GX3="",GX$28&lt;$A30),"",GX3/OFFSET(ParoRegESP!$A$2,MATCH(GX$29,ParoRegESP!$A$2:$A$500)+$A30-1,1)-1)</f>
        <v>1.2563061378426443E-2</v>
      </c>
      <c r="GY30" s="9" t="str">
        <f ca="1">IF(OR(GY3="",GY$28&lt;$A30),"",GY3/OFFSET(ParoRegESP!$A$2,MATCH(GY$29,ParoRegESP!$A$2:$A$500)+$A30-1,1)-1)</f>
        <v/>
      </c>
      <c r="GZ30" s="9" t="str">
        <f ca="1">IF(OR(GZ3="",GZ$28&lt;$A30),"",GZ3/OFFSET(ParoRegESP!$A$2,MATCH(GZ$29,ParoRegESP!$A$2:$A$500)+$A30-1,1)-1)</f>
        <v/>
      </c>
      <c r="HA30" s="9" t="str">
        <f ca="1">IF(OR(HA3="",HA$28&lt;$A30),"",HA3/OFFSET(ParoRegESP!$A$2,MATCH(HA$29,ParoRegESP!$A$2:$A$500)+$A30-1,1)-1)</f>
        <v/>
      </c>
      <c r="HB30" s="9" t="str">
        <f ca="1">IF(OR(HB3="",HB$28&lt;$A30),"",HB3/OFFSET(ParoRegESP!$A$2,MATCH(HB$29,ParoRegESP!$A$2:$A$500)+$A30-1,1)-1)</f>
        <v/>
      </c>
      <c r="HC30" s="9" t="str">
        <f ca="1">IF(OR(HC3="",HC$28&lt;$A30),"",HC3/OFFSET(ParoRegESP!$A$2,MATCH(HC$29,ParoRegESP!$A$2:$A$500)+$A30-1,1)-1)</f>
        <v/>
      </c>
      <c r="HD30" s="9" t="str">
        <f ca="1">IF(OR(HD3="",HD$28&lt;$A30),"",HD3/OFFSET(ParoRegESP!$A$2,MATCH(HD$29,ParoRegESP!$A$2:$A$500)+$A30-1,1)-1)</f>
        <v/>
      </c>
      <c r="HE30" s="9" t="str">
        <f ca="1">IF(OR(HE3="",HE$28&lt;$A30),"",HE3/OFFSET(ParoRegESP!$A$2,MATCH(HE$29,ParoRegESP!$A$2:$A$500)+$A30-1,1)-1)</f>
        <v/>
      </c>
      <c r="HF30" s="9" t="str">
        <f ca="1">IF(OR(HF3="",HF$28&lt;$A30),"",HF3/OFFSET(ParoRegESP!$A$2,MATCH(HF$29,ParoRegESP!$A$2:$A$500)+$A30-1,1)-1)</f>
        <v/>
      </c>
      <c r="HG30" s="9" t="str">
        <f ca="1">IF(OR(HG3="",HG$28&lt;$A30),"",HG3/OFFSET(ParoRegESP!$A$2,MATCH(HG$29,ParoRegESP!$A$2:$A$500)+$A30-1,1)-1)</f>
        <v/>
      </c>
      <c r="HH30" s="9" t="str">
        <f ca="1">IF(OR(HH3="",HH$28&lt;$A30),"",HH3/OFFSET(ParoRegESP!$A$2,MATCH(HH$29,ParoRegESP!$A$2:$A$500)+$A30-1,1)-1)</f>
        <v/>
      </c>
      <c r="HI30" s="9" t="str">
        <f ca="1">IF(OR(HI3="",HI$28&lt;$A30),"",HI3/OFFSET(ParoRegESP!$A$2,MATCH(HI$29,ParoRegESP!$A$2:$A$500)+$A30-1,1)-1)</f>
        <v/>
      </c>
      <c r="HJ30" s="9" t="str">
        <f ca="1">IF(OR(HJ3="",HJ$28&lt;$A30),"",HJ3/OFFSET(ParoRegESP!$A$2,MATCH(HJ$29,ParoRegESP!$A$2:$A$500)+$A30-1,1)-1)</f>
        <v/>
      </c>
      <c r="HK30" s="9" t="str">
        <f ca="1">IF(OR(HK3="",HK$28&lt;$A30),"",HK3/OFFSET(ParoRegESP!$A$2,MATCH(HK$29,ParoRegESP!$A$2:$A$500)+$A30-1,1)-1)</f>
        <v/>
      </c>
      <c r="HL30" s="9" t="str">
        <f ca="1">IF(OR(HL3="",HL$28&lt;$A30),"",HL3/OFFSET(ParoRegESP!$A$2,MATCH(HL$29,ParoRegESP!$A$2:$A$500)+$A30-1,1)-1)</f>
        <v/>
      </c>
      <c r="HM30" s="9" t="str">
        <f ca="1">IF(OR(HM3="",HM$28&lt;$A30),"",HM3/OFFSET(ParoRegESP!$A$2,MATCH(HM$29,ParoRegESP!$A$2:$A$500)+$A30-1,1)-1)</f>
        <v/>
      </c>
      <c r="HN30" s="9" t="str">
        <f ca="1">IF(OR(HN3="",HN$28&lt;$A30),"",HN3/OFFSET(ParoRegESP!$A$2,MATCH(HN$29,ParoRegESP!$A$2:$A$500)+$A30-1,1)-1)</f>
        <v/>
      </c>
      <c r="HO30" s="9" t="str">
        <f ca="1">IF(OR(HO3="",HO$28&lt;$A30),"",HO3/OFFSET(ParoRegESP!$A$2,MATCH(HO$29,ParoRegESP!$A$2:$A$500)+$A30-1,1)-1)</f>
        <v/>
      </c>
      <c r="HP30" s="9" t="str">
        <f ca="1">IF(OR(HP3="",HP$28&lt;$A30),"",HP3/OFFSET(ParoRegESP!$A$2,MATCH(HP$29,ParoRegESP!$A$2:$A$500)+$A30-1,1)-1)</f>
        <v/>
      </c>
      <c r="HQ30" s="9" t="str">
        <f ca="1">IF(OR(HQ3="",HQ$28&lt;$A30),"",HQ3/OFFSET(ParoRegESP!$A$2,MATCH(HQ$29,ParoRegESP!$A$2:$A$500)+$A30-1,1)-1)</f>
        <v/>
      </c>
      <c r="HR30" s="9" t="str">
        <f ca="1">IF(OR(HR3="",HR$28&lt;$A30),"",HR3/OFFSET(ParoRegESP!$A$2,MATCH(HR$29,ParoRegESP!$A$2:$A$500)+$A30-1,1)-1)</f>
        <v/>
      </c>
      <c r="HS30" s="9" t="str">
        <f ca="1">IF(OR(HS3="",HS$28&lt;$A30),"",HS3/OFFSET(ParoRegESP!$A$2,MATCH(HS$29,ParoRegESP!$A$2:$A$500)+$A30-1,1)-1)</f>
        <v/>
      </c>
      <c r="HT30" s="9" t="str">
        <f ca="1">IF(OR(HT3="",HT$28&lt;$A30),"",HT3/OFFSET(ParoRegESP!$A$2,MATCH(HT$29,ParoRegESP!$A$2:$A$500)+$A30-1,1)-1)</f>
        <v/>
      </c>
      <c r="HU30" s="9" t="str">
        <f ca="1">IF(OR(HU3="",HU$28&lt;$A30),"",HU3/OFFSET(ParoRegESP!$A$2,MATCH(HU$29,ParoRegESP!$A$2:$A$500)+$A30-1,1)-1)</f>
        <v/>
      </c>
      <c r="HV30" s="9" t="str">
        <f ca="1">IF(OR(HV3="",HV$28&lt;$A30),"",HV3/OFFSET(ParoRegESP!$A$2,MATCH(HV$29,ParoRegESP!$A$2:$A$500)+$A30-1,1)-1)</f>
        <v/>
      </c>
      <c r="HW30" s="9" t="str">
        <f ca="1">IF(OR(HW3="",HW$28&lt;$A30),"",HW3/OFFSET(ParoRegESP!$A$2,MATCH(HW$29,ParoRegESP!$A$2:$A$500)+$A30-1,1)-1)</f>
        <v/>
      </c>
      <c r="HX30" s="9" t="str">
        <f ca="1">IF(OR(HX3="",HX$28&lt;$A30),"",HX3/OFFSET(ParoRegESP!$A$2,MATCH(HX$29,ParoRegESP!$A$2:$A$500)+$A30-1,1)-1)</f>
        <v/>
      </c>
      <c r="HY30" s="9" t="str">
        <f ca="1">IF(OR(HY3="",HY$28&lt;$A30),"",HY3/OFFSET(ParoRegESP!$A$2,MATCH(HY$29,ParoRegESP!$A$2:$A$500)+$A30-1,1)-1)</f>
        <v/>
      </c>
      <c r="HZ30" s="9" t="str">
        <f ca="1">IF(OR(HZ3="",HZ$28&lt;$A30),"",HZ3/OFFSET(ParoRegESP!$A$2,MATCH(HZ$29,ParoRegESP!$A$2:$A$500)+$A30-1,1)-1)</f>
        <v/>
      </c>
      <c r="IA30" s="9" t="str">
        <f ca="1">IF(OR(IA3="",IA$28&lt;$A30),"",IA3/OFFSET(ParoRegESP!$A$2,MATCH(IA$29,ParoRegESP!$A$2:$A$500)+$A30-1,1)-1)</f>
        <v/>
      </c>
      <c r="IB30" s="9" t="str">
        <f ca="1">IF(OR(IB3="",IB$28&lt;$A30),"",IB3/OFFSET(ParoRegESP!$A$2,MATCH(IB$29,ParoRegESP!$A$2:$A$500)+$A30-1,1)-1)</f>
        <v/>
      </c>
      <c r="IC30" s="9" t="str">
        <f ca="1">IF(OR(IC3="",IC$28&lt;$A30),"",IC3/OFFSET(ParoRegESP!$A$2,MATCH(IC$29,ParoRegESP!$A$2:$A$500)+$A30-1,1)-1)</f>
        <v/>
      </c>
      <c r="ID30" s="9" t="str">
        <f ca="1">IF(OR(ID3="",ID$28&lt;$A30),"",ID3/OFFSET(ParoRegESP!$A$2,MATCH(ID$29,ParoRegESP!$A$2:$A$500)+$A30-1,1)-1)</f>
        <v/>
      </c>
      <c r="IE30" s="9" t="str">
        <f ca="1">IF(OR(IE3="",IE$28&lt;$A30),"",IE3/OFFSET(ParoRegESP!$A$2,MATCH(IE$29,ParoRegESP!$A$2:$A$500)+$A30-1,1)-1)</f>
        <v/>
      </c>
      <c r="IF30" s="9" t="str">
        <f ca="1">IF(OR(IF3="",IF$28&lt;$A30),"",IF3/OFFSET(ParoRegESP!$A$2,MATCH(IF$29,ParoRegESP!$A$2:$A$500)+$A30-1,1)-1)</f>
        <v/>
      </c>
      <c r="IG30" s="9" t="str">
        <f ca="1">IF(OR(IG3="",IG$28&lt;$A30),"",IG3/OFFSET(ParoRegESP!$A$2,MATCH(IG$29,ParoRegESP!$A$2:$A$500)+$A30-1,1)-1)</f>
        <v/>
      </c>
      <c r="IH30" s="9" t="str">
        <f ca="1">IF(OR(IH3="",IH$28&lt;$A30),"",IH3/OFFSET(ParoRegESP!$A$2,MATCH(IH$29,ParoRegESP!$A$2:$A$500)+$A30-1,1)-1)</f>
        <v/>
      </c>
      <c r="II30" s="9" t="str">
        <f ca="1">IF(OR(II3="",II$28&lt;$A30),"",II3/OFFSET(ParoRegESP!$A$2,MATCH(II$29,ParoRegESP!$A$2:$A$500)+$A30-1,1)-1)</f>
        <v/>
      </c>
      <c r="IJ30" s="9" t="str">
        <f ca="1">IF(OR(IJ3="",IJ$28&lt;$A30),"",IJ3/OFFSET(ParoRegESP!$A$2,MATCH(IJ$29,ParoRegESP!$A$2:$A$500)+$A30-1,1)-1)</f>
        <v/>
      </c>
      <c r="IK30" s="9" t="str">
        <f ca="1">IF(OR(IK3="",IK$28&lt;$A30),"",IK3/OFFSET(ParoRegESP!$A$2,MATCH(IK$29,ParoRegESP!$A$2:$A$500)+$A30-1,1)-1)</f>
        <v/>
      </c>
      <c r="IL30" s="9" t="str">
        <f ca="1">IF(OR(IL3="",IL$28&lt;$A30),"",IL3/OFFSET(ParoRegESP!$A$2,MATCH(IL$29,ParoRegESP!$A$2:$A$500)+$A30-1,1)-1)</f>
        <v/>
      </c>
      <c r="IM30" s="9" t="str">
        <f ca="1">IF(OR(IM3="",IM$28&lt;$A30),"",IM3/OFFSET(ParoRegESP!$A$2,MATCH(IM$29,ParoRegESP!$A$2:$A$500)+$A30-1,1)-1)</f>
        <v/>
      </c>
      <c r="IN30" s="9" t="str">
        <f ca="1">IF(OR(IN3="",IN$28&lt;$A30),"",IN3/OFFSET(ParoRegESP!$A$2,MATCH(IN$29,ParoRegESP!$A$2:$A$500)+$A30-1,1)-1)</f>
        <v/>
      </c>
      <c r="IO30" s="9" t="str">
        <f ca="1">IF(OR(IO3="",IO$28&lt;$A30),"",IO3/OFFSET(ParoRegESP!$A$2,MATCH(IO$29,ParoRegESP!$A$2:$A$500)+$A30-1,1)-1)</f>
        <v/>
      </c>
      <c r="IP30" s="9" t="str">
        <f ca="1">IF(OR(IP3="",IP$28&lt;$A30),"",IP3/OFFSET(ParoRegESP!$A$2,MATCH(IP$29,ParoRegESP!$A$2:$A$500)+$A30-1,1)-1)</f>
        <v/>
      </c>
      <c r="IQ30" s="9" t="str">
        <f ca="1">IF(OR(IQ3="",IQ$28&lt;$A30),"",IQ3/OFFSET(ParoRegESP!$A$2,MATCH(IQ$29,ParoRegESP!$A$2:$A$500)+$A30-1,1)-1)</f>
        <v/>
      </c>
      <c r="IR30" s="9" t="str">
        <f ca="1">IF(OR(IR3="",IR$28&lt;$A30),"",IR3/OFFSET(ParoRegESP!$A$2,MATCH(IR$29,ParoRegESP!$A$2:$A$500)+$A30-1,1)-1)</f>
        <v/>
      </c>
      <c r="IS30" s="9" t="str">
        <f ca="1">IF(OR(IS3="",IS$28&lt;$A30),"",IS3/OFFSET(ParoRegESP!$A$2,MATCH(IS$29,ParoRegESP!$A$2:$A$500)+$A30-1,1)-1)</f>
        <v/>
      </c>
      <c r="IT30" s="9" t="str">
        <f ca="1">IF(OR(IT3="",IT$28&lt;$A30),"",IT3/OFFSET(ParoRegESP!$A$2,MATCH(IT$29,ParoRegESP!$A$2:$A$500)+$A30-1,1)-1)</f>
        <v/>
      </c>
      <c r="IU30" s="9" t="str">
        <f ca="1">IF(OR(IU3="",IU$28&lt;$A30),"",IU3/OFFSET(ParoRegESP!$A$2,MATCH(IU$29,ParoRegESP!$A$2:$A$500)+$A30-1,1)-1)</f>
        <v/>
      </c>
      <c r="IV30" s="9" t="str">
        <f ca="1">IF(OR(IV3="",IV$28&lt;$A30),"",IV3/OFFSET(ParoRegESP!$A$2,MATCH(IV$29,ParoRegESP!$A$2:$A$500)+$A30-1,1)-1)</f>
        <v/>
      </c>
      <c r="IW30" s="9" t="str">
        <f ca="1">IF(OR(IW3="",IW$28&lt;$A30),"",IW3/OFFSET(ParoRegESP!$A$2,MATCH(IW$29,ParoRegESP!$A$2:$A$500)+$A30-1,1)-1)</f>
        <v/>
      </c>
      <c r="IX30" s="9" t="str">
        <f ca="1">IF(OR(IX3="",IX$28&lt;$A30),"",IX3/OFFSET(ParoRegESP!$A$2,MATCH(IX$29,ParoRegESP!$A$2:$A$500)+$A30-1,1)-1)</f>
        <v/>
      </c>
      <c r="IY30" s="9" t="str">
        <f ca="1">IF(OR(IY3="",IY$28&lt;$A30),"",IY3/OFFSET(ParoRegESP!$A$2,MATCH(IY$29,ParoRegESP!$A$2:$A$500)+$A30-1,1)-1)</f>
        <v/>
      </c>
      <c r="IZ30" s="9" t="str">
        <f ca="1">IF(OR(IZ3="",IZ$28&lt;$A30),"",IZ3/OFFSET(ParoRegESP!$A$2,MATCH(IZ$29,ParoRegESP!$A$2:$A$500)+$A30-1,1)-1)</f>
        <v/>
      </c>
      <c r="JA30" s="9" t="str">
        <f ca="1">IF(OR(JA3="",JA$28&lt;$A30),"",JA3/OFFSET(ParoRegESP!$A$2,MATCH(JA$29,ParoRegESP!$A$2:$A$500)+$A30-1,1)-1)</f>
        <v/>
      </c>
      <c r="JB30" s="9" t="str">
        <f ca="1">IF(OR(JB3="",JB$28&lt;$A30),"",JB3/OFFSET(ParoRegESP!$A$2,MATCH(JB$29,ParoRegESP!$A$2:$A$500)+$A30-1,1)-1)</f>
        <v/>
      </c>
      <c r="JC30" s="9" t="str">
        <f ca="1">IF(OR(JC3="",JC$28&lt;$A30),"",JC3/OFFSET(ParoRegESP!$A$2,MATCH(JC$29,ParoRegESP!$A$2:$A$500)+$A30-1,1)-1)</f>
        <v/>
      </c>
      <c r="JD30" s="9" t="str">
        <f ca="1">IF(OR(JD3="",JD$28&lt;$A30),"",JD3/OFFSET(ParoRegESP!$A$2,MATCH(JD$29,ParoRegESP!$A$2:$A$500)+$A30-1,1)-1)</f>
        <v/>
      </c>
      <c r="JE30" s="9" t="str">
        <f ca="1">IF(OR(JE3="",JE$28&lt;$A30),"",JE3/OFFSET(ParoRegESP!$A$2,MATCH(JE$29,ParoRegESP!$A$2:$A$500)+$A30-1,1)-1)</f>
        <v/>
      </c>
      <c r="JF30" s="9" t="str">
        <f ca="1">IF(OR(JF3="",JF$28&lt;$A30),"",JF3/OFFSET(ParoRegESP!$A$2,MATCH(JF$29,ParoRegESP!$A$2:$A$500)+$A30-1,1)-1)</f>
        <v/>
      </c>
      <c r="JG30" s="9" t="str">
        <f ca="1">IF(OR(JG3="",JG$28&lt;$A30),"",JG3/OFFSET(ParoRegESP!$A$2,MATCH(JG$29,ParoRegESP!$A$2:$A$500)+$A30-1,1)-1)</f>
        <v/>
      </c>
      <c r="JH30" s="9" t="str">
        <f ca="1">IF(OR(JH3="",JH$28&lt;$A30),"",JH3/OFFSET(ParoRegESP!$A$2,MATCH(JH$29,ParoRegESP!$A$2:$A$500)+$A30-1,1)-1)</f>
        <v/>
      </c>
      <c r="JI30" s="13">
        <f t="shared" ref="JI30:JI41" ca="1" si="13">AVERAGE(OFFSET($B30,0,Inicio-1,1,Amplitud))</f>
        <v>-2.2455543904262689E-3</v>
      </c>
      <c r="JJ30" s="13">
        <f t="shared" ref="JJ30:JJ41" ca="1" si="14">MEDIAN(OFFSET($B30,0,Inicio-1,1,Amplitud))</f>
        <v>2.6769104955559619E-4</v>
      </c>
      <c r="JK30" s="14">
        <f t="shared" ref="JK30:JK41" ca="1" si="15">VARP(OFFSET($B30,0,Inicio-1,1,Amplitud))</f>
        <v>5.6842652839108135E-4</v>
      </c>
      <c r="JL30" s="17">
        <f ca="1">SQRT(JK30)</f>
        <v>2.3841697263221034E-2</v>
      </c>
      <c r="JM30" s="15" t="str">
        <f t="shared" ref="JM30:JM41" ca="1" si="16">CONCATENATE("[ ",TEXT(JI30-2*JL30,"0,00%")," ; ",TEXT(JI30+2*JL30,"0,00%")," ]")</f>
        <v>[ -4,99% ; 4,54% ]</v>
      </c>
      <c r="JN30" s="17">
        <f t="shared" ref="JN30:JN41" ca="1" si="17">JL30*JN$29</f>
        <v>3.0517372496922924E-2</v>
      </c>
      <c r="LY30" s="1"/>
    </row>
    <row r="31" spans="1:337" x14ac:dyDescent="0.25">
      <c r="A31" s="4">
        <v>2</v>
      </c>
      <c r="B31" s="9">
        <f ca="1">IF(OR(B4="",B$28&lt;$A31),"",B4/OFFSET(ParoRegESP!$A$2,MATCH(B$29,ParoRegESP!$A$2:$A$500)+$A31-1,1)-1)</f>
        <v>1.754185958289689E-2</v>
      </c>
      <c r="C31" s="9">
        <f ca="1">IF(OR(C4="",C$28&lt;$A31),"",C4/OFFSET(ParoRegESP!$A$2,MATCH(C$29,ParoRegESP!$A$2:$A$500)+$A31-1,1)-1)</f>
        <v>1.6652705831112113E-2</v>
      </c>
      <c r="D31" s="9">
        <f ca="1">IF(OR(D4="",D$28&lt;$A31),"",D4/OFFSET(ParoRegESP!$A$2,MATCH(D$29,ParoRegESP!$A$2:$A$500)+$A31-1,1)-1)</f>
        <v>-8.2289307726428618E-3</v>
      </c>
      <c r="E31" s="9">
        <f ca="1">IF(OR(E4="",E$28&lt;$A31),"",E4/OFFSET(ParoRegESP!$A$2,MATCH(E$29,ParoRegESP!$A$2:$A$500)+$A31-1,1)-1)</f>
        <v>-1.5859507516126081E-3</v>
      </c>
      <c r="F31" s="9">
        <f ca="1">IF(OR(F4="",F$28&lt;$A31),"",F4/OFFSET(ParoRegESP!$A$2,MATCH(F$29,ParoRegESP!$A$2:$A$500)+$A31-1,1)-1)</f>
        <v>1.838697586179272E-3</v>
      </c>
      <c r="G31" s="9">
        <f ca="1">IF(OR(G4="",G$28&lt;$A31),"",G4/OFFSET(ParoRegESP!$A$2,MATCH(G$29,ParoRegESP!$A$2:$A$500)+$A31-1,1)-1)</f>
        <v>1.4925755436226762E-2</v>
      </c>
      <c r="H31" s="9">
        <f ca="1">IF(OR(H4="",H$28&lt;$A31),"",H4/OFFSET(ParoRegESP!$A$2,MATCH(H$29,ParoRegESP!$A$2:$A$500)+$A31-1,1)-1)</f>
        <v>9.002127122298198E-3</v>
      </c>
      <c r="I31" s="9">
        <f ca="1">IF(OR(I4="",I$28&lt;$A31),"",I4/OFFSET(ParoRegESP!$A$2,MATCH(I$29,ParoRegESP!$A$2:$A$500)+$A31-1,1)-1)</f>
        <v>9.6003194464016062E-3</v>
      </c>
      <c r="J31" s="9">
        <f ca="1">IF(OR(J4="",J$28&lt;$A31),"",J4/OFFSET(ParoRegESP!$A$2,MATCH(J$29,ParoRegESP!$A$2:$A$500)+$A31-1,1)-1)</f>
        <v>2.2740883850666194E-2</v>
      </c>
      <c r="K31" s="9">
        <f ca="1">IF(OR(K4="",K$28&lt;$A31),"",K4/OFFSET(ParoRegESP!$A$2,MATCH(K$29,ParoRegESP!$A$2:$A$500)+$A31-1,1)-1)</f>
        <v>1.6771870831879143E-2</v>
      </c>
      <c r="L31" s="9">
        <f ca="1">IF(OR(L4="",L$28&lt;$A31),"",L4/OFFSET(ParoRegESP!$A$2,MATCH(L$29,ParoRegESP!$A$2:$A$500)+$A31-1,1)-1)</f>
        <v>2.1557002634876588E-2</v>
      </c>
      <c r="M31" s="9">
        <f ca="1">IF(OR(M4="",M$28&lt;$A31),"",M4/OFFSET(ParoRegESP!$A$2,MATCH(M$29,ParoRegESP!$A$2:$A$500)+$A31-1,1)-1)</f>
        <v>1.2259927180806596E-2</v>
      </c>
      <c r="N31" s="9">
        <f ca="1">IF(OR(N4="",N$28&lt;$A31),"",N4/OFFSET(ParoRegESP!$A$2,MATCH(N$29,ParoRegESP!$A$2:$A$500)+$A31-1,1)-1)</f>
        <v>6.0046325639888654E-3</v>
      </c>
      <c r="O31" s="9">
        <f ca="1">IF(OR(O4="",O$28&lt;$A31),"",O4/OFFSET(ParoRegESP!$A$2,MATCH(O$29,ParoRegESP!$A$2:$A$500)+$A31-1,1)-1)</f>
        <v>-4.5397833303133517E-3</v>
      </c>
      <c r="P31" s="9">
        <f ca="1">IF(OR(P4="",P$28&lt;$A31),"",P4/OFFSET(ParoRegESP!$A$2,MATCH(P$29,ParoRegESP!$A$2:$A$500)+$A31-1,1)-1)</f>
        <v>-9.2250870230082826E-3</v>
      </c>
      <c r="Q31" s="9">
        <f ca="1">IF(OR(Q4="",Q$28&lt;$A31),"",Q4/OFFSET(ParoRegESP!$A$2,MATCH(Q$29,ParoRegESP!$A$2:$A$500)+$A31-1,1)-1)</f>
        <v>1.0524159362544028E-2</v>
      </c>
      <c r="R31" s="9">
        <f ca="1">IF(OR(R4="",R$28&lt;$A31),"",R4/OFFSET(ParoRegESP!$A$2,MATCH(R$29,ParoRegESP!$A$2:$A$500)+$A31-1,1)-1)</f>
        <v>9.2102590310207955E-3</v>
      </c>
      <c r="S31" s="9">
        <f ca="1">IF(OR(S4="",S$28&lt;$A31),"",S4/OFFSET(ParoRegESP!$A$2,MATCH(S$29,ParoRegESP!$A$2:$A$500)+$A31-1,1)-1)</f>
        <v>-2.0911648402945016E-2</v>
      </c>
      <c r="T31" s="9">
        <f ca="1">IF(OR(T4="",T$28&lt;$A31),"",T4/OFFSET(ParoRegESP!$A$2,MATCH(T$29,ParoRegESP!$A$2:$A$500)+$A31-1,1)-1)</f>
        <v>-2.4194673756127716E-2</v>
      </c>
      <c r="U31" s="9">
        <f ca="1">IF(OR(U4="",U$28&lt;$A31),"",U4/OFFSET(ParoRegESP!$A$2,MATCH(U$29,ParoRegESP!$A$2:$A$500)+$A31-1,1)-1)</f>
        <v>-4.0103467176436647E-3</v>
      </c>
      <c r="V31" s="9">
        <f ca="1">IF(OR(V4="",V$28&lt;$A31),"",V4/OFFSET(ParoRegESP!$A$2,MATCH(V$29,ParoRegESP!$A$2:$A$500)+$A31-1,1)-1)</f>
        <v>8.3094910554222245E-3</v>
      </c>
      <c r="W31" s="9">
        <f ca="1">IF(OR(W4="",W$28&lt;$A31),"",W4/OFFSET(ParoRegESP!$A$2,MATCH(W$29,ParoRegESP!$A$2:$A$500)+$A31-1,1)-1)</f>
        <v>4.4786213974501443E-3</v>
      </c>
      <c r="X31" s="9">
        <f ca="1">IF(OR(X4="",X$28&lt;$A31),"",X4/OFFSET(ParoRegESP!$A$2,MATCH(X$29,ParoRegESP!$A$2:$A$500)+$A31-1,1)-1)</f>
        <v>2.3127722105504844E-3</v>
      </c>
      <c r="Y31" s="9">
        <f ca="1">IF(OR(Y4="",Y$28&lt;$A31),"",Y4/OFFSET(ParoRegESP!$A$2,MATCH(Y$29,ParoRegESP!$A$2:$A$500)+$A31-1,1)-1)</f>
        <v>-1.4228392793218525E-3</v>
      </c>
      <c r="Z31" s="9">
        <f ca="1">IF(OR(Z4="",Z$28&lt;$A31),"",Z4/OFFSET(ParoRegESP!$A$2,MATCH(Z$29,ParoRegESP!$A$2:$A$500)+$A31-1,1)-1)</f>
        <v>-1.4415780098602227E-3</v>
      </c>
      <c r="AA31" s="9">
        <f ca="1">IF(OR(AA4="",AA$28&lt;$A31),"",AA4/OFFSET(ParoRegESP!$A$2,MATCH(AA$29,ParoRegESP!$A$2:$A$500)+$A31-1,1)-1)</f>
        <v>-5.8205921007675743E-3</v>
      </c>
      <c r="AB31" s="9">
        <f ca="1">IF(OR(AB4="",AB$28&lt;$A31),"",AB4/OFFSET(ParoRegESP!$A$2,MATCH(AB$29,ParoRegESP!$A$2:$A$500)+$A31-1,1)-1)</f>
        <v>6.3766219011649472E-3</v>
      </c>
      <c r="AC31" s="9">
        <f ca="1">IF(OR(AC4="",AC$28&lt;$A31),"",AC4/OFFSET(ParoRegESP!$A$2,MATCH(AC$29,ParoRegESP!$A$2:$A$500)+$A31-1,1)-1)</f>
        <v>1.39433045065398E-2</v>
      </c>
      <c r="AD31" s="9">
        <f ca="1">IF(OR(AD4="",AD$28&lt;$A31),"",AD4/OFFSET(ParoRegESP!$A$2,MATCH(AD$29,ParoRegESP!$A$2:$A$500)+$A31-1,1)-1)</f>
        <v>9.0279111914413068E-3</v>
      </c>
      <c r="AE31" s="9">
        <f ca="1">IF(OR(AE4="",AE$28&lt;$A31),"",AE4/OFFSET(ParoRegESP!$A$2,MATCH(AE$29,ParoRegESP!$A$2:$A$500)+$A31-1,1)-1)</f>
        <v>6.8810889029058409E-4</v>
      </c>
      <c r="AF31" s="9">
        <f ca="1">IF(OR(AF4="",AF$28&lt;$A31),"",AF4/OFFSET(ParoRegESP!$A$2,MATCH(AF$29,ParoRegESP!$A$2:$A$500)+$A31-1,1)-1)</f>
        <v>-3.5791186737653691E-3</v>
      </c>
      <c r="AG31" s="9">
        <f ca="1">IF(OR(AG4="",AG$28&lt;$A31),"",AG4/OFFSET(ParoRegESP!$A$2,MATCH(AG$29,ParoRegESP!$A$2:$A$500)+$A31-1,1)-1)</f>
        <v>1.0633881521993294E-2</v>
      </c>
      <c r="AH31" s="9">
        <f ca="1">IF(OR(AH4="",AH$28&lt;$A31),"",AH4/OFFSET(ParoRegESP!$A$2,MATCH(AH$29,ParoRegESP!$A$2:$A$500)+$A31-1,1)-1)</f>
        <v>1.788705808163904E-2</v>
      </c>
      <c r="AI31" s="9">
        <f ca="1">IF(OR(AI4="",AI$28&lt;$A31),"",AI4/OFFSET(ParoRegESP!$A$2,MATCH(AI$29,ParoRegESP!$A$2:$A$500)+$A31-1,1)-1)</f>
        <v>1.7778575838682809E-2</v>
      </c>
      <c r="AJ31" s="9">
        <f ca="1">IF(OR(AJ4="",AJ$28&lt;$A31),"",AJ4/OFFSET(ParoRegESP!$A$2,MATCH(AJ$29,ParoRegESP!$A$2:$A$500)+$A31-1,1)-1)</f>
        <v>1.2148559057227004E-2</v>
      </c>
      <c r="AK31" s="9">
        <f ca="1">IF(OR(AK4="",AK$28&lt;$A31),"",AK4/OFFSET(ParoRegESP!$A$2,MATCH(AK$29,ParoRegESP!$A$2:$A$500)+$A31-1,1)-1)</f>
        <v>5.5837230959161488E-3</v>
      </c>
      <c r="AL31" s="9">
        <f ca="1">IF(OR(AL4="",AL$28&lt;$A31),"",AL4/OFFSET(ParoRegESP!$A$2,MATCH(AL$29,ParoRegESP!$A$2:$A$500)+$A31-1,1)-1)</f>
        <v>2.88350850073682E-3</v>
      </c>
      <c r="AM31" s="9">
        <f ca="1">IF(OR(AM4="",AM$28&lt;$A31),"",AM4/OFFSET(ParoRegESP!$A$2,MATCH(AM$29,ParoRegESP!$A$2:$A$500)+$A31-1,1)-1)</f>
        <v>-8.8766229132259955E-3</v>
      </c>
      <c r="AN31" s="9">
        <f ca="1">IF(OR(AN4="",AN$28&lt;$A31),"",AN4/OFFSET(ParoRegESP!$A$2,MATCH(AN$29,ParoRegESP!$A$2:$A$500)+$A31-1,1)-1)</f>
        <v>-1.8146004002780214E-2</v>
      </c>
      <c r="AO31" s="9">
        <f ca="1">IF(OR(AO4="",AO$28&lt;$A31),"",AO4/OFFSET(ParoRegESP!$A$2,MATCH(AO$29,ParoRegESP!$A$2:$A$500)+$A31-1,1)-1)</f>
        <v>-2.265934839210082E-2</v>
      </c>
      <c r="AP31" s="9">
        <f ca="1">IF(OR(AP4="",AP$28&lt;$A31),"",AP4/OFFSET(ParoRegESP!$A$2,MATCH(AP$29,ParoRegESP!$A$2:$A$500)+$A31-1,1)-1)</f>
        <v>-2.91050505165108E-2</v>
      </c>
      <c r="AQ31" s="9">
        <f ca="1">IF(OR(AQ4="",AQ$28&lt;$A31),"",AQ4/OFFSET(ParoRegESP!$A$2,MATCH(AQ$29,ParoRegESP!$A$2:$A$500)+$A31-1,1)-1)</f>
        <v>-2.7590789324488885E-2</v>
      </c>
      <c r="AR31" s="9">
        <f ca="1">IF(OR(AR4="",AR$28&lt;$A31),"",AR4/OFFSET(ParoRegESP!$A$2,MATCH(AR$29,ParoRegESP!$A$2:$A$500)+$A31-1,1)-1)</f>
        <v>-2.358161020616556E-2</v>
      </c>
      <c r="AS31" s="9">
        <f ca="1">IF(OR(AS4="",AS$28&lt;$A31),"",AS4/OFFSET(ParoRegESP!$A$2,MATCH(AS$29,ParoRegESP!$A$2:$A$500)+$A31-1,1)-1)</f>
        <v>-1.029760036038041E-2</v>
      </c>
      <c r="AT31" s="9">
        <f ca="1">IF(OR(AT4="",AT$28&lt;$A31),"",AT4/OFFSET(ParoRegESP!$A$2,MATCH(AT$29,ParoRegESP!$A$2:$A$500)+$A31-1,1)-1)</f>
        <v>8.6442047247399234E-3</v>
      </c>
      <c r="AU31" s="9">
        <f ca="1">IF(OR(AU4="",AU$28&lt;$A31),"",AU4/OFFSET(ParoRegESP!$A$2,MATCH(AU$29,ParoRegESP!$A$2:$A$500)+$A31-1,1)-1)</f>
        <v>2.0287531912461798E-3</v>
      </c>
      <c r="AV31" s="9">
        <f ca="1">IF(OR(AV4="",AV$28&lt;$A31),"",AV4/OFFSET(ParoRegESP!$A$2,MATCH(AV$29,ParoRegESP!$A$2:$A$500)+$A31-1,1)-1)</f>
        <v>-1.5048699480314842E-2</v>
      </c>
      <c r="AW31" s="9">
        <f ca="1">IF(OR(AW4="",AW$28&lt;$A31),"",AW4/OFFSET(ParoRegESP!$A$2,MATCH(AW$29,ParoRegESP!$A$2:$A$500)+$A31-1,1)-1)</f>
        <v>-4.3075346600488285E-2</v>
      </c>
      <c r="AX31" s="9">
        <f ca="1">IF(OR(AX4="",AX$28&lt;$A31),"",AX4/OFFSET(ParoRegESP!$A$2,MATCH(AX$29,ParoRegESP!$A$2:$A$500)+$A31-1,1)-1)</f>
        <v>-5.510143487021979E-2</v>
      </c>
      <c r="AY31" s="9">
        <f ca="1">IF(OR(AY4="",AY$28&lt;$A31),"",AY4/OFFSET(ParoRegESP!$A$2,MATCH(AY$29,ParoRegESP!$A$2:$A$500)+$A31-1,1)-1)</f>
        <v>-3.1962309359949925E-2</v>
      </c>
      <c r="AZ31" s="9">
        <f ca="1">IF(OR(AZ4="",AZ$28&lt;$A31),"",AZ4/OFFSET(ParoRegESP!$A$2,MATCH(AZ$29,ParoRegESP!$A$2:$A$500)+$A31-1,1)-1)</f>
        <v>-2.8193209755977389E-2</v>
      </c>
      <c r="BA31" s="9">
        <f ca="1">IF(OR(BA4="",BA$28&lt;$A31),"",BA4/OFFSET(ParoRegESP!$A$2,MATCH(BA$29,ParoRegESP!$A$2:$A$500)+$A31-1,1)-1)</f>
        <v>-6.274652523795865E-2</v>
      </c>
      <c r="BB31" s="9">
        <f ca="1">IF(OR(BB4="",BB$28&lt;$A31),"",BB4/OFFSET(ParoRegESP!$A$2,MATCH(BB$29,ParoRegESP!$A$2:$A$500)+$A31-1,1)-1)</f>
        <v>-4.2359340443260063E-2</v>
      </c>
      <c r="BC31" s="9">
        <f ca="1">IF(OR(BC4="",BC$28&lt;$A31),"",BC4/OFFSET(ParoRegESP!$A$2,MATCH(BC$29,ParoRegESP!$A$2:$A$500)+$A31-1,1)-1)</f>
        <v>-5.2880512569233318E-3</v>
      </c>
      <c r="BD31" s="9">
        <f ca="1">IF(OR(BD4="",BD$28&lt;$A31),"",BD4/OFFSET(ParoRegESP!$A$2,MATCH(BD$29,ParoRegESP!$A$2:$A$500)+$A31-1,1)-1)</f>
        <v>-1.6582914494631673E-2</v>
      </c>
      <c r="BE31" s="9">
        <f ca="1">IF(OR(BE4="",BE$28&lt;$A31),"",BE4/OFFSET(ParoRegESP!$A$2,MATCH(BE$29,ParoRegESP!$A$2:$A$500)+$A31-1,1)-1)</f>
        <v>-2.8868920271990395E-2</v>
      </c>
      <c r="BF31" s="9">
        <f ca="1">IF(OR(BF4="",BF$28&lt;$A31),"",BF4/OFFSET(ParoRegESP!$A$2,MATCH(BF$29,ParoRegESP!$A$2:$A$500)+$A31-1,1)-1)</f>
        <v>-5.408376321883257E-2</v>
      </c>
      <c r="BG31" s="9">
        <f ca="1">IF(OR(BG4="",BG$28&lt;$A31),"",BG4/OFFSET(ParoRegESP!$A$2,MATCH(BG$29,ParoRegESP!$A$2:$A$500)+$A31-1,1)-1)</f>
        <v>-5.079376762831278E-2</v>
      </c>
      <c r="BH31" s="9">
        <f ca="1">IF(OR(BH4="",BH$28&lt;$A31),"",BH4/OFFSET(ParoRegESP!$A$2,MATCH(BH$29,ParoRegESP!$A$2:$A$500)+$A31-1,1)-1)</f>
        <v>-3.37018365087699E-2</v>
      </c>
      <c r="BI31" s="9">
        <f ca="1">IF(OR(BI4="",BI$28&lt;$A31),"",BI4/OFFSET(ParoRegESP!$A$2,MATCH(BI$29,ParoRegESP!$A$2:$A$500)+$A31-1,1)-1)</f>
        <v>-1.4216380853568356E-2</v>
      </c>
      <c r="BJ31" s="9">
        <f ca="1">IF(OR(BJ4="",BJ$28&lt;$A31),"",BJ4/OFFSET(ParoRegESP!$A$2,MATCH(BJ$29,ParoRegESP!$A$2:$A$500)+$A31-1,1)-1)</f>
        <v>-6.7680378016731213E-3</v>
      </c>
      <c r="BK31" s="9">
        <f ca="1">IF(OR(BK4="",BK$28&lt;$A31),"",BK4/OFFSET(ParoRegESP!$A$2,MATCH(BK$29,ParoRegESP!$A$2:$A$500)+$A31-1,1)-1)</f>
        <v>-1.7261331743944175E-2</v>
      </c>
      <c r="BL31" s="9">
        <f ca="1">IF(OR(BL4="",BL$28&lt;$A31),"",BL4/OFFSET(ParoRegESP!$A$2,MATCH(BL$29,ParoRegESP!$A$2:$A$500)+$A31-1,1)-1)</f>
        <v>6.2503637085538077E-3</v>
      </c>
      <c r="BM31" s="9">
        <f ca="1">IF(OR(BM4="",BM$28&lt;$A31),"",BM4/OFFSET(ParoRegESP!$A$2,MATCH(BM$29,ParoRegESP!$A$2:$A$500)+$A31-1,1)-1)</f>
        <v>3.8517381062533662E-2</v>
      </c>
      <c r="BN31" s="9">
        <f ca="1">IF(OR(BN4="",BN$28&lt;$A31),"",BN4/OFFSET(ParoRegESP!$A$2,MATCH(BN$29,ParoRegESP!$A$2:$A$500)+$A31-1,1)-1)</f>
        <v>6.4247720148672638E-2</v>
      </c>
      <c r="BO31" s="9">
        <f ca="1">IF(OR(BO4="",BO$28&lt;$A31),"",BO4/OFFSET(ParoRegESP!$A$2,MATCH(BO$29,ParoRegESP!$A$2:$A$500)+$A31-1,1)-1)</f>
        <v>6.1756379024446417E-2</v>
      </c>
      <c r="BP31" s="9">
        <f ca="1">IF(OR(BP4="",BP$28&lt;$A31),"",BP4/OFFSET(ParoRegESP!$A$2,MATCH(BP$29,ParoRegESP!$A$2:$A$500)+$A31-1,1)-1)</f>
        <v>2.8196298682219512E-2</v>
      </c>
      <c r="BQ31" s="9">
        <f ca="1">IF(OR(BQ4="",BQ$28&lt;$A31),"",BQ4/OFFSET(ParoRegESP!$A$2,MATCH(BQ$29,ParoRegESP!$A$2:$A$500)+$A31-1,1)-1)</f>
        <v>-1.3224780411066894E-2</v>
      </c>
      <c r="BR31" s="9">
        <f ca="1">IF(OR(BR4="",BR$28&lt;$A31),"",BR4/OFFSET(ParoRegESP!$A$2,MATCH(BR$29,ParoRegESP!$A$2:$A$500)+$A31-1,1)-1)</f>
        <v>-3.2629209503343137E-3</v>
      </c>
      <c r="BS31" s="9">
        <f ca="1">IF(OR(BS4="",BS$28&lt;$A31),"",BS4/OFFSET(ParoRegESP!$A$2,MATCH(BS$29,ParoRegESP!$A$2:$A$500)+$A31-1,1)-1)</f>
        <v>2.3563293742896674E-2</v>
      </c>
      <c r="BT31" s="9">
        <f ca="1">IF(OR(BT4="",BT$28&lt;$A31),"",BT4/OFFSET(ParoRegESP!$A$2,MATCH(BT$29,ParoRegESP!$A$2:$A$500)+$A31-1,1)-1)</f>
        <v>1.7907087242810649E-2</v>
      </c>
      <c r="BU31" s="9">
        <f ca="1">IF(OR(BU4="",BU$28&lt;$A31),"",BU4/OFFSET(ParoRegESP!$A$2,MATCH(BU$29,ParoRegESP!$A$2:$A$500)+$A31-1,1)-1)</f>
        <v>9.9670511098226555E-4</v>
      </c>
      <c r="BV31" s="9">
        <f ca="1">IF(OR(BV4="",BV$28&lt;$A31),"",BV4/OFFSET(ParoRegESP!$A$2,MATCH(BV$29,ParoRegESP!$A$2:$A$500)+$A31-1,1)-1)</f>
        <v>-4.5326176265679807E-3</v>
      </c>
      <c r="BW31" s="9">
        <f ca="1">IF(OR(BW4="",BW$28&lt;$A31),"",BW4/OFFSET(ParoRegESP!$A$2,MATCH(BW$29,ParoRegESP!$A$2:$A$500)+$A31-1,1)-1)</f>
        <v>-9.4773457255767912E-3</v>
      </c>
      <c r="BX31" s="9">
        <f ca="1">IF(OR(BX4="",BX$28&lt;$A31),"",BX4/OFFSET(ParoRegESP!$A$2,MATCH(BX$29,ParoRegESP!$A$2:$A$500)+$A31-1,1)-1)</f>
        <v>7.471654640603953E-3</v>
      </c>
      <c r="BY31" s="9">
        <f ca="1">IF(OR(BY4="",BY$28&lt;$A31),"",BY4/OFFSET(ParoRegESP!$A$2,MATCH(BY$29,ParoRegESP!$A$2:$A$500)+$A31-1,1)-1)</f>
        <v>2.2601704857743155E-2</v>
      </c>
      <c r="BZ31" s="9">
        <f ca="1">IF(OR(BZ4="",BZ$28&lt;$A31),"",BZ4/OFFSET(ParoRegESP!$A$2,MATCH(BZ$29,ParoRegESP!$A$2:$A$500)+$A31-1,1)-1)</f>
        <v>2.6056852362867478E-2</v>
      </c>
      <c r="CA31" s="9">
        <f ca="1">IF(OR(CA4="",CA$28&lt;$A31),"",CA4/OFFSET(ParoRegESP!$A$2,MATCH(CA$29,ParoRegESP!$A$2:$A$500)+$A31-1,1)-1)</f>
        <v>2.9556306204855831E-2</v>
      </c>
      <c r="CB31" s="9">
        <f ca="1">IF(OR(CB4="",CB$28&lt;$A31),"",CB4/OFFSET(ParoRegESP!$A$2,MATCH(CB$29,ParoRegESP!$A$2:$A$500)+$A31-1,1)-1)</f>
        <v>3.857943700603883E-3</v>
      </c>
      <c r="CC31" s="9">
        <f ca="1">IF(OR(CC4="",CC$28&lt;$A31),"",CC4/OFFSET(ParoRegESP!$A$2,MATCH(CC$29,ParoRegESP!$A$2:$A$500)+$A31-1,1)-1)</f>
        <v>-2.3695460569474025E-2</v>
      </c>
      <c r="CD31" s="9">
        <f ca="1">IF(OR(CD4="",CD$28&lt;$A31),"",CD4/OFFSET(ParoRegESP!$A$2,MATCH(CD$29,ParoRegESP!$A$2:$A$500)+$A31-1,1)-1)</f>
        <v>-4.3603891635192182E-3</v>
      </c>
      <c r="CE31" s="9">
        <f ca="1">IF(OR(CE4="",CE$28&lt;$A31),"",CE4/OFFSET(ParoRegESP!$A$2,MATCH(CE$29,ParoRegESP!$A$2:$A$500)+$A31-1,1)-1)</f>
        <v>1.5261858802444461E-2</v>
      </c>
      <c r="CF31" s="9">
        <f ca="1">IF(OR(CF4="",CF$28&lt;$A31),"",CF4/OFFSET(ParoRegESP!$A$2,MATCH(CF$29,ParoRegESP!$A$2:$A$500)+$A31-1,1)-1)</f>
        <v>2.1174336622072021E-2</v>
      </c>
      <c r="CG31" s="9">
        <f ca="1">IF(OR(CG4="",CG$28&lt;$A31),"",CG4/OFFSET(ParoRegESP!$A$2,MATCH(CG$29,ParoRegESP!$A$2:$A$500)+$A31-1,1)-1)</f>
        <v>-1.8338708243221813E-3</v>
      </c>
      <c r="CH31" s="9">
        <f ca="1">IF(OR(CH4="",CH$28&lt;$A31),"",CH4/OFFSET(ParoRegESP!$A$2,MATCH(CH$29,ParoRegESP!$A$2:$A$500)+$A31-1,1)-1)</f>
        <v>-2.5624795694489499E-2</v>
      </c>
      <c r="CI31" s="9">
        <f ca="1">IF(OR(CI4="",CI$28&lt;$A31),"",CI4/OFFSET(ParoRegESP!$A$2,MATCH(CI$29,ParoRegESP!$A$2:$A$500)+$A31-1,1)-1)</f>
        <v>-1.6605932385602373E-2</v>
      </c>
      <c r="CJ31" s="9">
        <f ca="1">IF(OR(CJ4="",CJ$28&lt;$A31),"",CJ4/OFFSET(ParoRegESP!$A$2,MATCH(CJ$29,ParoRegESP!$A$2:$A$500)+$A31-1,1)-1)</f>
        <v>2.5685832401407538E-3</v>
      </c>
      <c r="CK31" s="9">
        <f ca="1">IF(OR(CK4="",CK$28&lt;$A31),"",CK4/OFFSET(ParoRegESP!$A$2,MATCH(CK$29,ParoRegESP!$A$2:$A$500)+$A31-1,1)-1)</f>
        <v>1.8667495153803504E-2</v>
      </c>
      <c r="CL31" s="9">
        <f ca="1">IF(OR(CL4="",CL$28&lt;$A31),"",CL4/OFFSET(ParoRegESP!$A$2,MATCH(CL$29,ParoRegESP!$A$2:$A$500)+$A31-1,1)-1)</f>
        <v>3.4993823500040211E-3</v>
      </c>
      <c r="CM31" s="9">
        <f ca="1">IF(OR(CM4="",CM$28&lt;$A31),"",CM4/OFFSET(ParoRegESP!$A$2,MATCH(CM$29,ParoRegESP!$A$2:$A$500)+$A31-1,1)-1)</f>
        <v>4.8524051171363602E-3</v>
      </c>
      <c r="CN31" s="9">
        <f ca="1">IF(OR(CN4="",CN$28&lt;$A31),"",CN4/OFFSET(ParoRegESP!$A$2,MATCH(CN$29,ParoRegESP!$A$2:$A$500)+$A31-1,1)-1)</f>
        <v>-2.9042912251155961E-3</v>
      </c>
      <c r="CO31" s="9">
        <f ca="1">IF(OR(CO4="",CO$28&lt;$A31),"",CO4/OFFSET(ParoRegESP!$A$2,MATCH(CO$29,ParoRegESP!$A$2:$A$500)+$A31-1,1)-1)</f>
        <v>-2.0854644622279483E-2</v>
      </c>
      <c r="CP31" s="9">
        <f ca="1">IF(OR(CP4="",CP$28&lt;$A31),"",CP4/OFFSET(ParoRegESP!$A$2,MATCH(CP$29,ParoRegESP!$A$2:$A$500)+$A31-1,1)-1)</f>
        <v>-3.0171065299936517E-2</v>
      </c>
      <c r="CQ31" s="9">
        <f ca="1">IF(OR(CQ4="",CQ$28&lt;$A31),"",CQ4/OFFSET(ParoRegESP!$A$2,MATCH(CQ$29,ParoRegESP!$A$2:$A$500)+$A31-1,1)-1)</f>
        <v>-4.9778393225445861E-3</v>
      </c>
      <c r="CR31" s="9">
        <f ca="1">IF(OR(CR4="",CR$28&lt;$A31),"",CR4/OFFSET(ParoRegESP!$A$2,MATCH(CR$29,ParoRegESP!$A$2:$A$500)+$A31-1,1)-1)</f>
        <v>1.9755900576337915E-2</v>
      </c>
      <c r="CS31" s="9">
        <f ca="1">IF(OR(CS4="",CS$28&lt;$A31),"",CS4/OFFSET(ParoRegESP!$A$2,MATCH(CS$29,ParoRegESP!$A$2:$A$500)+$A31-1,1)-1)</f>
        <v>1.8565941095216587E-4</v>
      </c>
      <c r="CT31" s="9">
        <f ca="1">IF(OR(CT4="",CT$28&lt;$A31),"",CT4/OFFSET(ParoRegESP!$A$2,MATCH(CT$29,ParoRegESP!$A$2:$A$500)+$A31-1,1)-1)</f>
        <v>-2.6760368094568499E-2</v>
      </c>
      <c r="CU31" s="9">
        <f ca="1">IF(OR(CU4="",CU$28&lt;$A31),"",CU4/OFFSET(ParoRegESP!$A$2,MATCH(CU$29,ParoRegESP!$A$2:$A$500)+$A31-1,1)-1)</f>
        <v>-1.1585993324772281E-2</v>
      </c>
      <c r="CV31" s="9">
        <f ca="1">IF(OR(CV4="",CV$28&lt;$A31),"",CV4/OFFSET(ParoRegESP!$A$2,MATCH(CV$29,ParoRegESP!$A$2:$A$500)+$A31-1,1)-1)</f>
        <v>-5.2949143200532456E-3</v>
      </c>
      <c r="CW31" s="9">
        <f ca="1">IF(OR(CW4="",CW$28&lt;$A31),"",CW4/OFFSET(ParoRegESP!$A$2,MATCH(CW$29,ParoRegESP!$A$2:$A$500)+$A31-1,1)-1)</f>
        <v>-9.282942765291291E-3</v>
      </c>
      <c r="CX31" s="9">
        <f ca="1">IF(OR(CX4="",CX$28&lt;$A31),"",CX4/OFFSET(ParoRegESP!$A$2,MATCH(CX$29,ParoRegESP!$A$2:$A$500)+$A31-1,1)-1)</f>
        <v>1.2790218951172605E-2</v>
      </c>
      <c r="CY31" s="9">
        <f ca="1">IF(OR(CY4="",CY$28&lt;$A31),"",CY4/OFFSET(ParoRegESP!$A$2,MATCH(CY$29,ParoRegESP!$A$2:$A$500)+$A31-1,1)-1)</f>
        <v>2.0185720063214507E-2</v>
      </c>
      <c r="CZ31" s="9">
        <f ca="1">IF(OR(CZ4="",CZ$28&lt;$A31),"",CZ4/OFFSET(ParoRegESP!$A$2,MATCH(CZ$29,ParoRegESP!$A$2:$A$500)+$A31-1,1)-1)</f>
        <v>-1.1066690355797659E-3</v>
      </c>
      <c r="DA31" s="9">
        <f ca="1">IF(OR(DA4="",DA$28&lt;$A31),"",DA4/OFFSET(ParoRegESP!$A$2,MATCH(DA$29,ParoRegESP!$A$2:$A$500)+$A31-1,1)-1)</f>
        <v>6.1234870368476191E-3</v>
      </c>
      <c r="DB31" s="9">
        <f ca="1">IF(OR(DB4="",DB$28&lt;$A31),"",DB4/OFFSET(ParoRegESP!$A$2,MATCH(DB$29,ParoRegESP!$A$2:$A$500)+$A31-1,1)-1)</f>
        <v>-7.5884460430639677E-3</v>
      </c>
      <c r="DC31" s="9">
        <f ca="1">IF(OR(DC4="",DC$28&lt;$A31),"",DC4/OFFSET(ParoRegESP!$A$2,MATCH(DC$29,ParoRegESP!$A$2:$A$500)+$A31-1,1)-1)</f>
        <v>-6.0125123249782364E-3</v>
      </c>
      <c r="DD31" s="9">
        <f ca="1">IF(OR(DD4="",DD$28&lt;$A31),"",DD4/OFFSET(ParoRegESP!$A$2,MATCH(DD$29,ParoRegESP!$A$2:$A$500)+$A31-1,1)-1)</f>
        <v>1.8944308123474585E-2</v>
      </c>
      <c r="DE31" s="9">
        <f ca="1">IF(OR(DE4="",DE$28&lt;$A31),"",DE4/OFFSET(ParoRegESP!$A$2,MATCH(DE$29,ParoRegESP!$A$2:$A$500)+$A31-1,1)-1)</f>
        <v>2.3724911881573219E-2</v>
      </c>
      <c r="DF31" s="9">
        <f ca="1">IF(OR(DF4="",DF$28&lt;$A31),"",DF4/OFFSET(ParoRegESP!$A$2,MATCH(DF$29,ParoRegESP!$A$2:$A$500)+$A31-1,1)-1)</f>
        <v>3.0065710855309291E-4</v>
      </c>
      <c r="DG31" s="9">
        <f ca="1">IF(OR(DG4="",DG$28&lt;$A31),"",DG4/OFFSET(ParoRegESP!$A$2,MATCH(DG$29,ParoRegESP!$A$2:$A$500)+$A31-1,1)-1)</f>
        <v>1.5142174291682409E-3</v>
      </c>
      <c r="DH31" s="9">
        <f ca="1">IF(OR(DH4="",DH$28&lt;$A31),"",DH4/OFFSET(ParoRegESP!$A$2,MATCH(DH$29,ParoRegESP!$A$2:$A$500)+$A31-1,1)-1)</f>
        <v>5.6477921184705515E-4</v>
      </c>
      <c r="DI31" s="9">
        <f ca="1">IF(OR(DI4="",DI$28&lt;$A31),"",DI4/OFFSET(ParoRegESP!$A$2,MATCH(DI$29,ParoRegESP!$A$2:$A$500)+$A31-1,1)-1)</f>
        <v>3.5470179674981228E-3</v>
      </c>
      <c r="DJ31" s="9">
        <f ca="1">IF(OR(DJ4="",DJ$28&lt;$A31),"",DJ4/OFFSET(ParoRegESP!$A$2,MATCH(DJ$29,ParoRegESP!$A$2:$A$500)+$A31-1,1)-1)</f>
        <v>6.6739947996152793E-3</v>
      </c>
      <c r="DK31" s="9">
        <f ca="1">IF(OR(DK4="",DK$28&lt;$A31),"",DK4/OFFSET(ParoRegESP!$A$2,MATCH(DK$29,ParoRegESP!$A$2:$A$500)+$A31-1,1)-1)</f>
        <v>1.2252591498308929E-2</v>
      </c>
      <c r="DL31" s="9">
        <f ca="1">IF(OR(DL4="",DL$28&lt;$A31),"",DL4/OFFSET(ParoRegESP!$A$2,MATCH(DL$29,ParoRegESP!$A$2:$A$500)+$A31-1,1)-1)</f>
        <v>3.0783764037483063E-3</v>
      </c>
      <c r="DM31" s="9">
        <f ca="1">IF(OR(DM4="",DM$28&lt;$A31),"",DM4/OFFSET(ParoRegESP!$A$2,MATCH(DM$29,ParoRegESP!$A$2:$A$500)+$A31-1,1)-1)</f>
        <v>5.883176833128223E-3</v>
      </c>
      <c r="DN31" s="9">
        <f ca="1">IF(OR(DN4="",DN$28&lt;$A31),"",DN4/OFFSET(ParoRegESP!$A$2,MATCH(DN$29,ParoRegESP!$A$2:$A$500)+$A31-1,1)-1)</f>
        <v>7.9815946067873789E-4</v>
      </c>
      <c r="DO31" s="9">
        <f ca="1">IF(OR(DO4="",DO$28&lt;$A31),"",DO4/OFFSET(ParoRegESP!$A$2,MATCH(DO$29,ParoRegESP!$A$2:$A$500)+$A31-1,1)-1)</f>
        <v>4.8729379354299773E-3</v>
      </c>
      <c r="DP31" s="9">
        <f ca="1">IF(OR(DP4="",DP$28&lt;$A31),"",DP4/OFFSET(ParoRegESP!$A$2,MATCH(DP$29,ParoRegESP!$A$2:$A$500)+$A31-1,1)-1)</f>
        <v>2.5111411996055377E-2</v>
      </c>
      <c r="DQ31" s="9">
        <f ca="1">IF(OR(DQ4="",DQ$28&lt;$A31),"",DQ4/OFFSET(ParoRegESP!$A$2,MATCH(DQ$29,ParoRegESP!$A$2:$A$500)+$A31-1,1)-1)</f>
        <v>8.517349772608096E-3</v>
      </c>
      <c r="DR31" s="9">
        <f ca="1">IF(OR(DR4="",DR$28&lt;$A31),"",DR4/OFFSET(ParoRegESP!$A$2,MATCH(DR$29,ParoRegESP!$A$2:$A$500)+$A31-1,1)-1)</f>
        <v>-5.7532236426156569E-3</v>
      </c>
      <c r="DS31" s="9">
        <f ca="1">IF(OR(DS4="",DS$28&lt;$A31),"",DS4/OFFSET(ParoRegESP!$A$2,MATCH(DS$29,ParoRegESP!$A$2:$A$500)+$A31-1,1)-1)</f>
        <v>9.7708193052081782E-4</v>
      </c>
      <c r="DT31" s="9">
        <f ca="1">IF(OR(DT4="",DT$28&lt;$A31),"",DT4/OFFSET(ParoRegESP!$A$2,MATCH(DT$29,ParoRegESP!$A$2:$A$500)+$A31-1,1)-1)</f>
        <v>-4.6166467757555729E-3</v>
      </c>
      <c r="DU31" s="9">
        <f ca="1">IF(OR(DU4="",DU$28&lt;$A31),"",DU4/OFFSET(ParoRegESP!$A$2,MATCH(DU$29,ParoRegESP!$A$2:$A$500)+$A31-1,1)-1)</f>
        <v>5.2110125219602121E-3</v>
      </c>
      <c r="DV31" s="9">
        <f ca="1">IF(OR(DV4="",DV$28&lt;$A31),"",DV4/OFFSET(ParoRegESP!$A$2,MATCH(DV$29,ParoRegESP!$A$2:$A$500)+$A31-1,1)-1)</f>
        <v>-3.7395810295067777E-3</v>
      </c>
      <c r="DW31" s="9">
        <f ca="1">IF(OR(DW4="",DW$28&lt;$A31),"",DW4/OFFSET(ParoRegESP!$A$2,MATCH(DW$29,ParoRegESP!$A$2:$A$500)+$A31-1,1)-1)</f>
        <v>-1.5390467497307991E-2</v>
      </c>
      <c r="DX31" s="9">
        <f ca="1">IF(OR(DX4="",DX$28&lt;$A31),"",DX4/OFFSET(ParoRegESP!$A$2,MATCH(DX$29,ParoRegESP!$A$2:$A$500)+$A31-1,1)-1)</f>
        <v>-1.4269681918811838E-2</v>
      </c>
      <c r="DY31" s="9">
        <f ca="1">IF(OR(DY4="",DY$28&lt;$A31),"",DY4/OFFSET(ParoRegESP!$A$2,MATCH(DY$29,ParoRegESP!$A$2:$A$500)+$A31-1,1)-1)</f>
        <v>3.8470008817585999E-3</v>
      </c>
      <c r="DZ31" s="9">
        <f ca="1">IF(OR(DZ4="",DZ$28&lt;$A31),"",DZ4/OFFSET(ParoRegESP!$A$2,MATCH(DZ$29,ParoRegESP!$A$2:$A$500)+$A31-1,1)-1)</f>
        <v>-8.9253956145540769E-4</v>
      </c>
      <c r="EA31" s="9">
        <f ca="1">IF(OR(EA4="",EA$28&lt;$A31),"",EA4/OFFSET(ParoRegESP!$A$2,MATCH(EA$29,ParoRegESP!$A$2:$A$500)+$A31-1,1)-1)</f>
        <v>7.4755606915881678E-3</v>
      </c>
      <c r="EB31" s="9">
        <f ca="1">IF(OR(EB4="",EB$28&lt;$A31),"",EB4/OFFSET(ParoRegESP!$A$2,MATCH(EB$29,ParoRegESP!$A$2:$A$500)+$A31-1,1)-1)</f>
        <v>1.3313253939602809E-2</v>
      </c>
      <c r="EC31" s="9">
        <f ca="1">IF(OR(EC4="",EC$28&lt;$A31),"",EC4/OFFSET(ParoRegESP!$A$2,MATCH(EC$29,ParoRegESP!$A$2:$A$500)+$A31-1,1)-1)</f>
        <v>4.6049986129284015E-3</v>
      </c>
      <c r="ED31" s="9">
        <f ca="1">IF(OR(ED4="",ED$28&lt;$A31),"",ED4/OFFSET(ParoRegESP!$A$2,MATCH(ED$29,ParoRegESP!$A$2:$A$500)+$A31-1,1)-1)</f>
        <v>8.8315078286886894E-3</v>
      </c>
      <c r="EE31" s="9">
        <f ca="1">IF(OR(EE4="",EE$28&lt;$A31),"",EE4/OFFSET(ParoRegESP!$A$2,MATCH(EE$29,ParoRegESP!$A$2:$A$500)+$A31-1,1)-1)</f>
        <v>7.128417580637425E-3</v>
      </c>
      <c r="EF31" s="9">
        <f ca="1">IF(OR(EF4="",EF$28&lt;$A31),"",EF4/OFFSET(ParoRegESP!$A$2,MATCH(EF$29,ParoRegESP!$A$2:$A$500)+$A31-1,1)-1)</f>
        <v>7.9353652808351605E-3</v>
      </c>
      <c r="EG31" s="9">
        <f ca="1">IF(OR(EG4="",EG$28&lt;$A31),"",EG4/OFFSET(ParoRegESP!$A$2,MATCH(EG$29,ParoRegESP!$A$2:$A$500)+$A31-1,1)-1)</f>
        <v>-1.9675555983501569E-3</v>
      </c>
      <c r="EH31" s="9">
        <f ca="1">IF(OR(EH4="",EH$28&lt;$A31),"",EH4/OFFSET(ParoRegESP!$A$2,MATCH(EH$29,ParoRegESP!$A$2:$A$500)+$A31-1,1)-1)</f>
        <v>-1.2515169297034556E-2</v>
      </c>
      <c r="EI31" s="9">
        <f ca="1">IF(OR(EI4="",EI$28&lt;$A31),"",EI4/OFFSET(ParoRegESP!$A$2,MATCH(EI$29,ParoRegESP!$A$2:$A$500)+$A31-1,1)-1)</f>
        <v>-8.5390067932278324E-3</v>
      </c>
      <c r="EJ31" s="9">
        <f ca="1">IF(OR(EJ4="",EJ$28&lt;$A31),"",EJ4/OFFSET(ParoRegESP!$A$2,MATCH(EJ$29,ParoRegESP!$A$2:$A$500)+$A31-1,1)-1)</f>
        <v>5.1108383252342904E-3</v>
      </c>
      <c r="EK31" s="9">
        <f ca="1">IF(OR(EK4="",EK$28&lt;$A31),"",EK4/OFFSET(ParoRegESP!$A$2,MATCH(EK$29,ParoRegESP!$A$2:$A$500)+$A31-1,1)-1)</f>
        <v>-1.1126871036172159E-2</v>
      </c>
      <c r="EL31" s="9">
        <f ca="1">IF(OR(EL4="",EL$28&lt;$A31),"",EL4/OFFSET(ParoRegESP!$A$2,MATCH(EL$29,ParoRegESP!$A$2:$A$500)+$A31-1,1)-1)</f>
        <v>-5.425373645525422E-3</v>
      </c>
      <c r="EM31" s="9">
        <f ca="1">IF(OR(EM4="",EM$28&lt;$A31),"",EM4/OFFSET(ParoRegESP!$A$2,MATCH(EM$29,ParoRegESP!$A$2:$A$500)+$A31-1,1)-1)</f>
        <v>5.8321290976837137E-3</v>
      </c>
      <c r="EN31" s="9">
        <f ca="1">IF(OR(EN4="",EN$28&lt;$A31),"",EN4/OFFSET(ParoRegESP!$A$2,MATCH(EN$29,ParoRegESP!$A$2:$A$500)+$A31-1,1)-1)</f>
        <v>1.2753556126126497E-2</v>
      </c>
      <c r="EO31" s="9">
        <f ca="1">IF(OR(EO4="",EO$28&lt;$A31),"",EO4/OFFSET(ParoRegESP!$A$2,MATCH(EO$29,ParoRegESP!$A$2:$A$500)+$A31-1,1)-1)</f>
        <v>5.4317811546167327E-3</v>
      </c>
      <c r="EP31" s="9">
        <f ca="1">IF(OR(EP4="",EP$28&lt;$A31),"",EP4/OFFSET(ParoRegESP!$A$2,MATCH(EP$29,ParoRegESP!$A$2:$A$500)+$A31-1,1)-1)</f>
        <v>8.5316749233270706E-3</v>
      </c>
      <c r="EQ31" s="9">
        <f ca="1">IF(OR(EQ4="",EQ$28&lt;$A31),"",EQ4/OFFSET(ParoRegESP!$A$2,MATCH(EQ$29,ParoRegESP!$A$2:$A$500)+$A31-1,1)-1)</f>
        <v>-5.6860909044857966E-3</v>
      </c>
      <c r="ER31" s="9">
        <f ca="1">IF(OR(ER4="",ER$28&lt;$A31),"",ER4/OFFSET(ParoRegESP!$A$2,MATCH(ER$29,ParoRegESP!$A$2:$A$500)+$A31-1,1)-1)</f>
        <v>-3.5948318066840734E-3</v>
      </c>
      <c r="ES31" s="9">
        <f ca="1">IF(OR(ES4="",ES$28&lt;$A31),"",ES4/OFFSET(ParoRegESP!$A$2,MATCH(ES$29,ParoRegESP!$A$2:$A$500)+$A31-1,1)-1)</f>
        <v>-6.258892988589615E-3</v>
      </c>
      <c r="ET31" s="9">
        <f ca="1">IF(OR(ET4="",ET$28&lt;$A31),"",ET4/OFFSET(ParoRegESP!$A$2,MATCH(ET$29,ParoRegESP!$A$2:$A$500)+$A31-1,1)-1)</f>
        <v>5.3600704389586973E-3</v>
      </c>
      <c r="EU31" s="9">
        <f ca="1">IF(OR(EU4="",EU$28&lt;$A31),"",EU4/OFFSET(ParoRegESP!$A$2,MATCH(EU$29,ParoRegESP!$A$2:$A$500)+$A31-1,1)-1)</f>
        <v>1.2158854221439475E-2</v>
      </c>
      <c r="EV31" s="9">
        <f ca="1">IF(OR(EV4="",EV$28&lt;$A31),"",EV4/OFFSET(ParoRegESP!$A$2,MATCH(EV$29,ParoRegESP!$A$2:$A$500)+$A31-1,1)-1)</f>
        <v>-7.4536125092461436E-4</v>
      </c>
      <c r="EW31" s="9">
        <f ca="1">IF(OR(EW4="",EW$28&lt;$A31),"",EW4/OFFSET(ParoRegESP!$A$2,MATCH(EW$29,ParoRegESP!$A$2:$A$500)+$A31-1,1)-1)</f>
        <v>-6.3049796565309846E-3</v>
      </c>
      <c r="EX31" s="9">
        <f ca="1">IF(OR(EX4="",EX$28&lt;$A31),"",EX4/OFFSET(ParoRegESP!$A$2,MATCH(EX$29,ParoRegESP!$A$2:$A$500)+$A31-1,1)-1)</f>
        <v>3.9476676741974082E-3</v>
      </c>
      <c r="EY31" s="9">
        <f ca="1">IF(OR(EY4="",EY$28&lt;$A31),"",EY4/OFFSET(ParoRegESP!$A$2,MATCH(EY$29,ParoRegESP!$A$2:$A$500)+$A31-1,1)-1)</f>
        <v>-1.5914132164616124E-3</v>
      </c>
      <c r="EZ31" s="9">
        <f ca="1">IF(OR(EZ4="",EZ$28&lt;$A31),"",EZ4/OFFSET(ParoRegESP!$A$2,MATCH(EZ$29,ParoRegESP!$A$2:$A$500)+$A31-1,1)-1)</f>
        <v>-6.6561756420481233E-3</v>
      </c>
      <c r="FA31" s="9">
        <f ca="1">IF(OR(FA4="",FA$28&lt;$A31),"",FA4/OFFSET(ParoRegESP!$A$2,MATCH(FA$29,ParoRegESP!$A$2:$A$500)+$A31-1,1)-1)</f>
        <v>1.6850739039966367E-2</v>
      </c>
      <c r="FB31" s="9">
        <f ca="1">IF(OR(FB4="",FB$28&lt;$A31),"",FB4/OFFSET(ParoRegESP!$A$2,MATCH(FB$29,ParoRegESP!$A$2:$A$500)+$A31-1,1)-1)</f>
        <v>3.1119858222694585E-3</v>
      </c>
      <c r="FC31" s="9">
        <f ca="1">IF(OR(FC4="",FC$28&lt;$A31),"",FC4/OFFSET(ParoRegESP!$A$2,MATCH(FC$29,ParoRegESP!$A$2:$A$500)+$A31-1,1)-1)</f>
        <v>-9.8173799304057674E-4</v>
      </c>
      <c r="FD31" s="9">
        <f ca="1">IF(OR(FD4="",FD$28&lt;$A31),"",FD4/OFFSET(ParoRegESP!$A$2,MATCH(FD$29,ParoRegESP!$A$2:$A$500)+$A31-1,1)-1)</f>
        <v>6.4146879685076374E-3</v>
      </c>
      <c r="FE31" s="9">
        <f ca="1">IF(OR(FE4="",FE$28&lt;$A31),"",FE4/OFFSET(ParoRegESP!$A$2,MATCH(FE$29,ParoRegESP!$A$2:$A$500)+$A31-1,1)-1)</f>
        <v>5.6710159267381322E-3</v>
      </c>
      <c r="FF31" s="9">
        <f ca="1">IF(OR(FF4="",FF$28&lt;$A31),"",FF4/OFFSET(ParoRegESP!$A$2,MATCH(FF$29,ParoRegESP!$A$2:$A$500)+$A31-1,1)-1)</f>
        <v>-1.416398761024118E-2</v>
      </c>
      <c r="FG31" s="9">
        <f ca="1">IF(OR(FG4="",FG$28&lt;$A31),"",FG4/OFFSET(ParoRegESP!$A$2,MATCH(FG$29,ParoRegESP!$A$2:$A$500)+$A31-1,1)-1)</f>
        <v>-2.7938832575601813E-2</v>
      </c>
      <c r="FH31" s="9">
        <f ca="1">IF(OR(FH4="",FH$28&lt;$A31),"",FH4/OFFSET(ParoRegESP!$A$2,MATCH(FH$29,ParoRegESP!$A$2:$A$500)+$A31-1,1)-1)</f>
        <v>-2.1794425192758982E-2</v>
      </c>
      <c r="FI31" s="9">
        <f ca="1">IF(OR(FI4="",FI$28&lt;$A31),"",FI4/OFFSET(ParoRegESP!$A$2,MATCH(FI$29,ParoRegESP!$A$2:$A$500)+$A31-1,1)-1)</f>
        <v>-2.9444694671708627E-3</v>
      </c>
      <c r="FJ31" s="9">
        <f ca="1">IF(OR(FJ4="",FJ$28&lt;$A31),"",FJ4/OFFSET(ParoRegESP!$A$2,MATCH(FJ$29,ParoRegESP!$A$2:$A$500)+$A31-1,1)-1)</f>
        <v>1.3015922687777293E-2</v>
      </c>
      <c r="FK31" s="9">
        <f ca="1">IF(OR(FK4="",FK$28&lt;$A31),"",FK4/OFFSET(ParoRegESP!$A$2,MATCH(FK$29,ParoRegESP!$A$2:$A$500)+$A31-1,1)-1)</f>
        <v>9.5923626059837286E-3</v>
      </c>
      <c r="FL31" s="9">
        <f ca="1">IF(OR(FL4="",FL$28&lt;$A31),"",FL4/OFFSET(ParoRegESP!$A$2,MATCH(FL$29,ParoRegESP!$A$2:$A$500)+$A31-1,1)-1)</f>
        <v>2.4743420634341096E-3</v>
      </c>
      <c r="FM31" s="9">
        <f ca="1">IF(OR(FM4="",FM$28&lt;$A31),"",FM4/OFFSET(ParoRegESP!$A$2,MATCH(FM$29,ParoRegESP!$A$2:$A$500)+$A31-1,1)-1)</f>
        <v>3.5729654441802872E-3</v>
      </c>
      <c r="FN31" s="9">
        <f ca="1">IF(OR(FN4="",FN$28&lt;$A31),"",FN4/OFFSET(ParoRegESP!$A$2,MATCH(FN$29,ParoRegESP!$A$2:$A$500)+$A31-1,1)-1)</f>
        <v>5.9747574047970264E-3</v>
      </c>
      <c r="FO31" s="9">
        <f ca="1">IF(OR(FO4="",FO$28&lt;$A31),"",FO4/OFFSET(ParoRegESP!$A$2,MATCH(FO$29,ParoRegESP!$A$2:$A$500)+$A31-1,1)-1)</f>
        <v>2.8168357176738823E-4</v>
      </c>
      <c r="FP31" s="9">
        <f ca="1">IF(OR(FP4="",FP$28&lt;$A31),"",FP4/OFFSET(ParoRegESP!$A$2,MATCH(FP$29,ParoRegESP!$A$2:$A$500)+$A31-1,1)-1)</f>
        <v>-4.9024203582780368E-3</v>
      </c>
      <c r="FQ31" s="9">
        <f ca="1">IF(OR(FQ4="",FQ$28&lt;$A31),"",FQ4/OFFSET(ParoRegESP!$A$2,MATCH(FQ$29,ParoRegESP!$A$2:$A$500)+$A31-1,1)-1)</f>
        <v>-1.1158868424155144E-2</v>
      </c>
      <c r="FR31" s="9">
        <f ca="1">IF(OR(FR4="",FR$28&lt;$A31),"",FR4/OFFSET(ParoRegESP!$A$2,MATCH(FR$29,ParoRegESP!$A$2:$A$500)+$A31-1,1)-1)</f>
        <v>-7.9594901095750847E-3</v>
      </c>
      <c r="FS31" s="9">
        <f ca="1">IF(OR(FS4="",FS$28&lt;$A31),"",FS4/OFFSET(ParoRegESP!$A$2,MATCH(FS$29,ParoRegESP!$A$2:$A$500)+$A31-1,1)-1)</f>
        <v>3.8697935570952691E-3</v>
      </c>
      <c r="FT31" s="9">
        <f ca="1">IF(OR(FT4="",FT$28&lt;$A31),"",FT4/OFFSET(ParoRegESP!$A$2,MATCH(FT$29,ParoRegESP!$A$2:$A$500)+$A31-1,1)-1)</f>
        <v>-7.6802699709712652E-3</v>
      </c>
      <c r="FU31" s="9">
        <f ca="1">IF(OR(FU4="",FU$28&lt;$A31),"",FU4/OFFSET(ParoRegESP!$A$2,MATCH(FU$29,ParoRegESP!$A$2:$A$500)+$A31-1,1)-1)</f>
        <v>5.6057820483554899E-3</v>
      </c>
      <c r="FV31" s="9">
        <f ca="1">IF(OR(FV4="",FV$28&lt;$A31),"",FV4/OFFSET(ParoRegESP!$A$2,MATCH(FV$29,ParoRegESP!$A$2:$A$500)+$A31-1,1)-1)</f>
        <v>1.3635875378829487E-2</v>
      </c>
      <c r="FW31" s="9">
        <f ca="1">IF(OR(FW4="",FW$28&lt;$A31),"",FW4/OFFSET(ParoRegESP!$A$2,MATCH(FW$29,ParoRegESP!$A$2:$A$500)+$A31-1,1)-1)</f>
        <v>9.3911693987109857E-3</v>
      </c>
      <c r="FX31" s="9">
        <f ca="1">IF(OR(FX4="",FX$28&lt;$A31),"",FX4/OFFSET(ParoRegESP!$A$2,MATCH(FX$29,ParoRegESP!$A$2:$A$500)+$A31-1,1)-1)</f>
        <v>7.7959504592173268E-4</v>
      </c>
      <c r="FY31" s="9">
        <f ca="1">IF(OR(FY4="",FY$28&lt;$A31),"",FY4/OFFSET(ParoRegESP!$A$2,MATCH(FY$29,ParoRegESP!$A$2:$A$500)+$A31-1,1)-1)</f>
        <v>-5.9955745462813015E-3</v>
      </c>
      <c r="FZ31" s="9">
        <f ca="1">IF(OR(FZ4="",FZ$28&lt;$A31),"",FZ4/OFFSET(ParoRegESP!$A$2,MATCH(FZ$29,ParoRegESP!$A$2:$A$500)+$A31-1,1)-1)</f>
        <v>-1.7954669448847493E-3</v>
      </c>
      <c r="GA31" s="9">
        <f ca="1">IF(OR(GA4="",GA$28&lt;$A31),"",GA4/OFFSET(ParoRegESP!$A$2,MATCH(GA$29,ParoRegESP!$A$2:$A$500)+$A31-1,1)-1)</f>
        <v>8.6577362210404907E-4</v>
      </c>
      <c r="GB31" s="9">
        <f ca="1">IF(OR(GB4="",GB$28&lt;$A31),"",GB4/OFFSET(ParoRegESP!$A$2,MATCH(GB$29,ParoRegESP!$A$2:$A$500)+$A31-1,1)-1)</f>
        <v>-2.6135979001651322E-4</v>
      </c>
      <c r="GC31" s="9">
        <f ca="1">IF(OR(GC4="",GC$28&lt;$A31),"",GC4/OFFSET(ParoRegESP!$A$2,MATCH(GC$29,ParoRegESP!$A$2:$A$500)+$A31-1,1)-1)</f>
        <v>1.585890495195752E-3</v>
      </c>
      <c r="GD31" s="9">
        <f ca="1">IF(OR(GD4="",GD$28&lt;$A31),"",GD4/OFFSET(ParoRegESP!$A$2,MATCH(GD$29,ParoRegESP!$A$2:$A$500)+$A31-1,1)-1)</f>
        <v>-7.0914014969273298E-3</v>
      </c>
      <c r="GE31" s="9">
        <f ca="1">IF(OR(GE4="",GE$28&lt;$A31),"",GE4/OFFSET(ParoRegESP!$A$2,MATCH(GE$29,ParoRegESP!$A$2:$A$500)+$A31-1,1)-1)</f>
        <v>-1.958223109841517E-2</v>
      </c>
      <c r="GF31" s="9">
        <f ca="1">IF(OR(GF4="",GF$28&lt;$A31),"",GF4/OFFSET(ParoRegESP!$A$2,MATCH(GF$29,ParoRegESP!$A$2:$A$500)+$A31-1,1)-1)</f>
        <v>-9.4993919501080715E-3</v>
      </c>
      <c r="GG31" s="9">
        <f ca="1">IF(OR(GG4="",GG$28&lt;$A31),"",GG4/OFFSET(ParoRegESP!$A$2,MATCH(GG$29,ParoRegESP!$A$2:$A$500)+$A31-1,1)-1)</f>
        <v>1.0443611528700547E-2</v>
      </c>
      <c r="GH31" s="9">
        <f ca="1">IF(OR(GH4="",GH$28&lt;$A31),"",GH4/OFFSET(ParoRegESP!$A$2,MATCH(GH$29,ParoRegESP!$A$2:$A$500)+$A31-1,1)-1)</f>
        <v>1.1032342282686347E-3</v>
      </c>
      <c r="GI31" s="9">
        <f ca="1">IF(OR(GI4="",GI$28&lt;$A31),"",GI4/OFFSET(ParoRegESP!$A$2,MATCH(GI$29,ParoRegESP!$A$2:$A$500)+$A31-1,1)-1)</f>
        <v>-1.251050510964713E-2</v>
      </c>
      <c r="GJ31" s="9">
        <f ca="1">IF(OR(GJ4="",GJ$28&lt;$A31),"",GJ4/OFFSET(ParoRegESP!$A$2,MATCH(GJ$29,ParoRegESP!$A$2:$A$500)+$A31-1,1)-1)</f>
        <v>7.9948768376305601E-3</v>
      </c>
      <c r="GK31" s="9">
        <f ca="1">IF(OR(GK4="",GK$28&lt;$A31),"",GK4/OFFSET(ParoRegESP!$A$2,MATCH(GK$29,ParoRegESP!$A$2:$A$500)+$A31-1,1)-1)</f>
        <v>2.4782497879902721E-3</v>
      </c>
      <c r="GL31" s="9">
        <f ca="1">IF(OR(GL4="",GL$28&lt;$A31),"",GL4/OFFSET(ParoRegESP!$A$2,MATCH(GL$29,ParoRegESP!$A$2:$A$500)+$A31-1,1)-1)</f>
        <v>1.0225586120594432E-2</v>
      </c>
      <c r="GM31" s="9">
        <f ca="1">IF(OR(GM4="",GM$28&lt;$A31),"",GM4/OFFSET(ParoRegESP!$A$2,MATCH(GM$29,ParoRegESP!$A$2:$A$500)+$A31-1,1)-1)</f>
        <v>-8.5001890217925036E-2</v>
      </c>
      <c r="GN31" s="9">
        <f ca="1">IF(OR(GN4="",GN$28&lt;$A31),"",GN4/OFFSET(ParoRegESP!$A$2,MATCH(GN$29,ParoRegESP!$A$2:$A$500)+$A31-1,1)-1)</f>
        <v>-0.18341590784025696</v>
      </c>
      <c r="GO31" s="9">
        <f ca="1">IF(OR(GO4="",GO$28&lt;$A31),"",GO4/OFFSET(ParoRegESP!$A$2,MATCH(GO$29,ParoRegESP!$A$2:$A$500)+$A31-1,1)-1)</f>
        <v>-9.7503072123131251E-2</v>
      </c>
      <c r="GP31" s="9">
        <f ca="1">IF(OR(GP4="",GP$28&lt;$A31),"",GP4/OFFSET(ParoRegESP!$A$2,MATCH(GP$29,ParoRegESP!$A$2:$A$500)+$A31-1,1)-1)</f>
        <v>6.1003931211816687E-2</v>
      </c>
      <c r="GQ31" s="9">
        <f ca="1">IF(OR(GQ4="",GQ$28&lt;$A31),"",GQ4/OFFSET(ParoRegESP!$A$2,MATCH(GQ$29,ParoRegESP!$A$2:$A$500)+$A31-1,1)-1)</f>
        <v>4.5017796576474201E-2</v>
      </c>
      <c r="GR31" s="9">
        <f ca="1">IF(OR(GR4="",GR$28&lt;$A31),"",GR4/OFFSET(ParoRegESP!$A$2,MATCH(GR$29,ParoRegESP!$A$2:$A$500)+$A31-1,1)-1)</f>
        <v>5.6997870583371135E-2</v>
      </c>
      <c r="GS31" s="9">
        <f ca="1">IF(OR(GS4="",GS$28&lt;$A31),"",GS4/OFFSET(ParoRegESP!$A$2,MATCH(GS$29,ParoRegESP!$A$2:$A$500)+$A31-1,1)-1)</f>
        <v>5.4126493057793157E-2</v>
      </c>
      <c r="GT31" s="9">
        <f ca="1">IF(OR(GT4="",GT$28&lt;$A31),"",GT4/OFFSET(ParoRegESP!$A$2,MATCH(GT$29,ParoRegESP!$A$2:$A$500)+$A31-1,1)-1)</f>
        <v>3.5798094998957586E-2</v>
      </c>
      <c r="GU31" s="9">
        <f ca="1">IF(OR(GU4="",GU$28&lt;$A31),"",GU4/OFFSET(ParoRegESP!$A$2,MATCH(GU$29,ParoRegESP!$A$2:$A$500)+$A31-1,1)-1)</f>
        <v>-2.9297644429249203E-3</v>
      </c>
      <c r="GV31" s="9">
        <f ca="1">IF(OR(GV4="",GV$28&lt;$A31),"",GV4/OFFSET(ParoRegESP!$A$2,MATCH(GV$29,ParoRegESP!$A$2:$A$500)+$A31-1,1)-1)</f>
        <v>-3.0085379803120538E-2</v>
      </c>
      <c r="GW31" s="9">
        <f ca="1">IF(OR(GW4="",GW$28&lt;$A31),"",GW4/OFFSET(ParoRegESP!$A$2,MATCH(GW$29,ParoRegESP!$A$2:$A$500)+$A31-1,1)-1)</f>
        <v>-1.3209107701817713E-2</v>
      </c>
      <c r="GX31" s="9" t="str">
        <f ca="1">IF(OR(GX4="",GX$28&lt;$A31),"",GX4/OFFSET(ParoRegESP!$A$2,MATCH(GX$29,ParoRegESP!$A$2:$A$500)+$A31-1,1)-1)</f>
        <v/>
      </c>
      <c r="GY31" s="9" t="str">
        <f ca="1">IF(OR(GY4="",GY$28&lt;$A31),"",GY4/OFFSET(ParoRegESP!$A$2,MATCH(GY$29,ParoRegESP!$A$2:$A$500)+$A31-1,1)-1)</f>
        <v/>
      </c>
      <c r="GZ31" s="9" t="str">
        <f ca="1">IF(OR(GZ4="",GZ$28&lt;$A31),"",GZ4/OFFSET(ParoRegESP!$A$2,MATCH(GZ$29,ParoRegESP!$A$2:$A$500)+$A31-1,1)-1)</f>
        <v/>
      </c>
      <c r="HA31" s="9" t="str">
        <f ca="1">IF(OR(HA4="",HA$28&lt;$A31),"",HA4/OFFSET(ParoRegESP!$A$2,MATCH(HA$29,ParoRegESP!$A$2:$A$500)+$A31-1,1)-1)</f>
        <v/>
      </c>
      <c r="HB31" s="9" t="str">
        <f ca="1">IF(OR(HB4="",HB$28&lt;$A31),"",HB4/OFFSET(ParoRegESP!$A$2,MATCH(HB$29,ParoRegESP!$A$2:$A$500)+$A31-1,1)-1)</f>
        <v/>
      </c>
      <c r="HC31" s="9" t="str">
        <f ca="1">IF(OR(HC4="",HC$28&lt;$A31),"",HC4/OFFSET(ParoRegESP!$A$2,MATCH(HC$29,ParoRegESP!$A$2:$A$500)+$A31-1,1)-1)</f>
        <v/>
      </c>
      <c r="HD31" s="9" t="str">
        <f ca="1">IF(OR(HD4="",HD$28&lt;$A31),"",HD4/OFFSET(ParoRegESP!$A$2,MATCH(HD$29,ParoRegESP!$A$2:$A$500)+$A31-1,1)-1)</f>
        <v/>
      </c>
      <c r="HE31" s="9" t="str">
        <f ca="1">IF(OR(HE4="",HE$28&lt;$A31),"",HE4/OFFSET(ParoRegESP!$A$2,MATCH(HE$29,ParoRegESP!$A$2:$A$500)+$A31-1,1)-1)</f>
        <v/>
      </c>
      <c r="HF31" s="9" t="str">
        <f ca="1">IF(OR(HF4="",HF$28&lt;$A31),"",HF4/OFFSET(ParoRegESP!$A$2,MATCH(HF$29,ParoRegESP!$A$2:$A$500)+$A31-1,1)-1)</f>
        <v/>
      </c>
      <c r="HG31" s="9" t="str">
        <f ca="1">IF(OR(HG4="",HG$28&lt;$A31),"",HG4/OFFSET(ParoRegESP!$A$2,MATCH(HG$29,ParoRegESP!$A$2:$A$500)+$A31-1,1)-1)</f>
        <v/>
      </c>
      <c r="HH31" s="9" t="str">
        <f ca="1">IF(OR(HH4="",HH$28&lt;$A31),"",HH4/OFFSET(ParoRegESP!$A$2,MATCH(HH$29,ParoRegESP!$A$2:$A$500)+$A31-1,1)-1)</f>
        <v/>
      </c>
      <c r="HI31" s="9" t="str">
        <f ca="1">IF(OR(HI4="",HI$28&lt;$A31),"",HI4/OFFSET(ParoRegESP!$A$2,MATCH(HI$29,ParoRegESP!$A$2:$A$500)+$A31-1,1)-1)</f>
        <v/>
      </c>
      <c r="HJ31" s="9" t="str">
        <f ca="1">IF(OR(HJ4="",HJ$28&lt;$A31),"",HJ4/OFFSET(ParoRegESP!$A$2,MATCH(HJ$29,ParoRegESP!$A$2:$A$500)+$A31-1,1)-1)</f>
        <v/>
      </c>
      <c r="HK31" s="9" t="str">
        <f ca="1">IF(OR(HK4="",HK$28&lt;$A31),"",HK4/OFFSET(ParoRegESP!$A$2,MATCH(HK$29,ParoRegESP!$A$2:$A$500)+$A31-1,1)-1)</f>
        <v/>
      </c>
      <c r="HL31" s="9" t="str">
        <f ca="1">IF(OR(HL4="",HL$28&lt;$A31),"",HL4/OFFSET(ParoRegESP!$A$2,MATCH(HL$29,ParoRegESP!$A$2:$A$500)+$A31-1,1)-1)</f>
        <v/>
      </c>
      <c r="HM31" s="9" t="str">
        <f ca="1">IF(OR(HM4="",HM$28&lt;$A31),"",HM4/OFFSET(ParoRegESP!$A$2,MATCH(HM$29,ParoRegESP!$A$2:$A$500)+$A31-1,1)-1)</f>
        <v/>
      </c>
      <c r="HN31" s="9" t="str">
        <f ca="1">IF(OR(HN4="",HN$28&lt;$A31),"",HN4/OFFSET(ParoRegESP!$A$2,MATCH(HN$29,ParoRegESP!$A$2:$A$500)+$A31-1,1)-1)</f>
        <v/>
      </c>
      <c r="HO31" s="9" t="str">
        <f ca="1">IF(OR(HO4="",HO$28&lt;$A31),"",HO4/OFFSET(ParoRegESP!$A$2,MATCH(HO$29,ParoRegESP!$A$2:$A$500)+$A31-1,1)-1)</f>
        <v/>
      </c>
      <c r="HP31" s="9" t="str">
        <f ca="1">IF(OR(HP4="",HP$28&lt;$A31),"",HP4/OFFSET(ParoRegESP!$A$2,MATCH(HP$29,ParoRegESP!$A$2:$A$500)+$A31-1,1)-1)</f>
        <v/>
      </c>
      <c r="HQ31" s="9" t="str">
        <f ca="1">IF(OR(HQ4="",HQ$28&lt;$A31),"",HQ4/OFFSET(ParoRegESP!$A$2,MATCH(HQ$29,ParoRegESP!$A$2:$A$500)+$A31-1,1)-1)</f>
        <v/>
      </c>
      <c r="HR31" s="9" t="str">
        <f ca="1">IF(OR(HR4="",HR$28&lt;$A31),"",HR4/OFFSET(ParoRegESP!$A$2,MATCH(HR$29,ParoRegESP!$A$2:$A$500)+$A31-1,1)-1)</f>
        <v/>
      </c>
      <c r="HS31" s="9" t="str">
        <f ca="1">IF(OR(HS4="",HS$28&lt;$A31),"",HS4/OFFSET(ParoRegESP!$A$2,MATCH(HS$29,ParoRegESP!$A$2:$A$500)+$A31-1,1)-1)</f>
        <v/>
      </c>
      <c r="HT31" s="9" t="str">
        <f ca="1">IF(OR(HT4="",HT$28&lt;$A31),"",HT4/OFFSET(ParoRegESP!$A$2,MATCH(HT$29,ParoRegESP!$A$2:$A$500)+$A31-1,1)-1)</f>
        <v/>
      </c>
      <c r="HU31" s="9" t="str">
        <f ca="1">IF(OR(HU4="",HU$28&lt;$A31),"",HU4/OFFSET(ParoRegESP!$A$2,MATCH(HU$29,ParoRegESP!$A$2:$A$500)+$A31-1,1)-1)</f>
        <v/>
      </c>
      <c r="HV31" s="9" t="str">
        <f ca="1">IF(OR(HV4="",HV$28&lt;$A31),"",HV4/OFFSET(ParoRegESP!$A$2,MATCH(HV$29,ParoRegESP!$A$2:$A$500)+$A31-1,1)-1)</f>
        <v/>
      </c>
      <c r="HW31" s="9" t="str">
        <f ca="1">IF(OR(HW4="",HW$28&lt;$A31),"",HW4/OFFSET(ParoRegESP!$A$2,MATCH(HW$29,ParoRegESP!$A$2:$A$500)+$A31-1,1)-1)</f>
        <v/>
      </c>
      <c r="HX31" s="9" t="str">
        <f ca="1">IF(OR(HX4="",HX$28&lt;$A31),"",HX4/OFFSET(ParoRegESP!$A$2,MATCH(HX$29,ParoRegESP!$A$2:$A$500)+$A31-1,1)-1)</f>
        <v/>
      </c>
      <c r="HY31" s="9" t="str">
        <f ca="1">IF(OR(HY4="",HY$28&lt;$A31),"",HY4/OFFSET(ParoRegESP!$A$2,MATCH(HY$29,ParoRegESP!$A$2:$A$500)+$A31-1,1)-1)</f>
        <v/>
      </c>
      <c r="HZ31" s="9" t="str">
        <f ca="1">IF(OR(HZ4="",HZ$28&lt;$A31),"",HZ4/OFFSET(ParoRegESP!$A$2,MATCH(HZ$29,ParoRegESP!$A$2:$A$500)+$A31-1,1)-1)</f>
        <v/>
      </c>
      <c r="IA31" s="9" t="str">
        <f ca="1">IF(OR(IA4="",IA$28&lt;$A31),"",IA4/OFFSET(ParoRegESP!$A$2,MATCH(IA$29,ParoRegESP!$A$2:$A$500)+$A31-1,1)-1)</f>
        <v/>
      </c>
      <c r="IB31" s="9" t="str">
        <f ca="1">IF(OR(IB4="",IB$28&lt;$A31),"",IB4/OFFSET(ParoRegESP!$A$2,MATCH(IB$29,ParoRegESP!$A$2:$A$500)+$A31-1,1)-1)</f>
        <v/>
      </c>
      <c r="IC31" s="9" t="str">
        <f ca="1">IF(OR(IC4="",IC$28&lt;$A31),"",IC4/OFFSET(ParoRegESP!$A$2,MATCH(IC$29,ParoRegESP!$A$2:$A$500)+$A31-1,1)-1)</f>
        <v/>
      </c>
      <c r="ID31" s="9" t="str">
        <f ca="1">IF(OR(ID4="",ID$28&lt;$A31),"",ID4/OFFSET(ParoRegESP!$A$2,MATCH(ID$29,ParoRegESP!$A$2:$A$500)+$A31-1,1)-1)</f>
        <v/>
      </c>
      <c r="IE31" s="9" t="str">
        <f ca="1">IF(OR(IE4="",IE$28&lt;$A31),"",IE4/OFFSET(ParoRegESP!$A$2,MATCH(IE$29,ParoRegESP!$A$2:$A$500)+$A31-1,1)-1)</f>
        <v/>
      </c>
      <c r="IF31" s="9" t="str">
        <f ca="1">IF(OR(IF4="",IF$28&lt;$A31),"",IF4/OFFSET(ParoRegESP!$A$2,MATCH(IF$29,ParoRegESP!$A$2:$A$500)+$A31-1,1)-1)</f>
        <v/>
      </c>
      <c r="IG31" s="9" t="str">
        <f ca="1">IF(OR(IG4="",IG$28&lt;$A31),"",IG4/OFFSET(ParoRegESP!$A$2,MATCH(IG$29,ParoRegESP!$A$2:$A$500)+$A31-1,1)-1)</f>
        <v/>
      </c>
      <c r="IH31" s="9" t="str">
        <f ca="1">IF(OR(IH4="",IH$28&lt;$A31),"",IH4/OFFSET(ParoRegESP!$A$2,MATCH(IH$29,ParoRegESP!$A$2:$A$500)+$A31-1,1)-1)</f>
        <v/>
      </c>
      <c r="II31" s="9" t="str">
        <f ca="1">IF(OR(II4="",II$28&lt;$A31),"",II4/OFFSET(ParoRegESP!$A$2,MATCH(II$29,ParoRegESP!$A$2:$A$500)+$A31-1,1)-1)</f>
        <v/>
      </c>
      <c r="IJ31" s="9" t="str">
        <f ca="1">IF(OR(IJ4="",IJ$28&lt;$A31),"",IJ4/OFFSET(ParoRegESP!$A$2,MATCH(IJ$29,ParoRegESP!$A$2:$A$500)+$A31-1,1)-1)</f>
        <v/>
      </c>
      <c r="IK31" s="9" t="str">
        <f ca="1">IF(OR(IK4="",IK$28&lt;$A31),"",IK4/OFFSET(ParoRegESP!$A$2,MATCH(IK$29,ParoRegESP!$A$2:$A$500)+$A31-1,1)-1)</f>
        <v/>
      </c>
      <c r="IL31" s="9" t="str">
        <f ca="1">IF(OR(IL4="",IL$28&lt;$A31),"",IL4/OFFSET(ParoRegESP!$A$2,MATCH(IL$29,ParoRegESP!$A$2:$A$500)+$A31-1,1)-1)</f>
        <v/>
      </c>
      <c r="IM31" s="9" t="str">
        <f ca="1">IF(OR(IM4="",IM$28&lt;$A31),"",IM4/OFFSET(ParoRegESP!$A$2,MATCH(IM$29,ParoRegESP!$A$2:$A$500)+$A31-1,1)-1)</f>
        <v/>
      </c>
      <c r="IN31" s="9" t="str">
        <f ca="1">IF(OR(IN4="",IN$28&lt;$A31),"",IN4/OFFSET(ParoRegESP!$A$2,MATCH(IN$29,ParoRegESP!$A$2:$A$500)+$A31-1,1)-1)</f>
        <v/>
      </c>
      <c r="IO31" s="9" t="str">
        <f ca="1">IF(OR(IO4="",IO$28&lt;$A31),"",IO4/OFFSET(ParoRegESP!$A$2,MATCH(IO$29,ParoRegESP!$A$2:$A$500)+$A31-1,1)-1)</f>
        <v/>
      </c>
      <c r="IP31" s="9" t="str">
        <f ca="1">IF(OR(IP4="",IP$28&lt;$A31),"",IP4/OFFSET(ParoRegESP!$A$2,MATCH(IP$29,ParoRegESP!$A$2:$A$500)+$A31-1,1)-1)</f>
        <v/>
      </c>
      <c r="IQ31" s="9" t="str">
        <f ca="1">IF(OR(IQ4="",IQ$28&lt;$A31),"",IQ4/OFFSET(ParoRegESP!$A$2,MATCH(IQ$29,ParoRegESP!$A$2:$A$500)+$A31-1,1)-1)</f>
        <v/>
      </c>
      <c r="IR31" s="9" t="str">
        <f ca="1">IF(OR(IR4="",IR$28&lt;$A31),"",IR4/OFFSET(ParoRegESP!$A$2,MATCH(IR$29,ParoRegESP!$A$2:$A$500)+$A31-1,1)-1)</f>
        <v/>
      </c>
      <c r="IS31" s="9" t="str">
        <f ca="1">IF(OR(IS4="",IS$28&lt;$A31),"",IS4/OFFSET(ParoRegESP!$A$2,MATCH(IS$29,ParoRegESP!$A$2:$A$500)+$A31-1,1)-1)</f>
        <v/>
      </c>
      <c r="IT31" s="9" t="str">
        <f ca="1">IF(OR(IT4="",IT$28&lt;$A31),"",IT4/OFFSET(ParoRegESP!$A$2,MATCH(IT$29,ParoRegESP!$A$2:$A$500)+$A31-1,1)-1)</f>
        <v/>
      </c>
      <c r="IU31" s="9" t="str">
        <f ca="1">IF(OR(IU4="",IU$28&lt;$A31),"",IU4/OFFSET(ParoRegESP!$A$2,MATCH(IU$29,ParoRegESP!$A$2:$A$500)+$A31-1,1)-1)</f>
        <v/>
      </c>
      <c r="IV31" s="9" t="str">
        <f ca="1">IF(OR(IV4="",IV$28&lt;$A31),"",IV4/OFFSET(ParoRegESP!$A$2,MATCH(IV$29,ParoRegESP!$A$2:$A$500)+$A31-1,1)-1)</f>
        <v/>
      </c>
      <c r="IW31" s="9" t="str">
        <f ca="1">IF(OR(IW4="",IW$28&lt;$A31),"",IW4/OFFSET(ParoRegESP!$A$2,MATCH(IW$29,ParoRegESP!$A$2:$A$500)+$A31-1,1)-1)</f>
        <v/>
      </c>
      <c r="IX31" s="9" t="str">
        <f ca="1">IF(OR(IX4="",IX$28&lt;$A31),"",IX4/OFFSET(ParoRegESP!$A$2,MATCH(IX$29,ParoRegESP!$A$2:$A$500)+$A31-1,1)-1)</f>
        <v/>
      </c>
      <c r="IY31" s="9" t="str">
        <f ca="1">IF(OR(IY4="",IY$28&lt;$A31),"",IY4/OFFSET(ParoRegESP!$A$2,MATCH(IY$29,ParoRegESP!$A$2:$A$500)+$A31-1,1)-1)</f>
        <v/>
      </c>
      <c r="IZ31" s="9" t="str">
        <f ca="1">IF(OR(IZ4="",IZ$28&lt;$A31),"",IZ4/OFFSET(ParoRegESP!$A$2,MATCH(IZ$29,ParoRegESP!$A$2:$A$500)+$A31-1,1)-1)</f>
        <v/>
      </c>
      <c r="JA31" s="9" t="str">
        <f ca="1">IF(OR(JA4="",JA$28&lt;$A31),"",JA4/OFFSET(ParoRegESP!$A$2,MATCH(JA$29,ParoRegESP!$A$2:$A$500)+$A31-1,1)-1)</f>
        <v/>
      </c>
      <c r="JB31" s="9" t="str">
        <f ca="1">IF(OR(JB4="",JB$28&lt;$A31),"",JB4/OFFSET(ParoRegESP!$A$2,MATCH(JB$29,ParoRegESP!$A$2:$A$500)+$A31-1,1)-1)</f>
        <v/>
      </c>
      <c r="JC31" s="9" t="str">
        <f ca="1">IF(OR(JC4="",JC$28&lt;$A31),"",JC4/OFFSET(ParoRegESP!$A$2,MATCH(JC$29,ParoRegESP!$A$2:$A$500)+$A31-1,1)-1)</f>
        <v/>
      </c>
      <c r="JD31" s="9" t="str">
        <f ca="1">IF(OR(JD4="",JD$28&lt;$A31),"",JD4/OFFSET(ParoRegESP!$A$2,MATCH(JD$29,ParoRegESP!$A$2:$A$500)+$A31-1,1)-1)</f>
        <v/>
      </c>
      <c r="JE31" s="9" t="str">
        <f ca="1">IF(OR(JE4="",JE$28&lt;$A31),"",JE4/OFFSET(ParoRegESP!$A$2,MATCH(JE$29,ParoRegESP!$A$2:$A$500)+$A31-1,1)-1)</f>
        <v/>
      </c>
      <c r="JF31" s="9" t="str">
        <f ca="1">IF(OR(JF4="",JF$28&lt;$A31),"",JF4/OFFSET(ParoRegESP!$A$2,MATCH(JF$29,ParoRegESP!$A$2:$A$500)+$A31-1,1)-1)</f>
        <v/>
      </c>
      <c r="JG31" s="9" t="str">
        <f ca="1">IF(OR(JG4="",JG$28&lt;$A31),"",JG4/OFFSET(ParoRegESP!$A$2,MATCH(JG$29,ParoRegESP!$A$2:$A$500)+$A31-1,1)-1)</f>
        <v/>
      </c>
      <c r="JH31" s="9" t="str">
        <f ca="1">IF(OR(JH4="",JH$28&lt;$A31),"",JH4/OFFSET(ParoRegESP!$A$2,MATCH(JH$29,ParoRegESP!$A$2:$A$500)+$A31-1,1)-1)</f>
        <v/>
      </c>
      <c r="JI31" s="13">
        <f t="shared" ca="1" si="13"/>
        <v>-5.295638093707521E-3</v>
      </c>
      <c r="JJ31" s="13">
        <f t="shared" ca="1" si="14"/>
        <v>7.7959504592173268E-4</v>
      </c>
      <c r="JK31" s="14">
        <f t="shared" ca="1" si="15"/>
        <v>1.9794014878661489E-3</v>
      </c>
      <c r="JL31" s="17">
        <f t="shared" ref="JL31:JL41" ca="1" si="18">SQRT(JK31)</f>
        <v>4.4490465134297587E-2</v>
      </c>
      <c r="JM31" s="15" t="str">
        <f t="shared" ca="1" si="16"/>
        <v>[ -9,43% ; 8,37% ]</v>
      </c>
      <c r="JN31" s="17">
        <f t="shared" ca="1" si="17"/>
        <v>5.6947795371900915E-2</v>
      </c>
      <c r="LY31" s="1"/>
    </row>
    <row r="32" spans="1:337" x14ac:dyDescent="0.25">
      <c r="A32" s="4">
        <v>3</v>
      </c>
      <c r="B32" s="9">
        <f ca="1">IF(OR(B5="",B$28&lt;$A32),"",B5/OFFSET(ParoRegESP!$A$2,MATCH(B$29,ParoRegESP!$A$2:$A$500)+$A32-1,1)-1)</f>
        <v>2.7175901349020037E-2</v>
      </c>
      <c r="C32" s="9">
        <f ca="1">IF(OR(C5="",C$28&lt;$A32),"",C5/OFFSET(ParoRegESP!$A$2,MATCH(C$29,ParoRegESP!$A$2:$A$500)+$A32-1,1)-1)</f>
        <v>2.762569663670611E-3</v>
      </c>
      <c r="D32" s="9">
        <f ca="1">IF(OR(D5="",D$28&lt;$A32),"",D5/OFFSET(ParoRegESP!$A$2,MATCH(D$29,ParoRegESP!$A$2:$A$500)+$A32-1,1)-1)</f>
        <v>8.7288477078040216E-4</v>
      </c>
      <c r="E32" s="9">
        <f ca="1">IF(OR(E5="",E$28&lt;$A32),"",E5/OFFSET(ParoRegESP!$A$2,MATCH(E$29,ParoRegESP!$A$2:$A$500)+$A32-1,1)-1)</f>
        <v>-3.1363998161433315E-3</v>
      </c>
      <c r="F32" s="9">
        <f ca="1">IF(OR(F5="",F$28&lt;$A32),"",F5/OFFSET(ParoRegESP!$A$2,MATCH(F$29,ParoRegESP!$A$2:$A$500)+$A32-1,1)-1)</f>
        <v>1.4217423106599458E-2</v>
      </c>
      <c r="G32" s="9">
        <f ca="1">IF(OR(G5="",G$28&lt;$A32),"",G5/OFFSET(ParoRegESP!$A$2,MATCH(G$29,ParoRegESP!$A$2:$A$500)+$A32-1,1)-1)</f>
        <v>8.7317914155753407E-3</v>
      </c>
      <c r="H32" s="9">
        <f ca="1">IF(OR(H5="",H$28&lt;$A32),"",H5/OFFSET(ParoRegESP!$A$2,MATCH(H$29,ParoRegESP!$A$2:$A$500)+$A32-1,1)-1)</f>
        <v>1.6860635368440402E-2</v>
      </c>
      <c r="I32" s="9">
        <f ca="1">IF(OR(I5="",I$28&lt;$A32),"",I5/OFFSET(ParoRegESP!$A$2,MATCH(I$29,ParoRegESP!$A$2:$A$500)+$A32-1,1)-1)</f>
        <v>2.3857272777557004E-2</v>
      </c>
      <c r="J32" s="9">
        <f ca="1">IF(OR(J5="",J$28&lt;$A32),"",J5/OFFSET(ParoRegESP!$A$2,MATCH(J$29,ParoRegESP!$A$2:$A$500)+$A32-1,1)-1)</f>
        <v>2.3535129661323761E-2</v>
      </c>
      <c r="K32" s="9">
        <f ca="1">IF(OR(K5="",K$28&lt;$A32),"",K5/OFFSET(ParoRegESP!$A$2,MATCH(K$29,ParoRegESP!$A$2:$A$500)+$A32-1,1)-1)</f>
        <v>2.7669202276806359E-2</v>
      </c>
      <c r="L32" s="9">
        <f ca="1">IF(OR(L5="",L$28&lt;$A32),"",L5/OFFSET(ParoRegESP!$A$2,MATCH(L$29,ParoRegESP!$A$2:$A$500)+$A32-1,1)-1)</f>
        <v>2.0394069041037133E-2</v>
      </c>
      <c r="M32" s="9">
        <f ca="1">IF(OR(M5="",M$28&lt;$A32),"",M5/OFFSET(ParoRegESP!$A$2,MATCH(M$29,ParoRegESP!$A$2:$A$500)+$A32-1,1)-1)</f>
        <v>1.6151623199370357E-2</v>
      </c>
      <c r="N32" s="9">
        <f ca="1">IF(OR(N5="",N$28&lt;$A32),"",N5/OFFSET(ParoRegESP!$A$2,MATCH(N$29,ParoRegESP!$A$2:$A$500)+$A32-1,1)-1)</f>
        <v>-3.3696333132511302E-3</v>
      </c>
      <c r="O32" s="9">
        <f ca="1">IF(OR(O5="",O$28&lt;$A32),"",O5/OFFSET(ParoRegESP!$A$2,MATCH(O$29,ParoRegESP!$A$2:$A$500)+$A32-1,1)-1)</f>
        <v>-8.3894072202961301E-4</v>
      </c>
      <c r="P32" s="9">
        <f ca="1">IF(OR(P5="",P$28&lt;$A32),"",P5/OFFSET(ParoRegESP!$A$2,MATCH(P$29,ParoRegESP!$A$2:$A$500)+$A32-1,1)-1)</f>
        <v>2.0076475294574792E-3</v>
      </c>
      <c r="Q32" s="9">
        <f ca="1">IF(OR(Q5="",Q$28&lt;$A32),"",Q5/OFFSET(ParoRegESP!$A$2,MATCH(Q$29,ParoRegESP!$A$2:$A$500)+$A32-1,1)-1)</f>
        <v>4.6003883897767217E-3</v>
      </c>
      <c r="R32" s="9">
        <f ca="1">IF(OR(R5="",R$28&lt;$A32),"",R5/OFFSET(ParoRegESP!$A$2,MATCH(R$29,ParoRegESP!$A$2:$A$500)+$A32-1,1)-1)</f>
        <v>-1.022165145118159E-2</v>
      </c>
      <c r="S32" s="9">
        <f ca="1">IF(OR(S5="",S$28&lt;$A32),"",S5/OFFSET(ParoRegESP!$A$2,MATCH(S$29,ParoRegESP!$A$2:$A$500)+$A32-1,1)-1)</f>
        <v>-2.2669299737527959E-2</v>
      </c>
      <c r="T32" s="9">
        <f ca="1">IF(OR(T5="",T$28&lt;$A32),"",T5/OFFSET(ParoRegESP!$A$2,MATCH(T$29,ParoRegESP!$A$2:$A$500)+$A32-1,1)-1)</f>
        <v>-1.7977719837932393E-2</v>
      </c>
      <c r="U32" s="9">
        <f ca="1">IF(OR(U5="",U$28&lt;$A32),"",U5/OFFSET(ParoRegESP!$A$2,MATCH(U$29,ParoRegESP!$A$2:$A$500)+$A32-1,1)-1)</f>
        <v>-2.1873660663983552E-3</v>
      </c>
      <c r="V32" s="9">
        <f ca="1">IF(OR(V5="",V$28&lt;$A32),"",V5/OFFSET(ParoRegESP!$A$2,MATCH(V$29,ParoRegESP!$A$2:$A$500)+$A32-1,1)-1)</f>
        <v>9.629265425559419E-3</v>
      </c>
      <c r="W32" s="9">
        <f ca="1">IF(OR(W5="",W$28&lt;$A32),"",W5/OFFSET(ParoRegESP!$A$2,MATCH(W$29,ParoRegESP!$A$2:$A$500)+$A32-1,1)-1)</f>
        <v>5.2001330106414834E-3</v>
      </c>
      <c r="X32" s="9">
        <f ca="1">IF(OR(X5="",X$28&lt;$A32),"",X5/OFFSET(ParoRegESP!$A$2,MATCH(X$29,ParoRegESP!$A$2:$A$500)+$A32-1,1)-1)</f>
        <v>7.3185075135318023E-4</v>
      </c>
      <c r="Y32" s="9">
        <f ca="1">IF(OR(Y5="",Y$28&lt;$A32),"",Y5/OFFSET(ParoRegESP!$A$2,MATCH(Y$29,ParoRegESP!$A$2:$A$500)+$A32-1,1)-1)</f>
        <v>7.3486709970094211E-5</v>
      </c>
      <c r="Z32" s="9">
        <f ca="1">IF(OR(Z5="",Z$28&lt;$A32),"",Z5/OFFSET(ParoRegESP!$A$2,MATCH(Z$29,ParoRegESP!$A$2:$A$500)+$A32-1,1)-1)</f>
        <v>-7.4648306051682267E-3</v>
      </c>
      <c r="AA32" s="9">
        <f ca="1">IF(OR(AA5="",AA$28&lt;$A32),"",AA5/OFFSET(ParoRegESP!$A$2,MATCH(AA$29,ParoRegESP!$A$2:$A$500)+$A32-1,1)-1)</f>
        <v>7.0659057303763539E-3</v>
      </c>
      <c r="AB32" s="9">
        <f ca="1">IF(OR(AB5="",AB$28&lt;$A32),"",AB5/OFFSET(ParoRegESP!$A$2,MATCH(AB$29,ParoRegESP!$A$2:$A$500)+$A32-1,1)-1)</f>
        <v>1.0237813263355378E-2</v>
      </c>
      <c r="AC32" s="9">
        <f ca="1">IF(OR(AC5="",AC$28&lt;$A32),"",AC5/OFFSET(ParoRegESP!$A$2,MATCH(AC$29,ParoRegESP!$A$2:$A$500)+$A32-1,1)-1)</f>
        <v>1.8104486108524664E-2</v>
      </c>
      <c r="AD32" s="9">
        <f ca="1">IF(OR(AD5="",AD$28&lt;$A32),"",AD5/OFFSET(ParoRegESP!$A$2,MATCH(AD$29,ParoRegESP!$A$2:$A$500)+$A32-1,1)-1)</f>
        <v>3.9250127334795604E-3</v>
      </c>
      <c r="AE32" s="9">
        <f ca="1">IF(OR(AE5="",AE$28&lt;$A32),"",AE5/OFFSET(ParoRegESP!$A$2,MATCH(AE$29,ParoRegESP!$A$2:$A$500)+$A32-1,1)-1)</f>
        <v>-5.5704416287072345E-4</v>
      </c>
      <c r="AF32" s="9">
        <f ca="1">IF(OR(AF5="",AF$28&lt;$A32),"",AF5/OFFSET(ParoRegESP!$A$2,MATCH(AF$29,ParoRegESP!$A$2:$A$500)+$A32-1,1)-1)</f>
        <v>8.609427021695204E-3</v>
      </c>
      <c r="AG32" s="9">
        <f ca="1">IF(OR(AG5="",AG$28&lt;$A32),"",AG5/OFFSET(ParoRegESP!$A$2,MATCH(AG$29,ParoRegESP!$A$2:$A$500)+$A32-1,1)-1)</f>
        <v>1.8573524854282653E-2</v>
      </c>
      <c r="AH32" s="9">
        <f ca="1">IF(OR(AH5="",AH$28&lt;$A32),"",AH5/OFFSET(ParoRegESP!$A$2,MATCH(AH$29,ParoRegESP!$A$2:$A$500)+$A32-1,1)-1)</f>
        <v>2.385815008468728E-2</v>
      </c>
      <c r="AI32" s="9">
        <f ca="1">IF(OR(AI5="",AI$28&lt;$A32),"",AI5/OFFSET(ParoRegESP!$A$2,MATCH(AI$29,ParoRegESP!$A$2:$A$500)+$A32-1,1)-1)</f>
        <v>2.2453400797854073E-2</v>
      </c>
      <c r="AJ32" s="9">
        <f ca="1">IF(OR(AJ5="",AJ$28&lt;$A32),"",AJ5/OFFSET(ParoRegESP!$A$2,MATCH(AJ$29,ParoRegESP!$A$2:$A$500)+$A32-1,1)-1)</f>
        <v>1.2556129673448213E-2</v>
      </c>
      <c r="AK32" s="9">
        <f ca="1">IF(OR(AK5="",AK$28&lt;$A32),"",AK5/OFFSET(ParoRegESP!$A$2,MATCH(AK$29,ParoRegESP!$A$2:$A$500)+$A32-1,1)-1)</f>
        <v>6.7924415966007512E-3</v>
      </c>
      <c r="AL32" s="9">
        <f ca="1">IF(OR(AL5="",AL$28&lt;$A32),"",AL5/OFFSET(ParoRegESP!$A$2,MATCH(AL$29,ParoRegESP!$A$2:$A$500)+$A32-1,1)-1)</f>
        <v>-6.9973841215074106E-3</v>
      </c>
      <c r="AM32" s="9">
        <f ca="1">IF(OR(AM5="",AM$28&lt;$A32),"",AM5/OFFSET(ParoRegESP!$A$2,MATCH(AM$29,ParoRegESP!$A$2:$A$500)+$A32-1,1)-1)</f>
        <v>-1.8508853266493985E-2</v>
      </c>
      <c r="AN32" s="9">
        <f ca="1">IF(OR(AN5="",AN$28&lt;$A32),"",AN5/OFFSET(ParoRegESP!$A$2,MATCH(AN$29,ParoRegESP!$A$2:$A$500)+$A32-1,1)-1)</f>
        <v>-2.8829765872137258E-2</v>
      </c>
      <c r="AO32" s="9">
        <f ca="1">IF(OR(AO5="",AO$28&lt;$A32),"",AO5/OFFSET(ParoRegESP!$A$2,MATCH(AO$29,ParoRegESP!$A$2:$A$500)+$A32-1,1)-1)</f>
        <v>-4.0266375593594028E-2</v>
      </c>
      <c r="AP32" s="9">
        <f ca="1">IF(OR(AP5="",AP$28&lt;$A32),"",AP5/OFFSET(ParoRegESP!$A$2,MATCH(AP$29,ParoRegESP!$A$2:$A$500)+$A32-1,1)-1)</f>
        <v>-3.7562149878094364E-2</v>
      </c>
      <c r="AQ32" s="9">
        <f ca="1">IF(OR(AQ5="",AQ$28&lt;$A32),"",AQ5/OFFSET(ParoRegESP!$A$2,MATCH(AQ$29,ParoRegESP!$A$2:$A$500)+$A32-1,1)-1)</f>
        <v>-4.1568053851387732E-2</v>
      </c>
      <c r="AR32" s="9">
        <f ca="1">IF(OR(AR5="",AR$28&lt;$A32),"",AR5/OFFSET(ParoRegESP!$A$2,MATCH(AR$29,ParoRegESP!$A$2:$A$500)+$A32-1,1)-1)</f>
        <v>-1.8291236208527017E-2</v>
      </c>
      <c r="AS32" s="9">
        <f ca="1">IF(OR(AS5="",AS$28&lt;$A32),"",AS5/OFFSET(ParoRegESP!$A$2,MATCH(AS$29,ParoRegESP!$A$2:$A$500)+$A32-1,1)-1)</f>
        <v>-6.4588820600763874E-3</v>
      </c>
      <c r="AT32" s="9">
        <f ca="1">IF(OR(AT5="",AT$28&lt;$A32),"",AT5/OFFSET(ParoRegESP!$A$2,MATCH(AT$29,ParoRegESP!$A$2:$A$500)+$A32-1,1)-1)</f>
        <v>6.4430177483842943E-3</v>
      </c>
      <c r="AU32" s="9">
        <f ca="1">IF(OR(AU5="",AU$28&lt;$A32),"",AU5/OFFSET(ParoRegESP!$A$2,MATCH(AU$29,ParoRegESP!$A$2:$A$500)+$A32-1,1)-1)</f>
        <v>-1.1169905750276987E-2</v>
      </c>
      <c r="AV32" s="9">
        <f ca="1">IF(OR(AV5="",AV$28&lt;$A32),"",AV5/OFFSET(ParoRegESP!$A$2,MATCH(AV$29,ParoRegESP!$A$2:$A$500)+$A32-1,1)-1)</f>
        <v>-4.4179769472385555E-2</v>
      </c>
      <c r="AW32" s="9">
        <f ca="1">IF(OR(AW5="",AW$28&lt;$A32),"",AW5/OFFSET(ParoRegESP!$A$2,MATCH(AW$29,ParoRegESP!$A$2:$A$500)+$A32-1,1)-1)</f>
        <v>-6.5632309109568632E-2</v>
      </c>
      <c r="AX32" s="9">
        <f ca="1">IF(OR(AX5="",AX$28&lt;$A32),"",AX5/OFFSET(ParoRegESP!$A$2,MATCH(AX$29,ParoRegESP!$A$2:$A$500)+$A32-1,1)-1)</f>
        <v>-6.0581261052883861E-2</v>
      </c>
      <c r="AY32" s="9">
        <f ca="1">IF(OR(AY5="",AY$28&lt;$A32),"",AY5/OFFSET(ParoRegESP!$A$2,MATCH(AY$29,ParoRegESP!$A$2:$A$500)+$A32-1,1)-1)</f>
        <v>-6.7827203847456219E-2</v>
      </c>
      <c r="AZ32" s="9">
        <f ca="1">IF(OR(AZ5="",AZ$28&lt;$A32),"",AZ5/OFFSET(ParoRegESP!$A$2,MATCH(AZ$29,ParoRegESP!$A$2:$A$500)+$A32-1,1)-1)</f>
        <v>-5.6774166722615926E-2</v>
      </c>
      <c r="BA32" s="9">
        <f ca="1">IF(OR(BA5="",BA$28&lt;$A32),"",BA5/OFFSET(ParoRegESP!$A$2,MATCH(BA$29,ParoRegESP!$A$2:$A$500)+$A32-1,1)-1)</f>
        <v>-8.8616189850210358E-2</v>
      </c>
      <c r="BB32" s="9">
        <f ca="1">IF(OR(BB5="",BB$28&lt;$A32),"",BB5/OFFSET(ParoRegESP!$A$2,MATCH(BB$29,ParoRegESP!$A$2:$A$500)+$A32-1,1)-1)</f>
        <v>-4.7593512076397504E-2</v>
      </c>
      <c r="BC32" s="9">
        <f ca="1">IF(OR(BC5="",BC$28&lt;$A32),"",BC5/OFFSET(ParoRegESP!$A$2,MATCH(BC$29,ParoRegESP!$A$2:$A$500)+$A32-1,1)-1)</f>
        <v>-1.5496842931406518E-2</v>
      </c>
      <c r="BD32" s="9">
        <f ca="1">IF(OR(BD5="",BD$28&lt;$A32),"",BD5/OFFSET(ParoRegESP!$A$2,MATCH(BD$29,ParoRegESP!$A$2:$A$500)+$A32-1,1)-1)</f>
        <v>-4.0059529658651782E-2</v>
      </c>
      <c r="BE32" s="9">
        <f ca="1">IF(OR(BE5="",BE$28&lt;$A32),"",BE5/OFFSET(ParoRegESP!$A$2,MATCH(BE$29,ParoRegESP!$A$2:$A$500)+$A32-1,1)-1)</f>
        <v>-6.8500450431864368E-2</v>
      </c>
      <c r="BF32" s="9">
        <f ca="1">IF(OR(BF5="",BF$28&lt;$A32),"",BF5/OFFSET(ParoRegESP!$A$2,MATCH(BF$29,ParoRegESP!$A$2:$A$500)+$A32-1,1)-1)</f>
        <v>-7.5242454307965168E-2</v>
      </c>
      <c r="BG32" s="9">
        <f ca="1">IF(OR(BG5="",BG$28&lt;$A32),"",BG5/OFFSET(ParoRegESP!$A$2,MATCH(BG$29,ParoRegESP!$A$2:$A$500)+$A32-1,1)-1)</f>
        <v>-6.6963334005761488E-2</v>
      </c>
      <c r="BH32" s="9">
        <f ca="1">IF(OR(BH5="",BH$28&lt;$A32),"",BH5/OFFSET(ParoRegESP!$A$2,MATCH(BH$29,ParoRegESP!$A$2:$A$500)+$A32-1,1)-1)</f>
        <v>-4.0628831586762559E-2</v>
      </c>
      <c r="BI32" s="9">
        <f ca="1">IF(OR(BI5="",BI$28&lt;$A32),"",BI5/OFFSET(ParoRegESP!$A$2,MATCH(BI$29,ParoRegESP!$A$2:$A$500)+$A32-1,1)-1)</f>
        <v>-2.4837670667225753E-2</v>
      </c>
      <c r="BJ32" s="9">
        <f ca="1">IF(OR(BJ5="",BJ$28&lt;$A32),"",BJ5/OFFSET(ParoRegESP!$A$2,MATCH(BJ$29,ParoRegESP!$A$2:$A$500)+$A32-1,1)-1)</f>
        <v>-1.8068405179505698E-2</v>
      </c>
      <c r="BK32" s="9">
        <f ca="1">IF(OR(BK5="",BK$28&lt;$A32),"",BK5/OFFSET(ParoRegESP!$A$2,MATCH(BK$29,ParoRegESP!$A$2:$A$500)+$A32-1,1)-1)</f>
        <v>-7.7167266267781365E-3</v>
      </c>
      <c r="BL32" s="9">
        <f ca="1">IF(OR(BL5="",BL$28&lt;$A32),"",BL5/OFFSET(ParoRegESP!$A$2,MATCH(BL$29,ParoRegESP!$A$2:$A$500)+$A32-1,1)-1)</f>
        <v>2.9918131953495575E-2</v>
      </c>
      <c r="BM32" s="9">
        <f ca="1">IF(OR(BM5="",BM$28&lt;$A32),"",BM5/OFFSET(ParoRegESP!$A$2,MATCH(BM$29,ParoRegESP!$A$2:$A$500)+$A32-1,1)-1)</f>
        <v>8.8870802605055532E-2</v>
      </c>
      <c r="BN32" s="9">
        <f ca="1">IF(OR(BN5="",BN$28&lt;$A32),"",BN5/OFFSET(ParoRegESP!$A$2,MATCH(BN$29,ParoRegESP!$A$2:$A$500)+$A32-1,1)-1)</f>
        <v>0.10396016505377048</v>
      </c>
      <c r="BO32" s="9">
        <f ca="1">IF(OR(BO5="",BO$28&lt;$A32),"",BO5/OFFSET(ParoRegESP!$A$2,MATCH(BO$29,ParoRegESP!$A$2:$A$500)+$A32-1,1)-1)</f>
        <v>7.6255348516181432E-2</v>
      </c>
      <c r="BP32" s="9">
        <f ca="1">IF(OR(BP5="",BP$28&lt;$A32),"",BP5/OFFSET(ParoRegESP!$A$2,MATCH(BP$29,ParoRegESP!$A$2:$A$500)+$A32-1,1)-1)</f>
        <v>2.5442884384329956E-2</v>
      </c>
      <c r="BQ32" s="9">
        <f ca="1">IF(OR(BQ5="",BQ$28&lt;$A32),"",BQ5/OFFSET(ParoRegESP!$A$2,MATCH(BQ$29,ParoRegESP!$A$2:$A$500)+$A32-1,1)-1)</f>
        <v>-1.2489574774428691E-2</v>
      </c>
      <c r="BR32" s="9">
        <f ca="1">IF(OR(BR5="",BR$28&lt;$A32),"",BR5/OFFSET(ParoRegESP!$A$2,MATCH(BR$29,ParoRegESP!$A$2:$A$500)+$A32-1,1)-1)</f>
        <v>1.1839981430807889E-2</v>
      </c>
      <c r="BS32" s="9">
        <f ca="1">IF(OR(BS5="",BS$28&lt;$A32),"",BS5/OFFSET(ParoRegESP!$A$2,MATCH(BS$29,ParoRegESP!$A$2:$A$500)+$A32-1,1)-1)</f>
        <v>3.6491019420239024E-2</v>
      </c>
      <c r="BT32" s="9">
        <f ca="1">IF(OR(BT5="",BT$28&lt;$A32),"",BT5/OFFSET(ParoRegESP!$A$2,MATCH(BT$29,ParoRegESP!$A$2:$A$500)+$A32-1,1)-1)</f>
        <v>2.3476464923768647E-2</v>
      </c>
      <c r="BU32" s="9">
        <f ca="1">IF(OR(BU5="",BU$28&lt;$A32),"",BU5/OFFSET(ParoRegESP!$A$2,MATCH(BU$29,ParoRegESP!$A$2:$A$500)+$A32-1,1)-1)</f>
        <v>-7.9916335348129142E-3</v>
      </c>
      <c r="BV32" s="9">
        <f ca="1">IF(OR(BV5="",BV$28&lt;$A32),"",BV5/OFFSET(ParoRegESP!$A$2,MATCH(BV$29,ParoRegESP!$A$2:$A$500)+$A32-1,1)-1)</f>
        <v>-1.0017988141383993E-2</v>
      </c>
      <c r="BW32" s="9">
        <f ca="1">IF(OR(BW5="",BW$28&lt;$A32),"",BW5/OFFSET(ParoRegESP!$A$2,MATCH(BW$29,ParoRegESP!$A$2:$A$500)+$A32-1,1)-1)</f>
        <v>-3.2089979612428543E-3</v>
      </c>
      <c r="BX32" s="9">
        <f ca="1">IF(OR(BX5="",BX$28&lt;$A32),"",BX5/OFFSET(ParoRegESP!$A$2,MATCH(BX$29,ParoRegESP!$A$2:$A$500)+$A32-1,1)-1)</f>
        <v>2.2584688808807041E-2</v>
      </c>
      <c r="BY32" s="9">
        <f ca="1">IF(OR(BY5="",BY$28&lt;$A32),"",BY5/OFFSET(ParoRegESP!$A$2,MATCH(BY$29,ParoRegESP!$A$2:$A$500)+$A32-1,1)-1)</f>
        <v>4.443890909648851E-2</v>
      </c>
      <c r="BZ32" s="9">
        <f ca="1">IF(OR(BZ5="",BZ$28&lt;$A32),"",BZ5/OFFSET(ParoRegESP!$A$2,MATCH(BZ$29,ParoRegESP!$A$2:$A$500)+$A32-1,1)-1)</f>
        <v>4.6251586718750959E-2</v>
      </c>
      <c r="CA32" s="9">
        <f ca="1">IF(OR(CA5="",CA$28&lt;$A32),"",CA5/OFFSET(ParoRegESP!$A$2,MATCH(CA$29,ParoRegESP!$A$2:$A$500)+$A32-1,1)-1)</f>
        <v>2.662634820307952E-2</v>
      </c>
      <c r="CB32" s="9">
        <f ca="1">IF(OR(CB5="",CB$28&lt;$A32),"",CB5/OFFSET(ParoRegESP!$A$2,MATCH(CB$29,ParoRegESP!$A$2:$A$500)+$A32-1,1)-1)</f>
        <v>-6.7455576131663086E-3</v>
      </c>
      <c r="CC32" s="9">
        <f ca="1">IF(OR(CC5="",CC$28&lt;$A32),"",CC5/OFFSET(ParoRegESP!$A$2,MATCH(CC$29,ParoRegESP!$A$2:$A$500)+$A32-1,1)-1)</f>
        <v>-2.9256507532631759E-2</v>
      </c>
      <c r="CD32" s="9">
        <f ca="1">IF(OR(CD5="",CD$28&lt;$A32),"",CD5/OFFSET(ParoRegESP!$A$2,MATCH(CD$29,ParoRegESP!$A$2:$A$500)+$A32-1,1)-1)</f>
        <v>5.1110320901150974E-3</v>
      </c>
      <c r="CE32" s="9">
        <f ca="1">IF(OR(CE5="",CE$28&lt;$A32),"",CE5/OFFSET(ParoRegESP!$A$2,MATCH(CE$29,ParoRegESP!$A$2:$A$500)+$A32-1,1)-1)</f>
        <v>2.7738356610321535E-2</v>
      </c>
      <c r="CF32" s="9">
        <f ca="1">IF(OR(CF5="",CF$28&lt;$A32),"",CF5/OFFSET(ParoRegESP!$A$2,MATCH(CF$29,ParoRegESP!$A$2:$A$500)+$A32-1,1)-1)</f>
        <v>1.4850956671097038E-2</v>
      </c>
      <c r="CG32" s="9">
        <f ca="1">IF(OR(CG5="",CG$28&lt;$A32),"",CG5/OFFSET(ParoRegESP!$A$2,MATCH(CG$29,ParoRegESP!$A$2:$A$500)+$A32-1,1)-1)</f>
        <v>-9.2318132442460454E-3</v>
      </c>
      <c r="CH32" s="9">
        <f ca="1">IF(OR(CH5="",CH$28&lt;$A32),"",CH5/OFFSET(ParoRegESP!$A$2,MATCH(CH$29,ParoRegESP!$A$2:$A$500)+$A32-1,1)-1)</f>
        <v>-3.6557835280465079E-2</v>
      </c>
      <c r="CI32" s="9">
        <f ca="1">IF(OR(CI5="",CI$28&lt;$A32),"",CI5/OFFSET(ParoRegESP!$A$2,MATCH(CI$29,ParoRegESP!$A$2:$A$500)+$A32-1,1)-1)</f>
        <v>-7.6379338794430041E-3</v>
      </c>
      <c r="CJ32" s="9">
        <f ca="1">IF(OR(CJ5="",CJ$28&lt;$A32),"",CJ5/OFFSET(ParoRegESP!$A$2,MATCH(CJ$29,ParoRegESP!$A$2:$A$500)+$A32-1,1)-1)</f>
        <v>9.8823596828634397E-3</v>
      </c>
      <c r="CK32" s="9">
        <f ca="1">IF(OR(CK5="",CK$28&lt;$A32),"",CK5/OFFSET(ParoRegESP!$A$2,MATCH(CK$29,ParoRegESP!$A$2:$A$500)+$A32-1,1)-1)</f>
        <v>2.6708358655866293E-2</v>
      </c>
      <c r="CL32" s="9">
        <f ca="1">IF(OR(CL5="",CL$28&lt;$A32),"",CL5/OFFSET(ParoRegESP!$A$2,MATCH(CL$29,ParoRegESP!$A$2:$A$500)+$A32-1,1)-1)</f>
        <v>7.0687497756709572E-3</v>
      </c>
      <c r="CM32" s="9">
        <f ca="1">IF(OR(CM5="",CM$28&lt;$A32),"",CM5/OFFSET(ParoRegESP!$A$2,MATCH(CM$29,ParoRegESP!$A$2:$A$500)+$A32-1,1)-1)</f>
        <v>-1.5622879154697511E-3</v>
      </c>
      <c r="CN32" s="9">
        <f ca="1">IF(OR(CN5="",CN$28&lt;$A32),"",CN5/OFFSET(ParoRegESP!$A$2,MATCH(CN$29,ParoRegESP!$A$2:$A$500)+$A32-1,1)-1)</f>
        <v>-2.0042647021459525E-2</v>
      </c>
      <c r="CO32" s="9">
        <f ca="1">IF(OR(CO5="",CO$28&lt;$A32),"",CO5/OFFSET(ParoRegESP!$A$2,MATCH(CO$29,ParoRegESP!$A$2:$A$500)+$A32-1,1)-1)</f>
        <v>-3.9119764341791208E-2</v>
      </c>
      <c r="CP32" s="9">
        <f ca="1">IF(OR(CP5="",CP$28&lt;$A32),"",CP5/OFFSET(ParoRegESP!$A$2,MATCH(CP$29,ParoRegESP!$A$2:$A$500)+$A32-1,1)-1)</f>
        <v>-3.2097941590411572E-2</v>
      </c>
      <c r="CQ32" s="9">
        <f ca="1">IF(OR(CQ5="",CQ$28&lt;$A32),"",CQ5/OFFSET(ParoRegESP!$A$2,MATCH(CQ$29,ParoRegESP!$A$2:$A$500)+$A32-1,1)-1)</f>
        <v>4.9477383590548207E-3</v>
      </c>
      <c r="CR32" s="9">
        <f ca="1">IF(OR(CR5="",CR$28&lt;$A32),"",CR5/OFFSET(ParoRegESP!$A$2,MATCH(CR$29,ParoRegESP!$A$2:$A$500)+$A32-1,1)-1)</f>
        <v>1.6437709932039413E-2</v>
      </c>
      <c r="CS32" s="9">
        <f ca="1">IF(OR(CS5="",CS$28&lt;$A32),"",CS5/OFFSET(ParoRegESP!$A$2,MATCH(CS$29,ParoRegESP!$A$2:$A$500)+$A32-1,1)-1)</f>
        <v>-9.3124972851402754E-3</v>
      </c>
      <c r="CT32" s="9">
        <f ca="1">IF(OR(CT5="",CT$28&lt;$A32),"",CT5/OFFSET(ParoRegESP!$A$2,MATCH(CT$29,ParoRegESP!$A$2:$A$500)+$A32-1,1)-1)</f>
        <v>-3.0953201888371695E-2</v>
      </c>
      <c r="CU32" s="9">
        <f ca="1">IF(OR(CU5="",CU$28&lt;$A32),"",CU5/OFFSET(ParoRegESP!$A$2,MATCH(CU$29,ParoRegESP!$A$2:$A$500)+$A32-1,1)-1)</f>
        <v>-1.5197327718589726E-2</v>
      </c>
      <c r="CV32" s="9">
        <f ca="1">IF(OR(CV5="",CV$28&lt;$A32),"",CV5/OFFSET(ParoRegESP!$A$2,MATCH(CV$29,ParoRegESP!$A$2:$A$500)+$A32-1,1)-1)</f>
        <v>-4.688309723859696E-3</v>
      </c>
      <c r="CW32" s="9">
        <f ca="1">IF(OR(CW5="",CW$28&lt;$A32),"",CW5/OFFSET(ParoRegESP!$A$2,MATCH(CW$29,ParoRegESP!$A$2:$A$500)+$A32-1,1)-1)</f>
        <v>6.6310212702691551E-4</v>
      </c>
      <c r="CX32" s="9">
        <f ca="1">IF(OR(CX5="",CX$28&lt;$A32),"",CX5/OFFSET(ParoRegESP!$A$2,MATCH(CX$29,ParoRegESP!$A$2:$A$500)+$A32-1,1)-1)</f>
        <v>1.9841036781085064E-2</v>
      </c>
      <c r="CY32" s="9">
        <f ca="1">IF(OR(CY5="",CY$28&lt;$A32),"",CY5/OFFSET(ParoRegESP!$A$2,MATCH(CY$29,ParoRegESP!$A$2:$A$500)+$A32-1,1)-1)</f>
        <v>2.6776790320311328E-2</v>
      </c>
      <c r="CZ32" s="9">
        <f ca="1">IF(OR(CZ5="",CZ$28&lt;$A32),"",CZ5/OFFSET(ParoRegESP!$A$2,MATCH(CZ$29,ParoRegESP!$A$2:$A$500)+$A32-1,1)-1)</f>
        <v>-3.3703879206101739E-3</v>
      </c>
      <c r="DA32" s="9">
        <f ca="1">IF(OR(DA5="",DA$28&lt;$A32),"",DA5/OFFSET(ParoRegESP!$A$2,MATCH(DA$29,ParoRegESP!$A$2:$A$500)+$A32-1,1)-1)</f>
        <v>3.6640366671210067E-3</v>
      </c>
      <c r="DB32" s="9">
        <f ca="1">IF(OR(DB5="",DB$28&lt;$A32),"",DB5/OFFSET(ParoRegESP!$A$2,MATCH(DB$29,ParoRegESP!$A$2:$A$500)+$A32-1,1)-1)</f>
        <v>-1.2551065975928033E-2</v>
      </c>
      <c r="DC32" s="9">
        <f ca="1">IF(OR(DC5="",DC$28&lt;$A32),"",DC5/OFFSET(ParoRegESP!$A$2,MATCH(DC$29,ParoRegESP!$A$2:$A$500)+$A32-1,1)-1)</f>
        <v>1.043423149842071E-2</v>
      </c>
      <c r="DD32" s="9">
        <f ca="1">IF(OR(DD5="",DD$28&lt;$A32),"",DD5/OFFSET(ParoRegESP!$A$2,MATCH(DD$29,ParoRegESP!$A$2:$A$500)+$A32-1,1)-1)</f>
        <v>2.4174304280139669E-2</v>
      </c>
      <c r="DE32" s="9">
        <f ca="1">IF(OR(DE5="",DE$28&lt;$A32),"",DE5/OFFSET(ParoRegESP!$A$2,MATCH(DE$29,ParoRegESP!$A$2:$A$500)+$A32-1,1)-1)</f>
        <v>2.8742328603067913E-2</v>
      </c>
      <c r="DF32" s="9">
        <f ca="1">IF(OR(DF5="",DF$28&lt;$A32),"",DF5/OFFSET(ParoRegESP!$A$2,MATCH(DF$29,ParoRegESP!$A$2:$A$500)+$A32-1,1)-1)</f>
        <v>-1.3984935868227577E-3</v>
      </c>
      <c r="DG32" s="9">
        <f ca="1">IF(OR(DG5="",DG$28&lt;$A32),"",DG5/OFFSET(ParoRegESP!$A$2,MATCH(DG$29,ParoRegESP!$A$2:$A$500)+$A32-1,1)-1)</f>
        <v>4.7422009003581511E-3</v>
      </c>
      <c r="DH32" s="9">
        <f ca="1">IF(OR(DH5="",DH$28&lt;$A32),"",DH5/OFFSET(ParoRegESP!$A$2,MATCH(DH$29,ParoRegESP!$A$2:$A$500)+$A32-1,1)-1)</f>
        <v>4.3929309822487994E-3</v>
      </c>
      <c r="DI32" s="9">
        <f ca="1">IF(OR(DI5="",DI$28&lt;$A32),"",DI5/OFFSET(ParoRegESP!$A$2,MATCH(DI$29,ParoRegESP!$A$2:$A$500)+$A32-1,1)-1)</f>
        <v>6.0777247240744181E-3</v>
      </c>
      <c r="DJ32" s="9">
        <f ca="1">IF(OR(DJ5="",DJ$28&lt;$A32),"",DJ5/OFFSET(ParoRegESP!$A$2,MATCH(DJ$29,ParoRegESP!$A$2:$A$500)+$A32-1,1)-1)</f>
        <v>1.26612708406868E-2</v>
      </c>
      <c r="DK32" s="9">
        <f ca="1">IF(OR(DK5="",DK$28&lt;$A32),"",DK5/OFFSET(ParoRegESP!$A$2,MATCH(DK$29,ParoRegESP!$A$2:$A$500)+$A32-1,1)-1)</f>
        <v>1.7155510437003585E-2</v>
      </c>
      <c r="DL32" s="9">
        <f ca="1">IF(OR(DL5="",DL$28&lt;$A32),"",DL5/OFFSET(ParoRegESP!$A$2,MATCH(DL$29,ParoRegESP!$A$2:$A$500)+$A32-1,1)-1)</f>
        <v>4.8585454511178572E-3</v>
      </c>
      <c r="DM32" s="9">
        <f ca="1">IF(OR(DM5="",DM$28&lt;$A32),"",DM5/OFFSET(ParoRegESP!$A$2,MATCH(DM$29,ParoRegESP!$A$2:$A$500)+$A32-1,1)-1)</f>
        <v>6.1436812059574297E-3</v>
      </c>
      <c r="DN32" s="9">
        <f ca="1">IF(OR(DN5="",DN$28&lt;$A32),"",DN5/OFFSET(ParoRegESP!$A$2,MATCH(DN$29,ParoRegESP!$A$2:$A$500)+$A32-1,1)-1)</f>
        <v>9.6525682831201109E-3</v>
      </c>
      <c r="DO32" s="9">
        <f ca="1">IF(OR(DO5="",DO$28&lt;$A32),"",DO5/OFFSET(ParoRegESP!$A$2,MATCH(DO$29,ParoRegESP!$A$2:$A$500)+$A32-1,1)-1)</f>
        <v>1.8771582258263697E-2</v>
      </c>
      <c r="DP32" s="9">
        <f ca="1">IF(OR(DP5="",DP$28&lt;$A32),"",DP5/OFFSET(ParoRegESP!$A$2,MATCH(DP$29,ParoRegESP!$A$2:$A$500)+$A32-1,1)-1)</f>
        <v>2.3211813094829781E-2</v>
      </c>
      <c r="DQ32" s="9">
        <f ca="1">IF(OR(DQ5="",DQ$28&lt;$A32),"",DQ5/OFFSET(ParoRegESP!$A$2,MATCH(DQ$29,ParoRegESP!$A$2:$A$500)+$A32-1,1)-1)</f>
        <v>1.5814195934582553E-2</v>
      </c>
      <c r="DR32" s="9">
        <f ca="1">IF(OR(DR5="",DR$28&lt;$A32),"",DR5/OFFSET(ParoRegESP!$A$2,MATCH(DR$29,ParoRegESP!$A$2:$A$500)+$A32-1,1)-1)</f>
        <v>-1.3046779015266852E-2</v>
      </c>
      <c r="DS32" s="9">
        <f ca="1">IF(OR(DS5="",DS$28&lt;$A32),"",DS5/OFFSET(ParoRegESP!$A$2,MATCH(DS$29,ParoRegESP!$A$2:$A$500)+$A32-1,1)-1)</f>
        <v>8.1448520303879501E-3</v>
      </c>
      <c r="DT32" s="9">
        <f ca="1">IF(OR(DT5="",DT$28&lt;$A32),"",DT5/OFFSET(ParoRegESP!$A$2,MATCH(DT$29,ParoRegESP!$A$2:$A$500)+$A32-1,1)-1)</f>
        <v>-5.8804890043727687E-3</v>
      </c>
      <c r="DU32" s="9">
        <f ca="1">IF(OR(DU5="",DU$28&lt;$A32),"",DU5/OFFSET(ParoRegESP!$A$2,MATCH(DU$29,ParoRegESP!$A$2:$A$500)+$A32-1,1)-1)</f>
        <v>1.6221856545830526E-3</v>
      </c>
      <c r="DV32" s="9">
        <f ca="1">IF(OR(DV5="",DV$28&lt;$A32),"",DV5/OFFSET(ParoRegESP!$A$2,MATCH(DV$29,ParoRegESP!$A$2:$A$500)+$A32-1,1)-1)</f>
        <v>-1.7363734230011363E-2</v>
      </c>
      <c r="DW32" s="9">
        <f ca="1">IF(OR(DW5="",DW$28&lt;$A32),"",DW5/OFFSET(ParoRegESP!$A$2,MATCH(DW$29,ParoRegESP!$A$2:$A$500)+$A32-1,1)-1)</f>
        <v>-1.8833250828510284E-2</v>
      </c>
      <c r="DX32" s="9">
        <f ca="1">IF(OR(DX5="",DX$28&lt;$A32),"",DX5/OFFSET(ParoRegESP!$A$2,MATCH(DX$29,ParoRegESP!$A$2:$A$500)+$A32-1,1)-1)</f>
        <v>-1.5019209228560815E-2</v>
      </c>
      <c r="DY32" s="9">
        <f ca="1">IF(OR(DY5="",DY$28&lt;$A32),"",DY5/OFFSET(ParoRegESP!$A$2,MATCH(DY$29,ParoRegESP!$A$2:$A$500)+$A32-1,1)-1)</f>
        <v>5.5740236045906943E-3</v>
      </c>
      <c r="DZ32" s="9">
        <f ca="1">IF(OR(DZ5="",DZ$28&lt;$A32),"",DZ5/OFFSET(ParoRegESP!$A$2,MATCH(DZ$29,ParoRegESP!$A$2:$A$500)+$A32-1,1)-1)</f>
        <v>1.1351105860163857E-2</v>
      </c>
      <c r="EA32" s="9">
        <f ca="1">IF(OR(EA5="",EA$28&lt;$A32),"",EA5/OFFSET(ParoRegESP!$A$2,MATCH(EA$29,ParoRegESP!$A$2:$A$500)+$A32-1,1)-1)</f>
        <v>1.0677527913440565E-2</v>
      </c>
      <c r="EB32" s="9">
        <f ca="1">IF(OR(EB5="",EB$28&lt;$A32),"",EB5/OFFSET(ParoRegESP!$A$2,MATCH(EB$29,ParoRegESP!$A$2:$A$500)+$A32-1,1)-1)</f>
        <v>1.9951518356598141E-2</v>
      </c>
      <c r="EC32" s="9">
        <f ca="1">IF(OR(EC5="",EC$28&lt;$A32),"",EC5/OFFSET(ParoRegESP!$A$2,MATCH(EC$29,ParoRegESP!$A$2:$A$500)+$A32-1,1)-1)</f>
        <v>1.1286486959092068E-2</v>
      </c>
      <c r="ED32" s="9">
        <f ca="1">IF(OR(ED5="",ED$28&lt;$A32),"",ED5/OFFSET(ParoRegESP!$A$2,MATCH(ED$29,ParoRegESP!$A$2:$A$500)+$A32-1,1)-1)</f>
        <v>1.5540484505395691E-2</v>
      </c>
      <c r="EE32" s="9">
        <f ca="1">IF(OR(EE5="",EE$28&lt;$A32),"",EE5/OFFSET(ParoRegESP!$A$2,MATCH(EE$29,ParoRegESP!$A$2:$A$500)+$A32-1,1)-1)</f>
        <v>1.5345214344045566E-2</v>
      </c>
      <c r="EF32" s="9">
        <f ca="1">IF(OR(EF5="",EF$28&lt;$A32),"",EF5/OFFSET(ParoRegESP!$A$2,MATCH(EF$29,ParoRegESP!$A$2:$A$500)+$A32-1,1)-1)</f>
        <v>5.8901487031535193E-3</v>
      </c>
      <c r="EG32" s="9">
        <f ca="1">IF(OR(EG5="",EG$28&lt;$A32),"",EG5/OFFSET(ParoRegESP!$A$2,MATCH(EG$29,ParoRegESP!$A$2:$A$500)+$A32-1,1)-1)</f>
        <v>-1.1484066172176899E-2</v>
      </c>
      <c r="EH32" s="9">
        <f ca="1">IF(OR(EH5="",EH$28&lt;$A32),"",EH5/OFFSET(ParoRegESP!$A$2,MATCH(EH$29,ParoRegESP!$A$2:$A$500)+$A32-1,1)-1)</f>
        <v>-1.4024195979197462E-2</v>
      </c>
      <c r="EI32" s="9">
        <f ca="1">IF(OR(EI5="",EI$28&lt;$A32),"",EI5/OFFSET(ParoRegESP!$A$2,MATCH(EI$29,ParoRegESP!$A$2:$A$500)+$A32-1,1)-1)</f>
        <v>-1.6825414206757983E-2</v>
      </c>
      <c r="EJ32" s="9">
        <f ca="1">IF(OR(EJ5="",EJ$28&lt;$A32),"",EJ5/OFFSET(ParoRegESP!$A$2,MATCH(EJ$29,ParoRegESP!$A$2:$A$500)+$A32-1,1)-1)</f>
        <v>3.1891605958880298E-3</v>
      </c>
      <c r="EK32" s="9">
        <f ca="1">IF(OR(EK5="",EK$28&lt;$A32),"",EK5/OFFSET(ParoRegESP!$A$2,MATCH(EK$29,ParoRegESP!$A$2:$A$500)+$A32-1,1)-1)</f>
        <v>-1.4361447095112001E-2</v>
      </c>
      <c r="EL32" s="9">
        <f ca="1">IF(OR(EL5="",EL$28&lt;$A32),"",EL5/OFFSET(ParoRegESP!$A$2,MATCH(EL$29,ParoRegESP!$A$2:$A$500)+$A32-1,1)-1)</f>
        <v>4.3187747933013387E-3</v>
      </c>
      <c r="EM32" s="9">
        <f ca="1">IF(OR(EM5="",EM$28&lt;$A32),"",EM5/OFFSET(ParoRegESP!$A$2,MATCH(EM$29,ParoRegESP!$A$2:$A$500)+$A32-1,1)-1)</f>
        <v>1.1863799590720703E-2</v>
      </c>
      <c r="EN32" s="9">
        <f ca="1">IF(OR(EN5="",EN$28&lt;$A32),"",EN5/OFFSET(ParoRegESP!$A$2,MATCH(EN$29,ParoRegESP!$A$2:$A$500)+$A32-1,1)-1)</f>
        <v>2.3593678997053891E-2</v>
      </c>
      <c r="EO32" s="9">
        <f ca="1">IF(OR(EO5="",EO$28&lt;$A32),"",EO5/OFFSET(ParoRegESP!$A$2,MATCH(EO$29,ParoRegESP!$A$2:$A$500)+$A32-1,1)-1)</f>
        <v>6.888882506800309E-3</v>
      </c>
      <c r="EP32" s="9">
        <f ca="1">IF(OR(EP5="",EP$28&lt;$A32),"",EP5/OFFSET(ParoRegESP!$A$2,MATCH(EP$29,ParoRegESP!$A$2:$A$500)+$A32-1,1)-1)</f>
        <v>1.105633122441918E-2</v>
      </c>
      <c r="EQ32" s="9">
        <f ca="1">IF(OR(EQ5="",EQ$28&lt;$A32),"",EQ5/OFFSET(ParoRegESP!$A$2,MATCH(EQ$29,ParoRegESP!$A$2:$A$500)+$A32-1,1)-1)</f>
        <v>-1.0170850705713774E-2</v>
      </c>
      <c r="ER32" s="9">
        <f ca="1">IF(OR(ER5="",ER$28&lt;$A32),"",ER5/OFFSET(ParoRegESP!$A$2,MATCH(ER$29,ParoRegESP!$A$2:$A$500)+$A32-1,1)-1)</f>
        <v>-5.4482822376844542E-3</v>
      </c>
      <c r="ES32" s="9">
        <f ca="1">IF(OR(ES5="",ES$28&lt;$A32),"",ES5/OFFSET(ParoRegESP!$A$2,MATCH(ES$29,ParoRegESP!$A$2:$A$500)+$A32-1,1)-1)</f>
        <v>-3.4649544055617154E-3</v>
      </c>
      <c r="ET32" s="9">
        <f ca="1">IF(OR(ET5="",ET$28&lt;$A32),"",ET5/OFFSET(ParoRegESP!$A$2,MATCH(ET$29,ParoRegESP!$A$2:$A$500)+$A32-1,1)-1)</f>
        <v>1.0826111899258972E-2</v>
      </c>
      <c r="EU32" s="9">
        <f ca="1">IF(OR(EU5="",EU$28&lt;$A32),"",EU5/OFFSET(ParoRegESP!$A$2,MATCH(EU$29,ParoRegESP!$A$2:$A$500)+$A32-1,1)-1)</f>
        <v>1.1381327212890868E-2</v>
      </c>
      <c r="EV32" s="9">
        <f ca="1">IF(OR(EV5="",EV$28&lt;$A32),"",EV5/OFFSET(ParoRegESP!$A$2,MATCH(EV$29,ParoRegESP!$A$2:$A$500)+$A32-1,1)-1)</f>
        <v>-2.5073853890624775E-3</v>
      </c>
      <c r="EW32" s="9">
        <f ca="1">IF(OR(EW5="",EW$28&lt;$A32),"",EW5/OFFSET(ParoRegESP!$A$2,MATCH(EW$29,ParoRegESP!$A$2:$A$500)+$A32-1,1)-1)</f>
        <v>-1.04339107398288E-3</v>
      </c>
      <c r="EX32" s="9">
        <f ca="1">IF(OR(EX5="",EX$28&lt;$A32),"",EX5/OFFSET(ParoRegESP!$A$2,MATCH(EX$29,ParoRegESP!$A$2:$A$500)+$A32-1,1)-1)</f>
        <v>-5.3669207150806031E-3</v>
      </c>
      <c r="EY32" s="9">
        <f ca="1">IF(OR(EY5="",EY$28&lt;$A32),"",EY5/OFFSET(ParoRegESP!$A$2,MATCH(EY$29,ParoRegESP!$A$2:$A$500)+$A32-1,1)-1)</f>
        <v>6.4309318341857491E-3</v>
      </c>
      <c r="EZ32" s="9">
        <f ca="1">IF(OR(EZ5="",EZ$28&lt;$A32),"",EZ5/OFFSET(ParoRegESP!$A$2,MATCH(EZ$29,ParoRegESP!$A$2:$A$500)+$A32-1,1)-1)</f>
        <v>-1.7221932389017702E-3</v>
      </c>
      <c r="FA32" s="9">
        <f ca="1">IF(OR(FA5="",FA$28&lt;$A32),"",FA5/OFFSET(ParoRegESP!$A$2,MATCH(FA$29,ParoRegESP!$A$2:$A$500)+$A32-1,1)-1)</f>
        <v>2.0951463061807729E-2</v>
      </c>
      <c r="FB32" s="9">
        <f ca="1">IF(OR(FB5="",FB$28&lt;$A32),"",FB5/OFFSET(ParoRegESP!$A$2,MATCH(FB$29,ParoRegESP!$A$2:$A$500)+$A32-1,1)-1)</f>
        <v>2.735954957297615E-3</v>
      </c>
      <c r="FC32" s="9">
        <f ca="1">IF(OR(FC5="",FC$28&lt;$A32),"",FC5/OFFSET(ParoRegESP!$A$2,MATCH(FC$29,ParoRegESP!$A$2:$A$500)+$A32-1,1)-1)</f>
        <v>8.1419437564236308E-3</v>
      </c>
      <c r="FD32" s="9">
        <f ca="1">IF(OR(FD5="",FD$28&lt;$A32),"",FD5/OFFSET(ParoRegESP!$A$2,MATCH(FD$29,ParoRegESP!$A$2:$A$500)+$A32-1,1)-1)</f>
        <v>7.5237243474028936E-3</v>
      </c>
      <c r="FE32" s="9">
        <f ca="1">IF(OR(FE5="",FE$28&lt;$A32),"",FE5/OFFSET(ParoRegESP!$A$2,MATCH(FE$29,ParoRegESP!$A$2:$A$500)+$A32-1,1)-1)</f>
        <v>-4.0344103837458567E-3</v>
      </c>
      <c r="FF32" s="9">
        <f ca="1">IF(OR(FF5="",FF$28&lt;$A32),"",FF5/OFFSET(ParoRegESP!$A$2,MATCH(FF$29,ParoRegESP!$A$2:$A$500)+$A32-1,1)-1)</f>
        <v>-3.4148513839971195E-2</v>
      </c>
      <c r="FG32" s="9">
        <f ca="1">IF(OR(FG5="",FG$28&lt;$A32),"",FG5/OFFSET(ParoRegESP!$A$2,MATCH(FG$29,ParoRegESP!$A$2:$A$500)+$A32-1,1)-1)</f>
        <v>-4.1519027342884929E-2</v>
      </c>
      <c r="FH32" s="9">
        <f ca="1">IF(OR(FH5="",FH$28&lt;$A32),"",FH5/OFFSET(ParoRegESP!$A$2,MATCH(FH$29,ParoRegESP!$A$2:$A$500)+$A32-1,1)-1)</f>
        <v>-2.2988825466684348E-2</v>
      </c>
      <c r="FI32" s="9">
        <f ca="1">IF(OR(FI5="",FI$28&lt;$A32),"",FI5/OFFSET(ParoRegESP!$A$2,MATCH(FI$29,ParoRegESP!$A$2:$A$500)+$A32-1,1)-1)</f>
        <v>3.6543879843029536E-3</v>
      </c>
      <c r="FJ32" s="9">
        <f ca="1">IF(OR(FJ5="",FJ$28&lt;$A32),"",FJ5/OFFSET(ParoRegESP!$A$2,MATCH(FJ$29,ParoRegESP!$A$2:$A$500)+$A32-1,1)-1)</f>
        <v>2.0822974294415264E-2</v>
      </c>
      <c r="FK32" s="9">
        <f ca="1">IF(OR(FK5="",FK$28&lt;$A32),"",FK5/OFFSET(ParoRegESP!$A$2,MATCH(FK$29,ParoRegESP!$A$2:$A$500)+$A32-1,1)-1)</f>
        <v>1.3120629058001043E-2</v>
      </c>
      <c r="FL32" s="9">
        <f ca="1">IF(OR(FL5="",FL$28&lt;$A32),"",FL5/OFFSET(ParoRegESP!$A$2,MATCH(FL$29,ParoRegESP!$A$2:$A$500)+$A32-1,1)-1)</f>
        <v>8.6541933797215087E-3</v>
      </c>
      <c r="FM32" s="9">
        <f ca="1">IF(OR(FM5="",FM$28&lt;$A32),"",FM5/OFFSET(ParoRegESP!$A$2,MATCH(FM$29,ParoRegESP!$A$2:$A$500)+$A32-1,1)-1)</f>
        <v>7.4957666525197197E-3</v>
      </c>
      <c r="FN32" s="9">
        <f ca="1">IF(OR(FN5="",FN$28&lt;$A32),"",FN5/OFFSET(ParoRegESP!$A$2,MATCH(FN$29,ParoRegESP!$A$2:$A$500)+$A32-1,1)-1)</f>
        <v>6.9773599171072398E-3</v>
      </c>
      <c r="FO32" s="9">
        <f ca="1">IF(OR(FO5="",FO$28&lt;$A32),"",FO5/OFFSET(ParoRegESP!$A$2,MATCH(FO$29,ParoRegESP!$A$2:$A$500)+$A32-1,1)-1)</f>
        <v>-2.2841163715545676E-3</v>
      </c>
      <c r="FP32" s="9">
        <f ca="1">IF(OR(FP5="",FP$28&lt;$A32),"",FP5/OFFSET(ParoRegESP!$A$2,MATCH(FP$29,ParoRegESP!$A$2:$A$500)+$A32-1,1)-1)</f>
        <v>-1.2828522381833629E-2</v>
      </c>
      <c r="FQ32" s="9">
        <f ca="1">IF(OR(FQ5="",FQ$28&lt;$A32),"",FQ5/OFFSET(ParoRegESP!$A$2,MATCH(FQ$29,ParoRegESP!$A$2:$A$500)+$A32-1,1)-1)</f>
        <v>-1.5077270715642133E-2</v>
      </c>
      <c r="FR32" s="9">
        <f ca="1">IF(OR(FR5="",FR$28&lt;$A32),"",FR5/OFFSET(ParoRegESP!$A$2,MATCH(FR$29,ParoRegESP!$A$2:$A$500)+$A32-1,1)-1)</f>
        <v>-1.1674013710694875E-2</v>
      </c>
      <c r="FS32" s="9">
        <f ca="1">IF(OR(FS5="",FS$28&lt;$A32),"",FS5/OFFSET(ParoRegESP!$A$2,MATCH(FS$29,ParoRegESP!$A$2:$A$500)+$A32-1,1)-1)</f>
        <v>-2.7949310829570306E-3</v>
      </c>
      <c r="FT32" s="9">
        <f ca="1">IF(OR(FT5="",FT$28&lt;$A32),"",FT5/OFFSET(ParoRegESP!$A$2,MATCH(FT$29,ParoRegESP!$A$2:$A$500)+$A32-1,1)-1)</f>
        <v>-1.5163376289424324E-3</v>
      </c>
      <c r="FU32" s="9">
        <f ca="1">IF(OR(FU5="",FU$28&lt;$A32),"",FU5/OFFSET(ParoRegESP!$A$2,MATCH(FU$29,ParoRegESP!$A$2:$A$500)+$A32-1,1)-1)</f>
        <v>1.4999491897642381E-2</v>
      </c>
      <c r="FV32" s="9">
        <f ca="1">IF(OR(FV5="",FV$28&lt;$A32),"",FV5/OFFSET(ParoRegESP!$A$2,MATCH(FV$29,ParoRegESP!$A$2:$A$500)+$A32-1,1)-1)</f>
        <v>2.0226229965532694E-2</v>
      </c>
      <c r="FW32" s="9">
        <f ca="1">IF(OR(FW5="",FW$28&lt;$A32),"",FW5/OFFSET(ParoRegESP!$A$2,MATCH(FW$29,ParoRegESP!$A$2:$A$500)+$A32-1,1)-1)</f>
        <v>1.0733580838817369E-2</v>
      </c>
      <c r="FX32" s="9">
        <f ca="1">IF(OR(FX5="",FX$28&lt;$A32),"",FX5/OFFSET(ParoRegESP!$A$2,MATCH(FX$29,ParoRegESP!$A$2:$A$500)+$A32-1,1)-1)</f>
        <v>-8.1337629552291624E-4</v>
      </c>
      <c r="FY32" s="9">
        <f ca="1">IF(OR(FY5="",FY$28&lt;$A32),"",FY5/OFFSET(ParoRegESP!$A$2,MATCH(FY$29,ParoRegESP!$A$2:$A$500)+$A32-1,1)-1)</f>
        <v>-7.1453724753032244E-3</v>
      </c>
      <c r="FZ32" s="9">
        <f ca="1">IF(OR(FZ5="",FZ$28&lt;$A32),"",FZ5/OFFSET(ParoRegESP!$A$2,MATCH(FZ$29,ParoRegESP!$A$2:$A$500)+$A32-1,1)-1)</f>
        <v>-3.6358170042452009E-3</v>
      </c>
      <c r="GA32" s="9">
        <f ca="1">IF(OR(GA5="",GA$28&lt;$A32),"",GA5/OFFSET(ParoRegESP!$A$2,MATCH(GA$29,ParoRegESP!$A$2:$A$500)+$A32-1,1)-1)</f>
        <v>3.0611520384704605E-4</v>
      </c>
      <c r="GB32" s="9">
        <f ca="1">IF(OR(GB5="",GB$28&lt;$A32),"",GB5/OFFSET(ParoRegESP!$A$2,MATCH(GB$29,ParoRegESP!$A$2:$A$500)+$A32-1,1)-1)</f>
        <v>-8.3326549258888605E-4</v>
      </c>
      <c r="GC32" s="9">
        <f ca="1">IF(OR(GC5="",GC$28&lt;$A32),"",GC5/OFFSET(ParoRegESP!$A$2,MATCH(GC$29,ParoRegESP!$A$2:$A$500)+$A32-1,1)-1)</f>
        <v>-5.9037539539202877E-3</v>
      </c>
      <c r="GD32" s="9">
        <f ca="1">IF(OR(GD5="",GD$28&lt;$A32),"",GD5/OFFSET(ParoRegESP!$A$2,MATCH(GD$29,ParoRegESP!$A$2:$A$500)+$A32-1,1)-1)</f>
        <v>-1.5787035388527437E-2</v>
      </c>
      <c r="GE32" s="9">
        <f ca="1">IF(OR(GE5="",GE$28&lt;$A32),"",GE5/OFFSET(ParoRegESP!$A$2,MATCH(GE$29,ParoRegESP!$A$2:$A$500)+$A32-1,1)-1)</f>
        <v>-2.4052472177012896E-2</v>
      </c>
      <c r="GF32" s="9">
        <f ca="1">IF(OR(GF5="",GF$28&lt;$A32),"",GF5/OFFSET(ParoRegESP!$A$2,MATCH(GF$29,ParoRegESP!$A$2:$A$500)+$A32-1,1)-1)</f>
        <v>-1.1127772523666923E-4</v>
      </c>
      <c r="GG32" s="9">
        <f ca="1">IF(OR(GG5="",GG$28&lt;$A32),"",GG5/OFFSET(ParoRegESP!$A$2,MATCH(GG$29,ParoRegESP!$A$2:$A$500)+$A32-1,1)-1)</f>
        <v>3.4404981068338891E-3</v>
      </c>
      <c r="GH32" s="9">
        <f ca="1">IF(OR(GH5="",GH$28&lt;$A32),"",GH5/OFFSET(ParoRegESP!$A$2,MATCH(GH$29,ParoRegESP!$A$2:$A$500)+$A32-1,1)-1)</f>
        <v>1.2989430554670722E-3</v>
      </c>
      <c r="GI32" s="9">
        <f ca="1">IF(OR(GI5="",GI$28&lt;$A32),"",GI5/OFFSET(ParoRegESP!$A$2,MATCH(GI$29,ParoRegESP!$A$2:$A$500)+$A32-1,1)-1)</f>
        <v>-1.1832153455132888E-2</v>
      </c>
      <c r="GJ32" s="9">
        <f ca="1">IF(OR(GJ5="",GJ$28&lt;$A32),"",GJ5/OFFSET(ParoRegESP!$A$2,MATCH(GJ$29,ParoRegESP!$A$2:$A$500)+$A32-1,1)-1)</f>
        <v>1.0646467200838616E-2</v>
      </c>
      <c r="GK32" s="9">
        <f ca="1">IF(OR(GK5="",GK$28&lt;$A32),"",GK5/OFFSET(ParoRegESP!$A$2,MATCH(GK$29,ParoRegESP!$A$2:$A$500)+$A32-1,1)-1)</f>
        <v>1.2071820053636051E-2</v>
      </c>
      <c r="GL32" s="9">
        <f ca="1">IF(OR(GL5="",GL$28&lt;$A32),"",GL5/OFFSET(ParoRegESP!$A$2,MATCH(GL$29,ParoRegESP!$A$2:$A$500)+$A32-1,1)-1)</f>
        <v>-8.208628621683256E-2</v>
      </c>
      <c r="GM32" s="9">
        <f ca="1">IF(OR(GM5="",GM$28&lt;$A32),"",GM5/OFFSET(ParoRegESP!$A$2,MATCH(GM$29,ParoRegESP!$A$2:$A$500)+$A32-1,1)-1)</f>
        <v>-0.17184370266792193</v>
      </c>
      <c r="GN32" s="9">
        <f ca="1">IF(OR(GN5="",GN$28&lt;$A32),"",GN5/OFFSET(ParoRegESP!$A$2,MATCH(GN$29,ParoRegESP!$A$2:$A$500)+$A32-1,1)-1)</f>
        <v>-0.21150245218291697</v>
      </c>
      <c r="GO32" s="9">
        <f ca="1">IF(OR(GO5="",GO$28&lt;$A32),"",GO5/OFFSET(ParoRegESP!$A$2,MATCH(GO$29,ParoRegESP!$A$2:$A$500)+$A32-1,1)-1)</f>
        <v>-0.10105589763161404</v>
      </c>
      <c r="GP32" s="9">
        <f ca="1">IF(OR(GP5="",GP$28&lt;$A32),"",GP5/OFFSET(ParoRegESP!$A$2,MATCH(GP$29,ParoRegESP!$A$2:$A$500)+$A32-1,1)-1)</f>
        <v>0.12533244915537911</v>
      </c>
      <c r="GQ32" s="9">
        <f ca="1">IF(OR(GQ5="",GQ$28&lt;$A32),"",GQ5/OFFSET(ParoRegESP!$A$2,MATCH(GQ$29,ParoRegESP!$A$2:$A$500)+$A32-1,1)-1)</f>
        <v>7.0942109719825508E-2</v>
      </c>
      <c r="GR32" s="9">
        <f ca="1">IF(OR(GR5="",GR$28&lt;$A32),"",GR5/OFFSET(ParoRegESP!$A$2,MATCH(GR$29,ParoRegESP!$A$2:$A$500)+$A32-1,1)-1)</f>
        <v>8.9287715755039354E-2</v>
      </c>
      <c r="GS32" s="9">
        <f ca="1">IF(OR(GS5="",GS$28&lt;$A32),"",GS5/OFFSET(ParoRegESP!$A$2,MATCH(GS$29,ParoRegESP!$A$2:$A$500)+$A32-1,1)-1)</f>
        <v>7.6428235462332905E-2</v>
      </c>
      <c r="GT32" s="9">
        <f ca="1">IF(OR(GT5="",GT$28&lt;$A32),"",GT5/OFFSET(ParoRegESP!$A$2,MATCH(GT$29,ParoRegESP!$A$2:$A$500)+$A32-1,1)-1)</f>
        <v>4.8135165359909582E-2</v>
      </c>
      <c r="GU32" s="9">
        <f ca="1">IF(OR(GU5="",GU$28&lt;$A32),"",GU5/OFFSET(ParoRegESP!$A$2,MATCH(GU$29,ParoRegESP!$A$2:$A$500)+$A32-1,1)-1)</f>
        <v>-2.6030195753387386E-2</v>
      </c>
      <c r="GV32" s="9">
        <f ca="1">IF(OR(GV5="",GV$28&lt;$A32),"",GV5/OFFSET(ParoRegESP!$A$2,MATCH(GV$29,ParoRegESP!$A$2:$A$500)+$A32-1,1)-1)</f>
        <v>-2.9223105447209963E-2</v>
      </c>
      <c r="GW32" s="9" t="str">
        <f ca="1">IF(OR(GW5="",GW$28&lt;$A32),"",GW5/OFFSET(ParoRegESP!$A$2,MATCH(GW$29,ParoRegESP!$A$2:$A$500)+$A32-1,1)-1)</f>
        <v/>
      </c>
      <c r="GX32" s="9" t="str">
        <f ca="1">IF(OR(GX5="",GX$28&lt;$A32),"",GX5/OFFSET(ParoRegESP!$A$2,MATCH(GX$29,ParoRegESP!$A$2:$A$500)+$A32-1,1)-1)</f>
        <v/>
      </c>
      <c r="GY32" s="9" t="str">
        <f ca="1">IF(OR(GY5="",GY$28&lt;$A32),"",GY5/OFFSET(ParoRegESP!$A$2,MATCH(GY$29,ParoRegESP!$A$2:$A$500)+$A32-1,1)-1)</f>
        <v/>
      </c>
      <c r="GZ32" s="9" t="str">
        <f ca="1">IF(OR(GZ5="",GZ$28&lt;$A32),"",GZ5/OFFSET(ParoRegESP!$A$2,MATCH(GZ$29,ParoRegESP!$A$2:$A$500)+$A32-1,1)-1)</f>
        <v/>
      </c>
      <c r="HA32" s="9" t="str">
        <f ca="1">IF(OR(HA5="",HA$28&lt;$A32),"",HA5/OFFSET(ParoRegESP!$A$2,MATCH(HA$29,ParoRegESP!$A$2:$A$500)+$A32-1,1)-1)</f>
        <v/>
      </c>
      <c r="HB32" s="9" t="str">
        <f ca="1">IF(OR(HB5="",HB$28&lt;$A32),"",HB5/OFFSET(ParoRegESP!$A$2,MATCH(HB$29,ParoRegESP!$A$2:$A$500)+$A32-1,1)-1)</f>
        <v/>
      </c>
      <c r="HC32" s="9" t="str">
        <f ca="1">IF(OR(HC5="",HC$28&lt;$A32),"",HC5/OFFSET(ParoRegESP!$A$2,MATCH(HC$29,ParoRegESP!$A$2:$A$500)+$A32-1,1)-1)</f>
        <v/>
      </c>
      <c r="HD32" s="9" t="str">
        <f ca="1">IF(OR(HD5="",HD$28&lt;$A32),"",HD5/OFFSET(ParoRegESP!$A$2,MATCH(HD$29,ParoRegESP!$A$2:$A$500)+$A32-1,1)-1)</f>
        <v/>
      </c>
      <c r="HE32" s="9" t="str">
        <f ca="1">IF(OR(HE5="",HE$28&lt;$A32),"",HE5/OFFSET(ParoRegESP!$A$2,MATCH(HE$29,ParoRegESP!$A$2:$A$500)+$A32-1,1)-1)</f>
        <v/>
      </c>
      <c r="HF32" s="9" t="str">
        <f ca="1">IF(OR(HF5="",HF$28&lt;$A32),"",HF5/OFFSET(ParoRegESP!$A$2,MATCH(HF$29,ParoRegESP!$A$2:$A$500)+$A32-1,1)-1)</f>
        <v/>
      </c>
      <c r="HG32" s="9" t="str">
        <f ca="1">IF(OR(HG5="",HG$28&lt;$A32),"",HG5/OFFSET(ParoRegESP!$A$2,MATCH(HG$29,ParoRegESP!$A$2:$A$500)+$A32-1,1)-1)</f>
        <v/>
      </c>
      <c r="HH32" s="9" t="str">
        <f ca="1">IF(OR(HH5="",HH$28&lt;$A32),"",HH5/OFFSET(ParoRegESP!$A$2,MATCH(HH$29,ParoRegESP!$A$2:$A$500)+$A32-1,1)-1)</f>
        <v/>
      </c>
      <c r="HI32" s="9" t="str">
        <f ca="1">IF(OR(HI5="",HI$28&lt;$A32),"",HI5/OFFSET(ParoRegESP!$A$2,MATCH(HI$29,ParoRegESP!$A$2:$A$500)+$A32-1,1)-1)</f>
        <v/>
      </c>
      <c r="HJ32" s="9" t="str">
        <f ca="1">IF(OR(HJ5="",HJ$28&lt;$A32),"",HJ5/OFFSET(ParoRegESP!$A$2,MATCH(HJ$29,ParoRegESP!$A$2:$A$500)+$A32-1,1)-1)</f>
        <v/>
      </c>
      <c r="HK32" s="9" t="str">
        <f ca="1">IF(OR(HK5="",HK$28&lt;$A32),"",HK5/OFFSET(ParoRegESP!$A$2,MATCH(HK$29,ParoRegESP!$A$2:$A$500)+$A32-1,1)-1)</f>
        <v/>
      </c>
      <c r="HL32" s="9" t="str">
        <f ca="1">IF(OR(HL5="",HL$28&lt;$A32),"",HL5/OFFSET(ParoRegESP!$A$2,MATCH(HL$29,ParoRegESP!$A$2:$A$500)+$A32-1,1)-1)</f>
        <v/>
      </c>
      <c r="HM32" s="9" t="str">
        <f ca="1">IF(OR(HM5="",HM$28&lt;$A32),"",HM5/OFFSET(ParoRegESP!$A$2,MATCH(HM$29,ParoRegESP!$A$2:$A$500)+$A32-1,1)-1)</f>
        <v/>
      </c>
      <c r="HN32" s="9" t="str">
        <f ca="1">IF(OR(HN5="",HN$28&lt;$A32),"",HN5/OFFSET(ParoRegESP!$A$2,MATCH(HN$29,ParoRegESP!$A$2:$A$500)+$A32-1,1)-1)</f>
        <v/>
      </c>
      <c r="HO32" s="9" t="str">
        <f ca="1">IF(OR(HO5="",HO$28&lt;$A32),"",HO5/OFFSET(ParoRegESP!$A$2,MATCH(HO$29,ParoRegESP!$A$2:$A$500)+$A32-1,1)-1)</f>
        <v/>
      </c>
      <c r="HP32" s="9" t="str">
        <f ca="1">IF(OR(HP5="",HP$28&lt;$A32),"",HP5/OFFSET(ParoRegESP!$A$2,MATCH(HP$29,ParoRegESP!$A$2:$A$500)+$A32-1,1)-1)</f>
        <v/>
      </c>
      <c r="HQ32" s="9" t="str">
        <f ca="1">IF(OR(HQ5="",HQ$28&lt;$A32),"",HQ5/OFFSET(ParoRegESP!$A$2,MATCH(HQ$29,ParoRegESP!$A$2:$A$500)+$A32-1,1)-1)</f>
        <v/>
      </c>
      <c r="HR32" s="9" t="str">
        <f ca="1">IF(OR(HR5="",HR$28&lt;$A32),"",HR5/OFFSET(ParoRegESP!$A$2,MATCH(HR$29,ParoRegESP!$A$2:$A$500)+$A32-1,1)-1)</f>
        <v/>
      </c>
      <c r="HS32" s="9" t="str">
        <f ca="1">IF(OR(HS5="",HS$28&lt;$A32),"",HS5/OFFSET(ParoRegESP!$A$2,MATCH(HS$29,ParoRegESP!$A$2:$A$500)+$A32-1,1)-1)</f>
        <v/>
      </c>
      <c r="HT32" s="9" t="str">
        <f ca="1">IF(OR(HT5="",HT$28&lt;$A32),"",HT5/OFFSET(ParoRegESP!$A$2,MATCH(HT$29,ParoRegESP!$A$2:$A$500)+$A32-1,1)-1)</f>
        <v/>
      </c>
      <c r="HU32" s="9" t="str">
        <f ca="1">IF(OR(HU5="",HU$28&lt;$A32),"",HU5/OFFSET(ParoRegESP!$A$2,MATCH(HU$29,ParoRegESP!$A$2:$A$500)+$A32-1,1)-1)</f>
        <v/>
      </c>
      <c r="HV32" s="9" t="str">
        <f ca="1">IF(OR(HV5="",HV$28&lt;$A32),"",HV5/OFFSET(ParoRegESP!$A$2,MATCH(HV$29,ParoRegESP!$A$2:$A$500)+$A32-1,1)-1)</f>
        <v/>
      </c>
      <c r="HW32" s="9" t="str">
        <f ca="1">IF(OR(HW5="",HW$28&lt;$A32),"",HW5/OFFSET(ParoRegESP!$A$2,MATCH(HW$29,ParoRegESP!$A$2:$A$500)+$A32-1,1)-1)</f>
        <v/>
      </c>
      <c r="HX32" s="9" t="str">
        <f ca="1">IF(OR(HX5="",HX$28&lt;$A32),"",HX5/OFFSET(ParoRegESP!$A$2,MATCH(HX$29,ParoRegESP!$A$2:$A$500)+$A32-1,1)-1)</f>
        <v/>
      </c>
      <c r="HY32" s="9" t="str">
        <f ca="1">IF(OR(HY5="",HY$28&lt;$A32),"",HY5/OFFSET(ParoRegESP!$A$2,MATCH(HY$29,ParoRegESP!$A$2:$A$500)+$A32-1,1)-1)</f>
        <v/>
      </c>
      <c r="HZ32" s="9" t="str">
        <f ca="1">IF(OR(HZ5="",HZ$28&lt;$A32),"",HZ5/OFFSET(ParoRegESP!$A$2,MATCH(HZ$29,ParoRegESP!$A$2:$A$500)+$A32-1,1)-1)</f>
        <v/>
      </c>
      <c r="IA32" s="9" t="str">
        <f ca="1">IF(OR(IA5="",IA$28&lt;$A32),"",IA5/OFFSET(ParoRegESP!$A$2,MATCH(IA$29,ParoRegESP!$A$2:$A$500)+$A32-1,1)-1)</f>
        <v/>
      </c>
      <c r="IB32" s="9" t="str">
        <f ca="1">IF(OR(IB5="",IB$28&lt;$A32),"",IB5/OFFSET(ParoRegESP!$A$2,MATCH(IB$29,ParoRegESP!$A$2:$A$500)+$A32-1,1)-1)</f>
        <v/>
      </c>
      <c r="IC32" s="9" t="str">
        <f ca="1">IF(OR(IC5="",IC$28&lt;$A32),"",IC5/OFFSET(ParoRegESP!$A$2,MATCH(IC$29,ParoRegESP!$A$2:$A$500)+$A32-1,1)-1)</f>
        <v/>
      </c>
      <c r="ID32" s="9" t="str">
        <f ca="1">IF(OR(ID5="",ID$28&lt;$A32),"",ID5/OFFSET(ParoRegESP!$A$2,MATCH(ID$29,ParoRegESP!$A$2:$A$500)+$A32-1,1)-1)</f>
        <v/>
      </c>
      <c r="IE32" s="9" t="str">
        <f ca="1">IF(OR(IE5="",IE$28&lt;$A32),"",IE5/OFFSET(ParoRegESP!$A$2,MATCH(IE$29,ParoRegESP!$A$2:$A$500)+$A32-1,1)-1)</f>
        <v/>
      </c>
      <c r="IF32" s="9" t="str">
        <f ca="1">IF(OR(IF5="",IF$28&lt;$A32),"",IF5/OFFSET(ParoRegESP!$A$2,MATCH(IF$29,ParoRegESP!$A$2:$A$500)+$A32-1,1)-1)</f>
        <v/>
      </c>
      <c r="IG32" s="9" t="str">
        <f ca="1">IF(OR(IG5="",IG$28&lt;$A32),"",IG5/OFFSET(ParoRegESP!$A$2,MATCH(IG$29,ParoRegESP!$A$2:$A$500)+$A32-1,1)-1)</f>
        <v/>
      </c>
      <c r="IH32" s="9" t="str">
        <f ca="1">IF(OR(IH5="",IH$28&lt;$A32),"",IH5/OFFSET(ParoRegESP!$A$2,MATCH(IH$29,ParoRegESP!$A$2:$A$500)+$A32-1,1)-1)</f>
        <v/>
      </c>
      <c r="II32" s="9" t="str">
        <f ca="1">IF(OR(II5="",II$28&lt;$A32),"",II5/OFFSET(ParoRegESP!$A$2,MATCH(II$29,ParoRegESP!$A$2:$A$500)+$A32-1,1)-1)</f>
        <v/>
      </c>
      <c r="IJ32" s="9" t="str">
        <f ca="1">IF(OR(IJ5="",IJ$28&lt;$A32),"",IJ5/OFFSET(ParoRegESP!$A$2,MATCH(IJ$29,ParoRegESP!$A$2:$A$500)+$A32-1,1)-1)</f>
        <v/>
      </c>
      <c r="IK32" s="9" t="str">
        <f ca="1">IF(OR(IK5="",IK$28&lt;$A32),"",IK5/OFFSET(ParoRegESP!$A$2,MATCH(IK$29,ParoRegESP!$A$2:$A$500)+$A32-1,1)-1)</f>
        <v/>
      </c>
      <c r="IL32" s="9" t="str">
        <f ca="1">IF(OR(IL5="",IL$28&lt;$A32),"",IL5/OFFSET(ParoRegESP!$A$2,MATCH(IL$29,ParoRegESP!$A$2:$A$500)+$A32-1,1)-1)</f>
        <v/>
      </c>
      <c r="IM32" s="9" t="str">
        <f ca="1">IF(OR(IM5="",IM$28&lt;$A32),"",IM5/OFFSET(ParoRegESP!$A$2,MATCH(IM$29,ParoRegESP!$A$2:$A$500)+$A32-1,1)-1)</f>
        <v/>
      </c>
      <c r="IN32" s="9" t="str">
        <f ca="1">IF(OR(IN5="",IN$28&lt;$A32),"",IN5/OFFSET(ParoRegESP!$A$2,MATCH(IN$29,ParoRegESP!$A$2:$A$500)+$A32-1,1)-1)</f>
        <v/>
      </c>
      <c r="IO32" s="9" t="str">
        <f ca="1">IF(OR(IO5="",IO$28&lt;$A32),"",IO5/OFFSET(ParoRegESP!$A$2,MATCH(IO$29,ParoRegESP!$A$2:$A$500)+$A32-1,1)-1)</f>
        <v/>
      </c>
      <c r="IP32" s="9" t="str">
        <f ca="1">IF(OR(IP5="",IP$28&lt;$A32),"",IP5/OFFSET(ParoRegESP!$A$2,MATCH(IP$29,ParoRegESP!$A$2:$A$500)+$A32-1,1)-1)</f>
        <v/>
      </c>
      <c r="IQ32" s="9" t="str">
        <f ca="1">IF(OR(IQ5="",IQ$28&lt;$A32),"",IQ5/OFFSET(ParoRegESP!$A$2,MATCH(IQ$29,ParoRegESP!$A$2:$A$500)+$A32-1,1)-1)</f>
        <v/>
      </c>
      <c r="IR32" s="9" t="str">
        <f ca="1">IF(OR(IR5="",IR$28&lt;$A32),"",IR5/OFFSET(ParoRegESP!$A$2,MATCH(IR$29,ParoRegESP!$A$2:$A$500)+$A32-1,1)-1)</f>
        <v/>
      </c>
      <c r="IS32" s="9" t="str">
        <f ca="1">IF(OR(IS5="",IS$28&lt;$A32),"",IS5/OFFSET(ParoRegESP!$A$2,MATCH(IS$29,ParoRegESP!$A$2:$A$500)+$A32-1,1)-1)</f>
        <v/>
      </c>
      <c r="IT32" s="9" t="str">
        <f ca="1">IF(OR(IT5="",IT$28&lt;$A32),"",IT5/OFFSET(ParoRegESP!$A$2,MATCH(IT$29,ParoRegESP!$A$2:$A$500)+$A32-1,1)-1)</f>
        <v/>
      </c>
      <c r="IU32" s="9" t="str">
        <f ca="1">IF(OR(IU5="",IU$28&lt;$A32),"",IU5/OFFSET(ParoRegESP!$A$2,MATCH(IU$29,ParoRegESP!$A$2:$A$500)+$A32-1,1)-1)</f>
        <v/>
      </c>
      <c r="IV32" s="9" t="str">
        <f ca="1">IF(OR(IV5="",IV$28&lt;$A32),"",IV5/OFFSET(ParoRegESP!$A$2,MATCH(IV$29,ParoRegESP!$A$2:$A$500)+$A32-1,1)-1)</f>
        <v/>
      </c>
      <c r="IW32" s="9" t="str">
        <f ca="1">IF(OR(IW5="",IW$28&lt;$A32),"",IW5/OFFSET(ParoRegESP!$A$2,MATCH(IW$29,ParoRegESP!$A$2:$A$500)+$A32-1,1)-1)</f>
        <v/>
      </c>
      <c r="IX32" s="9" t="str">
        <f ca="1">IF(OR(IX5="",IX$28&lt;$A32),"",IX5/OFFSET(ParoRegESP!$A$2,MATCH(IX$29,ParoRegESP!$A$2:$A$500)+$A32-1,1)-1)</f>
        <v/>
      </c>
      <c r="IY32" s="9" t="str">
        <f ca="1">IF(OR(IY5="",IY$28&lt;$A32),"",IY5/OFFSET(ParoRegESP!$A$2,MATCH(IY$29,ParoRegESP!$A$2:$A$500)+$A32-1,1)-1)</f>
        <v/>
      </c>
      <c r="IZ32" s="9" t="str">
        <f ca="1">IF(OR(IZ5="",IZ$28&lt;$A32),"",IZ5/OFFSET(ParoRegESP!$A$2,MATCH(IZ$29,ParoRegESP!$A$2:$A$500)+$A32-1,1)-1)</f>
        <v/>
      </c>
      <c r="JA32" s="9" t="str">
        <f ca="1">IF(OR(JA5="",JA$28&lt;$A32),"",JA5/OFFSET(ParoRegESP!$A$2,MATCH(JA$29,ParoRegESP!$A$2:$A$500)+$A32-1,1)-1)</f>
        <v/>
      </c>
      <c r="JB32" s="9" t="str">
        <f ca="1">IF(OR(JB5="",JB$28&lt;$A32),"",JB5/OFFSET(ParoRegESP!$A$2,MATCH(JB$29,ParoRegESP!$A$2:$A$500)+$A32-1,1)-1)</f>
        <v/>
      </c>
      <c r="JC32" s="9" t="str">
        <f ca="1">IF(OR(JC5="",JC$28&lt;$A32),"",JC5/OFFSET(ParoRegESP!$A$2,MATCH(JC$29,ParoRegESP!$A$2:$A$500)+$A32-1,1)-1)</f>
        <v/>
      </c>
      <c r="JD32" s="9" t="str">
        <f ca="1">IF(OR(JD5="",JD$28&lt;$A32),"",JD5/OFFSET(ParoRegESP!$A$2,MATCH(JD$29,ParoRegESP!$A$2:$A$500)+$A32-1,1)-1)</f>
        <v/>
      </c>
      <c r="JE32" s="9" t="str">
        <f ca="1">IF(OR(JE5="",JE$28&lt;$A32),"",JE5/OFFSET(ParoRegESP!$A$2,MATCH(JE$29,ParoRegESP!$A$2:$A$500)+$A32-1,1)-1)</f>
        <v/>
      </c>
      <c r="JF32" s="9" t="str">
        <f ca="1">IF(OR(JF5="",JF$28&lt;$A32),"",JF5/OFFSET(ParoRegESP!$A$2,MATCH(JF$29,ParoRegESP!$A$2:$A$500)+$A32-1,1)-1)</f>
        <v/>
      </c>
      <c r="JG32" s="9" t="str">
        <f ca="1">IF(OR(JG5="",JG$28&lt;$A32),"",JG5/OFFSET(ParoRegESP!$A$2,MATCH(JG$29,ParoRegESP!$A$2:$A$500)+$A32-1,1)-1)</f>
        <v/>
      </c>
      <c r="JH32" s="9" t="str">
        <f ca="1">IF(OR(JH5="",JH$28&lt;$A32),"",JH5/OFFSET(ParoRegESP!$A$2,MATCH(JH$29,ParoRegESP!$A$2:$A$500)+$A32-1,1)-1)</f>
        <v/>
      </c>
      <c r="JI32" s="13">
        <f t="shared" ca="1" si="13"/>
        <v>-7.4709342259533795E-3</v>
      </c>
      <c r="JJ32" s="13">
        <f t="shared" ca="1" si="14"/>
        <v>-1.1748015607656592E-3</v>
      </c>
      <c r="JK32" s="14">
        <f t="shared" ca="1" si="15"/>
        <v>4.0717191092146162E-3</v>
      </c>
      <c r="JL32" s="17">
        <f t="shared" ca="1" si="18"/>
        <v>6.3810023579486452E-2</v>
      </c>
      <c r="JM32" s="15" t="str">
        <f t="shared" ca="1" si="16"/>
        <v>[ -13,51% ; 12,01% ]</v>
      </c>
      <c r="JN32" s="17">
        <f t="shared" ca="1" si="17"/>
        <v>8.1676830181742655E-2</v>
      </c>
      <c r="LY32" s="1"/>
    </row>
    <row r="33" spans="1:337" x14ac:dyDescent="0.25">
      <c r="A33" s="4">
        <v>4</v>
      </c>
      <c r="B33" s="9">
        <f ca="1">IF(OR(B6="",B$28&lt;$A33),"",B6/OFFSET(ParoRegESP!$A$2,MATCH(B$29,ParoRegESP!$A$2:$A$500)+$A33-1,1)-1)</f>
        <v>1.2113139011156182E-2</v>
      </c>
      <c r="C33" s="9">
        <f ca="1">IF(OR(C6="",C$28&lt;$A33),"",C6/OFFSET(ParoRegESP!$A$2,MATCH(C$29,ParoRegESP!$A$2:$A$500)+$A33-1,1)-1)</f>
        <v>1.4671814158679908E-2</v>
      </c>
      <c r="D33" s="9">
        <f ca="1">IF(OR(D6="",D$28&lt;$A33),"",D6/OFFSET(ParoRegESP!$A$2,MATCH(D$29,ParoRegESP!$A$2:$A$500)+$A33-1,1)-1)</f>
        <v>9.123434650686324E-4</v>
      </c>
      <c r="E33" s="9">
        <f ca="1">IF(OR(E6="",E$28&lt;$A33),"",E6/OFFSET(ParoRegESP!$A$2,MATCH(E$29,ParoRegESP!$A$2:$A$500)+$A33-1,1)-1)</f>
        <v>1.028386871788145E-2</v>
      </c>
      <c r="F33" s="9">
        <f ca="1">IF(OR(F6="",F$28&lt;$A33),"",F6/OFFSET(ParoRegESP!$A$2,MATCH(F$29,ParoRegESP!$A$2:$A$500)+$A33-1,1)-1)</f>
        <v>8.1344484888543622E-3</v>
      </c>
      <c r="G33" s="9">
        <f ca="1">IF(OR(G6="",G$28&lt;$A33),"",G6/OFFSET(ParoRegESP!$A$2,MATCH(G$29,ParoRegESP!$A$2:$A$500)+$A33-1,1)-1)</f>
        <v>1.7382601843548118E-2</v>
      </c>
      <c r="H33" s="9">
        <f ca="1">IF(OR(H6="",H$28&lt;$A33),"",H6/OFFSET(ParoRegESP!$A$2,MATCH(H$29,ParoRegESP!$A$2:$A$500)+$A33-1,1)-1)</f>
        <v>3.0328810101673431E-2</v>
      </c>
      <c r="I33" s="9">
        <f ca="1">IF(OR(I6="",I$28&lt;$A33),"",I6/OFFSET(ParoRegESP!$A$2,MATCH(I$29,ParoRegESP!$A$2:$A$500)+$A33-1,1)-1)</f>
        <v>2.4010318322623014E-2</v>
      </c>
      <c r="J33" s="9">
        <f ca="1">IF(OR(J6="",J$28&lt;$A33),"",J6/OFFSET(ParoRegESP!$A$2,MATCH(J$29,ParoRegESP!$A$2:$A$500)+$A33-1,1)-1)</f>
        <v>3.4584705581870656E-2</v>
      </c>
      <c r="K33" s="9">
        <f ca="1">IF(OR(K6="",K$28&lt;$A33),"",K6/OFFSET(ParoRegESP!$A$2,MATCH(K$29,ParoRegESP!$A$2:$A$500)+$A33-1,1)-1)</f>
        <v>2.6222856662422522E-2</v>
      </c>
      <c r="L33" s="9">
        <f ca="1">IF(OR(L6="",L$28&lt;$A33),"",L6/OFFSET(ParoRegESP!$A$2,MATCH(L$29,ParoRegESP!$A$2:$A$500)+$A33-1,1)-1)</f>
        <v>2.1597107737293175E-2</v>
      </c>
      <c r="M33" s="9">
        <f ca="1">IF(OR(M6="",M$28&lt;$A33),"",M6/OFFSET(ParoRegESP!$A$2,MATCH(M$29,ParoRegESP!$A$2:$A$500)+$A33-1,1)-1)</f>
        <v>8.1862570438273607E-3</v>
      </c>
      <c r="N33" s="9">
        <f ca="1">IF(OR(N6="",N$28&lt;$A33),"",N6/OFFSET(ParoRegESP!$A$2,MATCH(N$29,ParoRegESP!$A$2:$A$500)+$A33-1,1)-1)</f>
        <v>-9.1663408037478966E-4</v>
      </c>
      <c r="O33" s="9">
        <f ca="1">IF(OR(O6="",O$28&lt;$A33),"",O6/OFFSET(ParoRegESP!$A$2,MATCH(O$29,ParoRegESP!$A$2:$A$500)+$A33-1,1)-1)</f>
        <v>5.7339572207659728E-3</v>
      </c>
      <c r="P33" s="9">
        <f ca="1">IF(OR(P6="",P$28&lt;$A33),"",P6/OFFSET(ParoRegESP!$A$2,MATCH(P$29,ParoRegESP!$A$2:$A$500)+$A33-1,1)-1)</f>
        <v>-5.7127621250351313E-3</v>
      </c>
      <c r="Q33" s="9">
        <f ca="1">IF(OR(Q6="",Q$28&lt;$A33),"",Q6/OFFSET(ParoRegESP!$A$2,MATCH(Q$29,ParoRegESP!$A$2:$A$500)+$A33-1,1)-1)</f>
        <v>-1.4692215535744513E-2</v>
      </c>
      <c r="R33" s="9">
        <f ca="1">IF(OR(R6="",R$28&lt;$A33),"",R6/OFFSET(ParoRegESP!$A$2,MATCH(R$29,ParoRegESP!$A$2:$A$500)+$A33-1,1)-1)</f>
        <v>-1.1442309495863334E-2</v>
      </c>
      <c r="S33" s="9">
        <f ca="1">IF(OR(S6="",S$28&lt;$A33),"",S6/OFFSET(ParoRegESP!$A$2,MATCH(S$29,ParoRegESP!$A$2:$A$500)+$A33-1,1)-1)</f>
        <v>-1.7762757471886936E-2</v>
      </c>
      <c r="T33" s="9">
        <f ca="1">IF(OR(T6="",T$28&lt;$A33),"",T6/OFFSET(ParoRegESP!$A$2,MATCH(T$29,ParoRegESP!$A$2:$A$500)+$A33-1,1)-1)</f>
        <v>-1.7746168234425763E-2</v>
      </c>
      <c r="U33" s="9">
        <f ca="1">IF(OR(U6="",U$28&lt;$A33),"",U6/OFFSET(ParoRegESP!$A$2,MATCH(U$29,ParoRegESP!$A$2:$A$500)+$A33-1,1)-1)</f>
        <v>-1.8714865870669284E-3</v>
      </c>
      <c r="V33" s="9">
        <f ca="1">IF(OR(V6="",V$28&lt;$A33),"",V6/OFFSET(ParoRegESP!$A$2,MATCH(V$29,ParoRegESP!$A$2:$A$500)+$A33-1,1)-1)</f>
        <v>1.1480808203266468E-2</v>
      </c>
      <c r="W33" s="9">
        <f ca="1">IF(OR(W6="",W$28&lt;$A33),"",W6/OFFSET(ParoRegESP!$A$2,MATCH(W$29,ParoRegESP!$A$2:$A$500)+$A33-1,1)-1)</f>
        <v>2.8158507334561378E-3</v>
      </c>
      <c r="X33" s="9">
        <f ca="1">IF(OR(X6="",X$28&lt;$A33),"",X6/OFFSET(ParoRegESP!$A$2,MATCH(X$29,ParoRegESP!$A$2:$A$500)+$A33-1,1)-1)</f>
        <v>2.1319301880007302E-3</v>
      </c>
      <c r="Y33" s="9">
        <f ca="1">IF(OR(Y6="",Y$28&lt;$A33),"",Y6/OFFSET(ParoRegESP!$A$2,MATCH(Y$29,ParoRegESP!$A$2:$A$500)+$A33-1,1)-1)</f>
        <v>-6.6605442740036436E-3</v>
      </c>
      <c r="Z33" s="9">
        <f ca="1">IF(OR(Z6="",Z$28&lt;$A33),"",Z6/OFFSET(ParoRegESP!$A$2,MATCH(Z$29,ParoRegESP!$A$2:$A$500)+$A33-1,1)-1)</f>
        <v>4.7511125072727811E-3</v>
      </c>
      <c r="AA33" s="9">
        <f ca="1">IF(OR(AA6="",AA$28&lt;$A33),"",AA6/OFFSET(ParoRegESP!$A$2,MATCH(AA$29,ParoRegESP!$A$2:$A$500)+$A33-1,1)-1)</f>
        <v>1.0619506698345438E-2</v>
      </c>
      <c r="AB33" s="9">
        <f ca="1">IF(OR(AB6="",AB$28&lt;$A33),"",AB6/OFFSET(ParoRegESP!$A$2,MATCH(AB$29,ParoRegESP!$A$2:$A$500)+$A33-1,1)-1)</f>
        <v>1.2968881403059074E-2</v>
      </c>
      <c r="AC33" s="9">
        <f ca="1">IF(OR(AC6="",AC$28&lt;$A33),"",AC6/OFFSET(ParoRegESP!$A$2,MATCH(AC$29,ParoRegESP!$A$2:$A$500)+$A33-1,1)-1)</f>
        <v>1.3619835072226527E-2</v>
      </c>
      <c r="AD33" s="9">
        <f ca="1">IF(OR(AD6="",AD$28&lt;$A33),"",AD6/OFFSET(ParoRegESP!$A$2,MATCH(AD$29,ParoRegESP!$A$2:$A$500)+$A33-1,1)-1)</f>
        <v>4.3584997484062971E-3</v>
      </c>
      <c r="AE33" s="9">
        <f ca="1">IF(OR(AE6="",AE$28&lt;$A33),"",AE6/OFFSET(ParoRegESP!$A$2,MATCH(AE$29,ParoRegESP!$A$2:$A$500)+$A33-1,1)-1)</f>
        <v>1.0579168162191843E-2</v>
      </c>
      <c r="AF33" s="9">
        <f ca="1">IF(OR(AF6="",AF$28&lt;$A33),"",AF6/OFFSET(ParoRegESP!$A$2,MATCH(AF$29,ParoRegESP!$A$2:$A$500)+$A33-1,1)-1)</f>
        <v>1.6386669402630893E-2</v>
      </c>
      <c r="AG33" s="9">
        <f ca="1">IF(OR(AG6="",AG$28&lt;$A33),"",AG6/OFFSET(ParoRegESP!$A$2,MATCH(AG$29,ParoRegESP!$A$2:$A$500)+$A33-1,1)-1)</f>
        <v>2.488063362596038E-2</v>
      </c>
      <c r="AH33" s="9">
        <f ca="1">IF(OR(AH6="",AH$28&lt;$A33),"",AH6/OFFSET(ParoRegESP!$A$2,MATCH(AH$29,ParoRegESP!$A$2:$A$500)+$A33-1,1)-1)</f>
        <v>2.9028228337133921E-2</v>
      </c>
      <c r="AI33" s="9">
        <f ca="1">IF(OR(AI6="",AI$28&lt;$A33),"",AI6/OFFSET(ParoRegESP!$A$2,MATCH(AI$29,ParoRegESP!$A$2:$A$500)+$A33-1,1)-1)</f>
        <v>2.345101532265903E-2</v>
      </c>
      <c r="AJ33" s="9">
        <f ca="1">IF(OR(AJ6="",AJ$28&lt;$A33),"",AJ6/OFFSET(ParoRegESP!$A$2,MATCH(AJ$29,ParoRegESP!$A$2:$A$500)+$A33-1,1)-1)</f>
        <v>1.5539800074451104E-2</v>
      </c>
      <c r="AK33" s="9">
        <f ca="1">IF(OR(AK6="",AK$28&lt;$A33),"",AK6/OFFSET(ParoRegESP!$A$2,MATCH(AK$29,ParoRegESP!$A$2:$A$500)+$A33-1,1)-1)</f>
        <v>-2.2386752026355428E-3</v>
      </c>
      <c r="AL33" s="9">
        <f ca="1">IF(OR(AL6="",AL$28&lt;$A33),"",AL6/OFFSET(ParoRegESP!$A$2,MATCH(AL$29,ParoRegESP!$A$2:$A$500)+$A33-1,1)-1)</f>
        <v>-1.6294331145126351E-2</v>
      </c>
      <c r="AM33" s="9">
        <f ca="1">IF(OR(AM6="",AM$28&lt;$A33),"",AM6/OFFSET(ParoRegESP!$A$2,MATCH(AM$29,ParoRegESP!$A$2:$A$500)+$A33-1,1)-1)</f>
        <v>-2.9404650566175139E-2</v>
      </c>
      <c r="AN33" s="9">
        <f ca="1">IF(OR(AN6="",AN$28&lt;$A33),"",AN6/OFFSET(ParoRegESP!$A$2,MATCH(AN$29,ParoRegESP!$A$2:$A$500)+$A33-1,1)-1)</f>
        <v>-4.712108729380704E-2</v>
      </c>
      <c r="AO33" s="9">
        <f ca="1">IF(OR(AO6="",AO$28&lt;$A33),"",AO6/OFFSET(ParoRegESP!$A$2,MATCH(AO$29,ParoRegESP!$A$2:$A$500)+$A33-1,1)-1)</f>
        <v>-4.9178560155609174E-2</v>
      </c>
      <c r="AP33" s="9">
        <f ca="1">IF(OR(AP6="",AP$28&lt;$A33),"",AP6/OFFSET(ParoRegESP!$A$2,MATCH(AP$29,ParoRegESP!$A$2:$A$500)+$A33-1,1)-1)</f>
        <v>-5.2864188367215625E-2</v>
      </c>
      <c r="AQ33" s="9">
        <f ca="1">IF(OR(AQ6="",AQ$28&lt;$A33),"",AQ6/OFFSET(ParoRegESP!$A$2,MATCH(AQ$29,ParoRegESP!$A$2:$A$500)+$A33-1,1)-1)</f>
        <v>-3.4888643430948219E-2</v>
      </c>
      <c r="AR33" s="9">
        <f ca="1">IF(OR(AR6="",AR$28&lt;$A33),"",AR6/OFFSET(ParoRegESP!$A$2,MATCH(AR$29,ParoRegESP!$A$2:$A$500)+$A33-1,1)-1)</f>
        <v>-1.4178550775053256E-2</v>
      </c>
      <c r="AS33" s="9">
        <f ca="1">IF(OR(AS6="",AS$28&lt;$A33),"",AS6/OFFSET(ParoRegESP!$A$2,MATCH(AS$29,ParoRegESP!$A$2:$A$500)+$A33-1,1)-1)</f>
        <v>-7.8140561808243136E-3</v>
      </c>
      <c r="AT33" s="9">
        <f ca="1">IF(OR(AT6="",AT$28&lt;$A33),"",AT6/OFFSET(ParoRegESP!$A$2,MATCH(AT$29,ParoRegESP!$A$2:$A$500)+$A33-1,1)-1)</f>
        <v>-7.1304781590927346E-3</v>
      </c>
      <c r="AU33" s="9">
        <f ca="1">IF(OR(AU6="",AU$28&lt;$A33),"",AU6/OFFSET(ParoRegESP!$A$2,MATCH(AU$29,ParoRegESP!$A$2:$A$500)+$A33-1,1)-1)</f>
        <v>-4.0782826473231726E-2</v>
      </c>
      <c r="AV33" s="9">
        <f ca="1">IF(OR(AV6="",AV$28&lt;$A33),"",AV6/OFFSET(ParoRegESP!$A$2,MATCH(AV$29,ParoRegESP!$A$2:$A$500)+$A33-1,1)-1)</f>
        <v>-6.6919069840234546E-2</v>
      </c>
      <c r="AW33" s="9">
        <f ca="1">IF(OR(AW6="",AW$28&lt;$A33),"",AW6/OFFSET(ParoRegESP!$A$2,MATCH(AW$29,ParoRegESP!$A$2:$A$500)+$A33-1,1)-1)</f>
        <v>-7.1400889356059705E-2</v>
      </c>
      <c r="AX33" s="9">
        <f ca="1">IF(OR(AX6="",AX$28&lt;$A33),"",AX6/OFFSET(ParoRegESP!$A$2,MATCH(AX$29,ParoRegESP!$A$2:$A$500)+$A33-1,1)-1)</f>
        <v>-9.4695553555892542E-2</v>
      </c>
      <c r="AY33" s="9">
        <f ca="1">IF(OR(AY6="",AY$28&lt;$A33),"",AY6/OFFSET(ParoRegESP!$A$2,MATCH(AY$29,ParoRegESP!$A$2:$A$500)+$A33-1,1)-1)</f>
        <v>-0.10095953434962968</v>
      </c>
      <c r="AZ33" s="9">
        <f ca="1">IF(OR(AZ6="",AZ$28&lt;$A33),"",AZ6/OFFSET(ParoRegESP!$A$2,MATCH(AZ$29,ParoRegESP!$A$2:$A$500)+$A33-1,1)-1)</f>
        <v>-8.1140396439188023E-2</v>
      </c>
      <c r="BA33" s="9">
        <f ca="1">IF(OR(BA6="",BA$28&lt;$A33),"",BA6/OFFSET(ParoRegESP!$A$2,MATCH(BA$29,ParoRegESP!$A$2:$A$500)+$A33-1,1)-1)</f>
        <v>-0.10400611065406817</v>
      </c>
      <c r="BB33" s="9">
        <f ca="1">IF(OR(BB6="",BB$28&lt;$A33),"",BB6/OFFSET(ParoRegESP!$A$2,MATCH(BB$29,ParoRegESP!$A$2:$A$500)+$A33-1,1)-1)</f>
        <v>-6.0478666558580918E-2</v>
      </c>
      <c r="BC33" s="9">
        <f ca="1">IF(OR(BC6="",BC$28&lt;$A33),"",BC6/OFFSET(ParoRegESP!$A$2,MATCH(BC$29,ParoRegESP!$A$2:$A$500)+$A33-1,1)-1)</f>
        <v>-3.3426750544382933E-2</v>
      </c>
      <c r="BD33" s="9">
        <f ca="1">IF(OR(BD6="",BD$28&lt;$A33),"",BD6/OFFSET(ParoRegESP!$A$2,MATCH(BD$29,ParoRegESP!$A$2:$A$500)+$A33-1,1)-1)</f>
        <v>-7.6629374970108799E-2</v>
      </c>
      <c r="BE33" s="9">
        <f ca="1">IF(OR(BE6="",BE$28&lt;$A33),"",BE6/OFFSET(ParoRegESP!$A$2,MATCH(BE$29,ParoRegESP!$A$2:$A$500)+$A33-1,1)-1)</f>
        <v>-9.4353865695195438E-2</v>
      </c>
      <c r="BF33" s="9">
        <f ca="1">IF(OR(BF6="",BF$28&lt;$A33),"",BF6/OFFSET(ParoRegESP!$A$2,MATCH(BF$29,ParoRegESP!$A$2:$A$500)+$A33-1,1)-1)</f>
        <v>-8.9144495860012607E-2</v>
      </c>
      <c r="BG33" s="9">
        <f ca="1">IF(OR(BG6="",BG$28&lt;$A33),"",BG6/OFFSET(ParoRegESP!$A$2,MATCH(BG$29,ParoRegESP!$A$2:$A$500)+$A33-1,1)-1)</f>
        <v>-7.9835208100876631E-2</v>
      </c>
      <c r="BH33" s="9">
        <f ca="1">IF(OR(BH6="",BH$28&lt;$A33),"",BH6/OFFSET(ParoRegESP!$A$2,MATCH(BH$29,ParoRegESP!$A$2:$A$500)+$A33-1,1)-1)</f>
        <v>-5.5304742453600952E-2</v>
      </c>
      <c r="BI33" s="9">
        <f ca="1">IF(OR(BI6="",BI$28&lt;$A33),"",BI6/OFFSET(ParoRegESP!$A$2,MATCH(BI$29,ParoRegESP!$A$2:$A$500)+$A33-1,1)-1)</f>
        <v>-3.5643288290799546E-2</v>
      </c>
      <c r="BJ33" s="9">
        <f ca="1">IF(OR(BJ6="",BJ$28&lt;$A33),"",BJ6/OFFSET(ParoRegESP!$A$2,MATCH(BJ$29,ParoRegESP!$A$2:$A$500)+$A33-1,1)-1)</f>
        <v>-5.474591953279484E-3</v>
      </c>
      <c r="BK33" s="9">
        <f ca="1">IF(OR(BK6="",BK$28&lt;$A33),"",BK6/OFFSET(ParoRegESP!$A$2,MATCH(BK$29,ParoRegESP!$A$2:$A$500)+$A33-1,1)-1)</f>
        <v>1.2864353955355678E-2</v>
      </c>
      <c r="BL33" s="9">
        <f ca="1">IF(OR(BL6="",BL$28&lt;$A33),"",BL6/OFFSET(ParoRegESP!$A$2,MATCH(BL$29,ParoRegESP!$A$2:$A$500)+$A33-1,1)-1)</f>
        <v>7.8158654541559347E-2</v>
      </c>
      <c r="BM33" s="9">
        <f ca="1">IF(OR(BM6="",BM$28&lt;$A33),"",BM6/OFFSET(ParoRegESP!$A$2,MATCH(BM$29,ParoRegESP!$A$2:$A$500)+$A33-1,1)-1)</f>
        <v>0.13666431088544551</v>
      </c>
      <c r="BN33" s="9">
        <f ca="1">IF(OR(BN6="",BN$28&lt;$A33),"",BN6/OFFSET(ParoRegESP!$A$2,MATCH(BN$29,ParoRegESP!$A$2:$A$500)+$A33-1,1)-1)</f>
        <v>0.12019429399580628</v>
      </c>
      <c r="BO33" s="9">
        <f ca="1">IF(OR(BO6="",BO$28&lt;$A33),"",BO6/OFFSET(ParoRegESP!$A$2,MATCH(BO$29,ParoRegESP!$A$2:$A$500)+$A33-1,1)-1)</f>
        <v>7.8593524490866207E-2</v>
      </c>
      <c r="BP33" s="9">
        <f ca="1">IF(OR(BP6="",BP$28&lt;$A33),"",BP6/OFFSET(ParoRegESP!$A$2,MATCH(BP$29,ParoRegESP!$A$2:$A$500)+$A33-1,1)-1)</f>
        <v>3.3169370737553772E-2</v>
      </c>
      <c r="BQ33" s="9">
        <f ca="1">IF(OR(BQ6="",BQ$28&lt;$A33),"",BQ6/OFFSET(ParoRegESP!$A$2,MATCH(BQ$29,ParoRegESP!$A$2:$A$500)+$A33-1,1)-1)</f>
        <v>-2.9993486034909367E-3</v>
      </c>
      <c r="BR33" s="9">
        <f ca="1">IF(OR(BR6="",BR$28&lt;$A33),"",BR6/OFFSET(ParoRegESP!$A$2,MATCH(BR$29,ParoRegESP!$A$2:$A$500)+$A33-1,1)-1)</f>
        <v>1.4177993155709334E-2</v>
      </c>
      <c r="BS33" s="9">
        <f ca="1">IF(OR(BS6="",BS$28&lt;$A33),"",BS6/OFFSET(ParoRegESP!$A$2,MATCH(BS$29,ParoRegESP!$A$2:$A$500)+$A33-1,1)-1)</f>
        <v>4.322688357081006E-2</v>
      </c>
      <c r="BT33" s="9">
        <f ca="1">IF(OR(BT6="",BT$28&lt;$A33),"",BT6/OFFSET(ParoRegESP!$A$2,MATCH(BT$29,ParoRegESP!$A$2:$A$500)+$A33-1,1)-1)</f>
        <v>1.9745195786003755E-2</v>
      </c>
      <c r="BU33" s="9">
        <f ca="1">IF(OR(BU6="",BU$28&lt;$A33),"",BU6/OFFSET(ParoRegESP!$A$2,MATCH(BU$29,ParoRegESP!$A$2:$A$500)+$A33-1,1)-1)</f>
        <v>-1.582578656264233E-2</v>
      </c>
      <c r="BV33" s="9">
        <f ca="1">IF(OR(BV6="",BV$28&lt;$A33),"",BV6/OFFSET(ParoRegESP!$A$2,MATCH(BV$29,ParoRegESP!$A$2:$A$500)+$A33-1,1)-1)</f>
        <v>-1.6841448150526239E-2</v>
      </c>
      <c r="BW33" s="9">
        <f ca="1">IF(OR(BW6="",BW$28&lt;$A33),"",BW6/OFFSET(ParoRegESP!$A$2,MATCH(BW$29,ParoRegESP!$A$2:$A$500)+$A33-1,1)-1)</f>
        <v>1.0786562388784171E-2</v>
      </c>
      <c r="BX33" s="9">
        <f ca="1">IF(OR(BX6="",BX$28&lt;$A33),"",BX6/OFFSET(ParoRegESP!$A$2,MATCH(BX$29,ParoRegESP!$A$2:$A$500)+$A33-1,1)-1)</f>
        <v>4.4186598853960479E-2</v>
      </c>
      <c r="BY33" s="9">
        <f ca="1">IF(OR(BY6="",BY$28&lt;$A33),"",BY6/OFFSET(ParoRegESP!$A$2,MATCH(BY$29,ParoRegESP!$A$2:$A$500)+$A33-1,1)-1)</f>
        <v>6.8656397184974294E-2</v>
      </c>
      <c r="BZ33" s="9">
        <f ca="1">IF(OR(BZ6="",BZ$28&lt;$A33),"",BZ6/OFFSET(ParoRegESP!$A$2,MATCH(BZ$29,ParoRegESP!$A$2:$A$500)+$A33-1,1)-1)</f>
        <v>4.40583624635702E-2</v>
      </c>
      <c r="CA33" s="9">
        <f ca="1">IF(OR(CA6="",CA$28&lt;$A33),"",CA6/OFFSET(ParoRegESP!$A$2,MATCH(CA$29,ParoRegESP!$A$2:$A$500)+$A33-1,1)-1)</f>
        <v>2.0340603186251638E-2</v>
      </c>
      <c r="CB33" s="9">
        <f ca="1">IF(OR(CB6="",CB$28&lt;$A33),"",CB6/OFFSET(ParoRegESP!$A$2,MATCH(CB$29,ParoRegESP!$A$2:$A$500)+$A33-1,1)-1)</f>
        <v>-1.165140034862977E-2</v>
      </c>
      <c r="CC33" s="9">
        <f ca="1">IF(OR(CC6="",CC$28&lt;$A33),"",CC6/OFFSET(ParoRegESP!$A$2,MATCH(CC$29,ParoRegESP!$A$2:$A$500)+$A33-1,1)-1)</f>
        <v>-2.5980379282276478E-2</v>
      </c>
      <c r="CD33" s="9">
        <f ca="1">IF(OR(CD6="",CD$28&lt;$A33),"",CD6/OFFSET(ParoRegESP!$A$2,MATCH(CD$29,ParoRegESP!$A$2:$A$500)+$A33-1,1)-1)</f>
        <v>1.5781873614651332E-2</v>
      </c>
      <c r="CE33" s="9">
        <f ca="1">IF(OR(CE6="",CE$28&lt;$A33),"",CE6/OFFSET(ParoRegESP!$A$2,MATCH(CE$29,ParoRegESP!$A$2:$A$500)+$A33-1,1)-1)</f>
        <v>2.4233421238892827E-2</v>
      </c>
      <c r="CF33" s="9">
        <f ca="1">IF(OR(CF6="",CF$28&lt;$A33),"",CF6/OFFSET(ParoRegESP!$A$2,MATCH(CF$29,ParoRegESP!$A$2:$A$500)+$A33-1,1)-1)</f>
        <v>1.1714742888922158E-2</v>
      </c>
      <c r="CG33" s="9">
        <f ca="1">IF(OR(CG6="",CG$28&lt;$A33),"",CG6/OFFSET(ParoRegESP!$A$2,MATCH(CG$29,ParoRegESP!$A$2:$A$500)+$A33-1,1)-1)</f>
        <v>-1.7316852355888646E-2</v>
      </c>
      <c r="CH33" s="9">
        <f ca="1">IF(OR(CH6="",CH$28&lt;$A33),"",CH6/OFFSET(ParoRegESP!$A$2,MATCH(CH$29,ParoRegESP!$A$2:$A$500)+$A33-1,1)-1)</f>
        <v>-3.793236231536945E-2</v>
      </c>
      <c r="CI33" s="9">
        <f ca="1">IF(OR(CI6="",CI$28&lt;$A33),"",CI6/OFFSET(ParoRegESP!$A$2,MATCH(CI$29,ParoRegESP!$A$2:$A$500)+$A33-1,1)-1)</f>
        <v>-1.9848183761512761E-3</v>
      </c>
      <c r="CJ33" s="9">
        <f ca="1">IF(OR(CJ6="",CJ$28&lt;$A33),"",CJ6/OFFSET(ParoRegESP!$A$2,MATCH(CJ$29,ParoRegESP!$A$2:$A$500)+$A33-1,1)-1)</f>
        <v>1.9095885897506992E-2</v>
      </c>
      <c r="CK33" s="9">
        <f ca="1">IF(OR(CK6="",CK$28&lt;$A33),"",CK6/OFFSET(ParoRegESP!$A$2,MATCH(CK$29,ParoRegESP!$A$2:$A$500)+$A33-1,1)-1)</f>
        <v>3.3018275019905508E-2</v>
      </c>
      <c r="CL33" s="9">
        <f ca="1">IF(OR(CL6="",CL$28&lt;$A33),"",CL6/OFFSET(ParoRegESP!$A$2,MATCH(CL$29,ParoRegESP!$A$2:$A$500)+$A33-1,1)-1)</f>
        <v>2.4815717624599998E-3</v>
      </c>
      <c r="CM33" s="9">
        <f ca="1">IF(OR(CM6="",CM$28&lt;$A33),"",CM6/OFFSET(ParoRegESP!$A$2,MATCH(CM$29,ParoRegESP!$A$2:$A$500)+$A33-1,1)-1)</f>
        <v>-1.8754722084311726E-2</v>
      </c>
      <c r="CN33" s="9">
        <f ca="1">IF(OR(CN6="",CN$28&lt;$A33),"",CN6/OFFSET(ParoRegESP!$A$2,MATCH(CN$29,ParoRegESP!$A$2:$A$500)+$A33-1,1)-1)</f>
        <v>-3.6625188087240579E-2</v>
      </c>
      <c r="CO33" s="9">
        <f ca="1">IF(OR(CO6="",CO$28&lt;$A33),"",CO6/OFFSET(ParoRegESP!$A$2,MATCH(CO$29,ParoRegESP!$A$2:$A$500)+$A33-1,1)-1)</f>
        <v>-4.383766686267665E-2</v>
      </c>
      <c r="CP33" s="9">
        <f ca="1">IF(OR(CP6="",CP$28&lt;$A33),"",CP6/OFFSET(ParoRegESP!$A$2,MATCH(CP$29,ParoRegESP!$A$2:$A$500)+$A33-1,1)-1)</f>
        <v>-2.9332237027306474E-2</v>
      </c>
      <c r="CQ33" s="9">
        <f ca="1">IF(OR(CQ6="",CQ$28&lt;$A33),"",CQ6/OFFSET(ParoRegESP!$A$2,MATCH(CQ$29,ParoRegESP!$A$2:$A$500)+$A33-1,1)-1)</f>
        <v>-4.3879661842608497E-3</v>
      </c>
      <c r="CR33" s="9">
        <f ca="1">IF(OR(CR6="",CR$28&lt;$A33),"",CR6/OFFSET(ParoRegESP!$A$2,MATCH(CR$29,ParoRegESP!$A$2:$A$500)+$A33-1,1)-1)</f>
        <v>9.1251165226877706E-3</v>
      </c>
      <c r="CS33" s="9">
        <f ca="1">IF(OR(CS6="",CS$28&lt;$A33),"",CS6/OFFSET(ParoRegESP!$A$2,MATCH(CS$29,ParoRegESP!$A$2:$A$500)+$A33-1,1)-1)</f>
        <v>-1.4269313798579097E-2</v>
      </c>
      <c r="CT33" s="9">
        <f ca="1">IF(OR(CT6="",CT$28&lt;$A33),"",CT6/OFFSET(ParoRegESP!$A$2,MATCH(CT$29,ParoRegESP!$A$2:$A$500)+$A33-1,1)-1)</f>
        <v>-3.5961889115705747E-2</v>
      </c>
      <c r="CU33" s="9">
        <f ca="1">IF(OR(CU6="",CU$28&lt;$A33),"",CU6/OFFSET(ParoRegESP!$A$2,MATCH(CU$29,ParoRegESP!$A$2:$A$500)+$A33-1,1)-1)</f>
        <v>-1.5866726045312141E-2</v>
      </c>
      <c r="CV33" s="9">
        <f ca="1">IF(OR(CV6="",CV$28&lt;$A33),"",CV6/OFFSET(ParoRegESP!$A$2,MATCH(CV$29,ParoRegESP!$A$2:$A$500)+$A33-1,1)-1)</f>
        <v>9.199303986000551E-3</v>
      </c>
      <c r="CW33" s="9">
        <f ca="1">IF(OR(CW6="",CW$28&lt;$A33),"",CW6/OFFSET(ParoRegESP!$A$2,MATCH(CW$29,ParoRegESP!$A$2:$A$500)+$A33-1,1)-1)</f>
        <v>-5.7688002403466498E-5</v>
      </c>
      <c r="CX33" s="9">
        <f ca="1">IF(OR(CX6="",CX$28&lt;$A33),"",CX6/OFFSET(ParoRegESP!$A$2,MATCH(CX$29,ParoRegESP!$A$2:$A$500)+$A33-1,1)-1)</f>
        <v>2.3190358458112126E-2</v>
      </c>
      <c r="CY33" s="9">
        <f ca="1">IF(OR(CY6="",CY$28&lt;$A33),"",CY6/OFFSET(ParoRegESP!$A$2,MATCH(CY$29,ParoRegESP!$A$2:$A$500)+$A33-1,1)-1)</f>
        <v>2.7319796020263798E-2</v>
      </c>
      <c r="CZ33" s="9">
        <f ca="1">IF(OR(CZ6="",CZ$28&lt;$A33),"",CZ6/OFFSET(ParoRegESP!$A$2,MATCH(CZ$29,ParoRegESP!$A$2:$A$500)+$A33-1,1)-1)</f>
        <v>-7.5996765367091212E-3</v>
      </c>
      <c r="DA33" s="9">
        <f ca="1">IF(OR(DA6="",DA$28&lt;$A33),"",DA6/OFFSET(ParoRegESP!$A$2,MATCH(DA$29,ParoRegESP!$A$2:$A$500)+$A33-1,1)-1)</f>
        <v>7.5426114553622803E-4</v>
      </c>
      <c r="DB33" s="9">
        <f ca="1">IF(OR(DB6="",DB$28&lt;$A33),"",DB6/OFFSET(ParoRegESP!$A$2,MATCH(DB$29,ParoRegESP!$A$2:$A$500)+$A33-1,1)-1)</f>
        <v>7.5210668983480833E-3</v>
      </c>
      <c r="DC33" s="9">
        <f ca="1">IF(OR(DC6="",DC$28&lt;$A33),"",DC6/OFFSET(ParoRegESP!$A$2,MATCH(DC$29,ParoRegESP!$A$2:$A$500)+$A33-1,1)-1)</f>
        <v>1.5915680008083077E-2</v>
      </c>
      <c r="DD33" s="9">
        <f ca="1">IF(OR(DD6="",DD$28&lt;$A33),"",DD6/OFFSET(ParoRegESP!$A$2,MATCH(DD$29,ParoRegESP!$A$2:$A$500)+$A33-1,1)-1)</f>
        <v>3.023934336491263E-2</v>
      </c>
      <c r="DE33" s="9">
        <f ca="1">IF(OR(DE6="",DE$28&lt;$A33),"",DE6/OFFSET(ParoRegESP!$A$2,MATCH(DE$29,ParoRegESP!$A$2:$A$500)+$A33-1,1)-1)</f>
        <v>2.6979100179203686E-2</v>
      </c>
      <c r="DF33" s="9">
        <f ca="1">IF(OR(DF6="",DF$28&lt;$A33),"",DF6/OFFSET(ParoRegESP!$A$2,MATCH(DF$29,ParoRegESP!$A$2:$A$500)+$A33-1,1)-1)</f>
        <v>-2.3814559353070308E-3</v>
      </c>
      <c r="DG33" s="9">
        <f ca="1">IF(OR(DG6="",DG$28&lt;$A33),"",DG6/OFFSET(ParoRegESP!$A$2,MATCH(DG$29,ParoRegESP!$A$2:$A$500)+$A33-1,1)-1)</f>
        <v>1.0637023945658575E-2</v>
      </c>
      <c r="DH33" s="9">
        <f ca="1">IF(OR(DH6="",DH$28&lt;$A33),"",DH6/OFFSET(ParoRegESP!$A$2,MATCH(DH$29,ParoRegESP!$A$2:$A$500)+$A33-1,1)-1)</f>
        <v>9.9866457612860504E-3</v>
      </c>
      <c r="DI33" s="9">
        <f ca="1">IF(OR(DI6="",DI$28&lt;$A33),"",DI6/OFFSET(ParoRegESP!$A$2,MATCH(DI$29,ParoRegESP!$A$2:$A$500)+$A33-1,1)-1)</f>
        <v>8.3711881472088301E-3</v>
      </c>
      <c r="DJ33" s="9">
        <f ca="1">IF(OR(DJ6="",DJ$28&lt;$A33),"",DJ6/OFFSET(ParoRegESP!$A$2,MATCH(DJ$29,ParoRegESP!$A$2:$A$500)+$A33-1,1)-1)</f>
        <v>2.3117097631023764E-2</v>
      </c>
      <c r="DK33" s="9">
        <f ca="1">IF(OR(DK6="",DK$28&lt;$A33),"",DK6/OFFSET(ParoRegESP!$A$2,MATCH(DK$29,ParoRegESP!$A$2:$A$500)+$A33-1,1)-1)</f>
        <v>1.5936766599398577E-2</v>
      </c>
      <c r="DL33" s="9">
        <f ca="1">IF(OR(DL6="",DL$28&lt;$A33),"",DL6/OFFSET(ParoRegESP!$A$2,MATCH(DL$29,ParoRegESP!$A$2:$A$500)+$A33-1,1)-1)</f>
        <v>5.3089641693482292E-3</v>
      </c>
      <c r="DM33" s="9">
        <f ca="1">IF(OR(DM6="",DM$28&lt;$A33),"",DM6/OFFSET(ParoRegESP!$A$2,MATCH(DM$29,ParoRegESP!$A$2:$A$500)+$A33-1,1)-1)</f>
        <v>1.5189324980397378E-2</v>
      </c>
      <c r="DN33" s="9">
        <f ca="1">IF(OR(DN6="",DN$28&lt;$A33),"",DN6/OFFSET(ParoRegESP!$A$2,MATCH(DN$29,ParoRegESP!$A$2:$A$500)+$A33-1,1)-1)</f>
        <v>2.1344757605231246E-2</v>
      </c>
      <c r="DO33" s="9">
        <f ca="1">IF(OR(DO6="",DO$28&lt;$A33),"",DO6/OFFSET(ParoRegESP!$A$2,MATCH(DO$29,ParoRegESP!$A$2:$A$500)+$A33-1,1)-1)</f>
        <v>1.5870817860144104E-2</v>
      </c>
      <c r="DP33" s="9">
        <f ca="1">IF(OR(DP6="",DP$28&lt;$A33),"",DP6/OFFSET(ParoRegESP!$A$2,MATCH(DP$29,ParoRegESP!$A$2:$A$500)+$A33-1,1)-1)</f>
        <v>3.2581815516145474E-2</v>
      </c>
      <c r="DQ33" s="9">
        <f ca="1">IF(OR(DQ6="",DQ$28&lt;$A33),"",DQ6/OFFSET(ParoRegESP!$A$2,MATCH(DQ$29,ParoRegESP!$A$2:$A$500)+$A33-1,1)-1)</f>
        <v>1.5814721000322773E-2</v>
      </c>
      <c r="DR33" s="9">
        <f ca="1">IF(OR(DR6="",DR$28&lt;$A33),"",DR6/OFFSET(ParoRegESP!$A$2,MATCH(DR$29,ParoRegESP!$A$2:$A$500)+$A33-1,1)-1)</f>
        <v>-1.4004744650049972E-2</v>
      </c>
      <c r="DS33" s="9">
        <f ca="1">IF(OR(DS6="",DS$28&lt;$A33),"",DS6/OFFSET(ParoRegESP!$A$2,MATCH(DS$29,ParoRegESP!$A$2:$A$500)+$A33-1,1)-1)</f>
        <v>1.0419967846354794E-2</v>
      </c>
      <c r="DT33" s="9">
        <f ca="1">IF(OR(DT6="",DT$28&lt;$A33),"",DT6/OFFSET(ParoRegESP!$A$2,MATCH(DT$29,ParoRegESP!$A$2:$A$500)+$A33-1,1)-1)</f>
        <v>-1.225678098079519E-2</v>
      </c>
      <c r="DU33" s="9">
        <f ca="1">IF(OR(DU6="",DU$28&lt;$A33),"",DU6/OFFSET(ParoRegESP!$A$2,MATCH(DU$29,ParoRegESP!$A$2:$A$500)+$A33-1,1)-1)</f>
        <v>-1.1034237703623773E-2</v>
      </c>
      <c r="DV33" s="9">
        <f ca="1">IF(OR(DV6="",DV$28&lt;$A33),"",DV6/OFFSET(ParoRegESP!$A$2,MATCH(DV$29,ParoRegESP!$A$2:$A$500)+$A33-1,1)-1)</f>
        <v>-2.1245720259791545E-2</v>
      </c>
      <c r="DW33" s="9">
        <f ca="1">IF(OR(DW6="",DW$28&lt;$A33),"",DW6/OFFSET(ParoRegESP!$A$2,MATCH(DW$29,ParoRegESP!$A$2:$A$500)+$A33-1,1)-1)</f>
        <v>-2.1471403723060889E-2</v>
      </c>
      <c r="DX33" s="9">
        <f ca="1">IF(OR(DX6="",DX$28&lt;$A33),"",DX6/OFFSET(ParoRegESP!$A$2,MATCH(DX$29,ParoRegESP!$A$2:$A$500)+$A33-1,1)-1)</f>
        <v>-1.6682558245068146E-2</v>
      </c>
      <c r="DY33" s="9">
        <f ca="1">IF(OR(DY6="",DY$28&lt;$A33),"",DY6/OFFSET(ParoRegESP!$A$2,MATCH(DY$29,ParoRegESP!$A$2:$A$500)+$A33-1,1)-1)</f>
        <v>1.8663701960436985E-2</v>
      </c>
      <c r="DZ33" s="9">
        <f ca="1">IF(OR(DZ6="",DZ$28&lt;$A33),"",DZ6/OFFSET(ParoRegESP!$A$2,MATCH(DZ$29,ParoRegESP!$A$2:$A$500)+$A33-1,1)-1)</f>
        <v>1.5890661388649807E-2</v>
      </c>
      <c r="EA33" s="9">
        <f ca="1">IF(OR(EA6="",EA$28&lt;$A33),"",EA6/OFFSET(ParoRegESP!$A$2,MATCH(EA$29,ParoRegESP!$A$2:$A$500)+$A33-1,1)-1)</f>
        <v>1.9614374416459412E-2</v>
      </c>
      <c r="EB33" s="9">
        <f ca="1">IF(OR(EB6="",EB$28&lt;$A33),"",EB6/OFFSET(ParoRegESP!$A$2,MATCH(EB$29,ParoRegESP!$A$2:$A$500)+$A33-1,1)-1)</f>
        <v>2.8417140952140318E-2</v>
      </c>
      <c r="EC33" s="9">
        <f ca="1">IF(OR(EC6="",EC$28&lt;$A33),"",EC6/OFFSET(ParoRegESP!$A$2,MATCH(EC$29,ParoRegESP!$A$2:$A$500)+$A33-1,1)-1)</f>
        <v>1.9625371779769862E-2</v>
      </c>
      <c r="ED33" s="9">
        <f ca="1">IF(OR(ED6="",ED$28&lt;$A33),"",ED6/OFFSET(ParoRegESP!$A$2,MATCH(ED$29,ParoRegESP!$A$2:$A$500)+$A33-1,1)-1)</f>
        <v>2.2815139097132286E-2</v>
      </c>
      <c r="EE33" s="9">
        <f ca="1">IF(OR(EE6="",EE$28&lt;$A33),"",EE6/OFFSET(ParoRegESP!$A$2,MATCH(EE$29,ParoRegESP!$A$2:$A$500)+$A33-1,1)-1)</f>
        <v>1.4983363738485078E-2</v>
      </c>
      <c r="EF33" s="9">
        <f ca="1">IF(OR(EF6="",EF$28&lt;$A33),"",EF6/OFFSET(ParoRegESP!$A$2,MATCH(EF$29,ParoRegESP!$A$2:$A$500)+$A33-1,1)-1)</f>
        <v>-5.1046723835825869E-3</v>
      </c>
      <c r="EG33" s="9">
        <f ca="1">IF(OR(EG6="",EG$28&lt;$A33),"",EG6/OFFSET(ParoRegESP!$A$2,MATCH(EG$29,ParoRegESP!$A$2:$A$500)+$A33-1,1)-1)</f>
        <v>-1.1140102338598967E-2</v>
      </c>
      <c r="EH33" s="9">
        <f ca="1">IF(OR(EH6="",EH$28&lt;$A33),"",EH6/OFFSET(ParoRegESP!$A$2,MATCH(EH$29,ParoRegESP!$A$2:$A$500)+$A33-1,1)-1)</f>
        <v>-2.2302053357541762E-2</v>
      </c>
      <c r="EI33" s="9">
        <f ca="1">IF(OR(EI6="",EI$28&lt;$A33),"",EI6/OFFSET(ParoRegESP!$A$2,MATCH(EI$29,ParoRegESP!$A$2:$A$500)+$A33-1,1)-1)</f>
        <v>-2.241070610897522E-2</v>
      </c>
      <c r="EJ33" s="9">
        <f ca="1">IF(OR(EJ6="",EJ$28&lt;$A33),"",EJ6/OFFSET(ParoRegESP!$A$2,MATCH(EJ$29,ParoRegESP!$A$2:$A$500)+$A33-1,1)-1)</f>
        <v>1.6116588662564713E-3</v>
      </c>
      <c r="EK33" s="9">
        <f ca="1">IF(OR(EK6="",EK$28&lt;$A33),"",EK6/OFFSET(ParoRegESP!$A$2,MATCH(EK$29,ParoRegESP!$A$2:$A$500)+$A33-1,1)-1)</f>
        <v>-1.0383273461513354E-2</v>
      </c>
      <c r="EL33" s="9">
        <f ca="1">IF(OR(EL6="",EL$28&lt;$A33),"",EL6/OFFSET(ParoRegESP!$A$2,MATCH(EL$29,ParoRegESP!$A$2:$A$500)+$A33-1,1)-1)</f>
        <v>6.8976157639568658E-3</v>
      </c>
      <c r="EM33" s="9">
        <f ca="1">IF(OR(EM6="",EM$28&lt;$A33),"",EM6/OFFSET(ParoRegESP!$A$2,MATCH(EM$29,ParoRegESP!$A$2:$A$500)+$A33-1,1)-1)</f>
        <v>2.0432569903800157E-2</v>
      </c>
      <c r="EN33" s="9">
        <f ca="1">IF(OR(EN6="",EN$28&lt;$A33),"",EN6/OFFSET(ParoRegESP!$A$2,MATCH(EN$29,ParoRegESP!$A$2:$A$500)+$A33-1,1)-1)</f>
        <v>2.8501391474639481E-2</v>
      </c>
      <c r="EO33" s="9">
        <f ca="1">IF(OR(EO6="",EO$28&lt;$A33),"",EO6/OFFSET(ParoRegESP!$A$2,MATCH(EO$29,ParoRegESP!$A$2:$A$500)+$A33-1,1)-1)</f>
        <v>9.9314300424986346E-3</v>
      </c>
      <c r="EP33" s="9">
        <f ca="1">IF(OR(EP6="",EP$28&lt;$A33),"",EP6/OFFSET(ParoRegESP!$A$2,MATCH(EP$29,ParoRegESP!$A$2:$A$500)+$A33-1,1)-1)</f>
        <v>8.6232126302423495E-3</v>
      </c>
      <c r="EQ33" s="9">
        <f ca="1">IF(OR(EQ6="",EQ$28&lt;$A33),"",EQ6/OFFSET(ParoRegESP!$A$2,MATCH(EQ$29,ParoRegESP!$A$2:$A$500)+$A33-1,1)-1)</f>
        <v>-1.3817905845603717E-2</v>
      </c>
      <c r="ER33" s="9">
        <f ca="1">IF(OR(ER6="",ER$28&lt;$A33),"",ER6/OFFSET(ParoRegESP!$A$2,MATCH(ER$29,ParoRegESP!$A$2:$A$500)+$A33-1,1)-1)</f>
        <v>-1.5823472464780997E-3</v>
      </c>
      <c r="ES33" s="9">
        <f ca="1">IF(OR(ES6="",ES$28&lt;$A33),"",ES6/OFFSET(ParoRegESP!$A$2,MATCH(ES$29,ParoRegESP!$A$2:$A$500)+$A33-1,1)-1)</f>
        <v>-1.024029357308831E-3</v>
      </c>
      <c r="ET33" s="9">
        <f ca="1">IF(OR(ET6="",ET$28&lt;$A33),"",ET6/OFFSET(ParoRegESP!$A$2,MATCH(ET$29,ParoRegESP!$A$2:$A$500)+$A33-1,1)-1)</f>
        <v>1.2017246922614078E-2</v>
      </c>
      <c r="EU33" s="9">
        <f ca="1">IF(OR(EU6="",EU$28&lt;$A33),"",EU6/OFFSET(ParoRegESP!$A$2,MATCH(EU$29,ParoRegESP!$A$2:$A$500)+$A33-1,1)-1)</f>
        <v>1.2151050930221174E-2</v>
      </c>
      <c r="EV33" s="9">
        <f ca="1">IF(OR(EV6="",EV$28&lt;$A33),"",EV6/OFFSET(ParoRegESP!$A$2,MATCH(EV$29,ParoRegESP!$A$2:$A$500)+$A33-1,1)-1)</f>
        <v>3.6177033034530126E-3</v>
      </c>
      <c r="EW33" s="9">
        <f ca="1">IF(OR(EW6="",EW$28&lt;$A33),"",EW6/OFFSET(ParoRegESP!$A$2,MATCH(EW$29,ParoRegESP!$A$2:$A$500)+$A33-1,1)-1)</f>
        <v>-1.2179513278532839E-2</v>
      </c>
      <c r="EX33" s="9">
        <f ca="1">IF(OR(EX6="",EX$28&lt;$A33),"",EX6/OFFSET(ParoRegESP!$A$2,MATCH(EX$29,ParoRegESP!$A$2:$A$500)+$A33-1,1)-1)</f>
        <v>5.1243661735114188E-3</v>
      </c>
      <c r="EY33" s="9">
        <f ca="1">IF(OR(EY6="",EY$28&lt;$A33),"",EY6/OFFSET(ParoRegESP!$A$2,MATCH(EY$29,ParoRegESP!$A$2:$A$500)+$A33-1,1)-1)</f>
        <v>1.33525404864685E-2</v>
      </c>
      <c r="EZ33" s="9">
        <f ca="1">IF(OR(EZ6="",EZ$28&lt;$A33),"",EZ6/OFFSET(ParoRegESP!$A$2,MATCH(EZ$29,ParoRegESP!$A$2:$A$500)+$A33-1,1)-1)</f>
        <v>1.798245616451366E-3</v>
      </c>
      <c r="FA33" s="9">
        <f ca="1">IF(OR(FA6="",FA$28&lt;$A33),"",FA6/OFFSET(ParoRegESP!$A$2,MATCH(FA$29,ParoRegESP!$A$2:$A$500)+$A33-1,1)-1)</f>
        <v>2.6609554401228808E-2</v>
      </c>
      <c r="FB33" s="9">
        <f ca="1">IF(OR(FB6="",FB$28&lt;$A33),"",FB6/OFFSET(ParoRegESP!$A$2,MATCH(FB$29,ParoRegESP!$A$2:$A$500)+$A33-1,1)-1)</f>
        <v>5.4093701815363104E-3</v>
      </c>
      <c r="FC33" s="9">
        <f ca="1">IF(OR(FC6="",FC$28&lt;$A33),"",FC6/OFFSET(ParoRegESP!$A$2,MATCH(FC$29,ParoRegESP!$A$2:$A$500)+$A33-1,1)-1)</f>
        <v>6.7611791914548025E-3</v>
      </c>
      <c r="FD33" s="9">
        <f ca="1">IF(OR(FD6="",FD$28&lt;$A33),"",FD6/OFFSET(ParoRegESP!$A$2,MATCH(FD$29,ParoRegESP!$A$2:$A$500)+$A33-1,1)-1)</f>
        <v>-1.4073290408672667E-3</v>
      </c>
      <c r="FE33" s="9">
        <f ca="1">IF(OR(FE6="",FE$28&lt;$A33),"",FE6/OFFSET(ParoRegESP!$A$2,MATCH(FE$29,ParoRegESP!$A$2:$A$500)+$A33-1,1)-1)</f>
        <v>-2.0837220328048689E-2</v>
      </c>
      <c r="FF33" s="9">
        <f ca="1">IF(OR(FF6="",FF$28&lt;$A33),"",FF6/OFFSET(ParoRegESP!$A$2,MATCH(FF$29,ParoRegESP!$A$2:$A$500)+$A33-1,1)-1)</f>
        <v>-4.817702132085544E-2</v>
      </c>
      <c r="FG33" s="9">
        <f ca="1">IF(OR(FG6="",FG$28&lt;$A33),"",FG6/OFFSET(ParoRegESP!$A$2,MATCH(FG$29,ParoRegESP!$A$2:$A$500)+$A33-1,1)-1)</f>
        <v>-4.5454377212553965E-2</v>
      </c>
      <c r="FH33" s="9">
        <f ca="1">IF(OR(FH6="",FH$28&lt;$A33),"",FH6/OFFSET(ParoRegESP!$A$2,MATCH(FH$29,ParoRegESP!$A$2:$A$500)+$A33-1,1)-1)</f>
        <v>-2.008128310744528E-2</v>
      </c>
      <c r="FI33" s="9">
        <f ca="1">IF(OR(FI6="",FI$28&lt;$A33),"",FI6/OFFSET(ParoRegESP!$A$2,MATCH(FI$29,ParoRegESP!$A$2:$A$500)+$A33-1,1)-1)</f>
        <v>1.0084519185717955E-2</v>
      </c>
      <c r="FJ33" s="9">
        <f ca="1">IF(OR(FJ6="",FJ$28&lt;$A33),"",FJ6/OFFSET(ParoRegESP!$A$2,MATCH(FJ$29,ParoRegESP!$A$2:$A$500)+$A33-1,1)-1)</f>
        <v>2.7558277132572861E-2</v>
      </c>
      <c r="FK33" s="9">
        <f ca="1">IF(OR(FK6="",FK$28&lt;$A33),"",FK6/OFFSET(ParoRegESP!$A$2,MATCH(FK$29,ParoRegESP!$A$2:$A$500)+$A33-1,1)-1)</f>
        <v>2.0967969286699972E-2</v>
      </c>
      <c r="FL33" s="9">
        <f ca="1">IF(OR(FL6="",FL$28&lt;$A33),"",FL6/OFFSET(ParoRegESP!$A$2,MATCH(FL$29,ParoRegESP!$A$2:$A$500)+$A33-1,1)-1)</f>
        <v>1.4399665810181927E-2</v>
      </c>
      <c r="FM33" s="9">
        <f ca="1">IF(OR(FM6="",FM$28&lt;$A33),"",FM6/OFFSET(ParoRegESP!$A$2,MATCH(FM$29,ParoRegESP!$A$2:$A$500)+$A33-1,1)-1)</f>
        <v>7.4033994775590806E-3</v>
      </c>
      <c r="FN33" s="9">
        <f ca="1">IF(OR(FN6="",FN$28&lt;$A33),"",FN6/OFFSET(ParoRegESP!$A$2,MATCH(FN$29,ParoRegESP!$A$2:$A$500)+$A33-1,1)-1)</f>
        <v>4.5590092170062491E-3</v>
      </c>
      <c r="FO33" s="9">
        <f ca="1">IF(OR(FO6="",FO$28&lt;$A33),"",FO6/OFFSET(ParoRegESP!$A$2,MATCH(FO$29,ParoRegESP!$A$2:$A$500)+$A33-1,1)-1)</f>
        <v>-1.1965599182684139E-2</v>
      </c>
      <c r="FP33" s="9">
        <f ca="1">IF(OR(FP6="",FP$28&lt;$A33),"",FP6/OFFSET(ParoRegESP!$A$2,MATCH(FP$29,ParoRegESP!$A$2:$A$500)+$A33-1,1)-1)</f>
        <v>-2.0485937070511606E-2</v>
      </c>
      <c r="FQ33" s="9">
        <f ca="1">IF(OR(FQ6="",FQ$28&lt;$A33),"",FQ6/OFFSET(ParoRegESP!$A$2,MATCH(FQ$29,ParoRegESP!$A$2:$A$500)+$A33-1,1)-1)</f>
        <v>-1.9308568258237457E-2</v>
      </c>
      <c r="FR33" s="9">
        <f ca="1">IF(OR(FR6="",FR$28&lt;$A33),"",FR6/OFFSET(ParoRegESP!$A$2,MATCH(FR$29,ParoRegESP!$A$2:$A$500)+$A33-1,1)-1)</f>
        <v>-1.5708959145673052E-2</v>
      </c>
      <c r="FS33" s="9">
        <f ca="1">IF(OR(FS6="",FS$28&lt;$A33),"",FS6/OFFSET(ParoRegESP!$A$2,MATCH(FS$29,ParoRegESP!$A$2:$A$500)+$A33-1,1)-1)</f>
        <v>2.2871576979508479E-3</v>
      </c>
      <c r="FT33" s="9">
        <f ca="1">IF(OR(FT6="",FT$28&lt;$A33),"",FT6/OFFSET(ParoRegESP!$A$2,MATCH(FT$29,ParoRegESP!$A$2:$A$500)+$A33-1,1)-1)</f>
        <v>7.0209855746743433E-3</v>
      </c>
      <c r="FU33" s="9">
        <f ca="1">IF(OR(FU6="",FU$28&lt;$A33),"",FU6/OFFSET(ParoRegESP!$A$2,MATCH(FU$29,ParoRegESP!$A$2:$A$500)+$A33-1,1)-1)</f>
        <v>2.2046114544188367E-2</v>
      </c>
      <c r="FV33" s="9">
        <f ca="1">IF(OR(FV6="",FV$28&lt;$A33),"",FV6/OFFSET(ParoRegESP!$A$2,MATCH(FV$29,ParoRegESP!$A$2:$A$500)+$A33-1,1)-1)</f>
        <v>2.2844752132807233E-2</v>
      </c>
      <c r="FW33" s="9">
        <f ca="1">IF(OR(FW6="",FW$28&lt;$A33),"",FW6/OFFSET(ParoRegESP!$A$2,MATCH(FW$29,ParoRegESP!$A$2:$A$500)+$A33-1,1)-1)</f>
        <v>1.1523760935832961E-2</v>
      </c>
      <c r="FX33" s="9">
        <f ca="1">IF(OR(FX6="",FX$28&lt;$A33),"",FX6/OFFSET(ParoRegESP!$A$2,MATCH(FX$29,ParoRegESP!$A$2:$A$500)+$A33-1,1)-1)</f>
        <v>1.7971770957148081E-4</v>
      </c>
      <c r="FY33" s="9">
        <f ca="1">IF(OR(FY6="",FY$28&lt;$A33),"",FY6/OFFSET(ParoRegESP!$A$2,MATCH(FY$29,ParoRegESP!$A$2:$A$500)+$A33-1,1)-1)</f>
        <v>-1.139785439922536E-2</v>
      </c>
      <c r="FZ33" s="9">
        <f ca="1">IF(OR(FZ6="",FZ$28&lt;$A33),"",FZ6/OFFSET(ParoRegESP!$A$2,MATCH(FZ$29,ParoRegESP!$A$2:$A$500)+$A33-1,1)-1)</f>
        <v>-4.6733536145003862E-3</v>
      </c>
      <c r="GA33" s="9">
        <f ca="1">IF(OR(GA6="",GA$28&lt;$A33),"",GA6/OFFSET(ParoRegESP!$A$2,MATCH(GA$29,ParoRegESP!$A$2:$A$500)+$A33-1,1)-1)</f>
        <v>1.1852058385513065E-3</v>
      </c>
      <c r="GB33" s="9">
        <f ca="1">IF(OR(GB6="",GB$28&lt;$A33),"",GB6/OFFSET(ParoRegESP!$A$2,MATCH(GB$29,ParoRegESP!$A$2:$A$500)+$A33-1,1)-1)</f>
        <v>-8.05920987598574E-3</v>
      </c>
      <c r="GC33" s="9">
        <f ca="1">IF(OR(GC6="",GC$28&lt;$A33),"",GC6/OFFSET(ParoRegESP!$A$2,MATCH(GC$29,ParoRegESP!$A$2:$A$500)+$A33-1,1)-1)</f>
        <v>-1.776400855765714E-2</v>
      </c>
      <c r="GD33" s="9">
        <f ca="1">IF(OR(GD6="",GD$28&lt;$A33),"",GD6/OFFSET(ParoRegESP!$A$2,MATCH(GD$29,ParoRegESP!$A$2:$A$500)+$A33-1,1)-1)</f>
        <v>-2.6155499459404874E-2</v>
      </c>
      <c r="GE33" s="9">
        <f ca="1">IF(OR(GE6="",GE$28&lt;$A33),"",GE6/OFFSET(ParoRegESP!$A$2,MATCH(GE$29,ParoRegESP!$A$2:$A$500)+$A33-1,1)-1)</f>
        <v>-2.0335148918005586E-2</v>
      </c>
      <c r="GF33" s="9">
        <f ca="1">IF(OR(GF6="",GF$28&lt;$A33),"",GF6/OFFSET(ParoRegESP!$A$2,MATCH(GF$29,ParoRegESP!$A$2:$A$500)+$A33-1,1)-1)</f>
        <v>-5.3733878951587322E-3</v>
      </c>
      <c r="GG33" s="9">
        <f ca="1">IF(OR(GG6="",GG$28&lt;$A33),"",GG6/OFFSET(ParoRegESP!$A$2,MATCH(GG$29,ParoRegESP!$A$2:$A$500)+$A33-1,1)-1)</f>
        <v>3.2383631338968044E-3</v>
      </c>
      <c r="GH33" s="9">
        <f ca="1">IF(OR(GH6="",GH$28&lt;$A33),"",GH6/OFFSET(ParoRegESP!$A$2,MATCH(GH$29,ParoRegESP!$A$2:$A$500)+$A33-1,1)-1)</f>
        <v>1.955107012044488E-3</v>
      </c>
      <c r="GI33" s="9">
        <f ca="1">IF(OR(GI6="",GI$28&lt;$A33),"",GI6/OFFSET(ParoRegESP!$A$2,MATCH(GI$29,ParoRegESP!$A$2:$A$500)+$A33-1,1)-1)</f>
        <v>-1.0562826752224419E-2</v>
      </c>
      <c r="GJ33" s="9">
        <f ca="1">IF(OR(GJ6="",GJ$28&lt;$A33),"",GJ6/OFFSET(ParoRegESP!$A$2,MATCH(GJ$29,ParoRegESP!$A$2:$A$500)+$A33-1,1)-1)</f>
        <v>2.163703304458986E-2</v>
      </c>
      <c r="GK33" s="9">
        <f ca="1">IF(OR(GK6="",GK$28&lt;$A33),"",GK6/OFFSET(ParoRegESP!$A$2,MATCH(GK$29,ParoRegESP!$A$2:$A$500)+$A33-1,1)-1)</f>
        <v>-7.8635447126106928E-2</v>
      </c>
      <c r="GL33" s="9">
        <f ca="1">IF(OR(GL6="",GL$28&lt;$A33),"",GL6/OFFSET(ParoRegESP!$A$2,MATCH(GL$29,ParoRegESP!$A$2:$A$500)+$A33-1,1)-1)</f>
        <v>-0.16756673227487473</v>
      </c>
      <c r="GM33" s="9">
        <f ca="1">IF(OR(GM6="",GM$28&lt;$A33),"",GM6/OFFSET(ParoRegESP!$A$2,MATCH(GM$29,ParoRegESP!$A$2:$A$500)+$A33-1,1)-1)</f>
        <v>-0.19734274916432315</v>
      </c>
      <c r="GN33" s="9">
        <f ca="1">IF(OR(GN6="",GN$28&lt;$A33),"",GN6/OFFSET(ParoRegESP!$A$2,MATCH(GN$29,ParoRegESP!$A$2:$A$500)+$A33-1,1)-1)</f>
        <v>-0.23345268893256621</v>
      </c>
      <c r="GO33" s="9">
        <f ca="1">IF(OR(GO6="",GO$28&lt;$A33),"",GO6/OFFSET(ParoRegESP!$A$2,MATCH(GO$29,ParoRegESP!$A$2:$A$500)+$A33-1,1)-1)</f>
        <v>-7.54144183861577E-2</v>
      </c>
      <c r="GP33" s="9">
        <f ca="1">IF(OR(GP6="",GP$28&lt;$A33),"",GP6/OFFSET(ParoRegESP!$A$2,MATCH(GP$29,ParoRegESP!$A$2:$A$500)+$A33-1,1)-1)</f>
        <v>0.16555589060075548</v>
      </c>
      <c r="GQ33" s="9">
        <f ca="1">IF(OR(GQ6="",GQ$28&lt;$A33),"",GQ6/OFFSET(ParoRegESP!$A$2,MATCH(GQ$29,ParoRegESP!$A$2:$A$500)+$A33-1,1)-1)</f>
        <v>0.10497074982927912</v>
      </c>
      <c r="GR33" s="9">
        <f ca="1">IF(OR(GR6="",GR$28&lt;$A33),"",GR6/OFFSET(ParoRegESP!$A$2,MATCH(GR$29,ParoRegESP!$A$2:$A$500)+$A33-1,1)-1)</f>
        <v>0.10745740954952687</v>
      </c>
      <c r="GS33" s="9">
        <f ca="1">IF(OR(GS6="",GS$28&lt;$A33),"",GS6/OFFSET(ParoRegESP!$A$2,MATCH(GS$29,ParoRegESP!$A$2:$A$500)+$A33-1,1)-1)</f>
        <v>8.3372279418561401E-2</v>
      </c>
      <c r="GT33" s="9">
        <f ca="1">IF(OR(GT6="",GT$28&lt;$A33),"",GT6/OFFSET(ParoRegESP!$A$2,MATCH(GT$29,ParoRegESP!$A$2:$A$500)+$A33-1,1)-1)</f>
        <v>4.7118139014658444E-2</v>
      </c>
      <c r="GU33" s="9">
        <f ca="1">IF(OR(GU6="",GU$28&lt;$A33),"",GU6/OFFSET(ParoRegESP!$A$2,MATCH(GU$29,ParoRegESP!$A$2:$A$500)+$A33-1,1)-1)</f>
        <v>-2.6036559980251006E-2</v>
      </c>
      <c r="GV33" s="9" t="str">
        <f ca="1">IF(OR(GV6="",GV$28&lt;$A33),"",GV6/OFFSET(ParoRegESP!$A$2,MATCH(GV$29,ParoRegESP!$A$2:$A$500)+$A33-1,1)-1)</f>
        <v/>
      </c>
      <c r="GW33" s="9" t="str">
        <f ca="1">IF(OR(GW6="",GW$28&lt;$A33),"",GW6/OFFSET(ParoRegESP!$A$2,MATCH(GW$29,ParoRegESP!$A$2:$A$500)+$A33-1,1)-1)</f>
        <v/>
      </c>
      <c r="GX33" s="9" t="str">
        <f ca="1">IF(OR(GX6="",GX$28&lt;$A33),"",GX6/OFFSET(ParoRegESP!$A$2,MATCH(GX$29,ParoRegESP!$A$2:$A$500)+$A33-1,1)-1)</f>
        <v/>
      </c>
      <c r="GY33" s="9" t="str">
        <f ca="1">IF(OR(GY6="",GY$28&lt;$A33),"",GY6/OFFSET(ParoRegESP!$A$2,MATCH(GY$29,ParoRegESP!$A$2:$A$500)+$A33-1,1)-1)</f>
        <v/>
      </c>
      <c r="GZ33" s="9" t="str">
        <f ca="1">IF(OR(GZ6="",GZ$28&lt;$A33),"",GZ6/OFFSET(ParoRegESP!$A$2,MATCH(GZ$29,ParoRegESP!$A$2:$A$500)+$A33-1,1)-1)</f>
        <v/>
      </c>
      <c r="HA33" s="9" t="str">
        <f ca="1">IF(OR(HA6="",HA$28&lt;$A33),"",HA6/OFFSET(ParoRegESP!$A$2,MATCH(HA$29,ParoRegESP!$A$2:$A$500)+$A33-1,1)-1)</f>
        <v/>
      </c>
      <c r="HB33" s="9" t="str">
        <f ca="1">IF(OR(HB6="",HB$28&lt;$A33),"",HB6/OFFSET(ParoRegESP!$A$2,MATCH(HB$29,ParoRegESP!$A$2:$A$500)+$A33-1,1)-1)</f>
        <v/>
      </c>
      <c r="HC33" s="9" t="str">
        <f ca="1">IF(OR(HC6="",HC$28&lt;$A33),"",HC6/OFFSET(ParoRegESP!$A$2,MATCH(HC$29,ParoRegESP!$A$2:$A$500)+$A33-1,1)-1)</f>
        <v/>
      </c>
      <c r="HD33" s="9" t="str">
        <f ca="1">IF(OR(HD6="",HD$28&lt;$A33),"",HD6/OFFSET(ParoRegESP!$A$2,MATCH(HD$29,ParoRegESP!$A$2:$A$500)+$A33-1,1)-1)</f>
        <v/>
      </c>
      <c r="HE33" s="9" t="str">
        <f ca="1">IF(OR(HE6="",HE$28&lt;$A33),"",HE6/OFFSET(ParoRegESP!$A$2,MATCH(HE$29,ParoRegESP!$A$2:$A$500)+$A33-1,1)-1)</f>
        <v/>
      </c>
      <c r="HF33" s="9" t="str">
        <f ca="1">IF(OR(HF6="",HF$28&lt;$A33),"",HF6/OFFSET(ParoRegESP!$A$2,MATCH(HF$29,ParoRegESP!$A$2:$A$500)+$A33-1,1)-1)</f>
        <v/>
      </c>
      <c r="HG33" s="9" t="str">
        <f ca="1">IF(OR(HG6="",HG$28&lt;$A33),"",HG6/OFFSET(ParoRegESP!$A$2,MATCH(HG$29,ParoRegESP!$A$2:$A$500)+$A33-1,1)-1)</f>
        <v/>
      </c>
      <c r="HH33" s="9" t="str">
        <f ca="1">IF(OR(HH6="",HH$28&lt;$A33),"",HH6/OFFSET(ParoRegESP!$A$2,MATCH(HH$29,ParoRegESP!$A$2:$A$500)+$A33-1,1)-1)</f>
        <v/>
      </c>
      <c r="HI33" s="9" t="str">
        <f ca="1">IF(OR(HI6="",HI$28&lt;$A33),"",HI6/OFFSET(ParoRegESP!$A$2,MATCH(HI$29,ParoRegESP!$A$2:$A$500)+$A33-1,1)-1)</f>
        <v/>
      </c>
      <c r="HJ33" s="9" t="str">
        <f ca="1">IF(OR(HJ6="",HJ$28&lt;$A33),"",HJ6/OFFSET(ParoRegESP!$A$2,MATCH(HJ$29,ParoRegESP!$A$2:$A$500)+$A33-1,1)-1)</f>
        <v/>
      </c>
      <c r="HK33" s="9" t="str">
        <f ca="1">IF(OR(HK6="",HK$28&lt;$A33),"",HK6/OFFSET(ParoRegESP!$A$2,MATCH(HK$29,ParoRegESP!$A$2:$A$500)+$A33-1,1)-1)</f>
        <v/>
      </c>
      <c r="HL33" s="9" t="str">
        <f ca="1">IF(OR(HL6="",HL$28&lt;$A33),"",HL6/OFFSET(ParoRegESP!$A$2,MATCH(HL$29,ParoRegESP!$A$2:$A$500)+$A33-1,1)-1)</f>
        <v/>
      </c>
      <c r="HM33" s="9" t="str">
        <f ca="1">IF(OR(HM6="",HM$28&lt;$A33),"",HM6/OFFSET(ParoRegESP!$A$2,MATCH(HM$29,ParoRegESP!$A$2:$A$500)+$A33-1,1)-1)</f>
        <v/>
      </c>
      <c r="HN33" s="9" t="str">
        <f ca="1">IF(OR(HN6="",HN$28&lt;$A33),"",HN6/OFFSET(ParoRegESP!$A$2,MATCH(HN$29,ParoRegESP!$A$2:$A$500)+$A33-1,1)-1)</f>
        <v/>
      </c>
      <c r="HO33" s="9" t="str">
        <f ca="1">IF(OR(HO6="",HO$28&lt;$A33),"",HO6/OFFSET(ParoRegESP!$A$2,MATCH(HO$29,ParoRegESP!$A$2:$A$500)+$A33-1,1)-1)</f>
        <v/>
      </c>
      <c r="HP33" s="9" t="str">
        <f ca="1">IF(OR(HP6="",HP$28&lt;$A33),"",HP6/OFFSET(ParoRegESP!$A$2,MATCH(HP$29,ParoRegESP!$A$2:$A$500)+$A33-1,1)-1)</f>
        <v/>
      </c>
      <c r="HQ33" s="9" t="str">
        <f ca="1">IF(OR(HQ6="",HQ$28&lt;$A33),"",HQ6/OFFSET(ParoRegESP!$A$2,MATCH(HQ$29,ParoRegESP!$A$2:$A$500)+$A33-1,1)-1)</f>
        <v/>
      </c>
      <c r="HR33" s="9" t="str">
        <f ca="1">IF(OR(HR6="",HR$28&lt;$A33),"",HR6/OFFSET(ParoRegESP!$A$2,MATCH(HR$29,ParoRegESP!$A$2:$A$500)+$A33-1,1)-1)</f>
        <v/>
      </c>
      <c r="HS33" s="9" t="str">
        <f ca="1">IF(OR(HS6="",HS$28&lt;$A33),"",HS6/OFFSET(ParoRegESP!$A$2,MATCH(HS$29,ParoRegESP!$A$2:$A$500)+$A33-1,1)-1)</f>
        <v/>
      </c>
      <c r="HT33" s="9" t="str">
        <f ca="1">IF(OR(HT6="",HT$28&lt;$A33),"",HT6/OFFSET(ParoRegESP!$A$2,MATCH(HT$29,ParoRegESP!$A$2:$A$500)+$A33-1,1)-1)</f>
        <v/>
      </c>
      <c r="HU33" s="9" t="str">
        <f ca="1">IF(OR(HU6="",HU$28&lt;$A33),"",HU6/OFFSET(ParoRegESP!$A$2,MATCH(HU$29,ParoRegESP!$A$2:$A$500)+$A33-1,1)-1)</f>
        <v/>
      </c>
      <c r="HV33" s="9" t="str">
        <f ca="1">IF(OR(HV6="",HV$28&lt;$A33),"",HV6/OFFSET(ParoRegESP!$A$2,MATCH(HV$29,ParoRegESP!$A$2:$A$500)+$A33-1,1)-1)</f>
        <v/>
      </c>
      <c r="HW33" s="9" t="str">
        <f ca="1">IF(OR(HW6="",HW$28&lt;$A33),"",HW6/OFFSET(ParoRegESP!$A$2,MATCH(HW$29,ParoRegESP!$A$2:$A$500)+$A33-1,1)-1)</f>
        <v/>
      </c>
      <c r="HX33" s="9" t="str">
        <f ca="1">IF(OR(HX6="",HX$28&lt;$A33),"",HX6/OFFSET(ParoRegESP!$A$2,MATCH(HX$29,ParoRegESP!$A$2:$A$500)+$A33-1,1)-1)</f>
        <v/>
      </c>
      <c r="HY33" s="9" t="str">
        <f ca="1">IF(OR(HY6="",HY$28&lt;$A33),"",HY6/OFFSET(ParoRegESP!$A$2,MATCH(HY$29,ParoRegESP!$A$2:$A$500)+$A33-1,1)-1)</f>
        <v/>
      </c>
      <c r="HZ33" s="9" t="str">
        <f ca="1">IF(OR(HZ6="",HZ$28&lt;$A33),"",HZ6/OFFSET(ParoRegESP!$A$2,MATCH(HZ$29,ParoRegESP!$A$2:$A$500)+$A33-1,1)-1)</f>
        <v/>
      </c>
      <c r="IA33" s="9" t="str">
        <f ca="1">IF(OR(IA6="",IA$28&lt;$A33),"",IA6/OFFSET(ParoRegESP!$A$2,MATCH(IA$29,ParoRegESP!$A$2:$A$500)+$A33-1,1)-1)</f>
        <v/>
      </c>
      <c r="IB33" s="9" t="str">
        <f ca="1">IF(OR(IB6="",IB$28&lt;$A33),"",IB6/OFFSET(ParoRegESP!$A$2,MATCH(IB$29,ParoRegESP!$A$2:$A$500)+$A33-1,1)-1)</f>
        <v/>
      </c>
      <c r="IC33" s="9" t="str">
        <f ca="1">IF(OR(IC6="",IC$28&lt;$A33),"",IC6/OFFSET(ParoRegESP!$A$2,MATCH(IC$29,ParoRegESP!$A$2:$A$500)+$A33-1,1)-1)</f>
        <v/>
      </c>
      <c r="ID33" s="9" t="str">
        <f ca="1">IF(OR(ID6="",ID$28&lt;$A33),"",ID6/OFFSET(ParoRegESP!$A$2,MATCH(ID$29,ParoRegESP!$A$2:$A$500)+$A33-1,1)-1)</f>
        <v/>
      </c>
      <c r="IE33" s="9" t="str">
        <f ca="1">IF(OR(IE6="",IE$28&lt;$A33),"",IE6/OFFSET(ParoRegESP!$A$2,MATCH(IE$29,ParoRegESP!$A$2:$A$500)+$A33-1,1)-1)</f>
        <v/>
      </c>
      <c r="IF33" s="9" t="str">
        <f ca="1">IF(OR(IF6="",IF$28&lt;$A33),"",IF6/OFFSET(ParoRegESP!$A$2,MATCH(IF$29,ParoRegESP!$A$2:$A$500)+$A33-1,1)-1)</f>
        <v/>
      </c>
      <c r="IG33" s="9" t="str">
        <f ca="1">IF(OR(IG6="",IG$28&lt;$A33),"",IG6/OFFSET(ParoRegESP!$A$2,MATCH(IG$29,ParoRegESP!$A$2:$A$500)+$A33-1,1)-1)</f>
        <v/>
      </c>
      <c r="IH33" s="9" t="str">
        <f ca="1">IF(OR(IH6="",IH$28&lt;$A33),"",IH6/OFFSET(ParoRegESP!$A$2,MATCH(IH$29,ParoRegESP!$A$2:$A$500)+$A33-1,1)-1)</f>
        <v/>
      </c>
      <c r="II33" s="9" t="str">
        <f ca="1">IF(OR(II6="",II$28&lt;$A33),"",II6/OFFSET(ParoRegESP!$A$2,MATCH(II$29,ParoRegESP!$A$2:$A$500)+$A33-1,1)-1)</f>
        <v/>
      </c>
      <c r="IJ33" s="9" t="str">
        <f ca="1">IF(OR(IJ6="",IJ$28&lt;$A33),"",IJ6/OFFSET(ParoRegESP!$A$2,MATCH(IJ$29,ParoRegESP!$A$2:$A$500)+$A33-1,1)-1)</f>
        <v/>
      </c>
      <c r="IK33" s="9" t="str">
        <f ca="1">IF(OR(IK6="",IK$28&lt;$A33),"",IK6/OFFSET(ParoRegESP!$A$2,MATCH(IK$29,ParoRegESP!$A$2:$A$500)+$A33-1,1)-1)</f>
        <v/>
      </c>
      <c r="IL33" s="9" t="str">
        <f ca="1">IF(OR(IL6="",IL$28&lt;$A33),"",IL6/OFFSET(ParoRegESP!$A$2,MATCH(IL$29,ParoRegESP!$A$2:$A$500)+$A33-1,1)-1)</f>
        <v/>
      </c>
      <c r="IM33" s="9" t="str">
        <f ca="1">IF(OR(IM6="",IM$28&lt;$A33),"",IM6/OFFSET(ParoRegESP!$A$2,MATCH(IM$29,ParoRegESP!$A$2:$A$500)+$A33-1,1)-1)</f>
        <v/>
      </c>
      <c r="IN33" s="9" t="str">
        <f ca="1">IF(OR(IN6="",IN$28&lt;$A33),"",IN6/OFFSET(ParoRegESP!$A$2,MATCH(IN$29,ParoRegESP!$A$2:$A$500)+$A33-1,1)-1)</f>
        <v/>
      </c>
      <c r="IO33" s="9" t="str">
        <f ca="1">IF(OR(IO6="",IO$28&lt;$A33),"",IO6/OFFSET(ParoRegESP!$A$2,MATCH(IO$29,ParoRegESP!$A$2:$A$500)+$A33-1,1)-1)</f>
        <v/>
      </c>
      <c r="IP33" s="9" t="str">
        <f ca="1">IF(OR(IP6="",IP$28&lt;$A33),"",IP6/OFFSET(ParoRegESP!$A$2,MATCH(IP$29,ParoRegESP!$A$2:$A$500)+$A33-1,1)-1)</f>
        <v/>
      </c>
      <c r="IQ33" s="9" t="str">
        <f ca="1">IF(OR(IQ6="",IQ$28&lt;$A33),"",IQ6/OFFSET(ParoRegESP!$A$2,MATCH(IQ$29,ParoRegESP!$A$2:$A$500)+$A33-1,1)-1)</f>
        <v/>
      </c>
      <c r="IR33" s="9" t="str">
        <f ca="1">IF(OR(IR6="",IR$28&lt;$A33),"",IR6/OFFSET(ParoRegESP!$A$2,MATCH(IR$29,ParoRegESP!$A$2:$A$500)+$A33-1,1)-1)</f>
        <v/>
      </c>
      <c r="IS33" s="9" t="str">
        <f ca="1">IF(OR(IS6="",IS$28&lt;$A33),"",IS6/OFFSET(ParoRegESP!$A$2,MATCH(IS$29,ParoRegESP!$A$2:$A$500)+$A33-1,1)-1)</f>
        <v/>
      </c>
      <c r="IT33" s="9" t="str">
        <f ca="1">IF(OR(IT6="",IT$28&lt;$A33),"",IT6/OFFSET(ParoRegESP!$A$2,MATCH(IT$29,ParoRegESP!$A$2:$A$500)+$A33-1,1)-1)</f>
        <v/>
      </c>
      <c r="IU33" s="9" t="str">
        <f ca="1">IF(OR(IU6="",IU$28&lt;$A33),"",IU6/OFFSET(ParoRegESP!$A$2,MATCH(IU$29,ParoRegESP!$A$2:$A$500)+$A33-1,1)-1)</f>
        <v/>
      </c>
      <c r="IV33" s="9" t="str">
        <f ca="1">IF(OR(IV6="",IV$28&lt;$A33),"",IV6/OFFSET(ParoRegESP!$A$2,MATCH(IV$29,ParoRegESP!$A$2:$A$500)+$A33-1,1)-1)</f>
        <v/>
      </c>
      <c r="IW33" s="9" t="str">
        <f ca="1">IF(OR(IW6="",IW$28&lt;$A33),"",IW6/OFFSET(ParoRegESP!$A$2,MATCH(IW$29,ParoRegESP!$A$2:$A$500)+$A33-1,1)-1)</f>
        <v/>
      </c>
      <c r="IX33" s="9" t="str">
        <f ca="1">IF(OR(IX6="",IX$28&lt;$A33),"",IX6/OFFSET(ParoRegESP!$A$2,MATCH(IX$29,ParoRegESP!$A$2:$A$500)+$A33-1,1)-1)</f>
        <v/>
      </c>
      <c r="IY33" s="9" t="str">
        <f ca="1">IF(OR(IY6="",IY$28&lt;$A33),"",IY6/OFFSET(ParoRegESP!$A$2,MATCH(IY$29,ParoRegESP!$A$2:$A$500)+$A33-1,1)-1)</f>
        <v/>
      </c>
      <c r="IZ33" s="9" t="str">
        <f ca="1">IF(OR(IZ6="",IZ$28&lt;$A33),"",IZ6/OFFSET(ParoRegESP!$A$2,MATCH(IZ$29,ParoRegESP!$A$2:$A$500)+$A33-1,1)-1)</f>
        <v/>
      </c>
      <c r="JA33" s="9" t="str">
        <f ca="1">IF(OR(JA6="",JA$28&lt;$A33),"",JA6/OFFSET(ParoRegESP!$A$2,MATCH(JA$29,ParoRegESP!$A$2:$A$500)+$A33-1,1)-1)</f>
        <v/>
      </c>
      <c r="JB33" s="9" t="str">
        <f ca="1">IF(OR(JB6="",JB$28&lt;$A33),"",JB6/OFFSET(ParoRegESP!$A$2,MATCH(JB$29,ParoRegESP!$A$2:$A$500)+$A33-1,1)-1)</f>
        <v/>
      </c>
      <c r="JC33" s="9" t="str">
        <f ca="1">IF(OR(JC6="",JC$28&lt;$A33),"",JC6/OFFSET(ParoRegESP!$A$2,MATCH(JC$29,ParoRegESP!$A$2:$A$500)+$A33-1,1)-1)</f>
        <v/>
      </c>
      <c r="JD33" s="9" t="str">
        <f ca="1">IF(OR(JD6="",JD$28&lt;$A33),"",JD6/OFFSET(ParoRegESP!$A$2,MATCH(JD$29,ParoRegESP!$A$2:$A$500)+$A33-1,1)-1)</f>
        <v/>
      </c>
      <c r="JE33" s="9" t="str">
        <f ca="1">IF(OR(JE6="",JE$28&lt;$A33),"",JE6/OFFSET(ParoRegESP!$A$2,MATCH(JE$29,ParoRegESP!$A$2:$A$500)+$A33-1,1)-1)</f>
        <v/>
      </c>
      <c r="JF33" s="9" t="str">
        <f ca="1">IF(OR(JF6="",JF$28&lt;$A33),"",JF6/OFFSET(ParoRegESP!$A$2,MATCH(JF$29,ParoRegESP!$A$2:$A$500)+$A33-1,1)-1)</f>
        <v/>
      </c>
      <c r="JG33" s="9" t="str">
        <f ca="1">IF(OR(JG6="",JG$28&lt;$A33),"",JG6/OFFSET(ParoRegESP!$A$2,MATCH(JG$29,ParoRegESP!$A$2:$A$500)+$A33-1,1)-1)</f>
        <v/>
      </c>
      <c r="JH33" s="9" t="str">
        <f ca="1">IF(OR(JH6="",JH$28&lt;$A33),"",JH6/OFFSET(ParoRegESP!$A$2,MATCH(JH$29,ParoRegESP!$A$2:$A$500)+$A33-1,1)-1)</f>
        <v/>
      </c>
      <c r="JI33" s="13">
        <f t="shared" ca="1" si="13"/>
        <v>-1.0174024087208499E-2</v>
      </c>
      <c r="JJ33" s="13">
        <f t="shared" ca="1" si="14"/>
        <v>-4.6733536145003862E-3</v>
      </c>
      <c r="JK33" s="14">
        <f t="shared" ca="1" si="15"/>
        <v>6.2605709861970711E-3</v>
      </c>
      <c r="JL33" s="17">
        <f t="shared" ca="1" si="18"/>
        <v>7.9123770045398306E-2</v>
      </c>
      <c r="JM33" s="15" t="str">
        <f t="shared" ca="1" si="16"/>
        <v>[ -16,84% ; 14,81% ]</v>
      </c>
      <c r="JN33" s="17">
        <f t="shared" ca="1" si="17"/>
        <v>0.10127842565810984</v>
      </c>
      <c r="LY33" s="1"/>
    </row>
    <row r="34" spans="1:337" x14ac:dyDescent="0.25">
      <c r="A34" s="4">
        <v>5</v>
      </c>
      <c r="B34" s="9">
        <f ca="1">IF(OR(B7="",B$28&lt;$A34),"",B7/OFFSET(ParoRegESP!$A$2,MATCH(B$29,ParoRegESP!$A$2:$A$500)+$A34-1,1)-1)</f>
        <v>2.3433063451484104E-2</v>
      </c>
      <c r="C34" s="9">
        <f ca="1">IF(OR(C7="",C$28&lt;$A34),"",C7/OFFSET(ParoRegESP!$A$2,MATCH(C$29,ParoRegESP!$A$2:$A$500)+$A34-1,1)-1)</f>
        <v>1.170539941928328E-2</v>
      </c>
      <c r="D34" s="9">
        <f ca="1">IF(OR(D7="",D$28&lt;$A34),"",D7/OFFSET(ParoRegESP!$A$2,MATCH(D$29,ParoRegESP!$A$2:$A$500)+$A34-1,1)-1)</f>
        <v>1.3443206397970586E-2</v>
      </c>
      <c r="E34" s="9">
        <f ca="1">IF(OR(E7="",E$28&lt;$A34),"",E7/OFFSET(ParoRegESP!$A$2,MATCH(E$29,ParoRegESP!$A$2:$A$500)+$A34-1,1)-1)</f>
        <v>4.09770496791384E-3</v>
      </c>
      <c r="F34" s="9">
        <f ca="1">IF(OR(F7="",F$28&lt;$A34),"",F7/OFFSET(ParoRegESP!$A$2,MATCH(F$29,ParoRegESP!$A$2:$A$500)+$A34-1,1)-1)</f>
        <v>1.5545577770481156E-2</v>
      </c>
      <c r="G34" s="9">
        <f ca="1">IF(OR(G7="",G$28&lt;$A34),"",G7/OFFSET(ParoRegESP!$A$2,MATCH(G$29,ParoRegESP!$A$2:$A$500)+$A34-1,1)-1)</f>
        <v>3.1292867316763173E-2</v>
      </c>
      <c r="H34" s="9">
        <f ca="1">IF(OR(H7="",H$28&lt;$A34),"",H7/OFFSET(ParoRegESP!$A$2,MATCH(H$29,ParoRegESP!$A$2:$A$500)+$A34-1,1)-1)</f>
        <v>3.0092336793482E-2</v>
      </c>
      <c r="I34" s="9">
        <f ca="1">IF(OR(I7="",I$28&lt;$A34),"",I7/OFFSET(ParoRegESP!$A$2,MATCH(I$29,ParoRegESP!$A$2:$A$500)+$A34-1,1)-1)</f>
        <v>3.5670048754341988E-2</v>
      </c>
      <c r="J34" s="9">
        <f ca="1">IF(OR(J7="",J$28&lt;$A34),"",J7/OFFSET(ParoRegESP!$A$2,MATCH(J$29,ParoRegESP!$A$2:$A$500)+$A34-1,1)-1)</f>
        <v>3.6945480582663448E-2</v>
      </c>
      <c r="K34" s="9">
        <f ca="1">IF(OR(K7="",K$28&lt;$A34),"",K7/OFFSET(ParoRegESP!$A$2,MATCH(K$29,ParoRegESP!$A$2:$A$500)+$A34-1,1)-1)</f>
        <v>3.5055072052995628E-2</v>
      </c>
      <c r="L34" s="9">
        <f ca="1">IF(OR(L7="",L$28&lt;$A34),"",L7/OFFSET(ParoRegESP!$A$2,MATCH(L$29,ParoRegESP!$A$2:$A$500)+$A34-1,1)-1)</f>
        <v>1.6753526831127186E-2</v>
      </c>
      <c r="M34" s="9">
        <f ca="1">IF(OR(M7="",M$28&lt;$A34),"",M7/OFFSET(ParoRegESP!$A$2,MATCH(M$29,ParoRegESP!$A$2:$A$500)+$A34-1,1)-1)</f>
        <v>1.4297984263412555E-2</v>
      </c>
      <c r="N34" s="9">
        <f ca="1">IF(OR(N7="",N$28&lt;$A34),"",N7/OFFSET(ParoRegESP!$A$2,MATCH(N$29,ParoRegESP!$A$2:$A$500)+$A34-1,1)-1)</f>
        <v>1.0686734445779056E-2</v>
      </c>
      <c r="O34" s="9">
        <f ca="1">IF(OR(O7="",O$28&lt;$A34),"",O7/OFFSET(ParoRegESP!$A$2,MATCH(O$29,ParoRegESP!$A$2:$A$500)+$A34-1,1)-1)</f>
        <v>1.6877815827922582E-3</v>
      </c>
      <c r="P34" s="9">
        <f ca="1">IF(OR(P7="",P$28&lt;$A34),"",P7/OFFSET(ParoRegESP!$A$2,MATCH(P$29,ParoRegESP!$A$2:$A$500)+$A34-1,1)-1)</f>
        <v>-2.4769862602099679E-2</v>
      </c>
      <c r="Q34" s="9">
        <f ca="1">IF(OR(Q7="",Q$28&lt;$A34),"",Q7/OFFSET(ParoRegESP!$A$2,MATCH(Q$29,ParoRegESP!$A$2:$A$500)+$A34-1,1)-1)</f>
        <v>-1.7079207743075142E-2</v>
      </c>
      <c r="R34" s="9">
        <f ca="1">IF(OR(R7="",R$28&lt;$A34),"",R7/OFFSET(ParoRegESP!$A$2,MATCH(R$29,ParoRegESP!$A$2:$A$500)+$A34-1,1)-1)</f>
        <v>-4.8592720334829087E-3</v>
      </c>
      <c r="S34" s="9">
        <f ca="1">IF(OR(S7="",S$28&lt;$A34),"",S7/OFFSET(ParoRegESP!$A$2,MATCH(S$29,ParoRegESP!$A$2:$A$500)+$A34-1,1)-1)</f>
        <v>-1.7934548136898543E-2</v>
      </c>
      <c r="T34" s="9">
        <f ca="1">IF(OR(T7="",T$28&lt;$A34),"",T7/OFFSET(ParoRegESP!$A$2,MATCH(T$29,ParoRegESP!$A$2:$A$500)+$A34-1,1)-1)</f>
        <v>-1.8646506252065209E-2</v>
      </c>
      <c r="U34" s="9">
        <f ca="1">IF(OR(U7="",U$28&lt;$A34),"",U7/OFFSET(ParoRegESP!$A$2,MATCH(U$29,ParoRegESP!$A$2:$A$500)+$A34-1,1)-1)</f>
        <v>-2.2841147720278343E-3</v>
      </c>
      <c r="V34" s="9">
        <f ca="1">IF(OR(V7="",V$28&lt;$A34),"",V7/OFFSET(ParoRegESP!$A$2,MATCH(V$29,ParoRegESP!$A$2:$A$500)+$A34-1,1)-1)</f>
        <v>8.6484133136008889E-3</v>
      </c>
      <c r="W34" s="9">
        <f ca="1">IF(OR(W7="",W$28&lt;$A34),"",W7/OFFSET(ParoRegESP!$A$2,MATCH(W$29,ParoRegESP!$A$2:$A$500)+$A34-1,1)-1)</f>
        <v>4.2270161938740003E-3</v>
      </c>
      <c r="X34" s="9">
        <f ca="1">IF(OR(X7="",X$28&lt;$A34),"",X7/OFFSET(ParoRegESP!$A$2,MATCH(X$29,ParoRegESP!$A$2:$A$500)+$A34-1,1)-1)</f>
        <v>-4.093092151327582E-3</v>
      </c>
      <c r="Y34" s="9">
        <f ca="1">IF(OR(Y7="",Y$28&lt;$A34),"",Y7/OFFSET(ParoRegESP!$A$2,MATCH(Y$29,ParoRegESP!$A$2:$A$500)+$A34-1,1)-1)</f>
        <v>5.3920475242699162E-3</v>
      </c>
      <c r="Z34" s="9">
        <f ca="1">IF(OR(Z7="",Z$28&lt;$A34),"",Z7/OFFSET(ParoRegESP!$A$2,MATCH(Z$29,ParoRegESP!$A$2:$A$500)+$A34-1,1)-1)</f>
        <v>8.2854449397180563E-3</v>
      </c>
      <c r="AA34" s="9">
        <f ca="1">IF(OR(AA7="",AA$28&lt;$A34),"",AA7/OFFSET(ParoRegESP!$A$2,MATCH(AA$29,ParoRegESP!$A$2:$A$500)+$A34-1,1)-1)</f>
        <v>1.3183794626684842E-2</v>
      </c>
      <c r="AB34" s="9">
        <f ca="1">IF(OR(AB7="",AB$28&lt;$A34),"",AB7/OFFSET(ParoRegESP!$A$2,MATCH(AB$29,ParoRegESP!$A$2:$A$500)+$A34-1,1)-1)</f>
        <v>8.6096348732647154E-3</v>
      </c>
      <c r="AC34" s="9">
        <f ca="1">IF(OR(AC7="",AC$28&lt;$A34),"",AC7/OFFSET(ParoRegESP!$A$2,MATCH(AC$29,ParoRegESP!$A$2:$A$500)+$A34-1,1)-1)</f>
        <v>1.4162708452134964E-2</v>
      </c>
      <c r="AD34" s="9">
        <f ca="1">IF(OR(AD7="",AD$28&lt;$A34),"",AD7/OFFSET(ParoRegESP!$A$2,MATCH(AD$29,ParoRegESP!$A$2:$A$500)+$A34-1,1)-1)</f>
        <v>1.4467215724378368E-2</v>
      </c>
      <c r="AE34" s="9">
        <f ca="1">IF(OR(AE7="",AE$28&lt;$A34),"",AE7/OFFSET(ParoRegESP!$A$2,MATCH(AE$29,ParoRegESP!$A$2:$A$500)+$A34-1,1)-1)</f>
        <v>1.7709372098755782E-2</v>
      </c>
      <c r="AF34" s="9">
        <f ca="1">IF(OR(AF7="",AF$28&lt;$A34),"",AF7/OFFSET(ParoRegESP!$A$2,MATCH(AF$29,ParoRegESP!$A$2:$A$500)+$A34-1,1)-1)</f>
        <v>2.300565986256764E-2</v>
      </c>
      <c r="AG34" s="9">
        <f ca="1">IF(OR(AG7="",AG$28&lt;$A34),"",AG7/OFFSET(ParoRegESP!$A$2,MATCH(AG$29,ParoRegESP!$A$2:$A$500)+$A34-1,1)-1)</f>
        <v>2.9612510214309218E-2</v>
      </c>
      <c r="AH34" s="9">
        <f ca="1">IF(OR(AH7="",AH$28&lt;$A34),"",AH7/OFFSET(ParoRegESP!$A$2,MATCH(AH$29,ParoRegESP!$A$2:$A$500)+$A34-1,1)-1)</f>
        <v>2.920797055001656E-2</v>
      </c>
      <c r="AI34" s="9">
        <f ca="1">IF(OR(AI7="",AI$28&lt;$A34),"",AI7/OFFSET(ParoRegESP!$A$2,MATCH(AI$29,ParoRegESP!$A$2:$A$500)+$A34-1,1)-1)</f>
        <v>2.6701589305709428E-2</v>
      </c>
      <c r="AJ34" s="9">
        <f ca="1">IF(OR(AJ7="",AJ$28&lt;$A34),"",AJ7/OFFSET(ParoRegESP!$A$2,MATCH(AJ$29,ParoRegESP!$A$2:$A$500)+$A34-1,1)-1)</f>
        <v>6.6316890005400086E-3</v>
      </c>
      <c r="AK34" s="9">
        <f ca="1">IF(OR(AK7="",AK$28&lt;$A34),"",AK7/OFFSET(ParoRegESP!$A$2,MATCH(AK$29,ParoRegESP!$A$2:$A$500)+$A34-1,1)-1)</f>
        <v>-1.1263359594355205E-2</v>
      </c>
      <c r="AL34" s="9">
        <f ca="1">IF(OR(AL7="",AL$28&lt;$A34),"",AL7/OFFSET(ParoRegESP!$A$2,MATCH(AL$29,ParoRegESP!$A$2:$A$500)+$A34-1,1)-1)</f>
        <v>-2.6878106690768067E-2</v>
      </c>
      <c r="AM34" s="9">
        <f ca="1">IF(OR(AM7="",AM$28&lt;$A34),"",AM7/OFFSET(ParoRegESP!$A$2,MATCH(AM$29,ParoRegESP!$A$2:$A$500)+$A34-1,1)-1)</f>
        <v>-4.6845184573121923E-2</v>
      </c>
      <c r="AN34" s="9">
        <f ca="1">IF(OR(AN7="",AN$28&lt;$A34),"",AN7/OFFSET(ParoRegESP!$A$2,MATCH(AN$29,ParoRegESP!$A$2:$A$500)+$A34-1,1)-1)</f>
        <v>-5.6488903201111107E-2</v>
      </c>
      <c r="AO34" s="9">
        <f ca="1">IF(OR(AO7="",AO$28&lt;$A34),"",AO7/OFFSET(ParoRegESP!$A$2,MATCH(AO$29,ParoRegESP!$A$2:$A$500)+$A34-1,1)-1)</f>
        <v>-6.2922849794579849E-2</v>
      </c>
      <c r="AP34" s="9">
        <f ca="1">IF(OR(AP7="",AP$28&lt;$A34),"",AP7/OFFSET(ParoRegESP!$A$2,MATCH(AP$29,ParoRegESP!$A$2:$A$500)+$A34-1,1)-1)</f>
        <v>-4.7617588713264269E-2</v>
      </c>
      <c r="AQ34" s="9">
        <f ca="1">IF(OR(AQ7="",AQ$28&lt;$A34),"",AQ7/OFFSET(ParoRegESP!$A$2,MATCH(AQ$29,ParoRegESP!$A$2:$A$500)+$A34-1,1)-1)</f>
        <v>-2.9555084854188562E-2</v>
      </c>
      <c r="AR34" s="9">
        <f ca="1">IF(OR(AR7="",AR$28&lt;$A34),"",AR7/OFFSET(ParoRegESP!$A$2,MATCH(AR$29,ParoRegESP!$A$2:$A$500)+$A34-1,1)-1)</f>
        <v>-1.6007745759806236E-2</v>
      </c>
      <c r="AS34" s="9">
        <f ca="1">IF(OR(AS7="",AS$28&lt;$A34),"",AS7/OFFSET(ParoRegESP!$A$2,MATCH(AS$29,ParoRegESP!$A$2:$A$500)+$A34-1,1)-1)</f>
        <v>-2.0206091612972044E-2</v>
      </c>
      <c r="AT34" s="9">
        <f ca="1">IF(OR(AT7="",AT$28&lt;$A34),"",AT7/OFFSET(ParoRegESP!$A$2,MATCH(AT$29,ParoRegESP!$A$2:$A$500)+$A34-1,1)-1)</f>
        <v>-3.6706180398636934E-2</v>
      </c>
      <c r="AU34" s="9">
        <f ca="1">IF(OR(AU7="",AU$28&lt;$A34),"",AU7/OFFSET(ParoRegESP!$A$2,MATCH(AU$29,ParoRegESP!$A$2:$A$500)+$A34-1,1)-1)</f>
        <v>-6.3434089418069495E-2</v>
      </c>
      <c r="AV34" s="9">
        <f ca="1">IF(OR(AV7="",AV$28&lt;$A34),"",AV7/OFFSET(ParoRegESP!$A$2,MATCH(AV$29,ParoRegESP!$A$2:$A$500)+$A34-1,1)-1)</f>
        <v>-7.3496875272589302E-2</v>
      </c>
      <c r="AW34" s="9">
        <f ca="1">IF(OR(AW7="",AW$28&lt;$A34),"",AW7/OFFSET(ParoRegESP!$A$2,MATCH(AW$29,ParoRegESP!$A$2:$A$500)+$A34-1,1)-1)</f>
        <v>-0.10565410555757504</v>
      </c>
      <c r="AX34" s="9">
        <f ca="1">IF(OR(AX7="",AX$28&lt;$A34),"",AX7/OFFSET(ParoRegESP!$A$2,MATCH(AX$29,ParoRegESP!$A$2:$A$500)+$A34-1,1)-1)</f>
        <v>-0.12829275062089518</v>
      </c>
      <c r="AY34" s="9">
        <f ca="1">IF(OR(AY7="",AY$28&lt;$A34),"",AY7/OFFSET(ParoRegESP!$A$2,MATCH(AY$29,ParoRegESP!$A$2:$A$500)+$A34-1,1)-1)</f>
        <v>-0.12812239303960116</v>
      </c>
      <c r="AZ34" s="9">
        <f ca="1">IF(OR(AZ7="",AZ$28&lt;$A34),"",AZ7/OFFSET(ParoRegESP!$A$2,MATCH(AZ$29,ParoRegESP!$A$2:$A$500)+$A34-1,1)-1)</f>
        <v>-9.5168304252356895E-2</v>
      </c>
      <c r="BA34" s="9">
        <f ca="1">IF(OR(BA7="",BA$28&lt;$A34),"",BA7/OFFSET(ParoRegESP!$A$2,MATCH(BA$29,ParoRegESP!$A$2:$A$500)+$A34-1,1)-1)</f>
        <v>-0.12493267341592462</v>
      </c>
      <c r="BB34" s="9">
        <f ca="1">IF(OR(BB7="",BB$28&lt;$A34),"",BB7/OFFSET(ParoRegESP!$A$2,MATCH(BB$29,ParoRegESP!$A$2:$A$500)+$A34-1,1)-1)</f>
        <v>-8.1683973604331439E-2</v>
      </c>
      <c r="BC34" s="9">
        <f ca="1">IF(OR(BC7="",BC$28&lt;$A34),"",BC7/OFFSET(ParoRegESP!$A$2,MATCH(BC$29,ParoRegESP!$A$2:$A$500)+$A34-1,1)-1)</f>
        <v>-6.9377510342844784E-2</v>
      </c>
      <c r="BD34" s="9">
        <f ca="1">IF(OR(BD7="",BD$28&lt;$A34),"",BD7/OFFSET(ParoRegESP!$A$2,MATCH(BD$29,ParoRegESP!$A$2:$A$500)+$A34-1,1)-1)</f>
        <v>-9.9325574602433075E-2</v>
      </c>
      <c r="BE34" s="9">
        <f ca="1">IF(OR(BE7="",BE$28&lt;$A34),"",BE7/OFFSET(ParoRegESP!$A$2,MATCH(BE$29,ParoRegESP!$A$2:$A$500)+$A34-1,1)-1)</f>
        <v>-0.11072095461293385</v>
      </c>
      <c r="BF34" s="9">
        <f ca="1">IF(OR(BF7="",BF$28&lt;$A34),"",BF7/OFFSET(ParoRegESP!$A$2,MATCH(BF$29,ParoRegESP!$A$2:$A$500)+$A34-1,1)-1)</f>
        <v>-0.10339006746858137</v>
      </c>
      <c r="BG34" s="9">
        <f ca="1">IF(OR(BG7="",BG$28&lt;$A34),"",BG7/OFFSET(ParoRegESP!$A$2,MATCH(BG$29,ParoRegESP!$A$2:$A$500)+$A34-1,1)-1)</f>
        <v>-0.10050054220873328</v>
      </c>
      <c r="BH34" s="9">
        <f ca="1">IF(OR(BH7="",BH$28&lt;$A34),"",BH7/OFFSET(ParoRegESP!$A$2,MATCH(BH$29,ParoRegESP!$A$2:$A$500)+$A34-1,1)-1)</f>
        <v>-7.3082062362187727E-2</v>
      </c>
      <c r="BI34" s="9">
        <f ca="1">IF(OR(BI7="",BI$28&lt;$A34),"",BI7/OFFSET(ParoRegESP!$A$2,MATCH(BI$29,ParoRegESP!$A$2:$A$500)+$A34-1,1)-1)</f>
        <v>-2.4109515639703871E-2</v>
      </c>
      <c r="BJ34" s="9">
        <f ca="1">IF(OR(BJ7="",BJ$28&lt;$A34),"",BJ7/OFFSET(ParoRegESP!$A$2,MATCH(BJ$29,ParoRegESP!$A$2:$A$500)+$A34-1,1)-1)</f>
        <v>1.9164050693801782E-2</v>
      </c>
      <c r="BK34" s="9">
        <f ca="1">IF(OR(BK7="",BK$28&lt;$A34),"",BK7/OFFSET(ParoRegESP!$A$2,MATCH(BK$29,ParoRegESP!$A$2:$A$500)+$A34-1,1)-1)</f>
        <v>5.6335618847555446E-2</v>
      </c>
      <c r="BL34" s="9">
        <f ca="1">IF(OR(BL7="",BL$28&lt;$A34),"",BL7/OFFSET(ParoRegESP!$A$2,MATCH(BL$29,ParoRegESP!$A$2:$A$500)+$A34-1,1)-1)</f>
        <v>0.12399460474206125</v>
      </c>
      <c r="BM34" s="9">
        <f ca="1">IF(OR(BM7="",BM$28&lt;$A34),"",BM7/OFFSET(ParoRegESP!$A$2,MATCH(BM$29,ParoRegESP!$A$2:$A$500)+$A34-1,1)-1)</f>
        <v>0.1651144587052602</v>
      </c>
      <c r="BN34" s="9">
        <f ca="1">IF(OR(BN7="",BN$28&lt;$A34),"",BN7/OFFSET(ParoRegESP!$A$2,MATCH(BN$29,ParoRegESP!$A$2:$A$500)+$A34-1,1)-1)</f>
        <v>0.13084049016061461</v>
      </c>
      <c r="BO34" s="9">
        <f ca="1">IF(OR(BO7="",BO$28&lt;$A34),"",BO7/OFFSET(ParoRegESP!$A$2,MATCH(BO$29,ParoRegESP!$A$2:$A$500)+$A34-1,1)-1)</f>
        <v>9.468864662185883E-2</v>
      </c>
      <c r="BP34" s="9">
        <f ca="1">IF(OR(BP7="",BP$28&lt;$A34),"",BP7/OFFSET(ParoRegESP!$A$2,MATCH(BP$29,ParoRegESP!$A$2:$A$500)+$A34-1,1)-1)</f>
        <v>5.1745204252232391E-2</v>
      </c>
      <c r="BQ34" s="9">
        <f ca="1">IF(OR(BQ7="",BQ$28&lt;$A34),"",BQ7/OFFSET(ParoRegESP!$A$2,MATCH(BQ$29,ParoRegESP!$A$2:$A$500)+$A34-1,1)-1)</f>
        <v>-2.6666591687171115E-3</v>
      </c>
      <c r="BR34" s="9">
        <f ca="1">IF(OR(BR7="",BR$28&lt;$A34),"",BR7/OFFSET(ParoRegESP!$A$2,MATCH(BR$29,ParoRegESP!$A$2:$A$500)+$A34-1,1)-1)</f>
        <v>2.5062958288969428E-2</v>
      </c>
      <c r="BS34" s="9">
        <f ca="1">IF(OR(BS7="",BS$28&lt;$A34),"",BS7/OFFSET(ParoRegESP!$A$2,MATCH(BS$29,ParoRegESP!$A$2:$A$500)+$A34-1,1)-1)</f>
        <v>4.2362178289657715E-2</v>
      </c>
      <c r="BT34" s="9">
        <f ca="1">IF(OR(BT7="",BT$28&lt;$A34),"",BT7/OFFSET(ParoRegESP!$A$2,MATCH(BT$29,ParoRegESP!$A$2:$A$500)+$A34-1,1)-1)</f>
        <v>1.6143279867636418E-2</v>
      </c>
      <c r="BU34" s="9">
        <f ca="1">IF(OR(BU7="",BU$28&lt;$A34),"",BU7/OFFSET(ParoRegESP!$A$2,MATCH(BU$29,ParoRegESP!$A$2:$A$500)+$A34-1,1)-1)</f>
        <v>-1.8947782914315647E-2</v>
      </c>
      <c r="BV34" s="9">
        <f ca="1">IF(OR(BV7="",BV$28&lt;$A34),"",BV7/OFFSET(ParoRegESP!$A$2,MATCH(BV$29,ParoRegESP!$A$2:$A$500)+$A34-1,1)-1)</f>
        <v>-2.0705425115555176E-2</v>
      </c>
      <c r="BW34" s="9">
        <f ca="1">IF(OR(BW7="",BW$28&lt;$A34),"",BW7/OFFSET(ParoRegESP!$A$2,MATCH(BW$29,ParoRegESP!$A$2:$A$500)+$A34-1,1)-1)</f>
        <v>3.0337469400319561E-2</v>
      </c>
      <c r="BX34" s="9">
        <f ca="1">IF(OR(BX7="",BX$28&lt;$A34),"",BX7/OFFSET(ParoRegESP!$A$2,MATCH(BX$29,ParoRegESP!$A$2:$A$500)+$A34-1,1)-1)</f>
        <v>6.841752716427707E-2</v>
      </c>
      <c r="BY34" s="9">
        <f ca="1">IF(OR(BY7="",BY$28&lt;$A34),"",BY7/OFFSET(ParoRegESP!$A$2,MATCH(BY$29,ParoRegESP!$A$2:$A$500)+$A34-1,1)-1)</f>
        <v>6.7486693614538185E-2</v>
      </c>
      <c r="BZ34" s="9">
        <f ca="1">IF(OR(BZ7="",BZ$28&lt;$A34),"",BZ7/OFFSET(ParoRegESP!$A$2,MATCH(BZ$29,ParoRegESP!$A$2:$A$500)+$A34-1,1)-1)</f>
        <v>4.2986218298936452E-2</v>
      </c>
      <c r="CA34" s="9">
        <f ca="1">IF(OR(CA7="",CA$28&lt;$A34),"",CA7/OFFSET(ParoRegESP!$A$2,MATCH(CA$29,ParoRegESP!$A$2:$A$500)+$A34-1,1)-1)</f>
        <v>2.020335846508825E-2</v>
      </c>
      <c r="CB34" s="9">
        <f ca="1">IF(OR(CB7="",CB$28&lt;$A34),"",CB7/OFFSET(ParoRegESP!$A$2,MATCH(CB$29,ParoRegESP!$A$2:$A$500)+$A34-1,1)-1)</f>
        <v>-6.4758328863936399E-3</v>
      </c>
      <c r="CC34" s="9">
        <f ca="1">IF(OR(CC7="",CC$28&lt;$A34),"",CC7/OFFSET(ParoRegESP!$A$2,MATCH(CC$29,ParoRegESP!$A$2:$A$500)+$A34-1,1)-1)</f>
        <v>-1.4971769498369425E-2</v>
      </c>
      <c r="CD34" s="9">
        <f ca="1">IF(OR(CD7="",CD$28&lt;$A34),"",CD7/OFFSET(ParoRegESP!$A$2,MATCH(CD$29,ParoRegESP!$A$2:$A$500)+$A34-1,1)-1)</f>
        <v>9.0036068898675659E-3</v>
      </c>
      <c r="CE34" s="9">
        <f ca="1">IF(OR(CE7="",CE$28&lt;$A34),"",CE7/OFFSET(ParoRegESP!$A$2,MATCH(CE$29,ParoRegESP!$A$2:$A$500)+$A34-1,1)-1)</f>
        <v>1.6464275750788016E-2</v>
      </c>
      <c r="CF34" s="9">
        <f ca="1">IF(OR(CF7="",CF$28&lt;$A34),"",CF7/OFFSET(ParoRegESP!$A$2,MATCH(CF$29,ParoRegESP!$A$2:$A$500)+$A34-1,1)-1)</f>
        <v>6.1598889095380027E-3</v>
      </c>
      <c r="CG34" s="9">
        <f ca="1">IF(OR(CG7="",CG$28&lt;$A34),"",CG7/OFFSET(ParoRegESP!$A$2,MATCH(CG$29,ParoRegESP!$A$2:$A$500)+$A34-1,1)-1)</f>
        <v>-8.7161689201702419E-3</v>
      </c>
      <c r="CH34" s="9">
        <f ca="1">IF(OR(CH7="",CH$28&lt;$A34),"",CH7/OFFSET(ParoRegESP!$A$2,MATCH(CH$29,ParoRegESP!$A$2:$A$500)+$A34-1,1)-1)</f>
        <v>-4.3453899732464607E-2</v>
      </c>
      <c r="CI34" s="9">
        <f ca="1">IF(OR(CI7="",CI$28&lt;$A34),"",CI7/OFFSET(ParoRegESP!$A$2,MATCH(CI$29,ParoRegESP!$A$2:$A$500)+$A34-1,1)-1)</f>
        <v>5.644993459222869E-3</v>
      </c>
      <c r="CJ34" s="9">
        <f ca="1">IF(OR(CJ7="",CJ$28&lt;$A34),"",CJ7/OFFSET(ParoRegESP!$A$2,MATCH(CJ$29,ParoRegESP!$A$2:$A$500)+$A34-1,1)-1)</f>
        <v>2.2308877765656154E-2</v>
      </c>
      <c r="CK34" s="9">
        <f ca="1">IF(OR(CK7="",CK$28&lt;$A34),"",CK7/OFFSET(ParoRegESP!$A$2,MATCH(CK$29,ParoRegESP!$A$2:$A$500)+$A34-1,1)-1)</f>
        <v>2.8442504775691102E-2</v>
      </c>
      <c r="CL34" s="9">
        <f ca="1">IF(OR(CL7="",CL$28&lt;$A34),"",CL7/OFFSET(ParoRegESP!$A$2,MATCH(CL$29,ParoRegESP!$A$2:$A$500)+$A34-1,1)-1)</f>
        <v>-1.3913729216042614E-2</v>
      </c>
      <c r="CM34" s="9">
        <f ca="1">IF(OR(CM7="",CM$28&lt;$A34),"",CM7/OFFSET(ParoRegESP!$A$2,MATCH(CM$29,ParoRegESP!$A$2:$A$500)+$A34-1,1)-1)</f>
        <v>-3.4547663746440915E-2</v>
      </c>
      <c r="CN34" s="9">
        <f ca="1">IF(OR(CN7="",CN$28&lt;$A34),"",CN7/OFFSET(ParoRegESP!$A$2,MATCH(CN$29,ParoRegESP!$A$2:$A$500)+$A34-1,1)-1)</f>
        <v>-4.0139763805215223E-2</v>
      </c>
      <c r="CO34" s="9">
        <f ca="1">IF(OR(CO7="",CO$28&lt;$A34),"",CO7/OFFSET(ParoRegESP!$A$2,MATCH(CO$29,ParoRegESP!$A$2:$A$500)+$A34-1,1)-1)</f>
        <v>-3.7343597417122898E-2</v>
      </c>
      <c r="CP34" s="9">
        <f ca="1">IF(OR(CP7="",CP$28&lt;$A34),"",CP7/OFFSET(ParoRegESP!$A$2,MATCH(CP$29,ParoRegESP!$A$2:$A$500)+$A34-1,1)-1)</f>
        <v>-4.3591853494341137E-2</v>
      </c>
      <c r="CQ34" s="9">
        <f ca="1">IF(OR(CQ7="",CQ$28&lt;$A34),"",CQ7/OFFSET(ParoRegESP!$A$2,MATCH(CQ$29,ParoRegESP!$A$2:$A$500)+$A34-1,1)-1)</f>
        <v>-1.4506510822957175E-2</v>
      </c>
      <c r="CR34" s="9">
        <f ca="1">IF(OR(CR7="",CR$28&lt;$A34),"",CR7/OFFSET(ParoRegESP!$A$2,MATCH(CR$29,ParoRegESP!$A$2:$A$500)+$A34-1,1)-1)</f>
        <v>8.2539407871786707E-3</v>
      </c>
      <c r="CS34" s="9">
        <f ca="1">IF(OR(CS7="",CS$28&lt;$A34),"",CS7/OFFSET(ParoRegESP!$A$2,MATCH(CS$29,ParoRegESP!$A$2:$A$500)+$A34-1,1)-1)</f>
        <v>-2.0916365803699821E-2</v>
      </c>
      <c r="CT34" s="9">
        <f ca="1">IF(OR(CT7="",CT$28&lt;$A34),"",CT7/OFFSET(ParoRegESP!$A$2,MATCH(CT$29,ParoRegESP!$A$2:$A$500)+$A34-1,1)-1)</f>
        <v>-4.4194791801305033E-2</v>
      </c>
      <c r="CU34" s="9">
        <f ca="1">IF(OR(CU7="",CU$28&lt;$A34),"",CU7/OFFSET(ParoRegESP!$A$2,MATCH(CU$29,ParoRegESP!$A$2:$A$500)+$A34-1,1)-1)</f>
        <v>-3.637631372674921E-4</v>
      </c>
      <c r="CV34" s="9">
        <f ca="1">IF(OR(CV7="",CV$28&lt;$A34),"",CV7/OFFSET(ParoRegESP!$A$2,MATCH(CV$29,ParoRegESP!$A$2:$A$500)+$A34-1,1)-1)</f>
        <v>1.1126862437899288E-2</v>
      </c>
      <c r="CW34" s="9">
        <f ca="1">IF(OR(CW7="",CW$28&lt;$A34),"",CW7/OFFSET(ParoRegESP!$A$2,MATCH(CW$29,ParoRegESP!$A$2:$A$500)+$A34-1,1)-1)</f>
        <v>7.598009146602358E-3</v>
      </c>
      <c r="CX34" s="9">
        <f ca="1">IF(OR(CX7="",CX$28&lt;$A34),"",CX7/OFFSET(ParoRegESP!$A$2,MATCH(CX$29,ParoRegESP!$A$2:$A$500)+$A34-1,1)-1)</f>
        <v>2.333878290234348E-2</v>
      </c>
      <c r="CY34" s="9">
        <f ca="1">IF(OR(CY7="",CY$28&lt;$A34),"",CY7/OFFSET(ParoRegESP!$A$2,MATCH(CY$29,ParoRegESP!$A$2:$A$500)+$A34-1,1)-1)</f>
        <v>2.255212705584797E-2</v>
      </c>
      <c r="CZ34" s="9">
        <f ca="1">IF(OR(CZ7="",CZ$28&lt;$A34),"",CZ7/OFFSET(ParoRegESP!$A$2,MATCH(CZ$29,ParoRegESP!$A$2:$A$500)+$A34-1,1)-1)</f>
        <v>-1.2011757023198566E-2</v>
      </c>
      <c r="DA34" s="9">
        <f ca="1">IF(OR(DA7="",DA$28&lt;$A34),"",DA7/OFFSET(ParoRegESP!$A$2,MATCH(DA$29,ParoRegESP!$A$2:$A$500)+$A34-1,1)-1)</f>
        <v>1.6400944859903843E-2</v>
      </c>
      <c r="DB34" s="9">
        <f ca="1">IF(OR(DB7="",DB$28&lt;$A34),"",DB7/OFFSET(ParoRegESP!$A$2,MATCH(DB$29,ParoRegESP!$A$2:$A$500)+$A34-1,1)-1)</f>
        <v>4.4521785254978408E-3</v>
      </c>
      <c r="DC34" s="9">
        <f ca="1">IF(OR(DC7="",DC$28&lt;$A34),"",DC7/OFFSET(ParoRegESP!$A$2,MATCH(DC$29,ParoRegESP!$A$2:$A$500)+$A34-1,1)-1)</f>
        <v>1.8479261347838172E-2</v>
      </c>
      <c r="DD34" s="9">
        <f ca="1">IF(OR(DD7="",DD$28&lt;$A34),"",DD7/OFFSET(ParoRegESP!$A$2,MATCH(DD$29,ParoRegESP!$A$2:$A$500)+$A34-1,1)-1)</f>
        <v>3.6466887216382915E-2</v>
      </c>
      <c r="DE34" s="9">
        <f ca="1">IF(OR(DE7="",DE$28&lt;$A34),"",DE7/OFFSET(ParoRegESP!$A$2,MATCH(DE$29,ParoRegESP!$A$2:$A$500)+$A34-1,1)-1)</f>
        <v>3.4595487512655954E-2</v>
      </c>
      <c r="DF34" s="9">
        <f ca="1">IF(OR(DF7="",DF$28&lt;$A34),"",DF7/OFFSET(ParoRegESP!$A$2,MATCH(DF$29,ParoRegESP!$A$2:$A$500)+$A34-1,1)-1)</f>
        <v>-6.2471404127628638E-4</v>
      </c>
      <c r="DG34" s="9">
        <f ca="1">IF(OR(DG7="",DG$28&lt;$A34),"",DG7/OFFSET(ParoRegESP!$A$2,MATCH(DG$29,ParoRegESP!$A$2:$A$500)+$A34-1,1)-1)</f>
        <v>1.6892561489864955E-2</v>
      </c>
      <c r="DH34" s="9">
        <f ca="1">IF(OR(DH7="",DH$28&lt;$A34),"",DH7/OFFSET(ParoRegESP!$A$2,MATCH(DH$29,ParoRegESP!$A$2:$A$500)+$A34-1,1)-1)</f>
        <v>1.1087496430207233E-2</v>
      </c>
      <c r="DI34" s="9">
        <f ca="1">IF(OR(DI7="",DI$28&lt;$A34),"",DI7/OFFSET(ParoRegESP!$A$2,MATCH(DI$29,ParoRegESP!$A$2:$A$500)+$A34-1,1)-1)</f>
        <v>1.5541294585486698E-2</v>
      </c>
      <c r="DJ34" s="9">
        <f ca="1">IF(OR(DJ7="",DJ$28&lt;$A34),"",DJ7/OFFSET(ParoRegESP!$A$2,MATCH(DJ$29,ParoRegESP!$A$2:$A$500)+$A34-1,1)-1)</f>
        <v>2.6910610600487495E-2</v>
      </c>
      <c r="DK34" s="9">
        <f ca="1">IF(OR(DK7="",DK$28&lt;$A34),"",DK7/OFFSET(ParoRegESP!$A$2,MATCH(DK$29,ParoRegESP!$A$2:$A$500)+$A34-1,1)-1)</f>
        <v>1.414955535847584E-2</v>
      </c>
      <c r="DL34" s="9">
        <f ca="1">IF(OR(DL7="",DL$28&lt;$A34),"",DL7/OFFSET(ParoRegESP!$A$2,MATCH(DL$29,ParoRegESP!$A$2:$A$500)+$A34-1,1)-1)</f>
        <v>1.3110353187841817E-2</v>
      </c>
      <c r="DM34" s="9">
        <f ca="1">IF(OR(DM7="",DM$28&lt;$A34),"",DM7/OFFSET(ParoRegESP!$A$2,MATCH(DM$29,ParoRegESP!$A$2:$A$500)+$A34-1,1)-1)</f>
        <v>2.985445390181507E-2</v>
      </c>
      <c r="DN34" s="9">
        <f ca="1">IF(OR(DN7="",DN$28&lt;$A34),"",DN7/OFFSET(ParoRegESP!$A$2,MATCH(DN$29,ParoRegESP!$A$2:$A$500)+$A34-1,1)-1)</f>
        <v>2.0580994727440904E-2</v>
      </c>
      <c r="DO34" s="9">
        <f ca="1">IF(OR(DO7="",DO$28&lt;$A34),"",DO7/OFFSET(ParoRegESP!$A$2,MATCH(DO$29,ParoRegESP!$A$2:$A$500)+$A34-1,1)-1)</f>
        <v>2.3498752067717898E-2</v>
      </c>
      <c r="DP34" s="9">
        <f ca="1">IF(OR(DP7="",DP$28&lt;$A34),"",DP7/OFFSET(ParoRegESP!$A$2,MATCH(DP$29,ParoRegESP!$A$2:$A$500)+$A34-1,1)-1)</f>
        <v>3.5151298474012771E-2</v>
      </c>
      <c r="DQ34" s="9">
        <f ca="1">IF(OR(DQ7="",DQ$28&lt;$A34),"",DQ7/OFFSET(ParoRegESP!$A$2,MATCH(DQ$29,ParoRegESP!$A$2:$A$500)+$A34-1,1)-1)</f>
        <v>2.2429762753670923E-2</v>
      </c>
      <c r="DR34" s="9">
        <f ca="1">IF(OR(DR7="",DR$28&lt;$A34),"",DR7/OFFSET(ParoRegESP!$A$2,MATCH(DR$29,ParoRegESP!$A$2:$A$500)+$A34-1,1)-1)</f>
        <v>-2.0367749803278379E-2</v>
      </c>
      <c r="DS34" s="9">
        <f ca="1">IF(OR(DS7="",DS$28&lt;$A34),"",DS7/OFFSET(ParoRegESP!$A$2,MATCH(DS$29,ParoRegESP!$A$2:$A$500)+$A34-1,1)-1)</f>
        <v>9.0175601844892928E-3</v>
      </c>
      <c r="DT34" s="9">
        <f ca="1">IF(OR(DT7="",DT$28&lt;$A34),"",DT7/OFFSET(ParoRegESP!$A$2,MATCH(DT$29,ParoRegESP!$A$2:$A$500)+$A34-1,1)-1)</f>
        <v>-2.5054745133456624E-2</v>
      </c>
      <c r="DU34" s="9">
        <f ca="1">IF(OR(DU7="",DU$28&lt;$A34),"",DU7/OFFSET(ParoRegESP!$A$2,MATCH(DU$29,ParoRegESP!$A$2:$A$500)+$A34-1,1)-1)</f>
        <v>-1.3365448203072283E-2</v>
      </c>
      <c r="DV34" s="9">
        <f ca="1">IF(OR(DV7="",DV$28&lt;$A34),"",DV7/OFFSET(ParoRegESP!$A$2,MATCH(DV$29,ParoRegESP!$A$2:$A$500)+$A34-1,1)-1)</f>
        <v>-2.5122771679904177E-2</v>
      </c>
      <c r="DW34" s="9">
        <f ca="1">IF(OR(DW7="",DW$28&lt;$A34),"",DW7/OFFSET(ParoRegESP!$A$2,MATCH(DW$29,ParoRegESP!$A$2:$A$500)+$A34-1,1)-1)</f>
        <v>-2.6588625316916636E-2</v>
      </c>
      <c r="DX34" s="9">
        <f ca="1">IF(OR(DX7="",DX$28&lt;$A34),"",DX7/OFFSET(ParoRegESP!$A$2,MATCH(DX$29,ParoRegESP!$A$2:$A$500)+$A34-1,1)-1)</f>
        <v>-1.3126780842048547E-2</v>
      </c>
      <c r="DY34" s="9">
        <f ca="1">IF(OR(DY7="",DY$28&lt;$A34),"",DY7/OFFSET(ParoRegESP!$A$2,MATCH(DY$29,ParoRegESP!$A$2:$A$500)+$A34-1,1)-1)</f>
        <v>2.0505290462466963E-2</v>
      </c>
      <c r="DZ34" s="9">
        <f ca="1">IF(OR(DZ7="",DZ$28&lt;$A34),"",DZ7/OFFSET(ParoRegESP!$A$2,MATCH(DZ$29,ParoRegESP!$A$2:$A$500)+$A34-1,1)-1)</f>
        <v>1.8431048997501698E-2</v>
      </c>
      <c r="EA34" s="9">
        <f ca="1">IF(OR(EA7="",EA$28&lt;$A34),"",EA7/OFFSET(ParoRegESP!$A$2,MATCH(EA$29,ParoRegESP!$A$2:$A$500)+$A34-1,1)-1)</f>
        <v>2.6848196955637782E-2</v>
      </c>
      <c r="EB34" s="9">
        <f ca="1">IF(OR(EB7="",EB$28&lt;$A34),"",EB7/OFFSET(ParoRegESP!$A$2,MATCH(EB$29,ParoRegESP!$A$2:$A$500)+$A34-1,1)-1)</f>
        <v>3.722308007078623E-2</v>
      </c>
      <c r="EC34" s="9">
        <f ca="1">IF(OR(EC7="",EC$28&lt;$A34),"",EC7/OFFSET(ParoRegESP!$A$2,MATCH(EC$29,ParoRegESP!$A$2:$A$500)+$A34-1,1)-1)</f>
        <v>2.4831179965511874E-2</v>
      </c>
      <c r="ED34" s="9">
        <f ca="1">IF(OR(ED7="",ED$28&lt;$A34),"",ED7/OFFSET(ParoRegESP!$A$2,MATCH(ED$29,ParoRegESP!$A$2:$A$500)+$A34-1,1)-1)</f>
        <v>2.4835228169763912E-2</v>
      </c>
      <c r="EE34" s="9">
        <f ca="1">IF(OR(EE7="",EE$28&lt;$A34),"",EE7/OFFSET(ParoRegESP!$A$2,MATCH(EE$29,ParoRegESP!$A$2:$A$500)+$A34-1,1)-1)</f>
        <v>4.8050175596032751E-3</v>
      </c>
      <c r="EF34" s="9">
        <f ca="1">IF(OR(EF7="",EF$28&lt;$A34),"",EF7/OFFSET(ParoRegESP!$A$2,MATCH(EF$29,ParoRegESP!$A$2:$A$500)+$A34-1,1)-1)</f>
        <v>-3.728090312502319E-3</v>
      </c>
      <c r="EG34" s="9">
        <f ca="1">IF(OR(EG7="",EG$28&lt;$A34),"",EG7/OFFSET(ParoRegESP!$A$2,MATCH(EG$29,ParoRegESP!$A$2:$A$500)+$A34-1,1)-1)</f>
        <v>-1.6723041801301797E-2</v>
      </c>
      <c r="EH34" s="9">
        <f ca="1">IF(OR(EH7="",EH$28&lt;$A34),"",EH7/OFFSET(ParoRegESP!$A$2,MATCH(EH$29,ParoRegESP!$A$2:$A$500)+$A34-1,1)-1)</f>
        <v>-2.8451463398261101E-2</v>
      </c>
      <c r="EI34" s="9">
        <f ca="1">IF(OR(EI7="",EI$28&lt;$A34),"",EI7/OFFSET(ParoRegESP!$A$2,MATCH(EI$29,ParoRegESP!$A$2:$A$500)+$A34-1,1)-1)</f>
        <v>-3.0288970135064597E-2</v>
      </c>
      <c r="EJ34" s="9">
        <f ca="1">IF(OR(EJ7="",EJ$28&lt;$A34),"",EJ7/OFFSET(ParoRegESP!$A$2,MATCH(EJ$29,ParoRegESP!$A$2:$A$500)+$A34-1,1)-1)</f>
        <v>1.245572036865461E-2</v>
      </c>
      <c r="EK34" s="9">
        <f ca="1">IF(OR(EK7="",EK$28&lt;$A34),"",EK7/OFFSET(ParoRegESP!$A$2,MATCH(EK$29,ParoRegESP!$A$2:$A$500)+$A34-1,1)-1)</f>
        <v>-4.073119044715301E-3</v>
      </c>
      <c r="EL34" s="9">
        <f ca="1">IF(OR(EL7="",EL$28&lt;$A34),"",EL7/OFFSET(ParoRegESP!$A$2,MATCH(EL$29,ParoRegESP!$A$2:$A$500)+$A34-1,1)-1)</f>
        <v>1.5755067460802907E-2</v>
      </c>
      <c r="EM34" s="9">
        <f ca="1">IF(OR(EM7="",EM$28&lt;$A34),"",EM7/OFFSET(ParoRegESP!$A$2,MATCH(EM$29,ParoRegESP!$A$2:$A$500)+$A34-1,1)-1)</f>
        <v>2.2392974068788041E-2</v>
      </c>
      <c r="EN34" s="9">
        <f ca="1">IF(OR(EN7="",EN$28&lt;$A34),"",EN7/OFFSET(ParoRegESP!$A$2,MATCH(EN$29,ParoRegESP!$A$2:$A$500)+$A34-1,1)-1)</f>
        <v>3.7422331451386626E-2</v>
      </c>
      <c r="EO34" s="9">
        <f ca="1">IF(OR(EO7="",EO$28&lt;$A34),"",EO7/OFFSET(ParoRegESP!$A$2,MATCH(EO$29,ParoRegESP!$A$2:$A$500)+$A34-1,1)-1)</f>
        <v>7.729419871647103E-3</v>
      </c>
      <c r="EP34" s="9">
        <f ca="1">IF(OR(EP7="",EP$28&lt;$A34),"",EP7/OFFSET(ParoRegESP!$A$2,MATCH(EP$29,ParoRegESP!$A$2:$A$500)+$A34-1,1)-1)</f>
        <v>9.8692800737345543E-3</v>
      </c>
      <c r="EQ34" s="9">
        <f ca="1">IF(OR(EQ7="",EQ$28&lt;$A34),"",EQ7/OFFSET(ParoRegESP!$A$2,MATCH(EQ$29,ParoRegESP!$A$2:$A$500)+$A34-1,1)-1)</f>
        <v>-9.6798352119037423E-3</v>
      </c>
      <c r="ER34" s="9">
        <f ca="1">IF(OR(ER7="",ER$28&lt;$A34),"",ER7/OFFSET(ParoRegESP!$A$2,MATCH(ER$29,ParoRegESP!$A$2:$A$500)+$A34-1,1)-1)</f>
        <v>1.6637094693954246E-3</v>
      </c>
      <c r="ES34" s="9">
        <f ca="1">IF(OR(ES7="",ES$28&lt;$A34),"",ES7/OFFSET(ParoRegESP!$A$2,MATCH(ES$29,ParoRegESP!$A$2:$A$500)+$A34-1,1)-1)</f>
        <v>-1.982597573760847E-3</v>
      </c>
      <c r="ET34" s="9">
        <f ca="1">IF(OR(ET7="",ET$28&lt;$A34),"",ET7/OFFSET(ParoRegESP!$A$2,MATCH(ET$29,ParoRegESP!$A$2:$A$500)+$A34-1,1)-1)</f>
        <v>1.1401202627971729E-2</v>
      </c>
      <c r="EU34" s="9">
        <f ca="1">IF(OR(EU7="",EU$28&lt;$A34),"",EU7/OFFSET(ParoRegESP!$A$2,MATCH(EU$29,ParoRegESP!$A$2:$A$500)+$A34-1,1)-1)</f>
        <v>2.173743018101093E-2</v>
      </c>
      <c r="EV34" s="9">
        <f ca="1">IF(OR(EV7="",EV$28&lt;$A34),"",EV7/OFFSET(ParoRegESP!$A$2,MATCH(EV$29,ParoRegESP!$A$2:$A$500)+$A34-1,1)-1)</f>
        <v>-7.6831493100024684E-3</v>
      </c>
      <c r="EW34" s="9">
        <f ca="1">IF(OR(EW7="",EW$28&lt;$A34),"",EW7/OFFSET(ParoRegESP!$A$2,MATCH(EW$29,ParoRegESP!$A$2:$A$500)+$A34-1,1)-1)</f>
        <v>9.0036062797982375E-4</v>
      </c>
      <c r="EX34" s="9">
        <f ca="1">IF(OR(EX7="",EX$28&lt;$A34),"",EX7/OFFSET(ParoRegESP!$A$2,MATCH(EX$29,ParoRegESP!$A$2:$A$500)+$A34-1,1)-1)</f>
        <v>1.0844386887224777E-2</v>
      </c>
      <c r="EY34" s="9">
        <f ca="1">IF(OR(EY7="",EY$28&lt;$A34),"",EY7/OFFSET(ParoRegESP!$A$2,MATCH(EY$29,ParoRegESP!$A$2:$A$500)+$A34-1,1)-1)</f>
        <v>1.6311110895651293E-2</v>
      </c>
      <c r="EZ34" s="9">
        <f ca="1">IF(OR(EZ7="",EZ$28&lt;$A34),"",EZ7/OFFSET(ParoRegESP!$A$2,MATCH(EZ$29,ParoRegESP!$A$2:$A$500)+$A34-1,1)-1)</f>
        <v>2.856146386850611E-3</v>
      </c>
      <c r="FA34" s="9">
        <f ca="1">IF(OR(FA7="",FA$28&lt;$A34),"",FA7/OFFSET(ParoRegESP!$A$2,MATCH(FA$29,ParoRegESP!$A$2:$A$500)+$A34-1,1)-1)</f>
        <v>3.752011134723765E-2</v>
      </c>
      <c r="FB34" s="9">
        <f ca="1">IF(OR(FB7="",FB$28&lt;$A34),"",FB7/OFFSET(ParoRegESP!$A$2,MATCH(FB$29,ParoRegESP!$A$2:$A$500)+$A34-1,1)-1)</f>
        <v>4.8564725144546461E-3</v>
      </c>
      <c r="FC34" s="9">
        <f ca="1">IF(OR(FC7="",FC$28&lt;$A34),"",FC7/OFFSET(ParoRegESP!$A$2,MATCH(FC$29,ParoRegESP!$A$2:$A$500)+$A34-1,1)-1)</f>
        <v>9.3281952958301773E-4</v>
      </c>
      <c r="FD34" s="9">
        <f ca="1">IF(OR(FD7="",FD$28&lt;$A34),"",FD7/OFFSET(ParoRegESP!$A$2,MATCH(FD$29,ParoRegESP!$A$2:$A$500)+$A34-1,1)-1)</f>
        <v>-1.7596323114305812E-2</v>
      </c>
      <c r="FE34" s="9">
        <f ca="1">IF(OR(FE7="",FE$28&lt;$A34),"",FE7/OFFSET(ParoRegESP!$A$2,MATCH(FE$29,ParoRegESP!$A$2:$A$500)+$A34-1,1)-1)</f>
        <v>-3.3069626010810871E-2</v>
      </c>
      <c r="FF34" s="9">
        <f ca="1">IF(OR(FF7="",FF$28&lt;$A34),"",FF7/OFFSET(ParoRegESP!$A$2,MATCH(FF$29,ParoRegESP!$A$2:$A$500)+$A34-1,1)-1)</f>
        <v>-5.4214730542031297E-2</v>
      </c>
      <c r="FG34" s="9">
        <f ca="1">IF(OR(FG7="",FG$28&lt;$A34),"",FG7/OFFSET(ParoRegESP!$A$2,MATCH(FG$29,ParoRegESP!$A$2:$A$500)+$A34-1,1)-1)</f>
        <v>-4.792247729405863E-2</v>
      </c>
      <c r="FH34" s="9">
        <f ca="1">IF(OR(FH7="",FH$28&lt;$A34),"",FH7/OFFSET(ParoRegESP!$A$2,MATCH(FH$29,ParoRegESP!$A$2:$A$500)+$A34-1,1)-1)</f>
        <v>-1.8429105907344701E-2</v>
      </c>
      <c r="FI34" s="9">
        <f ca="1">IF(OR(FI7="",FI$28&lt;$A34),"",FI7/OFFSET(ParoRegESP!$A$2,MATCH(FI$29,ParoRegESP!$A$2:$A$500)+$A34-1,1)-1)</f>
        <v>1.2872072363949938E-2</v>
      </c>
      <c r="FJ34" s="9">
        <f ca="1">IF(OR(FJ7="",FJ$28&lt;$A34),"",FJ7/OFFSET(ParoRegESP!$A$2,MATCH(FJ$29,ParoRegESP!$A$2:$A$500)+$A34-1,1)-1)</f>
        <v>3.4519126911084275E-2</v>
      </c>
      <c r="FK34" s="9">
        <f ca="1">IF(OR(FK7="",FK$28&lt;$A34),"",FK7/OFFSET(ParoRegESP!$A$2,MATCH(FK$29,ParoRegESP!$A$2:$A$500)+$A34-1,1)-1)</f>
        <v>2.426788046066819E-2</v>
      </c>
      <c r="FL34" s="9">
        <f ca="1">IF(OR(FL7="",FL$28&lt;$A34),"",FL7/OFFSET(ParoRegESP!$A$2,MATCH(FL$29,ParoRegESP!$A$2:$A$500)+$A34-1,1)-1)</f>
        <v>1.9543287168746648E-2</v>
      </c>
      <c r="FM34" s="9">
        <f ca="1">IF(OR(FM7="",FM$28&lt;$A34),"",FM7/OFFSET(ParoRegESP!$A$2,MATCH(FM$29,ParoRegESP!$A$2:$A$500)+$A34-1,1)-1)</f>
        <v>5.9493384769346846E-3</v>
      </c>
      <c r="FN34" s="9">
        <f ca="1">IF(OR(FN7="",FN$28&lt;$A34),"",FN7/OFFSET(ParoRegESP!$A$2,MATCH(FN$29,ParoRegESP!$A$2:$A$500)+$A34-1,1)-1)</f>
        <v>-4.3681883619479667E-3</v>
      </c>
      <c r="FO34" s="9">
        <f ca="1">IF(OR(FO7="",FO$28&lt;$A34),"",FO7/OFFSET(ParoRegESP!$A$2,MATCH(FO$29,ParoRegESP!$A$2:$A$500)+$A34-1,1)-1)</f>
        <v>-1.5701334914524079E-2</v>
      </c>
      <c r="FP34" s="9">
        <f ca="1">IF(OR(FP7="",FP$28&lt;$A34),"",FP7/OFFSET(ParoRegESP!$A$2,MATCH(FP$29,ParoRegESP!$A$2:$A$500)+$A34-1,1)-1)</f>
        <v>-2.7158037674488211E-2</v>
      </c>
      <c r="FQ34" s="9">
        <f ca="1">IF(OR(FQ7="",FQ$28&lt;$A34),"",FQ7/OFFSET(ParoRegESP!$A$2,MATCH(FQ$29,ParoRegESP!$A$2:$A$500)+$A34-1,1)-1)</f>
        <v>-2.2728735083145546E-2</v>
      </c>
      <c r="FR34" s="9">
        <f ca="1">IF(OR(FR7="",FR$28&lt;$A34),"",FR7/OFFSET(ParoRegESP!$A$2,MATCH(FR$29,ParoRegESP!$A$2:$A$500)+$A34-1,1)-1)</f>
        <v>-1.3102015058661487E-2</v>
      </c>
      <c r="FS34" s="9">
        <f ca="1">IF(OR(FS7="",FS$28&lt;$A34),"",FS7/OFFSET(ParoRegESP!$A$2,MATCH(FS$29,ParoRegESP!$A$2:$A$500)+$A34-1,1)-1)</f>
        <v>8.7599289795432522E-3</v>
      </c>
      <c r="FT34" s="9">
        <f ca="1">IF(OR(FT7="",FT$28&lt;$A34),"",FT7/OFFSET(ParoRegESP!$A$2,MATCH(FT$29,ParoRegESP!$A$2:$A$500)+$A34-1,1)-1)</f>
        <v>1.3209448304212668E-2</v>
      </c>
      <c r="FU34" s="9">
        <f ca="1">IF(OR(FU7="",FU$28&lt;$A34),"",FU7/OFFSET(ParoRegESP!$A$2,MATCH(FU$29,ParoRegESP!$A$2:$A$500)+$A34-1,1)-1)</f>
        <v>2.6556690572416608E-2</v>
      </c>
      <c r="FV34" s="9">
        <f ca="1">IF(OR(FV7="",FV$28&lt;$A34),"",FV7/OFFSET(ParoRegESP!$A$2,MATCH(FV$29,ParoRegESP!$A$2:$A$500)+$A34-1,1)-1)</f>
        <v>2.3171268255189448E-2</v>
      </c>
      <c r="FW34" s="9">
        <f ca="1">IF(OR(FW7="",FW$28&lt;$A34),"",FW7/OFFSET(ParoRegESP!$A$2,MATCH(FW$29,ParoRegESP!$A$2:$A$500)+$A34-1,1)-1)</f>
        <v>1.03697107591465E-2</v>
      </c>
      <c r="FX34" s="9">
        <f ca="1">IF(OR(FX7="",FX$28&lt;$A34),"",FX7/OFFSET(ParoRegESP!$A$2,MATCH(FX$29,ParoRegESP!$A$2:$A$500)+$A34-1,1)-1)</f>
        <v>5.171597388038407E-4</v>
      </c>
      <c r="FY34" s="9">
        <f ca="1">IF(OR(FY7="",FY$28&lt;$A34),"",FY7/OFFSET(ParoRegESP!$A$2,MATCH(FY$29,ParoRegESP!$A$2:$A$500)+$A34-1,1)-1)</f>
        <v>-1.1024719298540098E-2</v>
      </c>
      <c r="FZ34" s="9">
        <f ca="1">IF(OR(FZ7="",FZ$28&lt;$A34),"",FZ7/OFFSET(ParoRegESP!$A$2,MATCH(FZ$29,ParoRegESP!$A$2:$A$500)+$A34-1,1)-1)</f>
        <v>-6.3197670940581263E-3</v>
      </c>
      <c r="GA34" s="9">
        <f ca="1">IF(OR(GA7="",GA$28&lt;$A34),"",GA7/OFFSET(ParoRegESP!$A$2,MATCH(GA$29,ParoRegESP!$A$2:$A$500)+$A34-1,1)-1)</f>
        <v>-6.9281787886011914E-3</v>
      </c>
      <c r="GB34" s="9">
        <f ca="1">IF(OR(GB7="",GB$28&lt;$A34),"",GB7/OFFSET(ParoRegESP!$A$2,MATCH(GB$29,ParoRegESP!$A$2:$A$500)+$A34-1,1)-1)</f>
        <v>-1.9155207639088845E-2</v>
      </c>
      <c r="GC34" s="9">
        <f ca="1">IF(OR(GC7="",GC$28&lt;$A34),"",GC7/OFFSET(ParoRegESP!$A$2,MATCH(GC$29,ParoRegESP!$A$2:$A$500)+$A34-1,1)-1)</f>
        <v>-2.4313773328125232E-2</v>
      </c>
      <c r="GD34" s="9">
        <f ca="1">IF(OR(GD7="",GD$28&lt;$A34),"",GD7/OFFSET(ParoRegESP!$A$2,MATCH(GD$29,ParoRegESP!$A$2:$A$500)+$A34-1,1)-1)</f>
        <v>-2.1946771324601322E-2</v>
      </c>
      <c r="GE34" s="9">
        <f ca="1">IF(OR(GE7="",GE$28&lt;$A34),"",GE7/OFFSET(ParoRegESP!$A$2,MATCH(GE$29,ParoRegESP!$A$2:$A$500)+$A34-1,1)-1)</f>
        <v>-3.1937753355186227E-2</v>
      </c>
      <c r="GF34" s="9">
        <f ca="1">IF(OR(GF7="",GF$28&lt;$A34),"",GF7/OFFSET(ParoRegESP!$A$2,MATCH(GF$29,ParoRegESP!$A$2:$A$500)+$A34-1,1)-1)</f>
        <v>-5.3646407763291437E-3</v>
      </c>
      <c r="GG34" s="9">
        <f ca="1">IF(OR(GG7="",GG$28&lt;$A34),"",GG7/OFFSET(ParoRegESP!$A$2,MATCH(GG$29,ParoRegESP!$A$2:$A$500)+$A34-1,1)-1)</f>
        <v>5.6475657541021906E-3</v>
      </c>
      <c r="GH34" s="9">
        <f ca="1">IF(OR(GH7="",GH$28&lt;$A34),"",GH7/OFFSET(ParoRegESP!$A$2,MATCH(GH$29,ParoRegESP!$A$2:$A$500)+$A34-1,1)-1)</f>
        <v>2.2061972518281348E-3</v>
      </c>
      <c r="GI34" s="9">
        <f ca="1">IF(OR(GI7="",GI$28&lt;$A34),"",GI7/OFFSET(ParoRegESP!$A$2,MATCH(GI$29,ParoRegESP!$A$2:$A$500)+$A34-1,1)-1)</f>
        <v>-4.4773922575211955E-3</v>
      </c>
      <c r="GJ34" s="9">
        <f ca="1">IF(OR(GJ7="",GJ$28&lt;$A34),"",GJ7/OFFSET(ParoRegESP!$A$2,MATCH(GJ$29,ParoRegESP!$A$2:$A$500)+$A34-1,1)-1)</f>
        <v>-7.2331399886135572E-2</v>
      </c>
      <c r="GK34" s="9">
        <f ca="1">IF(OR(GK7="",GK$28&lt;$A34),"",GK7/OFFSET(ParoRegESP!$A$2,MATCH(GK$29,ParoRegESP!$A$2:$A$500)+$A34-1,1)-1)</f>
        <v>-0.16590610660964755</v>
      </c>
      <c r="GL34" s="9">
        <f ca="1">IF(OR(GL7="",GL$28&lt;$A34),"",GL7/OFFSET(ParoRegESP!$A$2,MATCH(GL$29,ParoRegESP!$A$2:$A$500)+$A34-1,1)-1)</f>
        <v>-0.19357267613921736</v>
      </c>
      <c r="GM34" s="9">
        <f ca="1">IF(OR(GM7="",GM$28&lt;$A34),"",GM7/OFFSET(ParoRegESP!$A$2,MATCH(GM$29,ParoRegESP!$A$2:$A$500)+$A34-1,1)-1)</f>
        <v>-0.21629894997429833</v>
      </c>
      <c r="GN34" s="9">
        <f ca="1">IF(OR(GN7="",GN$28&lt;$A34),"",GN7/OFFSET(ParoRegESP!$A$2,MATCH(GN$29,ParoRegESP!$A$2:$A$500)+$A34-1,1)-1)</f>
        <v>-0.220655366357978</v>
      </c>
      <c r="GO34" s="9">
        <f ca="1">IF(OR(GO7="",GO$28&lt;$A34),"",GO7/OFFSET(ParoRegESP!$A$2,MATCH(GO$29,ParoRegESP!$A$2:$A$500)+$A34-1,1)-1)</f>
        <v>-6.741465325155771E-2</v>
      </c>
      <c r="GP34" s="9">
        <f ca="1">IF(OR(GP7="",GP$28&lt;$A34),"",GP7/OFFSET(ParoRegESP!$A$2,MATCH(GP$29,ParoRegESP!$A$2:$A$500)+$A34-1,1)-1)</f>
        <v>0.21342317971806657</v>
      </c>
      <c r="GQ34" s="9">
        <f ca="1">IF(OR(GQ7="",GQ$28&lt;$A34),"",GQ7/OFFSET(ParoRegESP!$A$2,MATCH(GQ$29,ParoRegESP!$A$2:$A$500)+$A34-1,1)-1)</f>
        <v>0.12831503082484108</v>
      </c>
      <c r="GR34" s="9">
        <f ca="1">IF(OR(GR7="",GR$28&lt;$A34),"",GR7/OFFSET(ParoRegESP!$A$2,MATCH(GR$29,ParoRegESP!$A$2:$A$500)+$A34-1,1)-1)</f>
        <v>0.12748196281995683</v>
      </c>
      <c r="GS34" s="9">
        <f ca="1">IF(OR(GS7="",GS$28&lt;$A34),"",GS7/OFFSET(ParoRegESP!$A$2,MATCH(GS$29,ParoRegESP!$A$2:$A$500)+$A34-1,1)-1)</f>
        <v>7.3688960075645626E-2</v>
      </c>
      <c r="GT34" s="9">
        <f ca="1">IF(OR(GT7="",GT$28&lt;$A34),"",GT7/OFFSET(ParoRegESP!$A$2,MATCH(GT$29,ParoRegESP!$A$2:$A$500)+$A34-1,1)-1)</f>
        <v>5.2830553964968052E-2</v>
      </c>
      <c r="GU34" s="9" t="str">
        <f ca="1">IF(OR(GU7="",GU$28&lt;$A34),"",GU7/OFFSET(ParoRegESP!$A$2,MATCH(GU$29,ParoRegESP!$A$2:$A$500)+$A34-1,1)-1)</f>
        <v/>
      </c>
      <c r="GV34" s="9" t="str">
        <f ca="1">IF(OR(GV7="",GV$28&lt;$A34),"",GV7/OFFSET(ParoRegESP!$A$2,MATCH(GV$29,ParoRegESP!$A$2:$A$500)+$A34-1,1)-1)</f>
        <v/>
      </c>
      <c r="GW34" s="9" t="str">
        <f ca="1">IF(OR(GW7="",GW$28&lt;$A34),"",GW7/OFFSET(ParoRegESP!$A$2,MATCH(GW$29,ParoRegESP!$A$2:$A$500)+$A34-1,1)-1)</f>
        <v/>
      </c>
      <c r="GX34" s="9" t="str">
        <f ca="1">IF(OR(GX7="",GX$28&lt;$A34),"",GX7/OFFSET(ParoRegESP!$A$2,MATCH(GX$29,ParoRegESP!$A$2:$A$500)+$A34-1,1)-1)</f>
        <v/>
      </c>
      <c r="GY34" s="9" t="str">
        <f ca="1">IF(OR(GY7="",GY$28&lt;$A34),"",GY7/OFFSET(ParoRegESP!$A$2,MATCH(GY$29,ParoRegESP!$A$2:$A$500)+$A34-1,1)-1)</f>
        <v/>
      </c>
      <c r="GZ34" s="9" t="str">
        <f ca="1">IF(OR(GZ7="",GZ$28&lt;$A34),"",GZ7/OFFSET(ParoRegESP!$A$2,MATCH(GZ$29,ParoRegESP!$A$2:$A$500)+$A34-1,1)-1)</f>
        <v/>
      </c>
      <c r="HA34" s="9" t="str">
        <f ca="1">IF(OR(HA7="",HA$28&lt;$A34),"",HA7/OFFSET(ParoRegESP!$A$2,MATCH(HA$29,ParoRegESP!$A$2:$A$500)+$A34-1,1)-1)</f>
        <v/>
      </c>
      <c r="HB34" s="9" t="str">
        <f ca="1">IF(OR(HB7="",HB$28&lt;$A34),"",HB7/OFFSET(ParoRegESP!$A$2,MATCH(HB$29,ParoRegESP!$A$2:$A$500)+$A34-1,1)-1)</f>
        <v/>
      </c>
      <c r="HC34" s="9" t="str">
        <f ca="1">IF(OR(HC7="",HC$28&lt;$A34),"",HC7/OFFSET(ParoRegESP!$A$2,MATCH(HC$29,ParoRegESP!$A$2:$A$500)+$A34-1,1)-1)</f>
        <v/>
      </c>
      <c r="HD34" s="9" t="str">
        <f ca="1">IF(OR(HD7="",HD$28&lt;$A34),"",HD7/OFFSET(ParoRegESP!$A$2,MATCH(HD$29,ParoRegESP!$A$2:$A$500)+$A34-1,1)-1)</f>
        <v/>
      </c>
      <c r="HE34" s="9" t="str">
        <f ca="1">IF(OR(HE7="",HE$28&lt;$A34),"",HE7/OFFSET(ParoRegESP!$A$2,MATCH(HE$29,ParoRegESP!$A$2:$A$500)+$A34-1,1)-1)</f>
        <v/>
      </c>
      <c r="HF34" s="9" t="str">
        <f ca="1">IF(OR(HF7="",HF$28&lt;$A34),"",HF7/OFFSET(ParoRegESP!$A$2,MATCH(HF$29,ParoRegESP!$A$2:$A$500)+$A34-1,1)-1)</f>
        <v/>
      </c>
      <c r="HG34" s="9" t="str">
        <f ca="1">IF(OR(HG7="",HG$28&lt;$A34),"",HG7/OFFSET(ParoRegESP!$A$2,MATCH(HG$29,ParoRegESP!$A$2:$A$500)+$A34-1,1)-1)</f>
        <v/>
      </c>
      <c r="HH34" s="9" t="str">
        <f ca="1">IF(OR(HH7="",HH$28&lt;$A34),"",HH7/OFFSET(ParoRegESP!$A$2,MATCH(HH$29,ParoRegESP!$A$2:$A$500)+$A34-1,1)-1)</f>
        <v/>
      </c>
      <c r="HI34" s="9" t="str">
        <f ca="1">IF(OR(HI7="",HI$28&lt;$A34),"",HI7/OFFSET(ParoRegESP!$A$2,MATCH(HI$29,ParoRegESP!$A$2:$A$500)+$A34-1,1)-1)</f>
        <v/>
      </c>
      <c r="HJ34" s="9" t="str">
        <f ca="1">IF(OR(HJ7="",HJ$28&lt;$A34),"",HJ7/OFFSET(ParoRegESP!$A$2,MATCH(HJ$29,ParoRegESP!$A$2:$A$500)+$A34-1,1)-1)</f>
        <v/>
      </c>
      <c r="HK34" s="9" t="str">
        <f ca="1">IF(OR(HK7="",HK$28&lt;$A34),"",HK7/OFFSET(ParoRegESP!$A$2,MATCH(HK$29,ParoRegESP!$A$2:$A$500)+$A34-1,1)-1)</f>
        <v/>
      </c>
      <c r="HL34" s="9" t="str">
        <f ca="1">IF(OR(HL7="",HL$28&lt;$A34),"",HL7/OFFSET(ParoRegESP!$A$2,MATCH(HL$29,ParoRegESP!$A$2:$A$500)+$A34-1,1)-1)</f>
        <v/>
      </c>
      <c r="HM34" s="9" t="str">
        <f ca="1">IF(OR(HM7="",HM$28&lt;$A34),"",HM7/OFFSET(ParoRegESP!$A$2,MATCH(HM$29,ParoRegESP!$A$2:$A$500)+$A34-1,1)-1)</f>
        <v/>
      </c>
      <c r="HN34" s="9" t="str">
        <f ca="1">IF(OR(HN7="",HN$28&lt;$A34),"",HN7/OFFSET(ParoRegESP!$A$2,MATCH(HN$29,ParoRegESP!$A$2:$A$500)+$A34-1,1)-1)</f>
        <v/>
      </c>
      <c r="HO34" s="9" t="str">
        <f ca="1">IF(OR(HO7="",HO$28&lt;$A34),"",HO7/OFFSET(ParoRegESP!$A$2,MATCH(HO$29,ParoRegESP!$A$2:$A$500)+$A34-1,1)-1)</f>
        <v/>
      </c>
      <c r="HP34" s="9" t="str">
        <f ca="1">IF(OR(HP7="",HP$28&lt;$A34),"",HP7/OFFSET(ParoRegESP!$A$2,MATCH(HP$29,ParoRegESP!$A$2:$A$500)+$A34-1,1)-1)</f>
        <v/>
      </c>
      <c r="HQ34" s="9" t="str">
        <f ca="1">IF(OR(HQ7="",HQ$28&lt;$A34),"",HQ7/OFFSET(ParoRegESP!$A$2,MATCH(HQ$29,ParoRegESP!$A$2:$A$500)+$A34-1,1)-1)</f>
        <v/>
      </c>
      <c r="HR34" s="9" t="str">
        <f ca="1">IF(OR(HR7="",HR$28&lt;$A34),"",HR7/OFFSET(ParoRegESP!$A$2,MATCH(HR$29,ParoRegESP!$A$2:$A$500)+$A34-1,1)-1)</f>
        <v/>
      </c>
      <c r="HS34" s="9" t="str">
        <f ca="1">IF(OR(HS7="",HS$28&lt;$A34),"",HS7/OFFSET(ParoRegESP!$A$2,MATCH(HS$29,ParoRegESP!$A$2:$A$500)+$A34-1,1)-1)</f>
        <v/>
      </c>
      <c r="HT34" s="9" t="str">
        <f ca="1">IF(OR(HT7="",HT$28&lt;$A34),"",HT7/OFFSET(ParoRegESP!$A$2,MATCH(HT$29,ParoRegESP!$A$2:$A$500)+$A34-1,1)-1)</f>
        <v/>
      </c>
      <c r="HU34" s="9" t="str">
        <f ca="1">IF(OR(HU7="",HU$28&lt;$A34),"",HU7/OFFSET(ParoRegESP!$A$2,MATCH(HU$29,ParoRegESP!$A$2:$A$500)+$A34-1,1)-1)</f>
        <v/>
      </c>
      <c r="HV34" s="9" t="str">
        <f ca="1">IF(OR(HV7="",HV$28&lt;$A34),"",HV7/OFFSET(ParoRegESP!$A$2,MATCH(HV$29,ParoRegESP!$A$2:$A$500)+$A34-1,1)-1)</f>
        <v/>
      </c>
      <c r="HW34" s="9" t="str">
        <f ca="1">IF(OR(HW7="",HW$28&lt;$A34),"",HW7/OFFSET(ParoRegESP!$A$2,MATCH(HW$29,ParoRegESP!$A$2:$A$500)+$A34-1,1)-1)</f>
        <v/>
      </c>
      <c r="HX34" s="9" t="str">
        <f ca="1">IF(OR(HX7="",HX$28&lt;$A34),"",HX7/OFFSET(ParoRegESP!$A$2,MATCH(HX$29,ParoRegESP!$A$2:$A$500)+$A34-1,1)-1)</f>
        <v/>
      </c>
      <c r="HY34" s="9" t="str">
        <f ca="1">IF(OR(HY7="",HY$28&lt;$A34),"",HY7/OFFSET(ParoRegESP!$A$2,MATCH(HY$29,ParoRegESP!$A$2:$A$500)+$A34-1,1)-1)</f>
        <v/>
      </c>
      <c r="HZ34" s="9" t="str">
        <f ca="1">IF(OR(HZ7="",HZ$28&lt;$A34),"",HZ7/OFFSET(ParoRegESP!$A$2,MATCH(HZ$29,ParoRegESP!$A$2:$A$500)+$A34-1,1)-1)</f>
        <v/>
      </c>
      <c r="IA34" s="9" t="str">
        <f ca="1">IF(OR(IA7="",IA$28&lt;$A34),"",IA7/OFFSET(ParoRegESP!$A$2,MATCH(IA$29,ParoRegESP!$A$2:$A$500)+$A34-1,1)-1)</f>
        <v/>
      </c>
      <c r="IB34" s="9" t="str">
        <f ca="1">IF(OR(IB7="",IB$28&lt;$A34),"",IB7/OFFSET(ParoRegESP!$A$2,MATCH(IB$29,ParoRegESP!$A$2:$A$500)+$A34-1,1)-1)</f>
        <v/>
      </c>
      <c r="IC34" s="9" t="str">
        <f ca="1">IF(OR(IC7="",IC$28&lt;$A34),"",IC7/OFFSET(ParoRegESP!$A$2,MATCH(IC$29,ParoRegESP!$A$2:$A$500)+$A34-1,1)-1)</f>
        <v/>
      </c>
      <c r="ID34" s="9" t="str">
        <f ca="1">IF(OR(ID7="",ID$28&lt;$A34),"",ID7/OFFSET(ParoRegESP!$A$2,MATCH(ID$29,ParoRegESP!$A$2:$A$500)+$A34-1,1)-1)</f>
        <v/>
      </c>
      <c r="IE34" s="9" t="str">
        <f ca="1">IF(OR(IE7="",IE$28&lt;$A34),"",IE7/OFFSET(ParoRegESP!$A$2,MATCH(IE$29,ParoRegESP!$A$2:$A$500)+$A34-1,1)-1)</f>
        <v/>
      </c>
      <c r="IF34" s="9" t="str">
        <f ca="1">IF(OR(IF7="",IF$28&lt;$A34),"",IF7/OFFSET(ParoRegESP!$A$2,MATCH(IF$29,ParoRegESP!$A$2:$A$500)+$A34-1,1)-1)</f>
        <v/>
      </c>
      <c r="IG34" s="9" t="str">
        <f ca="1">IF(OR(IG7="",IG$28&lt;$A34),"",IG7/OFFSET(ParoRegESP!$A$2,MATCH(IG$29,ParoRegESP!$A$2:$A$500)+$A34-1,1)-1)</f>
        <v/>
      </c>
      <c r="IH34" s="9" t="str">
        <f ca="1">IF(OR(IH7="",IH$28&lt;$A34),"",IH7/OFFSET(ParoRegESP!$A$2,MATCH(IH$29,ParoRegESP!$A$2:$A$500)+$A34-1,1)-1)</f>
        <v/>
      </c>
      <c r="II34" s="9" t="str">
        <f ca="1">IF(OR(II7="",II$28&lt;$A34),"",II7/OFFSET(ParoRegESP!$A$2,MATCH(II$29,ParoRegESP!$A$2:$A$500)+$A34-1,1)-1)</f>
        <v/>
      </c>
      <c r="IJ34" s="9" t="str">
        <f ca="1">IF(OR(IJ7="",IJ$28&lt;$A34),"",IJ7/OFFSET(ParoRegESP!$A$2,MATCH(IJ$29,ParoRegESP!$A$2:$A$500)+$A34-1,1)-1)</f>
        <v/>
      </c>
      <c r="IK34" s="9" t="str">
        <f ca="1">IF(OR(IK7="",IK$28&lt;$A34),"",IK7/OFFSET(ParoRegESP!$A$2,MATCH(IK$29,ParoRegESP!$A$2:$A$500)+$A34-1,1)-1)</f>
        <v/>
      </c>
      <c r="IL34" s="9" t="str">
        <f ca="1">IF(OR(IL7="",IL$28&lt;$A34),"",IL7/OFFSET(ParoRegESP!$A$2,MATCH(IL$29,ParoRegESP!$A$2:$A$500)+$A34-1,1)-1)</f>
        <v/>
      </c>
      <c r="IM34" s="9" t="str">
        <f ca="1">IF(OR(IM7="",IM$28&lt;$A34),"",IM7/OFFSET(ParoRegESP!$A$2,MATCH(IM$29,ParoRegESP!$A$2:$A$500)+$A34-1,1)-1)</f>
        <v/>
      </c>
      <c r="IN34" s="9" t="str">
        <f ca="1">IF(OR(IN7="",IN$28&lt;$A34),"",IN7/OFFSET(ParoRegESP!$A$2,MATCH(IN$29,ParoRegESP!$A$2:$A$500)+$A34-1,1)-1)</f>
        <v/>
      </c>
      <c r="IO34" s="9" t="str">
        <f ca="1">IF(OR(IO7="",IO$28&lt;$A34),"",IO7/OFFSET(ParoRegESP!$A$2,MATCH(IO$29,ParoRegESP!$A$2:$A$500)+$A34-1,1)-1)</f>
        <v/>
      </c>
      <c r="IP34" s="9" t="str">
        <f ca="1">IF(OR(IP7="",IP$28&lt;$A34),"",IP7/OFFSET(ParoRegESP!$A$2,MATCH(IP$29,ParoRegESP!$A$2:$A$500)+$A34-1,1)-1)</f>
        <v/>
      </c>
      <c r="IQ34" s="9" t="str">
        <f ca="1">IF(OR(IQ7="",IQ$28&lt;$A34),"",IQ7/OFFSET(ParoRegESP!$A$2,MATCH(IQ$29,ParoRegESP!$A$2:$A$500)+$A34-1,1)-1)</f>
        <v/>
      </c>
      <c r="IR34" s="9" t="str">
        <f ca="1">IF(OR(IR7="",IR$28&lt;$A34),"",IR7/OFFSET(ParoRegESP!$A$2,MATCH(IR$29,ParoRegESP!$A$2:$A$500)+$A34-1,1)-1)</f>
        <v/>
      </c>
      <c r="IS34" s="9" t="str">
        <f ca="1">IF(OR(IS7="",IS$28&lt;$A34),"",IS7/OFFSET(ParoRegESP!$A$2,MATCH(IS$29,ParoRegESP!$A$2:$A$500)+$A34-1,1)-1)</f>
        <v/>
      </c>
      <c r="IT34" s="9" t="str">
        <f ca="1">IF(OR(IT7="",IT$28&lt;$A34),"",IT7/OFFSET(ParoRegESP!$A$2,MATCH(IT$29,ParoRegESP!$A$2:$A$500)+$A34-1,1)-1)</f>
        <v/>
      </c>
      <c r="IU34" s="9" t="str">
        <f ca="1">IF(OR(IU7="",IU$28&lt;$A34),"",IU7/OFFSET(ParoRegESP!$A$2,MATCH(IU$29,ParoRegESP!$A$2:$A$500)+$A34-1,1)-1)</f>
        <v/>
      </c>
      <c r="IV34" s="9" t="str">
        <f ca="1">IF(OR(IV7="",IV$28&lt;$A34),"",IV7/OFFSET(ParoRegESP!$A$2,MATCH(IV$29,ParoRegESP!$A$2:$A$500)+$A34-1,1)-1)</f>
        <v/>
      </c>
      <c r="IW34" s="9" t="str">
        <f ca="1">IF(OR(IW7="",IW$28&lt;$A34),"",IW7/OFFSET(ParoRegESP!$A$2,MATCH(IW$29,ParoRegESP!$A$2:$A$500)+$A34-1,1)-1)</f>
        <v/>
      </c>
      <c r="IX34" s="9" t="str">
        <f ca="1">IF(OR(IX7="",IX$28&lt;$A34),"",IX7/OFFSET(ParoRegESP!$A$2,MATCH(IX$29,ParoRegESP!$A$2:$A$500)+$A34-1,1)-1)</f>
        <v/>
      </c>
      <c r="IY34" s="9" t="str">
        <f ca="1">IF(OR(IY7="",IY$28&lt;$A34),"",IY7/OFFSET(ParoRegESP!$A$2,MATCH(IY$29,ParoRegESP!$A$2:$A$500)+$A34-1,1)-1)</f>
        <v/>
      </c>
      <c r="IZ34" s="9" t="str">
        <f ca="1">IF(OR(IZ7="",IZ$28&lt;$A34),"",IZ7/OFFSET(ParoRegESP!$A$2,MATCH(IZ$29,ParoRegESP!$A$2:$A$500)+$A34-1,1)-1)</f>
        <v/>
      </c>
      <c r="JA34" s="9" t="str">
        <f ca="1">IF(OR(JA7="",JA$28&lt;$A34),"",JA7/OFFSET(ParoRegESP!$A$2,MATCH(JA$29,ParoRegESP!$A$2:$A$500)+$A34-1,1)-1)</f>
        <v/>
      </c>
      <c r="JB34" s="9" t="str">
        <f ca="1">IF(OR(JB7="",JB$28&lt;$A34),"",JB7/OFFSET(ParoRegESP!$A$2,MATCH(JB$29,ParoRegESP!$A$2:$A$500)+$A34-1,1)-1)</f>
        <v/>
      </c>
      <c r="JC34" s="9" t="str">
        <f ca="1">IF(OR(JC7="",JC$28&lt;$A34),"",JC7/OFFSET(ParoRegESP!$A$2,MATCH(JC$29,ParoRegESP!$A$2:$A$500)+$A34-1,1)-1)</f>
        <v/>
      </c>
      <c r="JD34" s="9" t="str">
        <f ca="1">IF(OR(JD7="",JD$28&lt;$A34),"",JD7/OFFSET(ParoRegESP!$A$2,MATCH(JD$29,ParoRegESP!$A$2:$A$500)+$A34-1,1)-1)</f>
        <v/>
      </c>
      <c r="JE34" s="9" t="str">
        <f ca="1">IF(OR(JE7="",JE$28&lt;$A34),"",JE7/OFFSET(ParoRegESP!$A$2,MATCH(JE$29,ParoRegESP!$A$2:$A$500)+$A34-1,1)-1)</f>
        <v/>
      </c>
      <c r="JF34" s="9" t="str">
        <f ca="1">IF(OR(JF7="",JF$28&lt;$A34),"",JF7/OFFSET(ParoRegESP!$A$2,MATCH(JF$29,ParoRegESP!$A$2:$A$500)+$A34-1,1)-1)</f>
        <v/>
      </c>
      <c r="JG34" s="9" t="str">
        <f ca="1">IF(OR(JG7="",JG$28&lt;$A34),"",JG7/OFFSET(ParoRegESP!$A$2,MATCH(JG$29,ParoRegESP!$A$2:$A$500)+$A34-1,1)-1)</f>
        <v/>
      </c>
      <c r="JH34" s="9" t="str">
        <f ca="1">IF(OR(JH7="",JH$28&lt;$A34),"",JH7/OFFSET(ParoRegESP!$A$2,MATCH(JH$29,ParoRegESP!$A$2:$A$500)+$A34-1,1)-1)</f>
        <v/>
      </c>
      <c r="JI34" s="13">
        <f t="shared" ca="1" si="13"/>
        <v>-1.3910014973465742E-2</v>
      </c>
      <c r="JJ34" s="13">
        <f t="shared" ca="1" si="14"/>
        <v>-5.842203935193635E-3</v>
      </c>
      <c r="JK34" s="14">
        <f t="shared" ca="1" si="15"/>
        <v>8.532413983349571E-3</v>
      </c>
      <c r="JL34" s="17">
        <f t="shared" ca="1" si="18"/>
        <v>9.2371066808549798E-2</v>
      </c>
      <c r="JM34" s="15" t="str">
        <f t="shared" ca="1" si="16"/>
        <v>[ -19,87% ; 17,08% ]</v>
      </c>
      <c r="JN34" s="17">
        <f t="shared" ca="1" si="17"/>
        <v>0.11823496551494374</v>
      </c>
      <c r="LY34" s="1"/>
    </row>
    <row r="35" spans="1:337" x14ac:dyDescent="0.25">
      <c r="A35" s="4">
        <v>6</v>
      </c>
      <c r="B35" s="9">
        <f ca="1">IF(OR(B8="",B$28&lt;$A35),"",B8/OFFSET(ParoRegESP!$A$2,MATCH(B$29,ParoRegESP!$A$2:$A$500)+$A35-1,1)-1)</f>
        <v>2.1900845201445751E-2</v>
      </c>
      <c r="C35" s="9">
        <f ca="1">IF(OR(C8="",C$28&lt;$A35),"",C8/OFFSET(ParoRegESP!$A$2,MATCH(C$29,ParoRegESP!$A$2:$A$500)+$A35-1,1)-1)</f>
        <v>2.9255745008326617E-2</v>
      </c>
      <c r="D35" s="9">
        <f ca="1">IF(OR(D8="",D$28&lt;$A35),"",D8/OFFSET(ParoRegESP!$A$2,MATCH(D$29,ParoRegESP!$A$2:$A$500)+$A35-1,1)-1)</f>
        <v>7.5095914812264297E-3</v>
      </c>
      <c r="E35" s="9">
        <f ca="1">IF(OR(E8="",E$28&lt;$A35),"",E8/OFFSET(ParoRegESP!$A$2,MATCH(E$29,ParoRegESP!$A$2:$A$500)+$A35-1,1)-1)</f>
        <v>1.1455229907839426E-2</v>
      </c>
      <c r="F35" s="9">
        <f ca="1">IF(OR(F8="",F$28&lt;$A35),"",F8/OFFSET(ParoRegESP!$A$2,MATCH(F$29,ParoRegESP!$A$2:$A$500)+$A35-1,1)-1)</f>
        <v>3.0686801832340738E-2</v>
      </c>
      <c r="G35" s="9">
        <f ca="1">IF(OR(G8="",G$28&lt;$A35),"",G8/OFFSET(ParoRegESP!$A$2,MATCH(G$29,ParoRegESP!$A$2:$A$500)+$A35-1,1)-1)</f>
        <v>3.1335042038663996E-2</v>
      </c>
      <c r="H35" s="9">
        <f ca="1">IF(OR(H8="",H$28&lt;$A35),"",H8/OFFSET(ParoRegESP!$A$2,MATCH(H$29,ParoRegESP!$A$2:$A$500)+$A35-1,1)-1)</f>
        <v>4.6743918334722911E-2</v>
      </c>
      <c r="I35" s="9">
        <f ca="1">IF(OR(I8="",I$28&lt;$A35),"",I8/OFFSET(ParoRegESP!$A$2,MATCH(I$29,ParoRegESP!$A$2:$A$500)+$A35-1,1)-1)</f>
        <v>3.7777425141773957E-2</v>
      </c>
      <c r="J35" s="9">
        <f ca="1">IF(OR(J8="",J$28&lt;$A35),"",J8/OFFSET(ParoRegESP!$A$2,MATCH(J$29,ParoRegESP!$A$2:$A$500)+$A35-1,1)-1)</f>
        <v>4.4488784346754073E-2</v>
      </c>
      <c r="K35" s="9">
        <f ca="1">IF(OR(K8="",K$28&lt;$A35),"",K8/OFFSET(ParoRegESP!$A$2,MATCH(K$29,ParoRegESP!$A$2:$A$500)+$A35-1,1)-1)</f>
        <v>2.496262554752815E-2</v>
      </c>
      <c r="L35" s="9">
        <f ca="1">IF(OR(L8="",L$28&lt;$A35),"",L8/OFFSET(ParoRegESP!$A$2,MATCH(L$29,ParoRegESP!$A$2:$A$500)+$A35-1,1)-1)</f>
        <v>2.3676235997765138E-2</v>
      </c>
      <c r="M35" s="9">
        <f ca="1">IF(OR(M8="",M$28&lt;$A35),"",M8/OFFSET(ParoRegESP!$A$2,MATCH(M$29,ParoRegESP!$A$2:$A$500)+$A35-1,1)-1)</f>
        <v>2.6103220099845448E-2</v>
      </c>
      <c r="N35" s="9">
        <f ca="1">IF(OR(N8="",N$28&lt;$A35),"",N8/OFFSET(ParoRegESP!$A$2,MATCH(N$29,ParoRegESP!$A$2:$A$500)+$A35-1,1)-1)</f>
        <v>3.9479820349515027E-3</v>
      </c>
      <c r="O35" s="9">
        <f ca="1">IF(OR(O8="",O$28&lt;$A35),"",O8/OFFSET(ParoRegESP!$A$2,MATCH(O$29,ParoRegESP!$A$2:$A$500)+$A35-1,1)-1)</f>
        <v>-2.1032280604673104E-2</v>
      </c>
      <c r="P35" s="9">
        <f ca="1">IF(OR(P8="",P$28&lt;$A35),"",P8/OFFSET(ParoRegESP!$A$2,MATCH(P$29,ParoRegESP!$A$2:$A$500)+$A35-1,1)-1)</f>
        <v>-2.778723760448254E-2</v>
      </c>
      <c r="Q35" s="9">
        <f ca="1">IF(OR(Q8="",Q$28&lt;$A35),"",Q8/OFFSET(ParoRegESP!$A$2,MATCH(Q$29,ParoRegESP!$A$2:$A$500)+$A35-1,1)-1)</f>
        <v>-9.967048365293607E-3</v>
      </c>
      <c r="R35" s="9">
        <f ca="1">IF(OR(R8="",R$28&lt;$A35),"",R8/OFFSET(ParoRegESP!$A$2,MATCH(R$29,ParoRegESP!$A$2:$A$500)+$A35-1,1)-1)</f>
        <v>-2.7210753457819203E-3</v>
      </c>
      <c r="S35" s="9">
        <f ca="1">IF(OR(S8="",S$28&lt;$A35),"",S8/OFFSET(ParoRegESP!$A$2,MATCH(S$29,ParoRegESP!$A$2:$A$500)+$A35-1,1)-1)</f>
        <v>-1.7448684010986315E-2</v>
      </c>
      <c r="T35" s="9">
        <f ca="1">IF(OR(T8="",T$28&lt;$A35),"",T8/OFFSET(ParoRegESP!$A$2,MATCH(T$29,ParoRegESP!$A$2:$A$500)+$A35-1,1)-1)</f>
        <v>-2.0120196744425556E-2</v>
      </c>
      <c r="U35" s="9">
        <f ca="1">IF(OR(U8="",U$28&lt;$A35),"",U8/OFFSET(ParoRegESP!$A$2,MATCH(U$29,ParoRegESP!$A$2:$A$500)+$A35-1,1)-1)</f>
        <v>-4.7070276521898879E-3</v>
      </c>
      <c r="V35" s="9">
        <f ca="1">IF(OR(V8="",V$28&lt;$A35),"",V8/OFFSET(ParoRegESP!$A$2,MATCH(V$29,ParoRegESP!$A$2:$A$500)+$A35-1,1)-1)</f>
        <v>7.480186323727045E-3</v>
      </c>
      <c r="W35" s="9">
        <f ca="1">IF(OR(W8="",W$28&lt;$A35),"",W8/OFFSET(ParoRegESP!$A$2,MATCH(W$29,ParoRegESP!$A$2:$A$500)+$A35-1,1)-1)</f>
        <v>-1.9978493960863819E-3</v>
      </c>
      <c r="X35" s="9">
        <f ca="1">IF(OR(X8="",X$28&lt;$A35),"",X8/OFFSET(ParoRegESP!$A$2,MATCH(X$29,ParoRegESP!$A$2:$A$500)+$A35-1,1)-1)</f>
        <v>8.0314010169157957E-3</v>
      </c>
      <c r="Y35" s="9">
        <f ca="1">IF(OR(Y8="",Y$28&lt;$A35),"",Y8/OFFSET(ParoRegESP!$A$2,MATCH(Y$29,ParoRegESP!$A$2:$A$500)+$A35-1,1)-1)</f>
        <v>8.8448052405396549E-3</v>
      </c>
      <c r="Z35" s="9">
        <f ca="1">IF(OR(Z8="",Z$28&lt;$A35),"",Z8/OFFSET(ParoRegESP!$A$2,MATCH(Z$29,ParoRegESP!$A$2:$A$500)+$A35-1,1)-1)</f>
        <v>1.1143804994188544E-2</v>
      </c>
      <c r="AA35" s="9">
        <f ca="1">IF(OR(AA8="",AA$28&lt;$A35),"",AA8/OFFSET(ParoRegESP!$A$2,MATCH(AA$29,ParoRegESP!$A$2:$A$500)+$A35-1,1)-1)</f>
        <v>8.622157438434197E-3</v>
      </c>
      <c r="AB35" s="9">
        <f ca="1">IF(OR(AB8="",AB$28&lt;$A35),"",AB8/OFFSET(ParoRegESP!$A$2,MATCH(AB$29,ParoRegESP!$A$2:$A$500)+$A35-1,1)-1)</f>
        <v>9.1385292951193797E-3</v>
      </c>
      <c r="AC35" s="9">
        <f ca="1">IF(OR(AC8="",AC$28&lt;$A35),"",AC8/OFFSET(ParoRegESP!$A$2,MATCH(AC$29,ParoRegESP!$A$2:$A$500)+$A35-1,1)-1)</f>
        <v>2.6029828895285378E-2</v>
      </c>
      <c r="AD35" s="9">
        <f ca="1">IF(OR(AD8="",AD$28&lt;$A35),"",AD8/OFFSET(ParoRegESP!$A$2,MATCH(AD$29,ParoRegESP!$A$2:$A$500)+$A35-1,1)-1)</f>
        <v>2.1726959780807631E-2</v>
      </c>
      <c r="AE35" s="9">
        <f ca="1">IF(OR(AE8="",AE$28&lt;$A35),"",AE8/OFFSET(ParoRegESP!$A$2,MATCH(AE$29,ParoRegESP!$A$2:$A$500)+$A35-1,1)-1)</f>
        <v>2.3161896200045939E-2</v>
      </c>
      <c r="AF35" s="9">
        <f ca="1">IF(OR(AF8="",AF$28&lt;$A35),"",AF8/OFFSET(ParoRegESP!$A$2,MATCH(AF$29,ParoRegESP!$A$2:$A$500)+$A35-1,1)-1)</f>
        <v>2.691544396034673E-2</v>
      </c>
      <c r="AG35" s="9">
        <f ca="1">IF(OR(AG8="",AG$28&lt;$A35),"",AG8/OFFSET(ParoRegESP!$A$2,MATCH(AG$29,ParoRegESP!$A$2:$A$500)+$A35-1,1)-1)</f>
        <v>3.0671697314785362E-2</v>
      </c>
      <c r="AH35" s="9">
        <f ca="1">IF(OR(AH8="",AH$28&lt;$A35),"",AH8/OFFSET(ParoRegESP!$A$2,MATCH(AH$29,ParoRegESP!$A$2:$A$500)+$A35-1,1)-1)</f>
        <v>3.2212760473986579E-2</v>
      </c>
      <c r="AI35" s="9">
        <f ca="1">IF(OR(AI8="",AI$28&lt;$A35),"",AI8/OFFSET(ParoRegESP!$A$2,MATCH(AI$29,ParoRegESP!$A$2:$A$500)+$A35-1,1)-1)</f>
        <v>1.84344266387102E-2</v>
      </c>
      <c r="AJ35" s="9">
        <f ca="1">IF(OR(AJ8="",AJ$28&lt;$A35),"",AJ8/OFFSET(ParoRegESP!$A$2,MATCH(AJ$29,ParoRegESP!$A$2:$A$500)+$A35-1,1)-1)</f>
        <v>-1.6131041236384647E-3</v>
      </c>
      <c r="AK35" s="9">
        <f ca="1">IF(OR(AK8="",AK$28&lt;$A35),"",AK8/OFFSET(ParoRegESP!$A$2,MATCH(AK$29,ParoRegESP!$A$2:$A$500)+$A35-1,1)-1)</f>
        <v>-2.147832898303681E-2</v>
      </c>
      <c r="AL35" s="9">
        <f ca="1">IF(OR(AL8="",AL$28&lt;$A35),"",AL8/OFFSET(ParoRegESP!$A$2,MATCH(AL$29,ParoRegESP!$A$2:$A$500)+$A35-1,1)-1)</f>
        <v>-4.4974222109588569E-2</v>
      </c>
      <c r="AM35" s="9">
        <f ca="1">IF(OR(AM8="",AM$28&lt;$A35),"",AM8/OFFSET(ParoRegESP!$A$2,MATCH(AM$29,ParoRegESP!$A$2:$A$500)+$A35-1,1)-1)</f>
        <v>-5.6761851655178552E-2</v>
      </c>
      <c r="AN35" s="9">
        <f ca="1">IF(OR(AN8="",AN$28&lt;$A35),"",AN8/OFFSET(ParoRegESP!$A$2,MATCH(AN$29,ParoRegESP!$A$2:$A$500)+$A35-1,1)-1)</f>
        <v>-7.0634253757711152E-2</v>
      </c>
      <c r="AO35" s="9">
        <f ca="1">IF(OR(AO8="",AO$28&lt;$A35),"",AO8/OFFSET(ParoRegESP!$A$2,MATCH(AO$29,ParoRegESP!$A$2:$A$500)+$A35-1,1)-1)</f>
        <v>-5.9927866622218939E-2</v>
      </c>
      <c r="AP35" s="9">
        <f ca="1">IF(OR(AP8="",AP$28&lt;$A35),"",AP8/OFFSET(ParoRegESP!$A$2,MATCH(AP$29,ParoRegESP!$A$2:$A$500)+$A35-1,1)-1)</f>
        <v>-4.3969544660304116E-2</v>
      </c>
      <c r="AQ35" s="9">
        <f ca="1">IF(OR(AQ8="",AQ$28&lt;$A35),"",AQ8/OFFSET(ParoRegESP!$A$2,MATCH(AQ$29,ParoRegESP!$A$2:$A$500)+$A35-1,1)-1)</f>
        <v>-3.1019741097613629E-2</v>
      </c>
      <c r="AR35" s="9">
        <f ca="1">IF(OR(AR8="",AR$28&lt;$A35),"",AR8/OFFSET(ParoRegESP!$A$2,MATCH(AR$29,ParoRegESP!$A$2:$A$500)+$A35-1,1)-1)</f>
        <v>-2.9002050125830681E-2</v>
      </c>
      <c r="AS35" s="9">
        <f ca="1">IF(OR(AS8="",AS$28&lt;$A35),"",AS8/OFFSET(ParoRegESP!$A$2,MATCH(AS$29,ParoRegESP!$A$2:$A$500)+$A35-1,1)-1)</f>
        <v>-4.918555045116102E-2</v>
      </c>
      <c r="AT35" s="9">
        <f ca="1">IF(OR(AT8="",AT$28&lt;$A35),"",AT8/OFFSET(ParoRegESP!$A$2,MATCH(AT$29,ParoRegESP!$A$2:$A$500)+$A35-1,1)-1)</f>
        <v>-6.0363476159113638E-2</v>
      </c>
      <c r="AU35" s="9">
        <f ca="1">IF(OR(AU8="",AU$28&lt;$A35),"",AU8/OFFSET(ParoRegESP!$A$2,MATCH(AU$29,ParoRegESP!$A$2:$A$500)+$A35-1,1)-1)</f>
        <v>-6.9330567527046694E-2</v>
      </c>
      <c r="AV35" s="9">
        <f ca="1">IF(OR(AV8="",AV$28&lt;$A35),"",AV8/OFFSET(ParoRegESP!$A$2,MATCH(AV$29,ParoRegESP!$A$2:$A$500)+$A35-1,1)-1)</f>
        <v>-0.1078119769606366</v>
      </c>
      <c r="AW35" s="9">
        <f ca="1">IF(OR(AW8="",AW$28&lt;$A35),"",AW8/OFFSET(ParoRegESP!$A$2,MATCH(AW$29,ParoRegESP!$A$2:$A$500)+$A35-1,1)-1)</f>
        <v>-0.13932960113869963</v>
      </c>
      <c r="AX35" s="9">
        <f ca="1">IF(OR(AX8="",AX$28&lt;$A35),"",AX8/OFFSET(ParoRegESP!$A$2,MATCH(AX$29,ParoRegESP!$A$2:$A$500)+$A35-1,1)-1)</f>
        <v>-0.15476901500671025</v>
      </c>
      <c r="AY35" s="9">
        <f ca="1">IF(OR(AY8="",AY$28&lt;$A35),"",AY8/OFFSET(ParoRegESP!$A$2,MATCH(AY$29,ParoRegESP!$A$2:$A$500)+$A35-1,1)-1)</f>
        <v>-0.14457655893796173</v>
      </c>
      <c r="AZ35" s="9">
        <f ca="1">IF(OR(AZ8="",AZ$28&lt;$A35),"",AZ8/OFFSET(ParoRegESP!$A$2,MATCH(AZ$29,ParoRegESP!$A$2:$A$500)+$A35-1,1)-1)</f>
        <v>-0.11437408441696773</v>
      </c>
      <c r="BA35" s="9">
        <f ca="1">IF(OR(BA8="",BA$28&lt;$A35),"",BA8/OFFSET(ParoRegESP!$A$2,MATCH(BA$29,ParoRegESP!$A$2:$A$500)+$A35-1,1)-1)</f>
        <v>-0.1563077528920922</v>
      </c>
      <c r="BB35" s="9">
        <f ca="1">IF(OR(BB8="",BB$28&lt;$A35),"",BB8/OFFSET(ParoRegESP!$A$2,MATCH(BB$29,ParoRegESP!$A$2:$A$500)+$A35-1,1)-1)</f>
        <v>-0.11823631542456803</v>
      </c>
      <c r="BC35" s="9">
        <f ca="1">IF(OR(BC8="",BC$28&lt;$A35),"",BC8/OFFSET(ParoRegESP!$A$2,MATCH(BC$29,ParoRegESP!$A$2:$A$500)+$A35-1,1)-1)</f>
        <v>-9.2454099029777415E-2</v>
      </c>
      <c r="BD35" s="9">
        <f ca="1">IF(OR(BD8="",BD$28&lt;$A35),"",BD8/OFFSET(ParoRegESP!$A$2,MATCH(BD$29,ParoRegESP!$A$2:$A$500)+$A35-1,1)-1)</f>
        <v>-0.12025427733422567</v>
      </c>
      <c r="BE35" s="9">
        <f ca="1">IF(OR(BE8="",BE$28&lt;$A35),"",BE8/OFFSET(ParoRegESP!$A$2,MATCH(BE$29,ParoRegESP!$A$2:$A$500)+$A35-1,1)-1)</f>
        <v>-0.13114197428908125</v>
      </c>
      <c r="BF35" s="9">
        <f ca="1">IF(OR(BF8="",BF$28&lt;$A35),"",BF8/OFFSET(ParoRegESP!$A$2,MATCH(BF$29,ParoRegESP!$A$2:$A$500)+$A35-1,1)-1)</f>
        <v>-0.12112281820796467</v>
      </c>
      <c r="BG35" s="9">
        <f ca="1">IF(OR(BG8="",BG$28&lt;$A35),"",BG8/OFFSET(ParoRegESP!$A$2,MATCH(BG$29,ParoRegESP!$A$2:$A$500)+$A35-1,1)-1)</f>
        <v>-0.1182941484726252</v>
      </c>
      <c r="BH35" s="9">
        <f ca="1">IF(OR(BH8="",BH$28&lt;$A35),"",BH8/OFFSET(ParoRegESP!$A$2,MATCH(BH$29,ParoRegESP!$A$2:$A$500)+$A35-1,1)-1)</f>
        <v>-7.08854843681892E-2</v>
      </c>
      <c r="BI35" s="9">
        <f ca="1">IF(OR(BI8="",BI$28&lt;$A35),"",BI8/OFFSET(ParoRegESP!$A$2,MATCH(BI$29,ParoRegESP!$A$2:$A$500)+$A35-1,1)-1)</f>
        <v>-5.9176769296820364E-4</v>
      </c>
      <c r="BJ35" s="9">
        <f ca="1">IF(OR(BJ8="",BJ$28&lt;$A35),"",BJ8/OFFSET(ParoRegESP!$A$2,MATCH(BJ$29,ParoRegESP!$A$2:$A$500)+$A35-1,1)-1)</f>
        <v>6.4305597281042459E-2</v>
      </c>
      <c r="BK35" s="9">
        <f ca="1">IF(OR(BK8="",BK$28&lt;$A35),"",BK8/OFFSET(ParoRegESP!$A$2,MATCH(BK$29,ParoRegESP!$A$2:$A$500)+$A35-1,1)-1)</f>
        <v>9.6670020423409442E-2</v>
      </c>
      <c r="BL35" s="9">
        <f ca="1">IF(OR(BL8="",BL$28&lt;$A35),"",BL8/OFFSET(ParoRegESP!$A$2,MATCH(BL$29,ParoRegESP!$A$2:$A$500)+$A35-1,1)-1)</f>
        <v>0.15032160208337553</v>
      </c>
      <c r="BM35" s="9">
        <f ca="1">IF(OR(BM8="",BM$28&lt;$A35),"",BM8/OFFSET(ParoRegESP!$A$2,MATCH(BM$29,ParoRegESP!$A$2:$A$500)+$A35-1,1)-1)</f>
        <v>0.18311903905868521</v>
      </c>
      <c r="BN35" s="9">
        <f ca="1">IF(OR(BN8="",BN$28&lt;$A35),"",BN8/OFFSET(ParoRegESP!$A$2,MATCH(BN$29,ParoRegESP!$A$2:$A$500)+$A35-1,1)-1)</f>
        <v>0.14632939016508639</v>
      </c>
      <c r="BO35" s="9">
        <f ca="1">IF(OR(BO8="",BO$28&lt;$A35),"",BO8/OFFSET(ParoRegESP!$A$2,MATCH(BO$29,ParoRegESP!$A$2:$A$500)+$A35-1,1)-1)</f>
        <v>0.1195591216104106</v>
      </c>
      <c r="BP35" s="9">
        <f ca="1">IF(OR(BP8="",BP$28&lt;$A35),"",BP8/OFFSET(ParoRegESP!$A$2,MATCH(BP$29,ParoRegESP!$A$2:$A$500)+$A35-1,1)-1)</f>
        <v>6.1308365918130603E-2</v>
      </c>
      <c r="BQ35" s="9">
        <f ca="1">IF(OR(BQ8="",BQ$28&lt;$A35),"",BQ8/OFFSET(ParoRegESP!$A$2,MATCH(BQ$29,ParoRegESP!$A$2:$A$500)+$A35-1,1)-1)</f>
        <v>6.1691603165403563E-4</v>
      </c>
      <c r="BR35" s="9">
        <f ca="1">IF(OR(BR8="",BR$28&lt;$A35),"",BR8/OFFSET(ParoRegESP!$A$2,MATCH(BR$29,ParoRegESP!$A$2:$A$500)+$A35-1,1)-1)</f>
        <v>1.7526197398058052E-2</v>
      </c>
      <c r="BS35" s="9">
        <f ca="1">IF(OR(BS8="",BS$28&lt;$A35),"",BS8/OFFSET(ParoRegESP!$A$2,MATCH(BS$29,ParoRegESP!$A$2:$A$500)+$A35-1,1)-1)</f>
        <v>3.9935167476492284E-2</v>
      </c>
      <c r="BT35" s="9">
        <f ca="1">IF(OR(BT8="",BT$28&lt;$A35),"",BT8/OFFSET(ParoRegESP!$A$2,MATCH(BT$29,ParoRegESP!$A$2:$A$500)+$A35-1,1)-1)</f>
        <v>1.9317372333529592E-2</v>
      </c>
      <c r="BU35" s="9">
        <f ca="1">IF(OR(BU8="",BU$28&lt;$A35),"",BU8/OFFSET(ParoRegESP!$A$2,MATCH(BU$29,ParoRegESP!$A$2:$A$500)+$A35-1,1)-1)</f>
        <v>-1.500235018955498E-2</v>
      </c>
      <c r="BV35" s="9">
        <f ca="1">IF(OR(BV8="",BV$28&lt;$A35),"",BV8/OFFSET(ParoRegESP!$A$2,MATCH(BV$29,ParoRegESP!$A$2:$A$500)+$A35-1,1)-1)</f>
        <v>-1.1938085211159133E-2</v>
      </c>
      <c r="BW35" s="9">
        <f ca="1">IF(OR(BW8="",BW$28&lt;$A35),"",BW8/OFFSET(ParoRegESP!$A$2,MATCH(BW$29,ParoRegESP!$A$2:$A$500)+$A35-1,1)-1)</f>
        <v>5.248088145717178E-2</v>
      </c>
      <c r="BX35" s="9">
        <f ca="1">IF(OR(BX8="",BX$28&lt;$A35),"",BX8/OFFSET(ParoRegESP!$A$2,MATCH(BX$29,ParoRegESP!$A$2:$A$500)+$A35-1,1)-1)</f>
        <v>6.7558773971402086E-2</v>
      </c>
      <c r="BY35" s="9">
        <f ca="1">IF(OR(BY8="",BY$28&lt;$A35),"",BY8/OFFSET(ParoRegESP!$A$2,MATCH(BY$29,ParoRegESP!$A$2:$A$500)+$A35-1,1)-1)</f>
        <v>6.7189202685700833E-2</v>
      </c>
      <c r="BZ35" s="9">
        <f ca="1">IF(OR(BZ8="",BZ$28&lt;$A35),"",BZ8/OFFSET(ParoRegESP!$A$2,MATCH(BZ$29,ParoRegESP!$A$2:$A$500)+$A35-1,1)-1)</f>
        <v>4.8619672329961228E-2</v>
      </c>
      <c r="CA35" s="9">
        <f ca="1">IF(OR(CA8="",CA$28&lt;$A35),"",CA8/OFFSET(ParoRegESP!$A$2,MATCH(CA$29,ParoRegESP!$A$2:$A$500)+$A35-1,1)-1)</f>
        <v>2.9104141081041757E-2</v>
      </c>
      <c r="CB35" s="9">
        <f ca="1">IF(OR(CB8="",CB$28&lt;$A35),"",CB8/OFFSET(ParoRegESP!$A$2,MATCH(CB$29,ParoRegESP!$A$2:$A$500)+$A35-1,1)-1)</f>
        <v>7.7331096238300034E-3</v>
      </c>
      <c r="CC35" s="9">
        <f ca="1">IF(OR(CC8="",CC$28&lt;$A35),"",CC8/OFFSET(ParoRegESP!$A$2,MATCH(CC$29,ParoRegESP!$A$2:$A$500)+$A35-1,1)-1)</f>
        <v>-2.5542746449967124E-2</v>
      </c>
      <c r="CD35" s="9">
        <f ca="1">IF(OR(CD8="",CD$28&lt;$A35),"",CD8/OFFSET(ParoRegESP!$A$2,MATCH(CD$29,ParoRegESP!$A$2:$A$500)+$A35-1,1)-1)</f>
        <v>2.8868244124222731E-3</v>
      </c>
      <c r="CE35" s="9">
        <f ca="1">IF(OR(CE8="",CE$28&lt;$A35),"",CE8/OFFSET(ParoRegESP!$A$2,MATCH(CE$29,ParoRegESP!$A$2:$A$500)+$A35-1,1)-1)</f>
        <v>7.4799702079870745E-3</v>
      </c>
      <c r="CF35" s="9">
        <f ca="1">IF(OR(CF8="",CF$28&lt;$A35),"",CF8/OFFSET(ParoRegESP!$A$2,MATCH(CF$29,ParoRegESP!$A$2:$A$500)+$A35-1,1)-1)</f>
        <v>1.5662127667015913E-2</v>
      </c>
      <c r="CG35" s="9">
        <f ca="1">IF(OR(CG8="",CG$28&lt;$A35),"",CG8/OFFSET(ParoRegESP!$A$2,MATCH(CG$29,ParoRegESP!$A$2:$A$500)+$A35-1,1)-1)</f>
        <v>-5.5357626232769297E-3</v>
      </c>
      <c r="CH35" s="9">
        <f ca="1">IF(OR(CH8="",CH$28&lt;$A35),"",CH8/OFFSET(ParoRegESP!$A$2,MATCH(CH$29,ParoRegESP!$A$2:$A$500)+$A35-1,1)-1)</f>
        <v>-4.3433490064848534E-2</v>
      </c>
      <c r="CI35" s="9">
        <f ca="1">IF(OR(CI8="",CI$28&lt;$A35),"",CI8/OFFSET(ParoRegESP!$A$2,MATCH(CI$29,ParoRegESP!$A$2:$A$500)+$A35-1,1)-1)</f>
        <v>1.034602454622835E-2</v>
      </c>
      <c r="CJ35" s="9">
        <f ca="1">IF(OR(CJ8="",CJ$28&lt;$A35),"",CJ8/OFFSET(ParoRegESP!$A$2,MATCH(CJ$29,ParoRegESP!$A$2:$A$500)+$A35-1,1)-1)</f>
        <v>2.5349749806290456E-2</v>
      </c>
      <c r="CK35" s="9">
        <f ca="1">IF(OR(CK8="",CK$28&lt;$A35),"",CK8/OFFSET(ParoRegESP!$A$2,MATCH(CK$29,ParoRegESP!$A$2:$A$500)+$A35-1,1)-1)</f>
        <v>1.4349213825701312E-2</v>
      </c>
      <c r="CL35" s="9">
        <f ca="1">IF(OR(CL8="",CL$28&lt;$A35),"",CL8/OFFSET(ParoRegESP!$A$2,MATCH(CL$29,ParoRegESP!$A$2:$A$500)+$A35-1,1)-1)</f>
        <v>-2.9174676543660572E-2</v>
      </c>
      <c r="CM35" s="9">
        <f ca="1">IF(OR(CM8="",CM$28&lt;$A35),"",CM8/OFFSET(ParoRegESP!$A$2,MATCH(CM$29,ParoRegESP!$A$2:$A$500)+$A35-1,1)-1)</f>
        <v>-3.7801979285538634E-2</v>
      </c>
      <c r="CN35" s="9">
        <f ca="1">IF(OR(CN8="",CN$28&lt;$A35),"",CN8/OFFSET(ParoRegESP!$A$2,MATCH(CN$29,ParoRegESP!$A$2:$A$500)+$A35-1,1)-1)</f>
        <v>-3.5311335123417331E-2</v>
      </c>
      <c r="CO35" s="9">
        <f ca="1">IF(OR(CO8="",CO$28&lt;$A35),"",CO8/OFFSET(ParoRegESP!$A$2,MATCH(CO$29,ParoRegESP!$A$2:$A$500)+$A35-1,1)-1)</f>
        <v>-5.6777547213684887E-2</v>
      </c>
      <c r="CP35" s="9">
        <f ca="1">IF(OR(CP8="",CP$28&lt;$A35),"",CP8/OFFSET(ParoRegESP!$A$2,MATCH(CP$29,ParoRegESP!$A$2:$A$500)+$A35-1,1)-1)</f>
        <v>-5.4240665128335697E-2</v>
      </c>
      <c r="CQ35" s="9">
        <f ca="1">IF(OR(CQ8="",CQ$28&lt;$A35),"",CQ8/OFFSET(ParoRegESP!$A$2,MATCH(CQ$29,ParoRegESP!$A$2:$A$500)+$A35-1,1)-1)</f>
        <v>-1.7073750566893531E-2</v>
      </c>
      <c r="CR35" s="9">
        <f ca="1">IF(OR(CR8="",CR$28&lt;$A35),"",CR8/OFFSET(ParoRegESP!$A$2,MATCH(CR$29,ParoRegESP!$A$2:$A$500)+$A35-1,1)-1)</f>
        <v>5.3986716142551128E-3</v>
      </c>
      <c r="CS35" s="9">
        <f ca="1">IF(OR(CS8="",CS$28&lt;$A35),"",CS8/OFFSET(ParoRegESP!$A$2,MATCH(CS$29,ParoRegESP!$A$2:$A$500)+$A35-1,1)-1)</f>
        <v>-2.5833639969246813E-2</v>
      </c>
      <c r="CT35" s="9">
        <f ca="1">IF(OR(CT8="",CT$28&lt;$A35),"",CT8/OFFSET(ParoRegESP!$A$2,MATCH(CT$29,ParoRegESP!$A$2:$A$500)+$A35-1,1)-1)</f>
        <v>-3.4236545274250574E-2</v>
      </c>
      <c r="CU35" s="9">
        <f ca="1">IF(OR(CU8="",CU$28&lt;$A35),"",CU8/OFFSET(ParoRegESP!$A$2,MATCH(CU$29,ParoRegESP!$A$2:$A$500)+$A35-1,1)-1)</f>
        <v>1.1127933652619326E-3</v>
      </c>
      <c r="CV35" s="9">
        <f ca="1">IF(OR(CV8="",CV$28&lt;$A35),"",CV8/OFFSET(ParoRegESP!$A$2,MATCH(CV$29,ParoRegESP!$A$2:$A$500)+$A35-1,1)-1)</f>
        <v>1.709780269832728E-2</v>
      </c>
      <c r="CW35" s="9">
        <f ca="1">IF(OR(CW8="",CW$28&lt;$A35),"",CW8/OFFSET(ParoRegESP!$A$2,MATCH(CW$29,ParoRegESP!$A$2:$A$500)+$A35-1,1)-1)</f>
        <v>9.8430766201478281E-3</v>
      </c>
      <c r="CX35" s="9">
        <f ca="1">IF(OR(CX8="",CX$28&lt;$A35),"",CX8/OFFSET(ParoRegESP!$A$2,MATCH(CX$29,ParoRegESP!$A$2:$A$500)+$A35-1,1)-1)</f>
        <v>1.9468933692168955E-2</v>
      </c>
      <c r="CY35" s="9">
        <f ca="1">IF(OR(CY8="",CY$28&lt;$A35),"",CY8/OFFSET(ParoRegESP!$A$2,MATCH(CY$29,ParoRegESP!$A$2:$A$500)+$A35-1,1)-1)</f>
        <v>2.2267790908467644E-2</v>
      </c>
      <c r="CZ35" s="9">
        <f ca="1">IF(OR(CZ8="",CZ$28&lt;$A35),"",CZ8/OFFSET(ParoRegESP!$A$2,MATCH(CZ$29,ParoRegESP!$A$2:$A$500)+$A35-1,1)-1)</f>
        <v>2.9123124641410314E-3</v>
      </c>
      <c r="DA35" s="9">
        <f ca="1">IF(OR(DA8="",DA$28&lt;$A35),"",DA8/OFFSET(ParoRegESP!$A$2,MATCH(DA$29,ParoRegESP!$A$2:$A$500)+$A35-1,1)-1)</f>
        <v>2.20221273955723E-2</v>
      </c>
      <c r="DB35" s="9">
        <f ca="1">IF(OR(DB8="",DB$28&lt;$A35),"",DB8/OFFSET(ParoRegESP!$A$2,MATCH(DB$29,ParoRegESP!$A$2:$A$500)+$A35-1,1)-1)</f>
        <v>1.0102582754187184E-2</v>
      </c>
      <c r="DC35" s="9">
        <f ca="1">IF(OR(DC8="",DC$28&lt;$A35),"",DC8/OFFSET(ParoRegESP!$A$2,MATCH(DC$29,ParoRegESP!$A$2:$A$500)+$A35-1,1)-1)</f>
        <v>2.353759833369562E-2</v>
      </c>
      <c r="DD35" s="9">
        <f ca="1">IF(OR(DD8="",DD$28&lt;$A35),"",DD8/OFFSET(ParoRegESP!$A$2,MATCH(DD$29,ParoRegESP!$A$2:$A$500)+$A35-1,1)-1)</f>
        <v>4.421455015712894E-2</v>
      </c>
      <c r="DE35" s="9">
        <f ca="1">IF(OR(DE8="",DE$28&lt;$A35),"",DE8/OFFSET(ParoRegESP!$A$2,MATCH(DE$29,ParoRegESP!$A$2:$A$500)+$A35-1,1)-1)</f>
        <v>4.3630170529142642E-2</v>
      </c>
      <c r="DF35" s="9">
        <f ca="1">IF(OR(DF8="",DF$28&lt;$A35),"",DF8/OFFSET(ParoRegESP!$A$2,MATCH(DF$29,ParoRegESP!$A$2:$A$500)+$A35-1,1)-1)</f>
        <v>5.8519640961260944E-3</v>
      </c>
      <c r="DG35" s="9">
        <f ca="1">IF(OR(DG8="",DG$28&lt;$A35),"",DG8/OFFSET(ParoRegESP!$A$2,MATCH(DG$29,ParoRegESP!$A$2:$A$500)+$A35-1,1)-1)</f>
        <v>1.9071470832311421E-2</v>
      </c>
      <c r="DH35" s="9">
        <f ca="1">IF(OR(DH8="",DH$28&lt;$A35),"",DH8/OFFSET(ParoRegESP!$A$2,MATCH(DH$29,ParoRegESP!$A$2:$A$500)+$A35-1,1)-1)</f>
        <v>1.4200441387338891E-2</v>
      </c>
      <c r="DI35" s="9">
        <f ca="1">IF(OR(DI8="",DI$28&lt;$A35),"",DI8/OFFSET(ParoRegESP!$A$2,MATCH(DI$29,ParoRegESP!$A$2:$A$500)+$A35-1,1)-1)</f>
        <v>2.0801551619438197E-2</v>
      </c>
      <c r="DJ35" s="9">
        <f ca="1">IF(OR(DJ8="",DJ$28&lt;$A35),"",DJ8/OFFSET(ParoRegESP!$A$2,MATCH(DJ$29,ParoRegESP!$A$2:$A$500)+$A35-1,1)-1)</f>
        <v>2.2950697881207738E-2</v>
      </c>
      <c r="DK35" s="9">
        <f ca="1">IF(OR(DK8="",DK$28&lt;$A35),"",DK8/OFFSET(ParoRegESP!$A$2,MATCH(DK$29,ParoRegESP!$A$2:$A$500)+$A35-1,1)-1)</f>
        <v>2.366022505847698E-2</v>
      </c>
      <c r="DL35" s="9">
        <f ca="1">IF(OR(DL8="",DL$28&lt;$A35),"",DL8/OFFSET(ParoRegESP!$A$2,MATCH(DL$29,ParoRegESP!$A$2:$A$500)+$A35-1,1)-1)</f>
        <v>3.2022971689318114E-2</v>
      </c>
      <c r="DM35" s="9">
        <f ca="1">IF(OR(DM8="",DM$28&lt;$A35),"",DM8/OFFSET(ParoRegESP!$A$2,MATCH(DM$29,ParoRegESP!$A$2:$A$500)+$A35-1,1)-1)</f>
        <v>2.4803405239945286E-2</v>
      </c>
      <c r="DN35" s="9">
        <f ca="1">IF(OR(DN8="",DN$28&lt;$A35),"",DN8/OFFSET(ParoRegESP!$A$2,MATCH(DN$29,ParoRegESP!$A$2:$A$500)+$A35-1,1)-1)</f>
        <v>2.4916173822292276E-2</v>
      </c>
      <c r="DO35" s="9">
        <f ca="1">IF(OR(DO8="",DO$28&lt;$A35),"",DO8/OFFSET(ParoRegESP!$A$2,MATCH(DO$29,ParoRegESP!$A$2:$A$500)+$A35-1,1)-1)</f>
        <v>2.4729463390526396E-2</v>
      </c>
      <c r="DP35" s="9">
        <f ca="1">IF(OR(DP8="",DP$28&lt;$A35),"",DP8/OFFSET(ParoRegESP!$A$2,MATCH(DP$29,ParoRegESP!$A$2:$A$500)+$A35-1,1)-1)</f>
        <v>4.7593301678925615E-2</v>
      </c>
      <c r="DQ35" s="9">
        <f ca="1">IF(OR(DQ8="",DQ$28&lt;$A35),"",DQ8/OFFSET(ParoRegESP!$A$2,MATCH(DQ$29,ParoRegESP!$A$2:$A$500)+$A35-1,1)-1)</f>
        <v>1.8445704403084351E-2</v>
      </c>
      <c r="DR35" s="9">
        <f ca="1">IF(OR(DR8="",DR$28&lt;$A35),"",DR8/OFFSET(ParoRegESP!$A$2,MATCH(DR$29,ParoRegESP!$A$2:$A$500)+$A35-1,1)-1)</f>
        <v>-2.1032274828094444E-2</v>
      </c>
      <c r="DS35" s="9">
        <f ca="1">IF(OR(DS8="",DS$28&lt;$A35),"",DS8/OFFSET(ParoRegESP!$A$2,MATCH(DS$29,ParoRegESP!$A$2:$A$500)+$A35-1,1)-1)</f>
        <v>-2.9049964401712813E-3</v>
      </c>
      <c r="DT35" s="9">
        <f ca="1">IF(OR(DT8="",DT$28&lt;$A35),"",DT8/OFFSET(ParoRegESP!$A$2,MATCH(DT$29,ParoRegESP!$A$2:$A$500)+$A35-1,1)-1)</f>
        <v>-2.5833067261873288E-2</v>
      </c>
      <c r="DU35" s="9">
        <f ca="1">IF(OR(DU8="",DU$28&lt;$A35),"",DU8/OFFSET(ParoRegESP!$A$2,MATCH(DU$29,ParoRegESP!$A$2:$A$500)+$A35-1,1)-1)</f>
        <v>-1.4048069756165904E-2</v>
      </c>
      <c r="DV35" s="9">
        <f ca="1">IF(OR(DV8="",DV$28&lt;$A35),"",DV8/OFFSET(ParoRegESP!$A$2,MATCH(DV$29,ParoRegESP!$A$2:$A$500)+$A35-1,1)-1)</f>
        <v>-3.1346466854904942E-2</v>
      </c>
      <c r="DW35" s="9">
        <f ca="1">IF(OR(DW8="",DW$28&lt;$A35),"",DW8/OFFSET(ParoRegESP!$A$2,MATCH(DW$29,ParoRegESP!$A$2:$A$500)+$A35-1,1)-1)</f>
        <v>-2.1552582925184027E-2</v>
      </c>
      <c r="DX35" s="9">
        <f ca="1">IF(OR(DX8="",DX$28&lt;$A35),"",DX8/OFFSET(ParoRegESP!$A$2,MATCH(DX$29,ParoRegESP!$A$2:$A$500)+$A35-1,1)-1)</f>
        <v>-1.4154361821166805E-2</v>
      </c>
      <c r="DY35" s="9">
        <f ca="1">IF(OR(DY8="",DY$28&lt;$A35),"",DY8/OFFSET(ParoRegESP!$A$2,MATCH(DY$29,ParoRegESP!$A$2:$A$500)+$A35-1,1)-1)</f>
        <v>3.0806193362419743E-2</v>
      </c>
      <c r="DZ35" s="9">
        <f ca="1">IF(OR(DZ8="",DZ$28&lt;$A35),"",DZ8/OFFSET(ParoRegESP!$A$2,MATCH(DZ$29,ParoRegESP!$A$2:$A$500)+$A35-1,1)-1)</f>
        <v>2.5423663822991438E-2</v>
      </c>
      <c r="EA35" s="9">
        <f ca="1">IF(OR(EA8="",EA$28&lt;$A35),"",EA8/OFFSET(ParoRegESP!$A$2,MATCH(EA$29,ParoRegESP!$A$2:$A$500)+$A35-1,1)-1)</f>
        <v>3.6569387862328107E-2</v>
      </c>
      <c r="EB35" s="9">
        <f ca="1">IF(OR(EB8="",EB$28&lt;$A35),"",EB8/OFFSET(ParoRegESP!$A$2,MATCH(EB$29,ParoRegESP!$A$2:$A$500)+$A35-1,1)-1)</f>
        <v>4.5717467301296999E-2</v>
      </c>
      <c r="EC35" s="9">
        <f ca="1">IF(OR(EC8="",EC$28&lt;$A35),"",EC8/OFFSET(ParoRegESP!$A$2,MATCH(EC$29,ParoRegESP!$A$2:$A$500)+$A35-1,1)-1)</f>
        <v>2.465540789586762E-2</v>
      </c>
      <c r="ED35" s="9">
        <f ca="1">IF(OR(ED8="",ED$28&lt;$A35),"",ED8/OFFSET(ParoRegESP!$A$2,MATCH(ED$29,ParoRegESP!$A$2:$A$500)+$A35-1,1)-1)</f>
        <v>2.0036429247408449E-2</v>
      </c>
      <c r="EE35" s="9">
        <f ca="1">IF(OR(EE8="",EE$28&lt;$A35),"",EE8/OFFSET(ParoRegESP!$A$2,MATCH(EE$29,ParoRegESP!$A$2:$A$500)+$A35-1,1)-1)</f>
        <v>8.6129680377984297E-3</v>
      </c>
      <c r="EF35" s="9">
        <f ca="1">IF(OR(EF8="",EF$28&lt;$A35),"",EF8/OFFSET(ParoRegESP!$A$2,MATCH(EF$29,ParoRegESP!$A$2:$A$500)+$A35-1,1)-1)</f>
        <v>-1.0994095603210186E-2</v>
      </c>
      <c r="EG35" s="9">
        <f ca="1">IF(OR(EG8="",EG$28&lt;$A35),"",EG8/OFFSET(ParoRegESP!$A$2,MATCH(EG$29,ParoRegESP!$A$2:$A$500)+$A35-1,1)-1)</f>
        <v>-2.4426587763093477E-2</v>
      </c>
      <c r="EH35" s="9">
        <f ca="1">IF(OR(EH8="",EH$28&lt;$A35),"",EH8/OFFSET(ParoRegESP!$A$2,MATCH(EH$29,ParoRegESP!$A$2:$A$500)+$A35-1,1)-1)</f>
        <v>-3.532504988477414E-2</v>
      </c>
      <c r="EI35" s="9">
        <f ca="1">IF(OR(EI8="",EI$28&lt;$A35),"",EI8/OFFSET(ParoRegESP!$A$2,MATCH(EI$29,ParoRegESP!$A$2:$A$500)+$A35-1,1)-1)</f>
        <v>-2.3590098572601637E-2</v>
      </c>
      <c r="EJ35" s="9">
        <f ca="1">IF(OR(EJ8="",EJ$28&lt;$A35),"",EJ8/OFFSET(ParoRegESP!$A$2,MATCH(EJ$29,ParoRegESP!$A$2:$A$500)+$A35-1,1)-1)</f>
        <v>1.3025375654281968E-2</v>
      </c>
      <c r="EK35" s="9">
        <f ca="1">IF(OR(EK8="",EK$28&lt;$A35),"",EK8/OFFSET(ParoRegESP!$A$2,MATCH(EK$29,ParoRegESP!$A$2:$A$500)+$A35-1,1)-1)</f>
        <v>-5.5255366118858174E-3</v>
      </c>
      <c r="EL35" s="9">
        <f ca="1">IF(OR(EL8="",EL$28&lt;$A35),"",EL8/OFFSET(ParoRegESP!$A$2,MATCH(EL$29,ParoRegESP!$A$2:$A$500)+$A35-1,1)-1)</f>
        <v>1.3242244947849313E-2</v>
      </c>
      <c r="EM35" s="9">
        <f ca="1">IF(OR(EM8="",EM$28&lt;$A35),"",EM8/OFFSET(ParoRegESP!$A$2,MATCH(EM$29,ParoRegESP!$A$2:$A$500)+$A35-1,1)-1)</f>
        <v>2.899943539291483E-2</v>
      </c>
      <c r="EN35" s="9">
        <f ca="1">IF(OR(EN8="",EN$28&lt;$A35),"",EN8/OFFSET(ParoRegESP!$A$2,MATCH(EN$29,ParoRegESP!$A$2:$A$500)+$A35-1,1)-1)</f>
        <v>3.6092793923760746E-2</v>
      </c>
      <c r="EO35" s="9">
        <f ca="1">IF(OR(EO8="",EO$28&lt;$A35),"",EO8/OFFSET(ParoRegESP!$A$2,MATCH(EO$29,ParoRegESP!$A$2:$A$500)+$A35-1,1)-1)</f>
        <v>6.568231234716837E-3</v>
      </c>
      <c r="EP35" s="9">
        <f ca="1">IF(OR(EP8="",EP$28&lt;$A35),"",EP8/OFFSET(ParoRegESP!$A$2,MATCH(EP$29,ParoRegESP!$A$2:$A$500)+$A35-1,1)-1)</f>
        <v>1.5969828371169559E-2</v>
      </c>
      <c r="EQ35" s="9">
        <f ca="1">IF(OR(EQ8="",EQ$28&lt;$A35),"",EQ8/OFFSET(ParoRegESP!$A$2,MATCH(EQ$29,ParoRegESP!$A$2:$A$500)+$A35-1,1)-1)</f>
        <v>-5.7420861436066062E-3</v>
      </c>
      <c r="ER35" s="9">
        <f ca="1">IF(OR(ER8="",ER$28&lt;$A35),"",ER8/OFFSET(ParoRegESP!$A$2,MATCH(ER$29,ParoRegESP!$A$2:$A$500)+$A35-1,1)-1)</f>
        <v>6.8411724574768407E-4</v>
      </c>
      <c r="ES35" s="9">
        <f ca="1">IF(OR(ES8="",ES$28&lt;$A35),"",ES8/OFFSET(ParoRegESP!$A$2,MATCH(ES$29,ParoRegESP!$A$2:$A$500)+$A35-1,1)-1)</f>
        <v>-2.8322319608470314E-3</v>
      </c>
      <c r="ET35" s="9">
        <f ca="1">IF(OR(ET8="",ET$28&lt;$A35),"",ET8/OFFSET(ParoRegESP!$A$2,MATCH(ET$29,ParoRegESP!$A$2:$A$500)+$A35-1,1)-1)</f>
        <v>1.8398830695187884E-2</v>
      </c>
      <c r="EU35" s="9">
        <f ca="1">IF(OR(EU8="",EU$28&lt;$A35),"",EU8/OFFSET(ParoRegESP!$A$2,MATCH(EU$29,ParoRegESP!$A$2:$A$500)+$A35-1,1)-1)</f>
        <v>1.1502888690154034E-2</v>
      </c>
      <c r="EV35" s="9">
        <f ca="1">IF(OR(EV8="",EV$28&lt;$A35),"",EV8/OFFSET(ParoRegESP!$A$2,MATCH(EV$29,ParoRegESP!$A$2:$A$500)+$A35-1,1)-1)</f>
        <v>-7.9085719168237034E-4</v>
      </c>
      <c r="EW35" s="9">
        <f ca="1">IF(OR(EW8="",EW$28&lt;$A35),"",EW8/OFFSET(ParoRegESP!$A$2,MATCH(EW$29,ParoRegESP!$A$2:$A$500)+$A35-1,1)-1)</f>
        <v>6.7056393429298922E-4</v>
      </c>
      <c r="EX35" s="9">
        <f ca="1">IF(OR(EX8="",EX$28&lt;$A35),"",EX8/OFFSET(ParoRegESP!$A$2,MATCH(EX$29,ParoRegESP!$A$2:$A$500)+$A35-1,1)-1)</f>
        <v>1.2527931107630286E-2</v>
      </c>
      <c r="EY35" s="9">
        <f ca="1">IF(OR(EY8="",EY$28&lt;$A35),"",EY8/OFFSET(ParoRegESP!$A$2,MATCH(EY$29,ParoRegESP!$A$2:$A$500)+$A35-1,1)-1)</f>
        <v>1.6889799226889712E-2</v>
      </c>
      <c r="EZ35" s="9">
        <f ca="1">IF(OR(EZ8="",EZ$28&lt;$A35),"",EZ8/OFFSET(ParoRegESP!$A$2,MATCH(EZ$29,ParoRegESP!$A$2:$A$500)+$A35-1,1)-1)</f>
        <v>1.2335452025001858E-2</v>
      </c>
      <c r="FA35" s="9">
        <f ca="1">IF(OR(FA8="",FA$28&lt;$A35),"",FA8/OFFSET(ParoRegESP!$A$2,MATCH(FA$29,ParoRegESP!$A$2:$A$500)+$A35-1,1)-1)</f>
        <v>4.3379629267410902E-2</v>
      </c>
      <c r="FB35" s="9">
        <f ca="1">IF(OR(FB8="",FB$28&lt;$A35),"",FB8/OFFSET(ParoRegESP!$A$2,MATCH(FB$29,ParoRegESP!$A$2:$A$500)+$A35-1,1)-1)</f>
        <v>-7.9247400503801302E-4</v>
      </c>
      <c r="FC35" s="9">
        <f ca="1">IF(OR(FC8="",FC$28&lt;$A35),"",FC8/OFFSET(ParoRegESP!$A$2,MATCH(FC$29,ParoRegESP!$A$2:$A$500)+$A35-1,1)-1)</f>
        <v>-1.311219336341185E-2</v>
      </c>
      <c r="FD35" s="9">
        <f ca="1">IF(OR(FD8="",FD$28&lt;$A35),"",FD8/OFFSET(ParoRegESP!$A$2,MATCH(FD$29,ParoRegESP!$A$2:$A$500)+$A35-1,1)-1)</f>
        <v>-3.0054198016266742E-2</v>
      </c>
      <c r="FE35" s="9">
        <f ca="1">IF(OR(FE8="",FE$28&lt;$A35),"",FE8/OFFSET(ParoRegESP!$A$2,MATCH(FE$29,ParoRegESP!$A$2:$A$500)+$A35-1,1)-1)</f>
        <v>-3.5912697648806002E-2</v>
      </c>
      <c r="FF35" s="9">
        <f ca="1">IF(OR(FF8="",FF$28&lt;$A35),"",FF8/OFFSET(ParoRegESP!$A$2,MATCH(FF$29,ParoRegESP!$A$2:$A$500)+$A35-1,1)-1)</f>
        <v>-5.6162610245333533E-2</v>
      </c>
      <c r="FG35" s="9">
        <f ca="1">IF(OR(FG8="",FG$28&lt;$A35),"",FG8/OFFSET(ParoRegESP!$A$2,MATCH(FG$29,ParoRegESP!$A$2:$A$500)+$A35-1,1)-1)</f>
        <v>-4.941320716783737E-2</v>
      </c>
      <c r="FH35" s="9">
        <f ca="1">IF(OR(FH8="",FH$28&lt;$A35),"",FH8/OFFSET(ParoRegESP!$A$2,MATCH(FH$29,ParoRegESP!$A$2:$A$500)+$A35-1,1)-1)</f>
        <v>-1.9018099086395956E-2</v>
      </c>
      <c r="FI35" s="9">
        <f ca="1">IF(OR(FI8="",FI$28&lt;$A35),"",FI8/OFFSET(ParoRegESP!$A$2,MATCH(FI$29,ParoRegESP!$A$2:$A$500)+$A35-1,1)-1)</f>
        <v>2.1844809322895342E-2</v>
      </c>
      <c r="FJ35" s="9">
        <f ca="1">IF(OR(FJ8="",FJ$28&lt;$A35),"",FJ8/OFFSET(ParoRegESP!$A$2,MATCH(FJ$29,ParoRegESP!$A$2:$A$500)+$A35-1,1)-1)</f>
        <v>4.2154955461988219E-2</v>
      </c>
      <c r="FK35" s="9">
        <f ca="1">IF(OR(FK8="",FK$28&lt;$A35),"",FK8/OFFSET(ParoRegESP!$A$2,MATCH(FK$29,ParoRegESP!$A$2:$A$500)+$A35-1,1)-1)</f>
        <v>2.6850041921670398E-2</v>
      </c>
      <c r="FL35" s="9">
        <f ca="1">IF(OR(FL8="",FL$28&lt;$A35),"",FL8/OFFSET(ParoRegESP!$A$2,MATCH(FL$29,ParoRegESP!$A$2:$A$500)+$A35-1,1)-1)</f>
        <v>1.7375340643631665E-2</v>
      </c>
      <c r="FM35" s="9">
        <f ca="1">IF(OR(FM8="",FM$28&lt;$A35),"",FM8/OFFSET(ParoRegESP!$A$2,MATCH(FM$29,ParoRegESP!$A$2:$A$500)+$A35-1,1)-1)</f>
        <v>2.5501877873499446E-3</v>
      </c>
      <c r="FN35" s="9">
        <f ca="1">IF(OR(FN8="",FN$28&lt;$A35),"",FN8/OFFSET(ParoRegESP!$A$2,MATCH(FN$29,ParoRegESP!$A$2:$A$500)+$A35-1,1)-1)</f>
        <v>-6.6131739678707557E-3</v>
      </c>
      <c r="FO35" s="9">
        <f ca="1">IF(OR(FO8="",FO$28&lt;$A35),"",FO8/OFFSET(ParoRegESP!$A$2,MATCH(FO$29,ParoRegESP!$A$2:$A$500)+$A35-1,1)-1)</f>
        <v>-2.1047213385645636E-2</v>
      </c>
      <c r="FP35" s="9">
        <f ca="1">IF(OR(FP8="",FP$28&lt;$A35),"",FP8/OFFSET(ParoRegESP!$A$2,MATCH(FP$29,ParoRegESP!$A$2:$A$500)+$A35-1,1)-1)</f>
        <v>-3.024007678540086E-2</v>
      </c>
      <c r="FQ35" s="9">
        <f ca="1">IF(OR(FQ8="",FQ$28&lt;$A35),"",FQ8/OFFSET(ParoRegESP!$A$2,MATCH(FQ$29,ParoRegESP!$A$2:$A$500)+$A35-1,1)-1)</f>
        <v>-2.3116663913832158E-2</v>
      </c>
      <c r="FR35" s="9">
        <f ca="1">IF(OR(FR8="",FR$28&lt;$A35),"",FR8/OFFSET(ParoRegESP!$A$2,MATCH(FR$29,ParoRegESP!$A$2:$A$500)+$A35-1,1)-1)</f>
        <v>-1.2007116078908586E-2</v>
      </c>
      <c r="FS35" s="9">
        <f ca="1">IF(OR(FS8="",FS$28&lt;$A35),"",FS8/OFFSET(ParoRegESP!$A$2,MATCH(FS$29,ParoRegESP!$A$2:$A$500)+$A35-1,1)-1)</f>
        <v>1.6333667203678237E-2</v>
      </c>
      <c r="FT35" s="9">
        <f ca="1">IF(OR(FT8="",FT$28&lt;$A35),"",FT8/OFFSET(ParoRegESP!$A$2,MATCH(FT$29,ParoRegESP!$A$2:$A$500)+$A35-1,1)-1)</f>
        <v>1.4499316077933866E-2</v>
      </c>
      <c r="FU35" s="9">
        <f ca="1">IF(OR(FU8="",FU$28&lt;$A35),"",FU8/OFFSET(ParoRegESP!$A$2,MATCH(FU$29,ParoRegESP!$A$2:$A$500)+$A35-1,1)-1)</f>
        <v>2.0883734722355163E-2</v>
      </c>
      <c r="FV35" s="9">
        <f ca="1">IF(OR(FV8="",FV$28&lt;$A35),"",FV8/OFFSET(ParoRegESP!$A$2,MATCH(FV$29,ParoRegESP!$A$2:$A$500)+$A35-1,1)-1)</f>
        <v>2.2642847959087664E-2</v>
      </c>
      <c r="FW35" s="9">
        <f ca="1">IF(OR(FW8="",FW$28&lt;$A35),"",FW8/OFFSET(ParoRegESP!$A$2,MATCH(FW$29,ParoRegESP!$A$2:$A$500)+$A35-1,1)-1)</f>
        <v>9.0129221059789266E-3</v>
      </c>
      <c r="FX35" s="9">
        <f ca="1">IF(OR(FX8="",FX$28&lt;$A35),"",FX8/OFFSET(ParoRegESP!$A$2,MATCH(FX$29,ParoRegESP!$A$2:$A$500)+$A35-1,1)-1)</f>
        <v>-3.9637053639618447E-4</v>
      </c>
      <c r="FY35" s="9">
        <f ca="1">IF(OR(FY8="",FY$28&lt;$A35),"",FY8/OFFSET(ParoRegESP!$A$2,MATCH(FY$29,ParoRegESP!$A$2:$A$500)+$A35-1,1)-1)</f>
        <v>-1.325107313741325E-2</v>
      </c>
      <c r="FZ35" s="9">
        <f ca="1">IF(OR(FZ8="",FZ$28&lt;$A35),"",FZ8/OFFSET(ParoRegESP!$A$2,MATCH(FZ$29,ParoRegESP!$A$2:$A$500)+$A35-1,1)-1)</f>
        <v>-1.5951877553754823E-2</v>
      </c>
      <c r="GA35" s="9">
        <f ca="1">IF(OR(GA8="",GA$28&lt;$A35),"",GA8/OFFSET(ParoRegESP!$A$2,MATCH(GA$29,ParoRegESP!$A$2:$A$500)+$A35-1,1)-1)</f>
        <v>-1.7888904136580175E-2</v>
      </c>
      <c r="GB35" s="9">
        <f ca="1">IF(OR(GB8="",GB$28&lt;$A35),"",GB8/OFFSET(ParoRegESP!$A$2,MATCH(GB$29,ParoRegESP!$A$2:$A$500)+$A35-1,1)-1)</f>
        <v>-2.7688207616643368E-2</v>
      </c>
      <c r="GC35" s="9">
        <f ca="1">IF(OR(GC8="",GC$28&lt;$A35),"",GC8/OFFSET(ParoRegESP!$A$2,MATCH(GC$29,ParoRegESP!$A$2:$A$500)+$A35-1,1)-1)</f>
        <v>-2.1556778914597619E-2</v>
      </c>
      <c r="GD35" s="9">
        <f ca="1">IF(OR(GD8="",GD$28&lt;$A35),"",GD8/OFFSET(ParoRegESP!$A$2,MATCH(GD$29,ParoRegESP!$A$2:$A$500)+$A35-1,1)-1)</f>
        <v>-3.5345652123936033E-2</v>
      </c>
      <c r="GE35" s="9">
        <f ca="1">IF(OR(GE8="",GE$28&lt;$A35),"",GE8/OFFSET(ParoRegESP!$A$2,MATCH(GE$29,ParoRegESP!$A$2:$A$500)+$A35-1,1)-1)</f>
        <v>-3.1677280513625061E-2</v>
      </c>
      <c r="GF35" s="9">
        <f ca="1">IF(OR(GF8="",GF$28&lt;$A35),"",GF8/OFFSET(ParoRegESP!$A$2,MATCH(GF$29,ParoRegESP!$A$2:$A$500)+$A35-1,1)-1)</f>
        <v>-6.8217990315508903E-3</v>
      </c>
      <c r="GG35" s="9">
        <f ca="1">IF(OR(GG8="",GG$28&lt;$A35),"",GG8/OFFSET(ParoRegESP!$A$2,MATCH(GG$29,ParoRegESP!$A$2:$A$500)+$A35-1,1)-1)</f>
        <v>4.4457168706311112E-3</v>
      </c>
      <c r="GH35" s="9">
        <f ca="1">IF(OR(GH8="",GH$28&lt;$A35),"",GH8/OFFSET(ParoRegESP!$A$2,MATCH(GH$29,ParoRegESP!$A$2:$A$500)+$A35-1,1)-1)</f>
        <v>1.1852742691403906E-2</v>
      </c>
      <c r="GI35" s="9">
        <f ca="1">IF(OR(GI8="",GI$28&lt;$A35),"",GI8/OFFSET(ParoRegESP!$A$2,MATCH(GI$29,ParoRegESP!$A$2:$A$500)+$A35-1,1)-1)</f>
        <v>-9.8054533435512736E-2</v>
      </c>
      <c r="GJ35" s="9">
        <f ca="1">IF(OR(GJ8="",GJ$28&lt;$A35),"",GJ8/OFFSET(ParoRegESP!$A$2,MATCH(GJ$29,ParoRegESP!$A$2:$A$500)+$A35-1,1)-1)</f>
        <v>-0.15501328484408239</v>
      </c>
      <c r="GK35" s="9">
        <f ca="1">IF(OR(GK8="",GK$28&lt;$A35),"",GK8/OFFSET(ParoRegESP!$A$2,MATCH(GK$29,ParoRegESP!$A$2:$A$500)+$A35-1,1)-1)</f>
        <v>-0.19184111555467032</v>
      </c>
      <c r="GL35" s="9">
        <f ca="1">IF(OR(GL8="",GL$28&lt;$A35),"",GL8/OFFSET(ParoRegESP!$A$2,MATCH(GL$29,ParoRegESP!$A$2:$A$500)+$A35-1,1)-1)</f>
        <v>-0.21223994294478465</v>
      </c>
      <c r="GM35" s="9">
        <f ca="1">IF(OR(GM8="",GM$28&lt;$A35),"",GM8/OFFSET(ParoRegESP!$A$2,MATCH(GM$29,ParoRegESP!$A$2:$A$500)+$A35-1,1)-1)</f>
        <v>-0.19980473015611766</v>
      </c>
      <c r="GN35" s="9">
        <f ca="1">IF(OR(GN8="",GN$28&lt;$A35),"",GN8/OFFSET(ParoRegESP!$A$2,MATCH(GN$29,ParoRegESP!$A$2:$A$500)+$A35-1,1)-1)</f>
        <v>-0.21561843095513744</v>
      </c>
      <c r="GO35" s="9">
        <f ca="1">IF(OR(GO8="",GO$28&lt;$A35),"",GO8/OFFSET(ParoRegESP!$A$2,MATCH(GO$29,ParoRegESP!$A$2:$A$500)+$A35-1,1)-1)</f>
        <v>-4.4357937783131018E-2</v>
      </c>
      <c r="GP35" s="9">
        <f ca="1">IF(OR(GP8="",GP$28&lt;$A35),"",GP8/OFFSET(ParoRegESP!$A$2,MATCH(GP$29,ParoRegESP!$A$2:$A$500)+$A35-1,1)-1)</f>
        <v>0.24810633757229739</v>
      </c>
      <c r="GQ35" s="9">
        <f ca="1">IF(OR(GQ8="",GQ$28&lt;$A35),"",GQ8/OFFSET(ParoRegESP!$A$2,MATCH(GQ$29,ParoRegESP!$A$2:$A$500)+$A35-1,1)-1)</f>
        <v>0.14821616430323803</v>
      </c>
      <c r="GR35" s="9">
        <f ca="1">IF(OR(GR8="",GR$28&lt;$A35),"",GR8/OFFSET(ParoRegESP!$A$2,MATCH(GR$29,ParoRegESP!$A$2:$A$500)+$A35-1,1)-1)</f>
        <v>0.13744471192848207</v>
      </c>
      <c r="GS35" s="9">
        <f ca="1">IF(OR(GS8="",GS$28&lt;$A35),"",GS8/OFFSET(ParoRegESP!$A$2,MATCH(GS$29,ParoRegESP!$A$2:$A$500)+$A35-1,1)-1)</f>
        <v>8.4789442437291918E-2</v>
      </c>
      <c r="GT35" s="9" t="str">
        <f ca="1">IF(OR(GT8="",GT$28&lt;$A35),"",GT8/OFFSET(ParoRegESP!$A$2,MATCH(GT$29,ParoRegESP!$A$2:$A$500)+$A35-1,1)-1)</f>
        <v/>
      </c>
      <c r="GU35" s="9" t="str">
        <f ca="1">IF(OR(GU8="",GU$28&lt;$A35),"",GU8/OFFSET(ParoRegESP!$A$2,MATCH(GU$29,ParoRegESP!$A$2:$A$500)+$A35-1,1)-1)</f>
        <v/>
      </c>
      <c r="GV35" s="9" t="str">
        <f ca="1">IF(OR(GV8="",GV$28&lt;$A35),"",GV8/OFFSET(ParoRegESP!$A$2,MATCH(GV$29,ParoRegESP!$A$2:$A$500)+$A35-1,1)-1)</f>
        <v/>
      </c>
      <c r="GW35" s="9" t="str">
        <f ca="1">IF(OR(GW8="",GW$28&lt;$A35),"",GW8/OFFSET(ParoRegESP!$A$2,MATCH(GW$29,ParoRegESP!$A$2:$A$500)+$A35-1,1)-1)</f>
        <v/>
      </c>
      <c r="GX35" s="9" t="str">
        <f ca="1">IF(OR(GX8="",GX$28&lt;$A35),"",GX8/OFFSET(ParoRegESP!$A$2,MATCH(GX$29,ParoRegESP!$A$2:$A$500)+$A35-1,1)-1)</f>
        <v/>
      </c>
      <c r="GY35" s="9" t="str">
        <f ca="1">IF(OR(GY8="",GY$28&lt;$A35),"",GY8/OFFSET(ParoRegESP!$A$2,MATCH(GY$29,ParoRegESP!$A$2:$A$500)+$A35-1,1)-1)</f>
        <v/>
      </c>
      <c r="GZ35" s="9" t="str">
        <f ca="1">IF(OR(GZ8="",GZ$28&lt;$A35),"",GZ8/OFFSET(ParoRegESP!$A$2,MATCH(GZ$29,ParoRegESP!$A$2:$A$500)+$A35-1,1)-1)</f>
        <v/>
      </c>
      <c r="HA35" s="9" t="str">
        <f ca="1">IF(OR(HA8="",HA$28&lt;$A35),"",HA8/OFFSET(ParoRegESP!$A$2,MATCH(HA$29,ParoRegESP!$A$2:$A$500)+$A35-1,1)-1)</f>
        <v/>
      </c>
      <c r="HB35" s="9" t="str">
        <f ca="1">IF(OR(HB8="",HB$28&lt;$A35),"",HB8/OFFSET(ParoRegESP!$A$2,MATCH(HB$29,ParoRegESP!$A$2:$A$500)+$A35-1,1)-1)</f>
        <v/>
      </c>
      <c r="HC35" s="9" t="str">
        <f ca="1">IF(OR(HC8="",HC$28&lt;$A35),"",HC8/OFFSET(ParoRegESP!$A$2,MATCH(HC$29,ParoRegESP!$A$2:$A$500)+$A35-1,1)-1)</f>
        <v/>
      </c>
      <c r="HD35" s="9" t="str">
        <f ca="1">IF(OR(HD8="",HD$28&lt;$A35),"",HD8/OFFSET(ParoRegESP!$A$2,MATCH(HD$29,ParoRegESP!$A$2:$A$500)+$A35-1,1)-1)</f>
        <v/>
      </c>
      <c r="HE35" s="9" t="str">
        <f ca="1">IF(OR(HE8="",HE$28&lt;$A35),"",HE8/OFFSET(ParoRegESP!$A$2,MATCH(HE$29,ParoRegESP!$A$2:$A$500)+$A35-1,1)-1)</f>
        <v/>
      </c>
      <c r="HF35" s="9" t="str">
        <f ca="1">IF(OR(HF8="",HF$28&lt;$A35),"",HF8/OFFSET(ParoRegESP!$A$2,MATCH(HF$29,ParoRegESP!$A$2:$A$500)+$A35-1,1)-1)</f>
        <v/>
      </c>
      <c r="HG35" s="9" t="str">
        <f ca="1">IF(OR(HG8="",HG$28&lt;$A35),"",HG8/OFFSET(ParoRegESP!$A$2,MATCH(HG$29,ParoRegESP!$A$2:$A$500)+$A35-1,1)-1)</f>
        <v/>
      </c>
      <c r="HH35" s="9" t="str">
        <f ca="1">IF(OR(HH8="",HH$28&lt;$A35),"",HH8/OFFSET(ParoRegESP!$A$2,MATCH(HH$29,ParoRegESP!$A$2:$A$500)+$A35-1,1)-1)</f>
        <v/>
      </c>
      <c r="HI35" s="9" t="str">
        <f ca="1">IF(OR(HI8="",HI$28&lt;$A35),"",HI8/OFFSET(ParoRegESP!$A$2,MATCH(HI$29,ParoRegESP!$A$2:$A$500)+$A35-1,1)-1)</f>
        <v/>
      </c>
      <c r="HJ35" s="9" t="str">
        <f ca="1">IF(OR(HJ8="",HJ$28&lt;$A35),"",HJ8/OFFSET(ParoRegESP!$A$2,MATCH(HJ$29,ParoRegESP!$A$2:$A$500)+$A35-1,1)-1)</f>
        <v/>
      </c>
      <c r="HK35" s="9" t="str">
        <f ca="1">IF(OR(HK8="",HK$28&lt;$A35),"",HK8/OFFSET(ParoRegESP!$A$2,MATCH(HK$29,ParoRegESP!$A$2:$A$500)+$A35-1,1)-1)</f>
        <v/>
      </c>
      <c r="HL35" s="9" t="str">
        <f ca="1">IF(OR(HL8="",HL$28&lt;$A35),"",HL8/OFFSET(ParoRegESP!$A$2,MATCH(HL$29,ParoRegESP!$A$2:$A$500)+$A35-1,1)-1)</f>
        <v/>
      </c>
      <c r="HM35" s="9" t="str">
        <f ca="1">IF(OR(HM8="",HM$28&lt;$A35),"",HM8/OFFSET(ParoRegESP!$A$2,MATCH(HM$29,ParoRegESP!$A$2:$A$500)+$A35-1,1)-1)</f>
        <v/>
      </c>
      <c r="HN35" s="9" t="str">
        <f ca="1">IF(OR(HN8="",HN$28&lt;$A35),"",HN8/OFFSET(ParoRegESP!$A$2,MATCH(HN$29,ParoRegESP!$A$2:$A$500)+$A35-1,1)-1)</f>
        <v/>
      </c>
      <c r="HO35" s="9" t="str">
        <f ca="1">IF(OR(HO8="",HO$28&lt;$A35),"",HO8/OFFSET(ParoRegESP!$A$2,MATCH(HO$29,ParoRegESP!$A$2:$A$500)+$A35-1,1)-1)</f>
        <v/>
      </c>
      <c r="HP35" s="9" t="str">
        <f ca="1">IF(OR(HP8="",HP$28&lt;$A35),"",HP8/OFFSET(ParoRegESP!$A$2,MATCH(HP$29,ParoRegESP!$A$2:$A$500)+$A35-1,1)-1)</f>
        <v/>
      </c>
      <c r="HQ35" s="9" t="str">
        <f ca="1">IF(OR(HQ8="",HQ$28&lt;$A35),"",HQ8/OFFSET(ParoRegESP!$A$2,MATCH(HQ$29,ParoRegESP!$A$2:$A$500)+$A35-1,1)-1)</f>
        <v/>
      </c>
      <c r="HR35" s="9" t="str">
        <f ca="1">IF(OR(HR8="",HR$28&lt;$A35),"",HR8/OFFSET(ParoRegESP!$A$2,MATCH(HR$29,ParoRegESP!$A$2:$A$500)+$A35-1,1)-1)</f>
        <v/>
      </c>
      <c r="HS35" s="9" t="str">
        <f ca="1">IF(OR(HS8="",HS$28&lt;$A35),"",HS8/OFFSET(ParoRegESP!$A$2,MATCH(HS$29,ParoRegESP!$A$2:$A$500)+$A35-1,1)-1)</f>
        <v/>
      </c>
      <c r="HT35" s="9" t="str">
        <f ca="1">IF(OR(HT8="",HT$28&lt;$A35),"",HT8/OFFSET(ParoRegESP!$A$2,MATCH(HT$29,ParoRegESP!$A$2:$A$500)+$A35-1,1)-1)</f>
        <v/>
      </c>
      <c r="HU35" s="9" t="str">
        <f ca="1">IF(OR(HU8="",HU$28&lt;$A35),"",HU8/OFFSET(ParoRegESP!$A$2,MATCH(HU$29,ParoRegESP!$A$2:$A$500)+$A35-1,1)-1)</f>
        <v/>
      </c>
      <c r="HV35" s="9" t="str">
        <f ca="1">IF(OR(HV8="",HV$28&lt;$A35),"",HV8/OFFSET(ParoRegESP!$A$2,MATCH(HV$29,ParoRegESP!$A$2:$A$500)+$A35-1,1)-1)</f>
        <v/>
      </c>
      <c r="HW35" s="9" t="str">
        <f ca="1">IF(OR(HW8="",HW$28&lt;$A35),"",HW8/OFFSET(ParoRegESP!$A$2,MATCH(HW$29,ParoRegESP!$A$2:$A$500)+$A35-1,1)-1)</f>
        <v/>
      </c>
      <c r="HX35" s="9" t="str">
        <f ca="1">IF(OR(HX8="",HX$28&lt;$A35),"",HX8/OFFSET(ParoRegESP!$A$2,MATCH(HX$29,ParoRegESP!$A$2:$A$500)+$A35-1,1)-1)</f>
        <v/>
      </c>
      <c r="HY35" s="9" t="str">
        <f ca="1">IF(OR(HY8="",HY$28&lt;$A35),"",HY8/OFFSET(ParoRegESP!$A$2,MATCH(HY$29,ParoRegESP!$A$2:$A$500)+$A35-1,1)-1)</f>
        <v/>
      </c>
      <c r="HZ35" s="9" t="str">
        <f ca="1">IF(OR(HZ8="",HZ$28&lt;$A35),"",HZ8/OFFSET(ParoRegESP!$A$2,MATCH(HZ$29,ParoRegESP!$A$2:$A$500)+$A35-1,1)-1)</f>
        <v/>
      </c>
      <c r="IA35" s="9" t="str">
        <f ca="1">IF(OR(IA8="",IA$28&lt;$A35),"",IA8/OFFSET(ParoRegESP!$A$2,MATCH(IA$29,ParoRegESP!$A$2:$A$500)+$A35-1,1)-1)</f>
        <v/>
      </c>
      <c r="IB35" s="9" t="str">
        <f ca="1">IF(OR(IB8="",IB$28&lt;$A35),"",IB8/OFFSET(ParoRegESP!$A$2,MATCH(IB$29,ParoRegESP!$A$2:$A$500)+$A35-1,1)-1)</f>
        <v/>
      </c>
      <c r="IC35" s="9" t="str">
        <f ca="1">IF(OR(IC8="",IC$28&lt;$A35),"",IC8/OFFSET(ParoRegESP!$A$2,MATCH(IC$29,ParoRegESP!$A$2:$A$500)+$A35-1,1)-1)</f>
        <v/>
      </c>
      <c r="ID35" s="9" t="str">
        <f ca="1">IF(OR(ID8="",ID$28&lt;$A35),"",ID8/OFFSET(ParoRegESP!$A$2,MATCH(ID$29,ParoRegESP!$A$2:$A$500)+$A35-1,1)-1)</f>
        <v/>
      </c>
      <c r="IE35" s="9" t="str">
        <f ca="1">IF(OR(IE8="",IE$28&lt;$A35),"",IE8/OFFSET(ParoRegESP!$A$2,MATCH(IE$29,ParoRegESP!$A$2:$A$500)+$A35-1,1)-1)</f>
        <v/>
      </c>
      <c r="IF35" s="9" t="str">
        <f ca="1">IF(OR(IF8="",IF$28&lt;$A35),"",IF8/OFFSET(ParoRegESP!$A$2,MATCH(IF$29,ParoRegESP!$A$2:$A$500)+$A35-1,1)-1)</f>
        <v/>
      </c>
      <c r="IG35" s="9" t="str">
        <f ca="1">IF(OR(IG8="",IG$28&lt;$A35),"",IG8/OFFSET(ParoRegESP!$A$2,MATCH(IG$29,ParoRegESP!$A$2:$A$500)+$A35-1,1)-1)</f>
        <v/>
      </c>
      <c r="IH35" s="9" t="str">
        <f ca="1">IF(OR(IH8="",IH$28&lt;$A35),"",IH8/OFFSET(ParoRegESP!$A$2,MATCH(IH$29,ParoRegESP!$A$2:$A$500)+$A35-1,1)-1)</f>
        <v/>
      </c>
      <c r="II35" s="9" t="str">
        <f ca="1">IF(OR(II8="",II$28&lt;$A35),"",II8/OFFSET(ParoRegESP!$A$2,MATCH(II$29,ParoRegESP!$A$2:$A$500)+$A35-1,1)-1)</f>
        <v/>
      </c>
      <c r="IJ35" s="9" t="str">
        <f ca="1">IF(OR(IJ8="",IJ$28&lt;$A35),"",IJ8/OFFSET(ParoRegESP!$A$2,MATCH(IJ$29,ParoRegESP!$A$2:$A$500)+$A35-1,1)-1)</f>
        <v/>
      </c>
      <c r="IK35" s="9" t="str">
        <f ca="1">IF(OR(IK8="",IK$28&lt;$A35),"",IK8/OFFSET(ParoRegESP!$A$2,MATCH(IK$29,ParoRegESP!$A$2:$A$500)+$A35-1,1)-1)</f>
        <v/>
      </c>
      <c r="IL35" s="9" t="str">
        <f ca="1">IF(OR(IL8="",IL$28&lt;$A35),"",IL8/OFFSET(ParoRegESP!$A$2,MATCH(IL$29,ParoRegESP!$A$2:$A$500)+$A35-1,1)-1)</f>
        <v/>
      </c>
      <c r="IM35" s="9" t="str">
        <f ca="1">IF(OR(IM8="",IM$28&lt;$A35),"",IM8/OFFSET(ParoRegESP!$A$2,MATCH(IM$29,ParoRegESP!$A$2:$A$500)+$A35-1,1)-1)</f>
        <v/>
      </c>
      <c r="IN35" s="9" t="str">
        <f ca="1">IF(OR(IN8="",IN$28&lt;$A35),"",IN8/OFFSET(ParoRegESP!$A$2,MATCH(IN$29,ParoRegESP!$A$2:$A$500)+$A35-1,1)-1)</f>
        <v/>
      </c>
      <c r="IO35" s="9" t="str">
        <f ca="1">IF(OR(IO8="",IO$28&lt;$A35),"",IO8/OFFSET(ParoRegESP!$A$2,MATCH(IO$29,ParoRegESP!$A$2:$A$500)+$A35-1,1)-1)</f>
        <v/>
      </c>
      <c r="IP35" s="9" t="str">
        <f ca="1">IF(OR(IP8="",IP$28&lt;$A35),"",IP8/OFFSET(ParoRegESP!$A$2,MATCH(IP$29,ParoRegESP!$A$2:$A$500)+$A35-1,1)-1)</f>
        <v/>
      </c>
      <c r="IQ35" s="9" t="str">
        <f ca="1">IF(OR(IQ8="",IQ$28&lt;$A35),"",IQ8/OFFSET(ParoRegESP!$A$2,MATCH(IQ$29,ParoRegESP!$A$2:$A$500)+$A35-1,1)-1)</f>
        <v/>
      </c>
      <c r="IR35" s="9" t="str">
        <f ca="1">IF(OR(IR8="",IR$28&lt;$A35),"",IR8/OFFSET(ParoRegESP!$A$2,MATCH(IR$29,ParoRegESP!$A$2:$A$500)+$A35-1,1)-1)</f>
        <v/>
      </c>
      <c r="IS35" s="9" t="str">
        <f ca="1">IF(OR(IS8="",IS$28&lt;$A35),"",IS8/OFFSET(ParoRegESP!$A$2,MATCH(IS$29,ParoRegESP!$A$2:$A$500)+$A35-1,1)-1)</f>
        <v/>
      </c>
      <c r="IT35" s="9" t="str">
        <f ca="1">IF(OR(IT8="",IT$28&lt;$A35),"",IT8/OFFSET(ParoRegESP!$A$2,MATCH(IT$29,ParoRegESP!$A$2:$A$500)+$A35-1,1)-1)</f>
        <v/>
      </c>
      <c r="IU35" s="9" t="str">
        <f ca="1">IF(OR(IU8="",IU$28&lt;$A35),"",IU8/OFFSET(ParoRegESP!$A$2,MATCH(IU$29,ParoRegESP!$A$2:$A$500)+$A35-1,1)-1)</f>
        <v/>
      </c>
      <c r="IV35" s="9" t="str">
        <f ca="1">IF(OR(IV8="",IV$28&lt;$A35),"",IV8/OFFSET(ParoRegESP!$A$2,MATCH(IV$29,ParoRegESP!$A$2:$A$500)+$A35-1,1)-1)</f>
        <v/>
      </c>
      <c r="IW35" s="9" t="str">
        <f ca="1">IF(OR(IW8="",IW$28&lt;$A35),"",IW8/OFFSET(ParoRegESP!$A$2,MATCH(IW$29,ParoRegESP!$A$2:$A$500)+$A35-1,1)-1)</f>
        <v/>
      </c>
      <c r="IX35" s="9" t="str">
        <f ca="1">IF(OR(IX8="",IX$28&lt;$A35),"",IX8/OFFSET(ParoRegESP!$A$2,MATCH(IX$29,ParoRegESP!$A$2:$A$500)+$A35-1,1)-1)</f>
        <v/>
      </c>
      <c r="IY35" s="9" t="str">
        <f ca="1">IF(OR(IY8="",IY$28&lt;$A35),"",IY8/OFFSET(ParoRegESP!$A$2,MATCH(IY$29,ParoRegESP!$A$2:$A$500)+$A35-1,1)-1)</f>
        <v/>
      </c>
      <c r="IZ35" s="9" t="str">
        <f ca="1">IF(OR(IZ8="",IZ$28&lt;$A35),"",IZ8/OFFSET(ParoRegESP!$A$2,MATCH(IZ$29,ParoRegESP!$A$2:$A$500)+$A35-1,1)-1)</f>
        <v/>
      </c>
      <c r="JA35" s="9" t="str">
        <f ca="1">IF(OR(JA8="",JA$28&lt;$A35),"",JA8/OFFSET(ParoRegESP!$A$2,MATCH(JA$29,ParoRegESP!$A$2:$A$500)+$A35-1,1)-1)</f>
        <v/>
      </c>
      <c r="JB35" s="9" t="str">
        <f ca="1">IF(OR(JB8="",JB$28&lt;$A35),"",JB8/OFFSET(ParoRegESP!$A$2,MATCH(JB$29,ParoRegESP!$A$2:$A$500)+$A35-1,1)-1)</f>
        <v/>
      </c>
      <c r="JC35" s="9" t="str">
        <f ca="1">IF(OR(JC8="",JC$28&lt;$A35),"",JC8/OFFSET(ParoRegESP!$A$2,MATCH(JC$29,ParoRegESP!$A$2:$A$500)+$A35-1,1)-1)</f>
        <v/>
      </c>
      <c r="JD35" s="9" t="str">
        <f ca="1">IF(OR(JD8="",JD$28&lt;$A35),"",JD8/OFFSET(ParoRegESP!$A$2,MATCH(JD$29,ParoRegESP!$A$2:$A$500)+$A35-1,1)-1)</f>
        <v/>
      </c>
      <c r="JE35" s="9" t="str">
        <f ca="1">IF(OR(JE8="",JE$28&lt;$A35),"",JE8/OFFSET(ParoRegESP!$A$2,MATCH(JE$29,ParoRegESP!$A$2:$A$500)+$A35-1,1)-1)</f>
        <v/>
      </c>
      <c r="JF35" s="9" t="str">
        <f ca="1">IF(OR(JF8="",JF$28&lt;$A35),"",JF8/OFFSET(ParoRegESP!$A$2,MATCH(JF$29,ParoRegESP!$A$2:$A$500)+$A35-1,1)-1)</f>
        <v/>
      </c>
      <c r="JG35" s="9" t="str">
        <f ca="1">IF(OR(JG8="",JG$28&lt;$A35),"",JG8/OFFSET(ParoRegESP!$A$2,MATCH(JG$29,ParoRegESP!$A$2:$A$500)+$A35-1,1)-1)</f>
        <v/>
      </c>
      <c r="JH35" s="9" t="str">
        <f ca="1">IF(OR(JH8="",JH$28&lt;$A35),"",JH8/OFFSET(ParoRegESP!$A$2,MATCH(JH$29,ParoRegESP!$A$2:$A$500)+$A35-1,1)-1)</f>
        <v/>
      </c>
      <c r="JI35" s="13">
        <f t="shared" ca="1" si="13"/>
        <v>-2.0841520529596411E-2</v>
      </c>
      <c r="JJ35" s="13">
        <f t="shared" ca="1" si="14"/>
        <v>-1.325107313741325E-2</v>
      </c>
      <c r="JK35" s="14">
        <f t="shared" ca="1" si="15"/>
        <v>1.0603745043112461E-2</v>
      </c>
      <c r="JL35" s="17">
        <f t="shared" ca="1" si="18"/>
        <v>0.10297448734085769</v>
      </c>
      <c r="JM35" s="15" t="str">
        <f t="shared" ca="1" si="16"/>
        <v>[ -22,68% ; 18,51% ]</v>
      </c>
      <c r="JN35" s="17">
        <f t="shared" ca="1" si="17"/>
        <v>0.13180734379629785</v>
      </c>
      <c r="LY35" s="1"/>
    </row>
    <row r="36" spans="1:337" x14ac:dyDescent="0.25">
      <c r="A36" s="4">
        <v>7</v>
      </c>
      <c r="B36" s="9">
        <f ca="1">IF(OR(B9="",B$28&lt;$A36),"",B9/OFFSET(ParoRegESP!$A$2,MATCH(B$29,ParoRegESP!$A$2:$A$500)+$A36-1,1)-1)</f>
        <v>3.6451073941332623E-2</v>
      </c>
      <c r="C36" s="9">
        <f ca="1">IF(OR(C9="",C$28&lt;$A36),"",C9/OFFSET(ParoRegESP!$A$2,MATCH(C$29,ParoRegESP!$A$2:$A$500)+$A36-1,1)-1)</f>
        <v>2.6256420769921185E-2</v>
      </c>
      <c r="D36" s="9">
        <f ca="1">IF(OR(D9="",D$28&lt;$A36),"",D9/OFFSET(ParoRegESP!$A$2,MATCH(D$29,ParoRegESP!$A$2:$A$500)+$A36-1,1)-1)</f>
        <v>1.5840675713568952E-2</v>
      </c>
      <c r="E36" s="9">
        <f ca="1">IF(OR(E9="",E$28&lt;$A36),"",E9/OFFSET(ParoRegESP!$A$2,MATCH(E$29,ParoRegESP!$A$2:$A$500)+$A36-1,1)-1)</f>
        <v>2.4060856619738669E-2</v>
      </c>
      <c r="F36" s="9">
        <f ca="1">IF(OR(F9="",F$28&lt;$A36),"",F9/OFFSET(ParoRegESP!$A$2,MATCH(F$29,ParoRegESP!$A$2:$A$500)+$A36-1,1)-1)</f>
        <v>2.9771513837361541E-2</v>
      </c>
      <c r="G36" s="9">
        <f ca="1">IF(OR(G9="",G$28&lt;$A36),"",G9/OFFSET(ParoRegESP!$A$2,MATCH(G$29,ParoRegESP!$A$2:$A$500)+$A36-1,1)-1)</f>
        <v>4.5956317023915227E-2</v>
      </c>
      <c r="H36" s="9">
        <f ca="1">IF(OR(H9="",H$28&lt;$A36),"",H9/OFFSET(ParoRegESP!$A$2,MATCH(H$29,ParoRegESP!$A$2:$A$500)+$A36-1,1)-1)</f>
        <v>4.5297683524560206E-2</v>
      </c>
      <c r="I36" s="9">
        <f ca="1">IF(OR(I9="",I$28&lt;$A36),"",I9/OFFSET(ParoRegESP!$A$2,MATCH(I$29,ParoRegESP!$A$2:$A$500)+$A36-1,1)-1)</f>
        <v>4.5168100907653885E-2</v>
      </c>
      <c r="J36" s="9">
        <f ca="1">IF(OR(J9="",J$28&lt;$A36),"",J9/OFFSET(ParoRegESP!$A$2,MATCH(J$29,ParoRegESP!$A$2:$A$500)+$A36-1,1)-1)</f>
        <v>3.8583739389795646E-2</v>
      </c>
      <c r="K36" s="9">
        <f ca="1">IF(OR(K9="",K$28&lt;$A36),"",K9/OFFSET(ParoRegESP!$A$2,MATCH(K$29,ParoRegESP!$A$2:$A$500)+$A36-1,1)-1)</f>
        <v>2.964905704926557E-2</v>
      </c>
      <c r="L36" s="9">
        <f ca="1">IF(OR(L9="",L$28&lt;$A36),"",L9/OFFSET(ParoRegESP!$A$2,MATCH(L$29,ParoRegESP!$A$2:$A$500)+$A36-1,1)-1)</f>
        <v>3.5216008748649941E-2</v>
      </c>
      <c r="M36" s="9">
        <f ca="1">IF(OR(M9="",M$28&lt;$A36),"",M9/OFFSET(ParoRegESP!$A$2,MATCH(M$29,ParoRegESP!$A$2:$A$500)+$A36-1,1)-1)</f>
        <v>2.4159016029687619E-2</v>
      </c>
      <c r="N36" s="9">
        <f ca="1">IF(OR(N9="",N$28&lt;$A36),"",N9/OFFSET(ParoRegESP!$A$2,MATCH(N$29,ParoRegESP!$A$2:$A$500)+$A36-1,1)-1)</f>
        <v>-1.4854247397598885E-2</v>
      </c>
      <c r="O36" s="9">
        <f ca="1">IF(OR(O9="",O$28&lt;$A36),"",O9/OFFSET(ParoRegESP!$A$2,MATCH(O$29,ParoRegESP!$A$2:$A$500)+$A36-1,1)-1)</f>
        <v>-2.4669867480606955E-2</v>
      </c>
      <c r="P36" s="9">
        <f ca="1">IF(OR(P9="",P$28&lt;$A36),"",P9/OFFSET(ParoRegESP!$A$2,MATCH(P$29,ParoRegESP!$A$2:$A$500)+$A36-1,1)-1)</f>
        <v>-2.3117545703080444E-2</v>
      </c>
      <c r="Q36" s="9">
        <f ca="1">IF(OR(Q9="",Q$28&lt;$A36),"",Q9/OFFSET(ParoRegESP!$A$2,MATCH(Q$29,ParoRegESP!$A$2:$A$500)+$A36-1,1)-1)</f>
        <v>-8.7297065695469689E-3</v>
      </c>
      <c r="R36" s="9">
        <f ca="1">IF(OR(R9="",R$28&lt;$A36),"",R9/OFFSET(ParoRegESP!$A$2,MATCH(R$29,ParoRegESP!$A$2:$A$500)+$A36-1,1)-1)</f>
        <v>-2.7787707894076918E-3</v>
      </c>
      <c r="S36" s="9">
        <f ca="1">IF(OR(S9="",S$28&lt;$A36),"",S9/OFFSET(ParoRegESP!$A$2,MATCH(S$29,ParoRegESP!$A$2:$A$500)+$A36-1,1)-1)</f>
        <v>-1.7976302836506308E-2</v>
      </c>
      <c r="T36" s="9">
        <f ca="1">IF(OR(T9="",T$28&lt;$A36),"",T9/OFFSET(ParoRegESP!$A$2,MATCH(T$29,ParoRegESP!$A$2:$A$500)+$A36-1,1)-1)</f>
        <v>-2.3565689118313582E-2</v>
      </c>
      <c r="U36" s="9">
        <f ca="1">IF(OR(U9="",U$28&lt;$A36),"",U9/OFFSET(ParoRegESP!$A$2,MATCH(U$29,ParoRegESP!$A$2:$A$500)+$A36-1,1)-1)</f>
        <v>-3.3944072297366068E-3</v>
      </c>
      <c r="V36" s="9">
        <f ca="1">IF(OR(V9="",V$28&lt;$A36),"",V9/OFFSET(ParoRegESP!$A$2,MATCH(V$29,ParoRegESP!$A$2:$A$500)+$A36-1,1)-1)</f>
        <v>2.1942757089485898E-3</v>
      </c>
      <c r="W36" s="9">
        <f ca="1">IF(OR(W9="",W$28&lt;$A36),"",W9/OFFSET(ParoRegESP!$A$2,MATCH(W$29,ParoRegESP!$A$2:$A$500)+$A36-1,1)-1)</f>
        <v>1.0089192651872025E-2</v>
      </c>
      <c r="X36" s="9">
        <f ca="1">IF(OR(X9="",X$28&lt;$A36),"",X9/OFFSET(ParoRegESP!$A$2,MATCH(X$29,ParoRegESP!$A$2:$A$500)+$A36-1,1)-1)</f>
        <v>1.1788503060965683E-2</v>
      </c>
      <c r="Y36" s="9">
        <f ca="1">IF(OR(Y9="",Y$28&lt;$A36),"",Y9/OFFSET(ParoRegESP!$A$2,MATCH(Y$29,ParoRegESP!$A$2:$A$500)+$A36-1,1)-1)</f>
        <v>1.2163977875982113E-2</v>
      </c>
      <c r="Z36" s="9">
        <f ca="1">IF(OR(Z9="",Z$28&lt;$A36),"",Z9/OFFSET(ParoRegESP!$A$2,MATCH(Z$29,ParoRegESP!$A$2:$A$500)+$A36-1,1)-1)</f>
        <v>6.5326536645531341E-3</v>
      </c>
      <c r="AA36" s="9">
        <f ca="1">IF(OR(AA9="",AA$28&lt;$A36),"",AA9/OFFSET(ParoRegESP!$A$2,MATCH(AA$29,ParoRegESP!$A$2:$A$500)+$A36-1,1)-1)</f>
        <v>8.9863002032859463E-3</v>
      </c>
      <c r="AB36" s="9">
        <f ca="1">IF(OR(AB9="",AB$28&lt;$A36),"",AB9/OFFSET(ParoRegESP!$A$2,MATCH(AB$29,ParoRegESP!$A$2:$A$500)+$A36-1,1)-1)</f>
        <v>2.1320565101877076E-2</v>
      </c>
      <c r="AC36" s="9">
        <f ca="1">IF(OR(AC9="",AC$28&lt;$A36),"",AC9/OFFSET(ParoRegESP!$A$2,MATCH(AC$29,ParoRegESP!$A$2:$A$500)+$A36-1,1)-1)</f>
        <v>3.4080650795323963E-2</v>
      </c>
      <c r="AD36" s="9">
        <f ca="1">IF(OR(AD9="",AD$28&lt;$A36),"",AD9/OFFSET(ParoRegESP!$A$2,MATCH(AD$29,ParoRegESP!$A$2:$A$500)+$A36-1,1)-1)</f>
        <v>2.7582772647915643E-2</v>
      </c>
      <c r="AE36" s="9">
        <f ca="1">IF(OR(AE9="",AE$28&lt;$A36),"",AE9/OFFSET(ParoRegESP!$A$2,MATCH(AE$29,ParoRegESP!$A$2:$A$500)+$A36-1,1)-1)</f>
        <v>2.7770349268428696E-2</v>
      </c>
      <c r="AF36" s="9">
        <f ca="1">IF(OR(AF9="",AF$28&lt;$A36),"",AF9/OFFSET(ParoRegESP!$A$2,MATCH(AF$29,ParoRegESP!$A$2:$A$500)+$A36-1,1)-1)</f>
        <v>2.7673518380852524E-2</v>
      </c>
      <c r="AG36" s="9">
        <f ca="1">IF(OR(AG9="",AG$28&lt;$A36),"",AG9/OFFSET(ParoRegESP!$A$2,MATCH(AG$29,ParoRegESP!$A$2:$A$500)+$A36-1,1)-1)</f>
        <v>3.482753328855881E-2</v>
      </c>
      <c r="AH36" s="9">
        <f ca="1">IF(OR(AH9="",AH$28&lt;$A36),"",AH9/OFFSET(ParoRegESP!$A$2,MATCH(AH$29,ParoRegESP!$A$2:$A$500)+$A36-1,1)-1)</f>
        <v>2.4137953591133687E-2</v>
      </c>
      <c r="AI36" s="9">
        <f ca="1">IF(OR(AI9="",AI$28&lt;$A36),"",AI9/OFFSET(ParoRegESP!$A$2,MATCH(AI$29,ParoRegESP!$A$2:$A$500)+$A36-1,1)-1)</f>
        <v>1.2364981233719652E-2</v>
      </c>
      <c r="AJ36" s="9">
        <f ca="1">IF(OR(AJ9="",AJ$28&lt;$A36),"",AJ9/OFFSET(ParoRegESP!$A$2,MATCH(AJ$29,ParoRegESP!$A$2:$A$500)+$A36-1,1)-1)</f>
        <v>-1.0755020839952056E-2</v>
      </c>
      <c r="AK36" s="9">
        <f ca="1">IF(OR(AK9="",AK$28&lt;$A36),"",AK9/OFFSET(ParoRegESP!$A$2,MATCH(AK$29,ParoRegESP!$A$2:$A$500)+$A36-1,1)-1)</f>
        <v>-3.9490546093112977E-2</v>
      </c>
      <c r="AL36" s="9">
        <f ca="1">IF(OR(AL9="",AL$28&lt;$A36),"",AL9/OFFSET(ParoRegESP!$A$2,MATCH(AL$29,ParoRegESP!$A$2:$A$500)+$A36-1,1)-1)</f>
        <v>-5.4130536243741867E-2</v>
      </c>
      <c r="AM36" s="9">
        <f ca="1">IF(OR(AM9="",AM$28&lt;$A36),"",AM9/OFFSET(ParoRegESP!$A$2,MATCH(AM$29,ParoRegESP!$A$2:$A$500)+$A36-1,1)-1)</f>
        <v>-7.2963941827267953E-2</v>
      </c>
      <c r="AN36" s="9">
        <f ca="1">IF(OR(AN9="",AN$28&lt;$A36),"",AN9/OFFSET(ParoRegESP!$A$2,MATCH(AN$29,ParoRegESP!$A$2:$A$500)+$A36-1,1)-1)</f>
        <v>-6.8032986575788823E-2</v>
      </c>
      <c r="AO36" s="9">
        <f ca="1">IF(OR(AO9="",AO$28&lt;$A36),"",AO9/OFFSET(ParoRegESP!$A$2,MATCH(AO$29,ParoRegESP!$A$2:$A$500)+$A36-1,1)-1)</f>
        <v>-5.6344986978095979E-2</v>
      </c>
      <c r="AP36" s="9">
        <f ca="1">IF(OR(AP9="",AP$28&lt;$A36),"",AP9/OFFSET(ParoRegESP!$A$2,MATCH(AP$29,ParoRegESP!$A$2:$A$500)+$A36-1,1)-1)</f>
        <v>-4.5877800421535109E-2</v>
      </c>
      <c r="AQ36" s="9">
        <f ca="1">IF(OR(AQ9="",AQ$28&lt;$A36),"",AQ9/OFFSET(ParoRegESP!$A$2,MATCH(AQ$29,ParoRegESP!$A$2:$A$500)+$A36-1,1)-1)</f>
        <v>-4.3839021649792476E-2</v>
      </c>
      <c r="AR36" s="9">
        <f ca="1">IF(OR(AR9="",AR$28&lt;$A36),"",AR9/OFFSET(ParoRegESP!$A$2,MATCH(AR$29,ParoRegESP!$A$2:$A$500)+$A36-1,1)-1)</f>
        <v>-5.7598118378577201E-2</v>
      </c>
      <c r="AS36" s="9">
        <f ca="1">IF(OR(AS9="",AS$28&lt;$A36),"",AS9/OFFSET(ParoRegESP!$A$2,MATCH(AS$29,ParoRegESP!$A$2:$A$500)+$A36-1,1)-1)</f>
        <v>-7.1319468073443026E-2</v>
      </c>
      <c r="AT36" s="9">
        <f ca="1">IF(OR(AT9="",AT$28&lt;$A36),"",AT9/OFFSET(ParoRegESP!$A$2,MATCH(AT$29,ParoRegESP!$A$2:$A$500)+$A36-1,1)-1)</f>
        <v>-6.4434161849199256E-2</v>
      </c>
      <c r="AU36" s="9">
        <f ca="1">IF(OR(AU9="",AU$28&lt;$A36),"",AU9/OFFSET(ParoRegESP!$A$2,MATCH(AU$29,ParoRegESP!$A$2:$A$500)+$A36-1,1)-1)</f>
        <v>-0.1044896903524738</v>
      </c>
      <c r="AV36" s="9">
        <f ca="1">IF(OR(AV9="",AV$28&lt;$A36),"",AV9/OFFSET(ParoRegESP!$A$2,MATCH(AV$29,ParoRegESP!$A$2:$A$500)+$A36-1,1)-1)</f>
        <v>-0.14118332749076146</v>
      </c>
      <c r="AW36" s="9">
        <f ca="1">IF(OR(AW9="",AW$28&lt;$A36),"",AW9/OFFSET(ParoRegESP!$A$2,MATCH(AW$29,ParoRegESP!$A$2:$A$500)+$A36-1,1)-1)</f>
        <v>-0.16502226417917443</v>
      </c>
      <c r="AX36" s="9">
        <f ca="1">IF(OR(AX9="",AX$28&lt;$A36),"",AX9/OFFSET(ParoRegESP!$A$2,MATCH(AX$29,ParoRegESP!$A$2:$A$500)+$A36-1,1)-1)</f>
        <v>-0.17038196103739756</v>
      </c>
      <c r="AY36" s="9">
        <f ca="1">IF(OR(AY9="",AY$28&lt;$A36),"",AY9/OFFSET(ParoRegESP!$A$2,MATCH(AY$29,ParoRegESP!$A$2:$A$500)+$A36-1,1)-1)</f>
        <v>-0.16588358751799614</v>
      </c>
      <c r="AZ36" s="9">
        <f ca="1">IF(OR(AZ9="",AZ$28&lt;$A36),"",AZ9/OFFSET(ParoRegESP!$A$2,MATCH(AZ$29,ParoRegESP!$A$2:$A$500)+$A36-1,1)-1)</f>
        <v>-0.14636238605009366</v>
      </c>
      <c r="BA36" s="9">
        <f ca="1">IF(OR(BA9="",BA$28&lt;$A36),"",BA9/OFFSET(ParoRegESP!$A$2,MATCH(BA$29,ParoRegESP!$A$2:$A$500)+$A36-1,1)-1)</f>
        <v>-0.1999631919676701</v>
      </c>
      <c r="BB36" s="9">
        <f ca="1">IF(OR(BB9="",BB$28&lt;$A36),"",BB9/OFFSET(ParoRegESP!$A$2,MATCH(BB$29,ParoRegESP!$A$2:$A$500)+$A36-1,1)-1)</f>
        <v>-0.14161908563749814</v>
      </c>
      <c r="BC36" s="9">
        <f ca="1">IF(OR(BC9="",BC$28&lt;$A36),"",BC9/OFFSET(ParoRegESP!$A$2,MATCH(BC$29,ParoRegESP!$A$2:$A$500)+$A36-1,1)-1)</f>
        <v>-0.11216754335352774</v>
      </c>
      <c r="BD36" s="9">
        <f ca="1">IF(OR(BD9="",BD$28&lt;$A36),"",BD9/OFFSET(ParoRegESP!$A$2,MATCH(BD$29,ParoRegESP!$A$2:$A$500)+$A36-1,1)-1)</f>
        <v>-0.14295021710778899</v>
      </c>
      <c r="BE36" s="9">
        <f ca="1">IF(OR(BE9="",BE$28&lt;$A36),"",BE9/OFFSET(ParoRegESP!$A$2,MATCH(BE$29,ParoRegESP!$A$2:$A$500)+$A36-1,1)-1)</f>
        <v>-0.15105790444586387</v>
      </c>
      <c r="BF36" s="9">
        <f ca="1">IF(OR(BF9="",BF$28&lt;$A36),"",BF9/OFFSET(ParoRegESP!$A$2,MATCH(BF$29,ParoRegESP!$A$2:$A$500)+$A36-1,1)-1)</f>
        <v>-0.14171305139469925</v>
      </c>
      <c r="BG36" s="9">
        <f ca="1">IF(OR(BG9="",BG$28&lt;$A36),"",BG9/OFFSET(ParoRegESP!$A$2,MATCH(BG$29,ParoRegESP!$A$2:$A$500)+$A36-1,1)-1)</f>
        <v>-0.1200321133436999</v>
      </c>
      <c r="BH36" s="9">
        <f ca="1">IF(OR(BH9="",BH$28&lt;$A36),"",BH9/OFFSET(ParoRegESP!$A$2,MATCH(BH$29,ParoRegESP!$A$2:$A$500)+$A36-1,1)-1)</f>
        <v>-5.4729064618295409E-2</v>
      </c>
      <c r="BI36" s="9">
        <f ca="1">IF(OR(BI9="",BI$28&lt;$A36),"",BI9/OFFSET(ParoRegESP!$A$2,MATCH(BI$29,ParoRegESP!$A$2:$A$500)+$A36-1,1)-1)</f>
        <v>4.1451908949575733E-2</v>
      </c>
      <c r="BJ36" s="9">
        <f ca="1">IF(OR(BJ9="",BJ$28&lt;$A36),"",BJ9/OFFSET(ParoRegESP!$A$2,MATCH(BJ$29,ParoRegESP!$A$2:$A$500)+$A36-1,1)-1)</f>
        <v>0.10789715930244781</v>
      </c>
      <c r="BK36" s="9">
        <f ca="1">IF(OR(BK9="",BK$28&lt;$A36),"",BK9/OFFSET(ParoRegESP!$A$2,MATCH(BK$29,ParoRegESP!$A$2:$A$500)+$A36-1,1)-1)</f>
        <v>0.11952799009750015</v>
      </c>
      <c r="BL36" s="9">
        <f ca="1">IF(OR(BL9="",BL$28&lt;$A36),"",BL9/OFFSET(ParoRegESP!$A$2,MATCH(BL$29,ParoRegESP!$A$2:$A$500)+$A36-1,1)-1)</f>
        <v>0.17281872790508634</v>
      </c>
      <c r="BM36" s="9">
        <f ca="1">IF(OR(BM9="",BM$28&lt;$A36),"",BM9/OFFSET(ParoRegESP!$A$2,MATCH(BM$29,ParoRegESP!$A$2:$A$500)+$A36-1,1)-1)</f>
        <v>0.20475277861269947</v>
      </c>
      <c r="BN36" s="9">
        <f ca="1">IF(OR(BN9="",BN$28&lt;$A36),"",BN9/OFFSET(ParoRegESP!$A$2,MATCH(BN$29,ParoRegESP!$A$2:$A$500)+$A36-1,1)-1)</f>
        <v>0.17354597200708666</v>
      </c>
      <c r="BO36" s="9">
        <f ca="1">IF(OR(BO9="",BO$28&lt;$A36),"",BO9/OFFSET(ParoRegESP!$A$2,MATCH(BO$29,ParoRegESP!$A$2:$A$500)+$A36-1,1)-1)</f>
        <v>0.13336789268351379</v>
      </c>
      <c r="BP36" s="9">
        <f ca="1">IF(OR(BP9="",BP$28&lt;$A36),"",BP9/OFFSET(ParoRegESP!$A$2,MATCH(BP$29,ParoRegESP!$A$2:$A$500)+$A36-1,1)-1)</f>
        <v>7.4915482139523704E-2</v>
      </c>
      <c r="BQ36" s="9">
        <f ca="1">IF(OR(BQ9="",BQ$28&lt;$A36),"",BQ9/OFFSET(ParoRegESP!$A$2,MATCH(BQ$29,ParoRegESP!$A$2:$A$500)+$A36-1,1)-1)</f>
        <v>-7.8940483789822213E-3</v>
      </c>
      <c r="BR36" s="9">
        <f ca="1">IF(OR(BR9="",BR$28&lt;$A36),"",BR9/OFFSET(ParoRegESP!$A$2,MATCH(BR$29,ParoRegESP!$A$2:$A$500)+$A36-1,1)-1)</f>
        <v>1.1662467518084529E-2</v>
      </c>
      <c r="BS36" s="9">
        <f ca="1">IF(OR(BS9="",BS$28&lt;$A36),"",BS9/OFFSET(ParoRegESP!$A$2,MATCH(BS$29,ParoRegESP!$A$2:$A$500)+$A36-1,1)-1)</f>
        <v>4.4385121597484201E-2</v>
      </c>
      <c r="BT36" s="9">
        <f ca="1">IF(OR(BT9="",BT$28&lt;$A36),"",BT9/OFFSET(ParoRegESP!$A$2,MATCH(BT$29,ParoRegESP!$A$2:$A$500)+$A36-1,1)-1)</f>
        <v>2.6857237560192981E-2</v>
      </c>
      <c r="BU36" s="9">
        <f ca="1">IF(OR(BU9="",BU$28&lt;$A36),"",BU9/OFFSET(ParoRegESP!$A$2,MATCH(BU$29,ParoRegESP!$A$2:$A$500)+$A36-1,1)-1)</f>
        <v>-4.0487850036278195E-3</v>
      </c>
      <c r="BV36" s="9">
        <f ca="1">IF(OR(BV9="",BV$28&lt;$A36),"",BV9/OFFSET(ParoRegESP!$A$2,MATCH(BV$29,ParoRegESP!$A$2:$A$500)+$A36-1,1)-1)</f>
        <v>6.4720549402028649E-3</v>
      </c>
      <c r="BW36" s="9">
        <f ca="1">IF(OR(BW9="",BW$28&lt;$A36),"",BW9/OFFSET(ParoRegESP!$A$2,MATCH(BW$29,ParoRegESP!$A$2:$A$500)+$A36-1,1)-1)</f>
        <v>4.8389993189843716E-2</v>
      </c>
      <c r="BX36" s="9">
        <f ca="1">IF(OR(BX9="",BX$28&lt;$A36),"",BX9/OFFSET(ParoRegESP!$A$2,MATCH(BX$29,ParoRegESP!$A$2:$A$500)+$A36-1,1)-1)</f>
        <v>6.6550483225065182E-2</v>
      </c>
      <c r="BY36" s="9">
        <f ca="1">IF(OR(BY9="",BY$28&lt;$A36),"",BY9/OFFSET(ParoRegESP!$A$2,MATCH(BY$29,ParoRegESP!$A$2:$A$500)+$A36-1,1)-1)</f>
        <v>7.106307289648317E-2</v>
      </c>
      <c r="BZ36" s="9">
        <f ca="1">IF(OR(BZ9="",BZ$28&lt;$A36),"",BZ9/OFFSET(ParoRegESP!$A$2,MATCH(BZ$29,ParoRegESP!$A$2:$A$500)+$A36-1,1)-1)</f>
        <v>6.4189975957861467E-2</v>
      </c>
      <c r="CA36" s="9">
        <f ca="1">IF(OR(CA9="",CA$28&lt;$A36),"",CA9/OFFSET(ParoRegESP!$A$2,MATCH(CA$29,ParoRegESP!$A$2:$A$500)+$A36-1,1)-1)</f>
        <v>4.1993335819806799E-2</v>
      </c>
      <c r="CB36" s="9">
        <f ca="1">IF(OR(CB9="",CB$28&lt;$A36),"",CB9/OFFSET(ParoRegESP!$A$2,MATCH(CB$29,ParoRegESP!$A$2:$A$500)+$A36-1,1)-1)</f>
        <v>-6.1393759377470492E-3</v>
      </c>
      <c r="CC36" s="9">
        <f ca="1">IF(OR(CC9="",CC$28&lt;$A36),"",CC9/OFFSET(ParoRegESP!$A$2,MATCH(CC$29,ParoRegESP!$A$2:$A$500)+$A36-1,1)-1)</f>
        <v>-3.8526844818743577E-2</v>
      </c>
      <c r="CD36" s="9">
        <f ca="1">IF(OR(CD9="",CD$28&lt;$A36),"",CD9/OFFSET(ParoRegESP!$A$2,MATCH(CD$29,ParoRegESP!$A$2:$A$500)+$A36-1,1)-1)</f>
        <v>-4.0591037588573187E-3</v>
      </c>
      <c r="CE36" s="9">
        <f ca="1">IF(OR(CE9="",CE$28&lt;$A36),"",CE9/OFFSET(ParoRegESP!$A$2,MATCH(CE$29,ParoRegESP!$A$2:$A$500)+$A36-1,1)-1)</f>
        <v>1.4281269616870595E-2</v>
      </c>
      <c r="CF36" s="9">
        <f ca="1">IF(OR(CF9="",CF$28&lt;$A36),"",CF9/OFFSET(ParoRegESP!$A$2,MATCH(CF$29,ParoRegESP!$A$2:$A$500)+$A36-1,1)-1)</f>
        <v>2.2640651811748125E-2</v>
      </c>
      <c r="CG36" s="9">
        <f ca="1">IF(OR(CG9="",CG$28&lt;$A36),"",CG9/OFFSET(ParoRegESP!$A$2,MATCH(CG$29,ParoRegESP!$A$2:$A$500)+$A36-1,1)-1)</f>
        <v>-2.1269484951115247E-3</v>
      </c>
      <c r="CH36" s="9">
        <f ca="1">IF(OR(CH9="",CH$28&lt;$A36),"",CH9/OFFSET(ParoRegESP!$A$2,MATCH(CH$29,ParoRegESP!$A$2:$A$500)+$A36-1,1)-1)</f>
        <v>-4.4304262281375517E-2</v>
      </c>
      <c r="CI36" s="9">
        <f ca="1">IF(OR(CI9="",CI$28&lt;$A36),"",CI9/OFFSET(ParoRegESP!$A$2,MATCH(CI$29,ParoRegESP!$A$2:$A$500)+$A36-1,1)-1)</f>
        <v>1.0701001796377341E-2</v>
      </c>
      <c r="CJ36" s="9">
        <f ca="1">IF(OR(CJ9="",CJ$28&lt;$A36),"",CJ9/OFFSET(ParoRegESP!$A$2,MATCH(CJ$29,ParoRegESP!$A$2:$A$500)+$A36-1,1)-1)</f>
        <v>1.2064548125227059E-2</v>
      </c>
      <c r="CK36" s="9">
        <f ca="1">IF(OR(CK9="",CK$28&lt;$A36),"",CK9/OFFSET(ParoRegESP!$A$2,MATCH(CK$29,ParoRegESP!$A$2:$A$500)+$A36-1,1)-1)</f>
        <v>-5.7499335548538699E-4</v>
      </c>
      <c r="CL36" s="9">
        <f ca="1">IF(OR(CL9="",CL$28&lt;$A36),"",CL9/OFFSET(ParoRegESP!$A$2,MATCH(CL$29,ParoRegESP!$A$2:$A$500)+$A36-1,1)-1)</f>
        <v>-3.1057293920574325E-2</v>
      </c>
      <c r="CM36" s="9">
        <f ca="1">IF(OR(CM9="",CM$28&lt;$A36),"",CM9/OFFSET(ParoRegESP!$A$2,MATCH(CM$29,ParoRegESP!$A$2:$A$500)+$A36-1,1)-1)</f>
        <v>-3.242989691597864E-2</v>
      </c>
      <c r="CN36" s="9">
        <f ca="1">IF(OR(CN9="",CN$28&lt;$A36),"",CN9/OFFSET(ParoRegESP!$A$2,MATCH(CN$29,ParoRegESP!$A$2:$A$500)+$A36-1,1)-1)</f>
        <v>-5.095209481742069E-2</v>
      </c>
      <c r="CO36" s="9">
        <f ca="1">IF(OR(CO9="",CO$28&lt;$A36),"",CO9/OFFSET(ParoRegESP!$A$2,MATCH(CO$29,ParoRegESP!$A$2:$A$500)+$A36-1,1)-1)</f>
        <v>-7.0970197914616451E-2</v>
      </c>
      <c r="CP36" s="9">
        <f ca="1">IF(OR(CP9="",CP$28&lt;$A36),"",CP9/OFFSET(ParoRegESP!$A$2,MATCH(CP$29,ParoRegESP!$A$2:$A$500)+$A36-1,1)-1)</f>
        <v>-5.8870276855715664E-2</v>
      </c>
      <c r="CQ36" s="9">
        <f ca="1">IF(OR(CQ9="",CQ$28&lt;$A36),"",CQ9/OFFSET(ParoRegESP!$A$2,MATCH(CQ$29,ParoRegESP!$A$2:$A$500)+$A36-1,1)-1)</f>
        <v>-2.082971510523457E-2</v>
      </c>
      <c r="CR36" s="9">
        <f ca="1">IF(OR(CR9="",CR$28&lt;$A36),"",CR9/OFFSET(ParoRegESP!$A$2,MATCH(CR$29,ParoRegESP!$A$2:$A$500)+$A36-1,1)-1)</f>
        <v>6.8477119698973077E-4</v>
      </c>
      <c r="CS36" s="9">
        <f ca="1">IF(OR(CS9="",CS$28&lt;$A36),"",CS9/OFFSET(ParoRegESP!$A$2,MATCH(CS$29,ParoRegESP!$A$2:$A$500)+$A36-1,1)-1)</f>
        <v>-1.2207380878292984E-2</v>
      </c>
      <c r="CT36" s="9">
        <f ca="1">IF(OR(CT9="",CT$28&lt;$A36),"",CT9/OFFSET(ParoRegESP!$A$2,MATCH(CT$29,ParoRegESP!$A$2:$A$500)+$A36-1,1)-1)</f>
        <v>-3.4728380515871571E-2</v>
      </c>
      <c r="CU36" s="9">
        <f ca="1">IF(OR(CU9="",CU$28&lt;$A36),"",CU9/OFFSET(ParoRegESP!$A$2,MATCH(CU$29,ParoRegESP!$A$2:$A$500)+$A36-1,1)-1)</f>
        <v>1.6536244278144707E-3</v>
      </c>
      <c r="CV36" s="9">
        <f ca="1">IF(OR(CV9="",CV$28&lt;$A36),"",CV9/OFFSET(ParoRegESP!$A$2,MATCH(CV$29,ParoRegESP!$A$2:$A$500)+$A36-1,1)-1)</f>
        <v>1.9010647114685808E-2</v>
      </c>
      <c r="CW36" s="9">
        <f ca="1">IF(OR(CW9="",CW$28&lt;$A36),"",CW9/OFFSET(ParoRegESP!$A$2,MATCH(CW$29,ParoRegESP!$A$2:$A$500)+$A36-1,1)-1)</f>
        <v>9.6914351252808117E-3</v>
      </c>
      <c r="CX36" s="9">
        <f ca="1">IF(OR(CX9="",CX$28&lt;$A36),"",CX9/OFFSET(ParoRegESP!$A$2,MATCH(CX$29,ParoRegESP!$A$2:$A$500)+$A36-1,1)-1)</f>
        <v>2.0552851838408603E-2</v>
      </c>
      <c r="CY36" s="9">
        <f ca="1">IF(OR(CY9="",CY$28&lt;$A36),"",CY9/OFFSET(ParoRegESP!$A$2,MATCH(CY$29,ParoRegESP!$A$2:$A$500)+$A36-1,1)-1)</f>
        <v>4.3599082244225817E-2</v>
      </c>
      <c r="CZ36" s="9">
        <f ca="1">IF(OR(CZ9="",CZ$28&lt;$A36),"",CZ9/OFFSET(ParoRegESP!$A$2,MATCH(CZ$29,ParoRegESP!$A$2:$A$500)+$A36-1,1)-1)</f>
        <v>6.2432945273136475E-3</v>
      </c>
      <c r="DA36" s="9">
        <f ca="1">IF(OR(DA9="",DA$28&lt;$A36),"",DA9/OFFSET(ParoRegESP!$A$2,MATCH(DA$29,ParoRegESP!$A$2:$A$500)+$A36-1,1)-1)</f>
        <v>2.9939737070016736E-2</v>
      </c>
      <c r="DB36" s="9">
        <f ca="1">IF(OR(DB9="",DB$28&lt;$A36),"",DB9/OFFSET(ParoRegESP!$A$2,MATCH(DB$29,ParoRegESP!$A$2:$A$500)+$A36-1,1)-1)</f>
        <v>1.6745794983546336E-2</v>
      </c>
      <c r="DC36" s="9">
        <f ca="1">IF(OR(DC9="",DC$28&lt;$A36),"",DC9/OFFSET(ParoRegESP!$A$2,MATCH(DC$29,ParoRegESP!$A$2:$A$500)+$A36-1,1)-1)</f>
        <v>3.0723746404727414E-2</v>
      </c>
      <c r="DD36" s="9">
        <f ca="1">IF(OR(DD9="",DD$28&lt;$A36),"",DD9/OFFSET(ParoRegESP!$A$2,MATCH(DD$29,ParoRegESP!$A$2:$A$500)+$A36-1,1)-1)</f>
        <v>5.1608714464526084E-2</v>
      </c>
      <c r="DE36" s="9">
        <f ca="1">IF(OR(DE9="",DE$28&lt;$A36),"",DE9/OFFSET(ParoRegESP!$A$2,MATCH(DE$29,ParoRegESP!$A$2:$A$500)+$A36-1,1)-1)</f>
        <v>6.149917947089456E-2</v>
      </c>
      <c r="DF36" s="9">
        <f ca="1">IF(OR(DF9="",DF$28&lt;$A36),"",DF9/OFFSET(ParoRegESP!$A$2,MATCH(DF$29,ParoRegESP!$A$2:$A$500)+$A36-1,1)-1)</f>
        <v>8.3173483050678065E-3</v>
      </c>
      <c r="DG36" s="9">
        <f ca="1">IF(OR(DG9="",DG$28&lt;$A36),"",DG9/OFFSET(ParoRegESP!$A$2,MATCH(DG$29,ParoRegESP!$A$2:$A$500)+$A36-1,1)-1)</f>
        <v>2.4420532943621787E-2</v>
      </c>
      <c r="DH36" s="9">
        <f ca="1">IF(OR(DH9="",DH$28&lt;$A36),"",DH9/OFFSET(ParoRegESP!$A$2,MATCH(DH$29,ParoRegESP!$A$2:$A$500)+$A36-1,1)-1)</f>
        <v>1.6058045391493581E-2</v>
      </c>
      <c r="DI36" s="9">
        <f ca="1">IF(OR(DI9="",DI$28&lt;$A36),"",DI9/OFFSET(ParoRegESP!$A$2,MATCH(DI$29,ParoRegESP!$A$2:$A$500)+$A36-1,1)-1)</f>
        <v>2.3526952328683626E-2</v>
      </c>
      <c r="DJ36" s="9">
        <f ca="1">IF(OR(DJ9="",DJ$28&lt;$A36),"",DJ9/OFFSET(ParoRegESP!$A$2,MATCH(DJ$29,ParoRegESP!$A$2:$A$500)+$A36-1,1)-1)</f>
        <v>3.5245380832098716E-2</v>
      </c>
      <c r="DK36" s="9">
        <f ca="1">IF(OR(DK9="",DK$28&lt;$A36),"",DK9/OFFSET(ParoRegESP!$A$2,MATCH(DK$29,ParoRegESP!$A$2:$A$500)+$A36-1,1)-1)</f>
        <v>5.0241788796076436E-2</v>
      </c>
      <c r="DL36" s="9">
        <f ca="1">IF(OR(DL9="",DL$28&lt;$A36),"",DL9/OFFSET(ParoRegESP!$A$2,MATCH(DL$29,ParoRegESP!$A$2:$A$500)+$A36-1,1)-1)</f>
        <v>2.5513130633469938E-2</v>
      </c>
      <c r="DM36" s="9">
        <f ca="1">IF(OR(DM9="",DM$28&lt;$A36),"",DM9/OFFSET(ParoRegESP!$A$2,MATCH(DM$29,ParoRegESP!$A$2:$A$500)+$A36-1,1)-1)</f>
        <v>3.1657105100745708E-2</v>
      </c>
      <c r="DN36" s="9">
        <f ca="1">IF(OR(DN9="",DN$28&lt;$A36),"",DN9/OFFSET(ParoRegESP!$A$2,MATCH(DN$29,ParoRegESP!$A$2:$A$500)+$A36-1,1)-1)</f>
        <v>2.3514825049089749E-2</v>
      </c>
      <c r="DO36" s="9">
        <f ca="1">IF(OR(DO9="",DO$28&lt;$A36),"",DO9/OFFSET(ParoRegESP!$A$2,MATCH(DO$29,ParoRegESP!$A$2:$A$500)+$A36-1,1)-1)</f>
        <v>3.7001092942784197E-2</v>
      </c>
      <c r="DP36" s="9">
        <f ca="1">IF(OR(DP9="",DP$28&lt;$A36),"",DP9/OFFSET(ParoRegESP!$A$2,MATCH(DP$29,ParoRegESP!$A$2:$A$500)+$A36-1,1)-1)</f>
        <v>4.6828294742734089E-2</v>
      </c>
      <c r="DQ36" s="9">
        <f ca="1">IF(OR(DQ9="",DQ$28&lt;$A36),"",DQ9/OFFSET(ParoRegESP!$A$2,MATCH(DQ$29,ParoRegESP!$A$2:$A$500)+$A36-1,1)-1)</f>
        <v>1.8503538194325708E-2</v>
      </c>
      <c r="DR36" s="9">
        <f ca="1">IF(OR(DR9="",DR$28&lt;$A36),"",DR9/OFFSET(ParoRegESP!$A$2,MATCH(DR$29,ParoRegESP!$A$2:$A$500)+$A36-1,1)-1)</f>
        <v>-3.0951880674324972E-2</v>
      </c>
      <c r="DS36" s="9">
        <f ca="1">IF(OR(DS9="",DS$28&lt;$A36),"",DS9/OFFSET(ParoRegESP!$A$2,MATCH(DS$29,ParoRegESP!$A$2:$A$500)+$A36-1,1)-1)</f>
        <v>-9.1093501900100238E-3</v>
      </c>
      <c r="DT36" s="9">
        <f ca="1">IF(OR(DT9="",DT$28&lt;$A36),"",DT9/OFFSET(ParoRegESP!$A$2,MATCH(DT$29,ParoRegESP!$A$2:$A$500)+$A36-1,1)-1)</f>
        <v>-2.8465148605483881E-2</v>
      </c>
      <c r="DU36" s="9">
        <f ca="1">IF(OR(DU9="",DU$28&lt;$A36),"",DU9/OFFSET(ParoRegESP!$A$2,MATCH(DU$29,ParoRegESP!$A$2:$A$500)+$A36-1,1)-1)</f>
        <v>-1.4385270996272514E-2</v>
      </c>
      <c r="DV36" s="9">
        <f ca="1">IF(OR(DV9="",DV$28&lt;$A36),"",DV9/OFFSET(ParoRegESP!$A$2,MATCH(DV$29,ParoRegESP!$A$2:$A$500)+$A36-1,1)-1)</f>
        <v>-2.8124198280435553E-2</v>
      </c>
      <c r="DW36" s="9">
        <f ca="1">IF(OR(DW9="",DW$28&lt;$A36),"",DW9/OFFSET(ParoRegESP!$A$2,MATCH(DW$29,ParoRegESP!$A$2:$A$500)+$A36-1,1)-1)</f>
        <v>-2.2908233103992925E-2</v>
      </c>
      <c r="DX36" s="9">
        <f ca="1">IF(OR(DX9="",DX$28&lt;$A36),"",DX9/OFFSET(ParoRegESP!$A$2,MATCH(DX$29,ParoRegESP!$A$2:$A$500)+$A36-1,1)-1)</f>
        <v>-1.2093121957923225E-2</v>
      </c>
      <c r="DY36" s="9">
        <f ca="1">IF(OR(DY9="",DY$28&lt;$A36),"",DY9/OFFSET(ParoRegESP!$A$2,MATCH(DY$29,ParoRegESP!$A$2:$A$500)+$A36-1,1)-1)</f>
        <v>3.9002249669479516E-2</v>
      </c>
      <c r="DZ36" s="9">
        <f ca="1">IF(OR(DZ9="",DZ$28&lt;$A36),"",DZ9/OFFSET(ParoRegESP!$A$2,MATCH(DZ$29,ParoRegESP!$A$2:$A$500)+$A36-1,1)-1)</f>
        <v>3.6183033993859581E-2</v>
      </c>
      <c r="EA36" s="9">
        <f ca="1">IF(OR(EA9="",EA$28&lt;$A36),"",EA9/OFFSET(ParoRegESP!$A$2,MATCH(EA$29,ParoRegESP!$A$2:$A$500)+$A36-1,1)-1)</f>
        <v>5.0073340464557248E-2</v>
      </c>
      <c r="EB36" s="9">
        <f ca="1">IF(OR(EB9="",EB$28&lt;$A36),"",EB9/OFFSET(ParoRegESP!$A$2,MATCH(EB$29,ParoRegESP!$A$2:$A$500)+$A36-1,1)-1)</f>
        <v>5.1010974010373467E-2</v>
      </c>
      <c r="EC36" s="9">
        <f ca="1">IF(OR(EC9="",EC$28&lt;$A36),"",EC9/OFFSET(ParoRegESP!$A$2,MATCH(EC$29,ParoRegESP!$A$2:$A$500)+$A36-1,1)-1)</f>
        <v>2.2961480111019172E-2</v>
      </c>
      <c r="ED36" s="9">
        <f ca="1">IF(OR(ED9="",ED$28&lt;$A36),"",ED9/OFFSET(ParoRegESP!$A$2,MATCH(ED$29,ParoRegESP!$A$2:$A$500)+$A36-1,1)-1)</f>
        <v>2.2716573542515439E-2</v>
      </c>
      <c r="EE36" s="9">
        <f ca="1">IF(OR(EE9="",EE$28&lt;$A36),"",EE9/OFFSET(ParoRegESP!$A$2,MATCH(EE$29,ParoRegESP!$A$2:$A$500)+$A36-1,1)-1)</f>
        <v>4.413275456359278E-3</v>
      </c>
      <c r="EF36" s="9">
        <f ca="1">IF(OR(EF9="",EF$28&lt;$A36),"",EF9/OFFSET(ParoRegESP!$A$2,MATCH(EF$29,ParoRegESP!$A$2:$A$500)+$A36-1,1)-1)</f>
        <v>-1.7327317229990147E-2</v>
      </c>
      <c r="EG36" s="9">
        <f ca="1">IF(OR(EG9="",EG$28&lt;$A36),"",EG9/OFFSET(ParoRegESP!$A$2,MATCH(EG$29,ParoRegESP!$A$2:$A$500)+$A36-1,1)-1)</f>
        <v>-3.164438313640705E-2</v>
      </c>
      <c r="EH36" s="9">
        <f ca="1">IF(OR(EH9="",EH$28&lt;$A36),"",EH9/OFFSET(ParoRegESP!$A$2,MATCH(EH$29,ParoRegESP!$A$2:$A$500)+$A36-1,1)-1)</f>
        <v>-2.9165229518159475E-2</v>
      </c>
      <c r="EI36" s="9">
        <f ca="1">IF(OR(EI9="",EI$28&lt;$A36),"",EI9/OFFSET(ParoRegESP!$A$2,MATCH(EI$29,ParoRegESP!$A$2:$A$500)+$A36-1,1)-1)</f>
        <v>-2.3359457293069208E-2</v>
      </c>
      <c r="EJ36" s="9">
        <f ca="1">IF(OR(EJ9="",EJ$28&lt;$A36),"",EJ9/OFFSET(ParoRegESP!$A$2,MATCH(EJ$29,ParoRegESP!$A$2:$A$500)+$A36-1,1)-1)</f>
        <v>2.2261506145451637E-2</v>
      </c>
      <c r="EK36" s="9">
        <f ca="1">IF(OR(EK9="",EK$28&lt;$A36),"",EK9/OFFSET(ParoRegESP!$A$2,MATCH(EK$29,ParoRegESP!$A$2:$A$500)+$A36-1,1)-1)</f>
        <v>-8.1739280728727604E-3</v>
      </c>
      <c r="EL36" s="9">
        <f ca="1">IF(OR(EL9="",EL$28&lt;$A36),"",EL9/OFFSET(ParoRegESP!$A$2,MATCH(EL$29,ParoRegESP!$A$2:$A$500)+$A36-1,1)-1)</f>
        <v>1.5022786029388113E-2</v>
      </c>
      <c r="EM36" s="9">
        <f ca="1">IF(OR(EM9="",EM$28&lt;$A36),"",EM9/OFFSET(ParoRegESP!$A$2,MATCH(EM$29,ParoRegESP!$A$2:$A$500)+$A36-1,1)-1)</f>
        <v>2.9135120324949026E-2</v>
      </c>
      <c r="EN36" s="9">
        <f ca="1">IF(OR(EN9="",EN$28&lt;$A36),"",EN9/OFFSET(ParoRegESP!$A$2,MATCH(EN$29,ParoRegESP!$A$2:$A$500)+$A36-1,1)-1)</f>
        <v>3.9867630562063106E-2</v>
      </c>
      <c r="EO36" s="9">
        <f ca="1">IF(OR(EO9="",EO$28&lt;$A36),"",EO9/OFFSET(ParoRegESP!$A$2,MATCH(EO$29,ParoRegESP!$A$2:$A$500)+$A36-1,1)-1)</f>
        <v>1.290866299313298E-2</v>
      </c>
      <c r="EP36" s="9">
        <f ca="1">IF(OR(EP9="",EP$28&lt;$A36),"",EP9/OFFSET(ParoRegESP!$A$2,MATCH(EP$29,ParoRegESP!$A$2:$A$500)+$A36-1,1)-1)</f>
        <v>2.1595536485705225E-2</v>
      </c>
      <c r="EQ36" s="9">
        <f ca="1">IF(OR(EQ9="",EQ$28&lt;$A36),"",EQ9/OFFSET(ParoRegESP!$A$2,MATCH(EQ$29,ParoRegESP!$A$2:$A$500)+$A36-1,1)-1)</f>
        <v>-5.9212396588848026E-3</v>
      </c>
      <c r="ER36" s="9">
        <f ca="1">IF(OR(ER9="",ER$28&lt;$A36),"",ER9/OFFSET(ParoRegESP!$A$2,MATCH(ER$29,ParoRegESP!$A$2:$A$500)+$A36-1,1)-1)</f>
        <v>-3.5747108347405909E-4</v>
      </c>
      <c r="ES36" s="9">
        <f ca="1">IF(OR(ES9="",ES$28&lt;$A36),"",ES9/OFFSET(ParoRegESP!$A$2,MATCH(ES$29,ParoRegESP!$A$2:$A$500)+$A36-1,1)-1)</f>
        <v>5.8358070500712511E-3</v>
      </c>
      <c r="ET36" s="9">
        <f ca="1">IF(OR(ET9="",ET$28&lt;$A36),"",ET9/OFFSET(ParoRegESP!$A$2,MATCH(ET$29,ParoRegESP!$A$2:$A$500)+$A36-1,1)-1)</f>
        <v>1.2002128403098666E-2</v>
      </c>
      <c r="EU36" s="9">
        <f ca="1">IF(OR(EU9="",EU$28&lt;$A36),"",EU9/OFFSET(ParoRegESP!$A$2,MATCH(EU$29,ParoRegESP!$A$2:$A$500)+$A36-1,1)-1)</f>
        <v>2.096209121969661E-2</v>
      </c>
      <c r="EV36" s="9">
        <f ca="1">IF(OR(EV9="",EV$28&lt;$A36),"",EV9/OFFSET(ParoRegESP!$A$2,MATCH(EV$29,ParoRegESP!$A$2:$A$500)+$A36-1,1)-1)</f>
        <v>1.7957736434066618E-3</v>
      </c>
      <c r="EW36" s="9">
        <f ca="1">IF(OR(EW9="",EW$28&lt;$A36),"",EW9/OFFSET(ParoRegESP!$A$2,MATCH(EW$29,ParoRegESP!$A$2:$A$500)+$A36-1,1)-1)</f>
        <v>7.7216561860793398E-4</v>
      </c>
      <c r="EX36" s="9">
        <f ca="1">IF(OR(EX9="",EX$28&lt;$A36),"",EX9/OFFSET(ParoRegESP!$A$2,MATCH(EX$29,ParoRegESP!$A$2:$A$500)+$A36-1,1)-1)</f>
        <v>1.2965790797357712E-2</v>
      </c>
      <c r="EY36" s="9">
        <f ca="1">IF(OR(EY9="",EY$28&lt;$A36),"",EY9/OFFSET(ParoRegESP!$A$2,MATCH(EY$29,ParoRegESP!$A$2:$A$500)+$A36-1,1)-1)</f>
        <v>3.0976869794548723E-2</v>
      </c>
      <c r="EZ36" s="9">
        <f ca="1">IF(OR(EZ9="",EZ$28&lt;$A36),"",EZ9/OFFSET(ParoRegESP!$A$2,MATCH(EZ$29,ParoRegESP!$A$2:$A$500)+$A36-1,1)-1)</f>
        <v>1.094888419253337E-2</v>
      </c>
      <c r="FA36" s="9">
        <f ca="1">IF(OR(FA9="",FA$28&lt;$A36),"",FA9/OFFSET(ParoRegESP!$A$2,MATCH(FA$29,ParoRegESP!$A$2:$A$500)+$A36-1,1)-1)</f>
        <v>4.4710427998853053E-2</v>
      </c>
      <c r="FB36" s="9">
        <f ca="1">IF(OR(FB9="",FB$28&lt;$A36),"",FB9/OFFSET(ParoRegESP!$A$2,MATCH(FB$29,ParoRegESP!$A$2:$A$500)+$A36-1,1)-1)</f>
        <v>-1.4555947239696554E-2</v>
      </c>
      <c r="FC36" s="9">
        <f ca="1">IF(OR(FC9="",FC$28&lt;$A36),"",FC9/OFFSET(ParoRegESP!$A$2,MATCH(FC$29,ParoRegESP!$A$2:$A$500)+$A36-1,1)-1)</f>
        <v>-2.512781140623499E-2</v>
      </c>
      <c r="FD36" s="9">
        <f ca="1">IF(OR(FD9="",FD$28&lt;$A36),"",FD9/OFFSET(ParoRegESP!$A$2,MATCH(FD$29,ParoRegESP!$A$2:$A$500)+$A36-1,1)-1)</f>
        <v>-3.2957857441580862E-2</v>
      </c>
      <c r="FE36" s="9">
        <f ca="1">IF(OR(FE9="",FE$28&lt;$A36),"",FE9/OFFSET(ParoRegESP!$A$2,MATCH(FE$29,ParoRegESP!$A$2:$A$500)+$A36-1,1)-1)</f>
        <v>-3.6302268053379327E-2</v>
      </c>
      <c r="FF36" s="9">
        <f ca="1">IF(OR(FF9="",FF$28&lt;$A36),"",FF9/OFFSET(ParoRegESP!$A$2,MATCH(FF$29,ParoRegESP!$A$2:$A$500)+$A36-1,1)-1)</f>
        <v>-6.0137544854785285E-2</v>
      </c>
      <c r="FG36" s="9">
        <f ca="1">IF(OR(FG9="",FG$28&lt;$A36),"",FG9/OFFSET(ParoRegESP!$A$2,MATCH(FG$29,ParoRegESP!$A$2:$A$500)+$A36-1,1)-1)</f>
        <v>-5.1046726310663093E-2</v>
      </c>
      <c r="FH36" s="9">
        <f ca="1">IF(OR(FH9="",FH$28&lt;$A36),"",FH9/OFFSET(ParoRegESP!$A$2,MATCH(FH$29,ParoRegESP!$A$2:$A$500)+$A36-1,1)-1)</f>
        <v>-1.7562917984401238E-2</v>
      </c>
      <c r="FI36" s="9">
        <f ca="1">IF(OR(FI9="",FI$28&lt;$A36),"",FI9/OFFSET(ParoRegESP!$A$2,MATCH(FI$29,ParoRegESP!$A$2:$A$500)+$A36-1,1)-1)</f>
        <v>2.9950927012233119E-2</v>
      </c>
      <c r="FJ36" s="9">
        <f ca="1">IF(OR(FJ9="",FJ$28&lt;$A36),"",FJ9/OFFSET(ParoRegESP!$A$2,MATCH(FJ$29,ParoRegESP!$A$2:$A$500)+$A36-1,1)-1)</f>
        <v>4.8279184625989346E-2</v>
      </c>
      <c r="FK36" s="9">
        <f ca="1">IF(OR(FK9="",FK$28&lt;$A36),"",FK9/OFFSET(ParoRegESP!$A$2,MATCH(FK$29,ParoRegESP!$A$2:$A$500)+$A36-1,1)-1)</f>
        <v>2.8590758886956058E-2</v>
      </c>
      <c r="FL36" s="9">
        <f ca="1">IF(OR(FL9="",FL$28&lt;$A36),"",FL9/OFFSET(ParoRegESP!$A$2,MATCH(FL$29,ParoRegESP!$A$2:$A$500)+$A36-1,1)-1)</f>
        <v>1.1930355961221162E-2</v>
      </c>
      <c r="FM36" s="9">
        <f ca="1">IF(OR(FM9="",FM$28&lt;$A36),"",FM9/OFFSET(ParoRegESP!$A$2,MATCH(FM$29,ParoRegESP!$A$2:$A$500)+$A36-1,1)-1)</f>
        <v>-2.255120245850839E-3</v>
      </c>
      <c r="FN36" s="9">
        <f ca="1">IF(OR(FN9="",FN$28&lt;$A36),"",FN9/OFFSET(ParoRegESP!$A$2,MATCH(FN$29,ParoRegESP!$A$2:$A$500)+$A36-1,1)-1)</f>
        <v>-9.8093751541800112E-3</v>
      </c>
      <c r="FO36" s="9">
        <f ca="1">IF(OR(FO9="",FO$28&lt;$A36),"",FO9/OFFSET(ParoRegESP!$A$2,MATCH(FO$29,ParoRegESP!$A$2:$A$500)+$A36-1,1)-1)</f>
        <v>-2.5649671863075096E-2</v>
      </c>
      <c r="FP36" s="9">
        <f ca="1">IF(OR(FP9="",FP$28&lt;$A36),"",FP9/OFFSET(ParoRegESP!$A$2,MATCH(FP$29,ParoRegESP!$A$2:$A$500)+$A36-1,1)-1)</f>
        <v>-2.7607712304137944E-2</v>
      </c>
      <c r="FQ36" s="9">
        <f ca="1">IF(OR(FQ9="",FQ$28&lt;$A36),"",FQ9/OFFSET(ParoRegESP!$A$2,MATCH(FQ$29,ParoRegESP!$A$2:$A$500)+$A36-1,1)-1)</f>
        <v>-2.1094051607450925E-2</v>
      </c>
      <c r="FR36" s="9">
        <f ca="1">IF(OR(FR9="",FR$28&lt;$A36),"",FR9/OFFSET(ParoRegESP!$A$2,MATCH(FR$29,ParoRegESP!$A$2:$A$500)+$A36-1,1)-1)</f>
        <v>-1.511627773272739E-3</v>
      </c>
      <c r="FS36" s="9">
        <f ca="1">IF(OR(FS9="",FS$28&lt;$A36),"",FS9/OFFSET(ParoRegESP!$A$2,MATCH(FS$29,ParoRegESP!$A$2:$A$500)+$A36-1,1)-1)</f>
        <v>2.9757515407675905E-2</v>
      </c>
      <c r="FT36" s="9">
        <f ca="1">IF(OR(FT9="",FT$28&lt;$A36),"",FT9/OFFSET(ParoRegESP!$A$2,MATCH(FT$29,ParoRegESP!$A$2:$A$500)+$A36-1,1)-1)</f>
        <v>1.4759217540073921E-2</v>
      </c>
      <c r="FU36" s="9">
        <f ca="1">IF(OR(FU9="",FU$28&lt;$A36),"",FU9/OFFSET(ParoRegESP!$A$2,MATCH(FU$29,ParoRegESP!$A$2:$A$500)+$A36-1,1)-1)</f>
        <v>2.3077154142515433E-2</v>
      </c>
      <c r="FV36" s="9">
        <f ca="1">IF(OR(FV9="",FV$28&lt;$A36),"",FV9/OFFSET(ParoRegESP!$A$2,MATCH(FV$29,ParoRegESP!$A$2:$A$500)+$A36-1,1)-1)</f>
        <v>2.4863115899848687E-2</v>
      </c>
      <c r="FW36" s="9">
        <f ca="1">IF(OR(FW9="",FW$28&lt;$A36),"",FW9/OFFSET(ParoRegESP!$A$2,MATCH(FW$29,ParoRegESP!$A$2:$A$500)+$A36-1,1)-1)</f>
        <v>1.2600015029661016E-2</v>
      </c>
      <c r="FX36" s="9">
        <f ca="1">IF(OR(FX9="",FX$28&lt;$A36),"",FX9/OFFSET(ParoRegESP!$A$2,MATCH(FX$29,ParoRegESP!$A$2:$A$500)+$A36-1,1)-1)</f>
        <v>-2.7870322903992273E-3</v>
      </c>
      <c r="FY36" s="9">
        <f ca="1">IF(OR(FY9="",FY$28&lt;$A36),"",FY9/OFFSET(ParoRegESP!$A$2,MATCH(FY$29,ParoRegESP!$A$2:$A$500)+$A36-1,1)-1)</f>
        <v>-2.6765039854383721E-2</v>
      </c>
      <c r="FZ36" s="9">
        <f ca="1">IF(OR(FZ9="",FZ$28&lt;$A36),"",FZ9/OFFSET(ParoRegESP!$A$2,MATCH(FZ$29,ParoRegESP!$A$2:$A$500)+$A36-1,1)-1)</f>
        <v>-2.4785949327474577E-2</v>
      </c>
      <c r="GA36" s="9">
        <f ca="1">IF(OR(GA9="",GA$28&lt;$A36),"",GA9/OFFSET(ParoRegESP!$A$2,MATCH(GA$29,ParoRegESP!$A$2:$A$500)+$A36-1,1)-1)</f>
        <v>-2.7323595163530112E-2</v>
      </c>
      <c r="GB36" s="9">
        <f ca="1">IF(OR(GB9="",GB$28&lt;$A36),"",GB9/OFFSET(ParoRegESP!$A$2,MATCH(GB$29,ParoRegESP!$A$2:$A$500)+$A36-1,1)-1)</f>
        <v>-2.4218189940569346E-2</v>
      </c>
      <c r="GC36" s="9">
        <f ca="1">IF(OR(GC9="",GC$28&lt;$A36),"",GC9/OFFSET(ParoRegESP!$A$2,MATCH(GC$29,ParoRegESP!$A$2:$A$500)+$A36-1,1)-1)</f>
        <v>-3.3723409921083469E-2</v>
      </c>
      <c r="GD36" s="9">
        <f ca="1">IF(OR(GD9="",GD$28&lt;$A36),"",GD9/OFFSET(ParoRegESP!$A$2,MATCH(GD$29,ParoRegESP!$A$2:$A$500)+$A36-1,1)-1)</f>
        <v>-3.316193094211406E-2</v>
      </c>
      <c r="GE36" s="9">
        <f ca="1">IF(OR(GE9="",GE$28&lt;$A36),"",GE9/OFFSET(ParoRegESP!$A$2,MATCH(GE$29,ParoRegESP!$A$2:$A$500)+$A36-1,1)-1)</f>
        <v>-3.8009199879516564E-2</v>
      </c>
      <c r="GF36" s="9">
        <f ca="1">IF(OR(GF9="",GF$28&lt;$A36),"",GF9/OFFSET(ParoRegESP!$A$2,MATCH(GF$29,ParoRegESP!$A$2:$A$500)+$A36-1,1)-1)</f>
        <v>-6.4360169232711151E-3</v>
      </c>
      <c r="GG36" s="9">
        <f ca="1">IF(OR(GG9="",GG$28&lt;$A36),"",GG9/OFFSET(ParoRegESP!$A$2,MATCH(GG$29,ParoRegESP!$A$2:$A$500)+$A36-1,1)-1)</f>
        <v>1.439900137080441E-2</v>
      </c>
      <c r="GH36" s="9">
        <f ca="1">IF(OR(GH9="",GH$28&lt;$A36),"",GH9/OFFSET(ParoRegESP!$A$2,MATCH(GH$29,ParoRegESP!$A$2:$A$500)+$A36-1,1)-1)</f>
        <v>-8.1745569867405665E-2</v>
      </c>
      <c r="GI36" s="9">
        <f ca="1">IF(OR(GI9="",GI$28&lt;$A36),"",GI9/OFFSET(ParoRegESP!$A$2,MATCH(GI$29,ParoRegESP!$A$2:$A$500)+$A36-1,1)-1)</f>
        <v>-0.18246947033921435</v>
      </c>
      <c r="GJ36" s="9">
        <f ca="1">IF(OR(GJ9="",GJ$28&lt;$A36),"",GJ9/OFFSET(ParoRegESP!$A$2,MATCH(GJ$29,ParoRegESP!$A$2:$A$500)+$A36-1,1)-1)</f>
        <v>-0.17770313079826727</v>
      </c>
      <c r="GK36" s="9">
        <f ca="1">IF(OR(GK9="",GK$28&lt;$A36),"",GK9/OFFSET(ParoRegESP!$A$2,MATCH(GK$29,ParoRegESP!$A$2:$A$500)+$A36-1,1)-1)</f>
        <v>-0.20798808249358114</v>
      </c>
      <c r="GL36" s="9">
        <f ca="1">IF(OR(GL9="",GL$28&lt;$A36),"",GL9/OFFSET(ParoRegESP!$A$2,MATCH(GL$29,ParoRegESP!$A$2:$A$500)+$A36-1,1)-1)</f>
        <v>-0.20003860356870229</v>
      </c>
      <c r="GM36" s="9">
        <f ca="1">IF(OR(GM9="",GM$28&lt;$A36),"",GM9/OFFSET(ParoRegESP!$A$2,MATCH(GM$29,ParoRegESP!$A$2:$A$500)+$A36-1,1)-1)</f>
        <v>-0.19783550145165174</v>
      </c>
      <c r="GN36" s="9">
        <f ca="1">IF(OR(GN9="",GN$28&lt;$A36),"",GN9/OFFSET(ParoRegESP!$A$2,MATCH(GN$29,ParoRegESP!$A$2:$A$500)+$A36-1,1)-1)</f>
        <v>-0.20600386556707473</v>
      </c>
      <c r="GO36" s="9">
        <f ca="1">IF(OR(GO9="",GO$28&lt;$A36),"",GO9/OFFSET(ParoRegESP!$A$2,MATCH(GO$29,ParoRegESP!$A$2:$A$500)+$A36-1,1)-1)</f>
        <v>-3.277718172723687E-2</v>
      </c>
      <c r="GP36" s="9">
        <f ca="1">IF(OR(GP9="",GP$28&lt;$A36),"",GP9/OFFSET(ParoRegESP!$A$2,MATCH(GP$29,ParoRegESP!$A$2:$A$500)+$A36-1,1)-1)</f>
        <v>0.26886848218902792</v>
      </c>
      <c r="GQ36" s="9">
        <f ca="1">IF(OR(GQ9="",GQ$28&lt;$A36),"",GQ9/OFFSET(ParoRegESP!$A$2,MATCH(GQ$29,ParoRegESP!$A$2:$A$500)+$A36-1,1)-1)</f>
        <v>0.15485332201446345</v>
      </c>
      <c r="GR36" s="9">
        <f ca="1">IF(OR(GR9="",GR$28&lt;$A36),"",GR9/OFFSET(ParoRegESP!$A$2,MATCH(GR$29,ParoRegESP!$A$2:$A$500)+$A36-1,1)-1)</f>
        <v>0.15554906083314868</v>
      </c>
      <c r="GS36" s="9" t="str">
        <f ca="1">IF(OR(GS9="",GS$28&lt;$A36),"",GS9/OFFSET(ParoRegESP!$A$2,MATCH(GS$29,ParoRegESP!$A$2:$A$500)+$A36-1,1)-1)</f>
        <v/>
      </c>
      <c r="GT36" s="9" t="str">
        <f ca="1">IF(OR(GT9="",GT$28&lt;$A36),"",GT9/OFFSET(ParoRegESP!$A$2,MATCH(GT$29,ParoRegESP!$A$2:$A$500)+$A36-1,1)-1)</f>
        <v/>
      </c>
      <c r="GU36" s="9" t="str">
        <f ca="1">IF(OR(GU9="",GU$28&lt;$A36),"",GU9/OFFSET(ParoRegESP!$A$2,MATCH(GU$29,ParoRegESP!$A$2:$A$500)+$A36-1,1)-1)</f>
        <v/>
      </c>
      <c r="GV36" s="9" t="str">
        <f ca="1">IF(OR(GV9="",GV$28&lt;$A36),"",GV9/OFFSET(ParoRegESP!$A$2,MATCH(GV$29,ParoRegESP!$A$2:$A$500)+$A36-1,1)-1)</f>
        <v/>
      </c>
      <c r="GW36" s="9" t="str">
        <f ca="1">IF(OR(GW9="",GW$28&lt;$A36),"",GW9/OFFSET(ParoRegESP!$A$2,MATCH(GW$29,ParoRegESP!$A$2:$A$500)+$A36-1,1)-1)</f>
        <v/>
      </c>
      <c r="GX36" s="9" t="str">
        <f ca="1">IF(OR(GX9="",GX$28&lt;$A36),"",GX9/OFFSET(ParoRegESP!$A$2,MATCH(GX$29,ParoRegESP!$A$2:$A$500)+$A36-1,1)-1)</f>
        <v/>
      </c>
      <c r="GY36" s="9" t="str">
        <f ca="1">IF(OR(GY9="",GY$28&lt;$A36),"",GY9/OFFSET(ParoRegESP!$A$2,MATCH(GY$29,ParoRegESP!$A$2:$A$500)+$A36-1,1)-1)</f>
        <v/>
      </c>
      <c r="GZ36" s="9" t="str">
        <f ca="1">IF(OR(GZ9="",GZ$28&lt;$A36),"",GZ9/OFFSET(ParoRegESP!$A$2,MATCH(GZ$29,ParoRegESP!$A$2:$A$500)+$A36-1,1)-1)</f>
        <v/>
      </c>
      <c r="HA36" s="9" t="str">
        <f ca="1">IF(OR(HA9="",HA$28&lt;$A36),"",HA9/OFFSET(ParoRegESP!$A$2,MATCH(HA$29,ParoRegESP!$A$2:$A$500)+$A36-1,1)-1)</f>
        <v/>
      </c>
      <c r="HB36" s="9" t="str">
        <f ca="1">IF(OR(HB9="",HB$28&lt;$A36),"",HB9/OFFSET(ParoRegESP!$A$2,MATCH(HB$29,ParoRegESP!$A$2:$A$500)+$A36-1,1)-1)</f>
        <v/>
      </c>
      <c r="HC36" s="9" t="str">
        <f ca="1">IF(OR(HC9="",HC$28&lt;$A36),"",HC9/OFFSET(ParoRegESP!$A$2,MATCH(HC$29,ParoRegESP!$A$2:$A$500)+$A36-1,1)-1)</f>
        <v/>
      </c>
      <c r="HD36" s="9" t="str">
        <f ca="1">IF(OR(HD9="",HD$28&lt;$A36),"",HD9/OFFSET(ParoRegESP!$A$2,MATCH(HD$29,ParoRegESP!$A$2:$A$500)+$A36-1,1)-1)</f>
        <v/>
      </c>
      <c r="HE36" s="9" t="str">
        <f ca="1">IF(OR(HE9="",HE$28&lt;$A36),"",HE9/OFFSET(ParoRegESP!$A$2,MATCH(HE$29,ParoRegESP!$A$2:$A$500)+$A36-1,1)-1)</f>
        <v/>
      </c>
      <c r="HF36" s="9" t="str">
        <f ca="1">IF(OR(HF9="",HF$28&lt;$A36),"",HF9/OFFSET(ParoRegESP!$A$2,MATCH(HF$29,ParoRegESP!$A$2:$A$500)+$A36-1,1)-1)</f>
        <v/>
      </c>
      <c r="HG36" s="9" t="str">
        <f ca="1">IF(OR(HG9="",HG$28&lt;$A36),"",HG9/OFFSET(ParoRegESP!$A$2,MATCH(HG$29,ParoRegESP!$A$2:$A$500)+$A36-1,1)-1)</f>
        <v/>
      </c>
      <c r="HH36" s="9" t="str">
        <f ca="1">IF(OR(HH9="",HH$28&lt;$A36),"",HH9/OFFSET(ParoRegESP!$A$2,MATCH(HH$29,ParoRegESP!$A$2:$A$500)+$A36-1,1)-1)</f>
        <v/>
      </c>
      <c r="HI36" s="9" t="str">
        <f ca="1">IF(OR(HI9="",HI$28&lt;$A36),"",HI9/OFFSET(ParoRegESP!$A$2,MATCH(HI$29,ParoRegESP!$A$2:$A$500)+$A36-1,1)-1)</f>
        <v/>
      </c>
      <c r="HJ36" s="9" t="str">
        <f ca="1">IF(OR(HJ9="",HJ$28&lt;$A36),"",HJ9/OFFSET(ParoRegESP!$A$2,MATCH(HJ$29,ParoRegESP!$A$2:$A$500)+$A36-1,1)-1)</f>
        <v/>
      </c>
      <c r="HK36" s="9" t="str">
        <f ca="1">IF(OR(HK9="",HK$28&lt;$A36),"",HK9/OFFSET(ParoRegESP!$A$2,MATCH(HK$29,ParoRegESP!$A$2:$A$500)+$A36-1,1)-1)</f>
        <v/>
      </c>
      <c r="HL36" s="9" t="str">
        <f ca="1">IF(OR(HL9="",HL$28&lt;$A36),"",HL9/OFFSET(ParoRegESP!$A$2,MATCH(HL$29,ParoRegESP!$A$2:$A$500)+$A36-1,1)-1)</f>
        <v/>
      </c>
      <c r="HM36" s="9" t="str">
        <f ca="1">IF(OR(HM9="",HM$28&lt;$A36),"",HM9/OFFSET(ParoRegESP!$A$2,MATCH(HM$29,ParoRegESP!$A$2:$A$500)+$A36-1,1)-1)</f>
        <v/>
      </c>
      <c r="HN36" s="9" t="str">
        <f ca="1">IF(OR(HN9="",HN$28&lt;$A36),"",HN9/OFFSET(ParoRegESP!$A$2,MATCH(HN$29,ParoRegESP!$A$2:$A$500)+$A36-1,1)-1)</f>
        <v/>
      </c>
      <c r="HO36" s="9" t="str">
        <f ca="1">IF(OR(HO9="",HO$28&lt;$A36),"",HO9/OFFSET(ParoRegESP!$A$2,MATCH(HO$29,ParoRegESP!$A$2:$A$500)+$A36-1,1)-1)</f>
        <v/>
      </c>
      <c r="HP36" s="9" t="str">
        <f ca="1">IF(OR(HP9="",HP$28&lt;$A36),"",HP9/OFFSET(ParoRegESP!$A$2,MATCH(HP$29,ParoRegESP!$A$2:$A$500)+$A36-1,1)-1)</f>
        <v/>
      </c>
      <c r="HQ36" s="9" t="str">
        <f ca="1">IF(OR(HQ9="",HQ$28&lt;$A36),"",HQ9/OFFSET(ParoRegESP!$A$2,MATCH(HQ$29,ParoRegESP!$A$2:$A$500)+$A36-1,1)-1)</f>
        <v/>
      </c>
      <c r="HR36" s="9" t="str">
        <f ca="1">IF(OR(HR9="",HR$28&lt;$A36),"",HR9/OFFSET(ParoRegESP!$A$2,MATCH(HR$29,ParoRegESP!$A$2:$A$500)+$A36-1,1)-1)</f>
        <v/>
      </c>
      <c r="HS36" s="9" t="str">
        <f ca="1">IF(OR(HS9="",HS$28&lt;$A36),"",HS9/OFFSET(ParoRegESP!$A$2,MATCH(HS$29,ParoRegESP!$A$2:$A$500)+$A36-1,1)-1)</f>
        <v/>
      </c>
      <c r="HT36" s="9" t="str">
        <f ca="1">IF(OR(HT9="",HT$28&lt;$A36),"",HT9/OFFSET(ParoRegESP!$A$2,MATCH(HT$29,ParoRegESP!$A$2:$A$500)+$A36-1,1)-1)</f>
        <v/>
      </c>
      <c r="HU36" s="9" t="str">
        <f ca="1">IF(OR(HU9="",HU$28&lt;$A36),"",HU9/OFFSET(ParoRegESP!$A$2,MATCH(HU$29,ParoRegESP!$A$2:$A$500)+$A36-1,1)-1)</f>
        <v/>
      </c>
      <c r="HV36" s="9" t="str">
        <f ca="1">IF(OR(HV9="",HV$28&lt;$A36),"",HV9/OFFSET(ParoRegESP!$A$2,MATCH(HV$29,ParoRegESP!$A$2:$A$500)+$A36-1,1)-1)</f>
        <v/>
      </c>
      <c r="HW36" s="9" t="str">
        <f ca="1">IF(OR(HW9="",HW$28&lt;$A36),"",HW9/OFFSET(ParoRegESP!$A$2,MATCH(HW$29,ParoRegESP!$A$2:$A$500)+$A36-1,1)-1)</f>
        <v/>
      </c>
      <c r="HX36" s="9" t="str">
        <f ca="1">IF(OR(HX9="",HX$28&lt;$A36),"",HX9/OFFSET(ParoRegESP!$A$2,MATCH(HX$29,ParoRegESP!$A$2:$A$500)+$A36-1,1)-1)</f>
        <v/>
      </c>
      <c r="HY36" s="9" t="str">
        <f ca="1">IF(OR(HY9="",HY$28&lt;$A36),"",HY9/OFFSET(ParoRegESP!$A$2,MATCH(HY$29,ParoRegESP!$A$2:$A$500)+$A36-1,1)-1)</f>
        <v/>
      </c>
      <c r="HZ36" s="9" t="str">
        <f ca="1">IF(OR(HZ9="",HZ$28&lt;$A36),"",HZ9/OFFSET(ParoRegESP!$A$2,MATCH(HZ$29,ParoRegESP!$A$2:$A$500)+$A36-1,1)-1)</f>
        <v/>
      </c>
      <c r="IA36" s="9" t="str">
        <f ca="1">IF(OR(IA9="",IA$28&lt;$A36),"",IA9/OFFSET(ParoRegESP!$A$2,MATCH(IA$29,ParoRegESP!$A$2:$A$500)+$A36-1,1)-1)</f>
        <v/>
      </c>
      <c r="IB36" s="9" t="str">
        <f ca="1">IF(OR(IB9="",IB$28&lt;$A36),"",IB9/OFFSET(ParoRegESP!$A$2,MATCH(IB$29,ParoRegESP!$A$2:$A$500)+$A36-1,1)-1)</f>
        <v/>
      </c>
      <c r="IC36" s="9" t="str">
        <f ca="1">IF(OR(IC9="",IC$28&lt;$A36),"",IC9/OFFSET(ParoRegESP!$A$2,MATCH(IC$29,ParoRegESP!$A$2:$A$500)+$A36-1,1)-1)</f>
        <v/>
      </c>
      <c r="ID36" s="9" t="str">
        <f ca="1">IF(OR(ID9="",ID$28&lt;$A36),"",ID9/OFFSET(ParoRegESP!$A$2,MATCH(ID$29,ParoRegESP!$A$2:$A$500)+$A36-1,1)-1)</f>
        <v/>
      </c>
      <c r="IE36" s="9" t="str">
        <f ca="1">IF(OR(IE9="",IE$28&lt;$A36),"",IE9/OFFSET(ParoRegESP!$A$2,MATCH(IE$29,ParoRegESP!$A$2:$A$500)+$A36-1,1)-1)</f>
        <v/>
      </c>
      <c r="IF36" s="9" t="str">
        <f ca="1">IF(OR(IF9="",IF$28&lt;$A36),"",IF9/OFFSET(ParoRegESP!$A$2,MATCH(IF$29,ParoRegESP!$A$2:$A$500)+$A36-1,1)-1)</f>
        <v/>
      </c>
      <c r="IG36" s="9" t="str">
        <f ca="1">IF(OR(IG9="",IG$28&lt;$A36),"",IG9/OFFSET(ParoRegESP!$A$2,MATCH(IG$29,ParoRegESP!$A$2:$A$500)+$A36-1,1)-1)</f>
        <v/>
      </c>
      <c r="IH36" s="9" t="str">
        <f ca="1">IF(OR(IH9="",IH$28&lt;$A36),"",IH9/OFFSET(ParoRegESP!$A$2,MATCH(IH$29,ParoRegESP!$A$2:$A$500)+$A36-1,1)-1)</f>
        <v/>
      </c>
      <c r="II36" s="9" t="str">
        <f ca="1">IF(OR(II9="",II$28&lt;$A36),"",II9/OFFSET(ParoRegESP!$A$2,MATCH(II$29,ParoRegESP!$A$2:$A$500)+$A36-1,1)-1)</f>
        <v/>
      </c>
      <c r="IJ36" s="9" t="str">
        <f ca="1">IF(OR(IJ9="",IJ$28&lt;$A36),"",IJ9/OFFSET(ParoRegESP!$A$2,MATCH(IJ$29,ParoRegESP!$A$2:$A$500)+$A36-1,1)-1)</f>
        <v/>
      </c>
      <c r="IK36" s="9" t="str">
        <f ca="1">IF(OR(IK9="",IK$28&lt;$A36),"",IK9/OFFSET(ParoRegESP!$A$2,MATCH(IK$29,ParoRegESP!$A$2:$A$500)+$A36-1,1)-1)</f>
        <v/>
      </c>
      <c r="IL36" s="9" t="str">
        <f ca="1">IF(OR(IL9="",IL$28&lt;$A36),"",IL9/OFFSET(ParoRegESP!$A$2,MATCH(IL$29,ParoRegESP!$A$2:$A$500)+$A36-1,1)-1)</f>
        <v/>
      </c>
      <c r="IM36" s="9" t="str">
        <f ca="1">IF(OR(IM9="",IM$28&lt;$A36),"",IM9/OFFSET(ParoRegESP!$A$2,MATCH(IM$29,ParoRegESP!$A$2:$A$500)+$A36-1,1)-1)</f>
        <v/>
      </c>
      <c r="IN36" s="9" t="str">
        <f ca="1">IF(OR(IN9="",IN$28&lt;$A36),"",IN9/OFFSET(ParoRegESP!$A$2,MATCH(IN$29,ParoRegESP!$A$2:$A$500)+$A36-1,1)-1)</f>
        <v/>
      </c>
      <c r="IO36" s="9" t="str">
        <f ca="1">IF(OR(IO9="",IO$28&lt;$A36),"",IO9/OFFSET(ParoRegESP!$A$2,MATCH(IO$29,ParoRegESP!$A$2:$A$500)+$A36-1,1)-1)</f>
        <v/>
      </c>
      <c r="IP36" s="9" t="str">
        <f ca="1">IF(OR(IP9="",IP$28&lt;$A36),"",IP9/OFFSET(ParoRegESP!$A$2,MATCH(IP$29,ParoRegESP!$A$2:$A$500)+$A36-1,1)-1)</f>
        <v/>
      </c>
      <c r="IQ36" s="9" t="str">
        <f ca="1">IF(OR(IQ9="",IQ$28&lt;$A36),"",IQ9/OFFSET(ParoRegESP!$A$2,MATCH(IQ$29,ParoRegESP!$A$2:$A$500)+$A36-1,1)-1)</f>
        <v/>
      </c>
      <c r="IR36" s="9" t="str">
        <f ca="1">IF(OR(IR9="",IR$28&lt;$A36),"",IR9/OFFSET(ParoRegESP!$A$2,MATCH(IR$29,ParoRegESP!$A$2:$A$500)+$A36-1,1)-1)</f>
        <v/>
      </c>
      <c r="IS36" s="9" t="str">
        <f ca="1">IF(OR(IS9="",IS$28&lt;$A36),"",IS9/OFFSET(ParoRegESP!$A$2,MATCH(IS$29,ParoRegESP!$A$2:$A$500)+$A36-1,1)-1)</f>
        <v/>
      </c>
      <c r="IT36" s="9" t="str">
        <f ca="1">IF(OR(IT9="",IT$28&lt;$A36),"",IT9/OFFSET(ParoRegESP!$A$2,MATCH(IT$29,ParoRegESP!$A$2:$A$500)+$A36-1,1)-1)</f>
        <v/>
      </c>
      <c r="IU36" s="9" t="str">
        <f ca="1">IF(OR(IU9="",IU$28&lt;$A36),"",IU9/OFFSET(ParoRegESP!$A$2,MATCH(IU$29,ParoRegESP!$A$2:$A$500)+$A36-1,1)-1)</f>
        <v/>
      </c>
      <c r="IV36" s="9" t="str">
        <f ca="1">IF(OR(IV9="",IV$28&lt;$A36),"",IV9/OFFSET(ParoRegESP!$A$2,MATCH(IV$29,ParoRegESP!$A$2:$A$500)+$A36-1,1)-1)</f>
        <v/>
      </c>
      <c r="IW36" s="9" t="str">
        <f ca="1">IF(OR(IW9="",IW$28&lt;$A36),"",IW9/OFFSET(ParoRegESP!$A$2,MATCH(IW$29,ParoRegESP!$A$2:$A$500)+$A36-1,1)-1)</f>
        <v/>
      </c>
      <c r="IX36" s="9" t="str">
        <f ca="1">IF(OR(IX9="",IX$28&lt;$A36),"",IX9/OFFSET(ParoRegESP!$A$2,MATCH(IX$29,ParoRegESP!$A$2:$A$500)+$A36-1,1)-1)</f>
        <v/>
      </c>
      <c r="IY36" s="9" t="str">
        <f ca="1">IF(OR(IY9="",IY$28&lt;$A36),"",IY9/OFFSET(ParoRegESP!$A$2,MATCH(IY$29,ParoRegESP!$A$2:$A$500)+$A36-1,1)-1)</f>
        <v/>
      </c>
      <c r="IZ36" s="9" t="str">
        <f ca="1">IF(OR(IZ9="",IZ$28&lt;$A36),"",IZ9/OFFSET(ParoRegESP!$A$2,MATCH(IZ$29,ParoRegESP!$A$2:$A$500)+$A36-1,1)-1)</f>
        <v/>
      </c>
      <c r="JA36" s="9" t="str">
        <f ca="1">IF(OR(JA9="",JA$28&lt;$A36),"",JA9/OFFSET(ParoRegESP!$A$2,MATCH(JA$29,ParoRegESP!$A$2:$A$500)+$A36-1,1)-1)</f>
        <v/>
      </c>
      <c r="JB36" s="9" t="str">
        <f ca="1">IF(OR(JB9="",JB$28&lt;$A36),"",JB9/OFFSET(ParoRegESP!$A$2,MATCH(JB$29,ParoRegESP!$A$2:$A$500)+$A36-1,1)-1)</f>
        <v/>
      </c>
      <c r="JC36" s="9" t="str">
        <f ca="1">IF(OR(JC9="",JC$28&lt;$A36),"",JC9/OFFSET(ParoRegESP!$A$2,MATCH(JC$29,ParoRegESP!$A$2:$A$500)+$A36-1,1)-1)</f>
        <v/>
      </c>
      <c r="JD36" s="9" t="str">
        <f ca="1">IF(OR(JD9="",JD$28&lt;$A36),"",JD9/OFFSET(ParoRegESP!$A$2,MATCH(JD$29,ParoRegESP!$A$2:$A$500)+$A36-1,1)-1)</f>
        <v/>
      </c>
      <c r="JE36" s="9" t="str">
        <f ca="1">IF(OR(JE9="",JE$28&lt;$A36),"",JE9/OFFSET(ParoRegESP!$A$2,MATCH(JE$29,ParoRegESP!$A$2:$A$500)+$A36-1,1)-1)</f>
        <v/>
      </c>
      <c r="JF36" s="9" t="str">
        <f ca="1">IF(OR(JF9="",JF$28&lt;$A36),"",JF9/OFFSET(ParoRegESP!$A$2,MATCH(JF$29,ParoRegESP!$A$2:$A$500)+$A36-1,1)-1)</f>
        <v/>
      </c>
      <c r="JG36" s="9" t="str">
        <f ca="1">IF(OR(JG9="",JG$28&lt;$A36),"",JG9/OFFSET(ParoRegESP!$A$2,MATCH(JG$29,ParoRegESP!$A$2:$A$500)+$A36-1,1)-1)</f>
        <v/>
      </c>
      <c r="JH36" s="9" t="str">
        <f ca="1">IF(OR(JH9="",JH$28&lt;$A36),"",JH9/OFFSET(ParoRegESP!$A$2,MATCH(JH$29,ParoRegESP!$A$2:$A$500)+$A36-1,1)-1)</f>
        <v/>
      </c>
      <c r="JI36" s="13">
        <f t="shared" ca="1" si="13"/>
        <v>-2.9558948750320741E-2</v>
      </c>
      <c r="JJ36" s="13">
        <f t="shared" ca="1" si="14"/>
        <v>-2.4502069634021961E-2</v>
      </c>
      <c r="JK36" s="14">
        <f t="shared" ca="1" si="15"/>
        <v>1.2248003156144525E-2</v>
      </c>
      <c r="JL36" s="17">
        <f t="shared" ca="1" si="18"/>
        <v>0.11067069691722613</v>
      </c>
      <c r="JM36" s="15" t="str">
        <f t="shared" ca="1" si="16"/>
        <v>[ -25,09% ; 19,18% ]</v>
      </c>
      <c r="JN36" s="17">
        <f t="shared" ca="1" si="17"/>
        <v>0.14165849205404946</v>
      </c>
      <c r="LY36" s="1"/>
    </row>
    <row r="37" spans="1:337" x14ac:dyDescent="0.25">
      <c r="A37" s="4">
        <v>8</v>
      </c>
      <c r="B37" s="9">
        <f ca="1">IF(OR(B10="",B$28&lt;$A37),"",B10/OFFSET(ParoRegESP!$A$2,MATCH(B$29,ParoRegESP!$A$2:$A$500)+$A37-1,1)-1)</f>
        <v>3.3785977319065186E-2</v>
      </c>
      <c r="C37" s="9">
        <f ca="1">IF(OR(C10="",C$28&lt;$A37),"",C10/OFFSET(ParoRegESP!$A$2,MATCH(C$29,ParoRegESP!$A$2:$A$500)+$A37-1,1)-1)</f>
        <v>3.5186956014306769E-2</v>
      </c>
      <c r="D37" s="9">
        <f ca="1">IF(OR(D10="",D$28&lt;$A37),"",D10/OFFSET(ParoRegESP!$A$2,MATCH(D$29,ParoRegESP!$A$2:$A$500)+$A37-1,1)-1)</f>
        <v>2.9928358071498851E-2</v>
      </c>
      <c r="E37" s="9">
        <f ca="1">IF(OR(E10="",E$28&lt;$A37),"",E10/OFFSET(ParoRegESP!$A$2,MATCH(E$29,ParoRegESP!$A$2:$A$500)+$A37-1,1)-1)</f>
        <v>2.3769087035000691E-2</v>
      </c>
      <c r="F37" s="9">
        <f ca="1">IF(OR(F10="",F$28&lt;$A37),"",F10/OFFSET(ParoRegESP!$A$2,MATCH(F$29,ParoRegESP!$A$2:$A$500)+$A37-1,1)-1)</f>
        <v>4.5453488201989245E-2</v>
      </c>
      <c r="G37" s="9">
        <f ca="1">IF(OR(G10="",G$28&lt;$A37),"",G10/OFFSET(ParoRegESP!$A$2,MATCH(G$29,ParoRegESP!$A$2:$A$500)+$A37-1,1)-1)</f>
        <v>4.3756712994807767E-2</v>
      </c>
      <c r="H37" s="9">
        <f ca="1">IF(OR(H10="",H$28&lt;$A37),"",H10/OFFSET(ParoRegESP!$A$2,MATCH(H$29,ParoRegESP!$A$2:$A$500)+$A37-1,1)-1)</f>
        <v>4.6461412490881093E-2</v>
      </c>
      <c r="I37" s="9">
        <f ca="1">IF(OR(I10="",I$28&lt;$A37),"",I10/OFFSET(ParoRegESP!$A$2,MATCH(I$29,ParoRegESP!$A$2:$A$500)+$A37-1,1)-1)</f>
        <v>3.6046436149891781E-2</v>
      </c>
      <c r="J37" s="9">
        <f ca="1">IF(OR(J10="",J$28&lt;$A37),"",J10/OFFSET(ParoRegESP!$A$2,MATCH(J$29,ParoRegESP!$A$2:$A$500)+$A37-1,1)-1)</f>
        <v>4.1817806394945478E-2</v>
      </c>
      <c r="K37" s="9">
        <f ca="1">IF(OR(K10="",K$28&lt;$A37),"",K10/OFFSET(ParoRegESP!$A$2,MATCH(K$29,ParoRegESP!$A$2:$A$500)+$A37-1,1)-1)</f>
        <v>4.3867129418744488E-2</v>
      </c>
      <c r="L37" s="9">
        <f ca="1">IF(OR(L10="",L$28&lt;$A37),"",L10/OFFSET(ParoRegESP!$A$2,MATCH(L$29,ParoRegESP!$A$2:$A$500)+$A37-1,1)-1)</f>
        <v>3.6581523355864842E-2</v>
      </c>
      <c r="M37" s="9">
        <f ca="1">IF(OR(M10="",M$28&lt;$A37),"",M10/OFFSET(ParoRegESP!$A$2,MATCH(M$29,ParoRegESP!$A$2:$A$500)+$A37-1,1)-1)</f>
        <v>1.5253590906472159E-3</v>
      </c>
      <c r="N37" s="9">
        <f ca="1">IF(OR(N10="",N$28&lt;$A37),"",N10/OFFSET(ParoRegESP!$A$2,MATCH(N$29,ParoRegESP!$A$2:$A$500)+$A37-1,1)-1)</f>
        <v>-1.6859903605828008E-2</v>
      </c>
      <c r="O37" s="9">
        <f ca="1">IF(OR(O10="",O$28&lt;$A37),"",O10/OFFSET(ParoRegESP!$A$2,MATCH(O$29,ParoRegESP!$A$2:$A$500)+$A37-1,1)-1)</f>
        <v>-1.869286614879806E-2</v>
      </c>
      <c r="P37" s="9">
        <f ca="1">IF(OR(P10="",P$28&lt;$A37),"",P10/OFFSET(ParoRegESP!$A$2,MATCH(P$29,ParoRegESP!$A$2:$A$500)+$A37-1,1)-1)</f>
        <v>-2.402414805927644E-2</v>
      </c>
      <c r="Q37" s="9">
        <f ca="1">IF(OR(Q10="",Q$28&lt;$A37),"",Q10/OFFSET(ParoRegESP!$A$2,MATCH(Q$29,ParoRegESP!$A$2:$A$500)+$A37-1,1)-1)</f>
        <v>-8.9112177289082384E-3</v>
      </c>
      <c r="R37" s="9">
        <f ca="1">IF(OR(R10="",R$28&lt;$A37),"",R10/OFFSET(ParoRegESP!$A$2,MATCH(R$29,ParoRegESP!$A$2:$A$500)+$A37-1,1)-1)</f>
        <v>-1.9659916934584576E-3</v>
      </c>
      <c r="S37" s="9">
        <f ca="1">IF(OR(S10="",S$28&lt;$A37),"",S10/OFFSET(ParoRegESP!$A$2,MATCH(S$29,ParoRegESP!$A$2:$A$500)+$A37-1,1)-1)</f>
        <v>-2.2248768625142468E-2</v>
      </c>
      <c r="T37" s="9">
        <f ca="1">IF(OR(T10="",T$28&lt;$A37),"",T10/OFFSET(ParoRegESP!$A$2,MATCH(T$29,ParoRegESP!$A$2:$A$500)+$A37-1,1)-1)</f>
        <v>-2.4436715110633944E-2</v>
      </c>
      <c r="U37" s="9">
        <f ca="1">IF(OR(U10="",U$28&lt;$A37),"",U10/OFFSET(ParoRegESP!$A$2,MATCH(U$29,ParoRegESP!$A$2:$A$500)+$A37-1,1)-1)</f>
        <v>-1.0836249850567525E-2</v>
      </c>
      <c r="V37" s="9">
        <f ca="1">IF(OR(V10="",V$28&lt;$A37),"",V10/OFFSET(ParoRegESP!$A$2,MATCH(V$29,ParoRegESP!$A$2:$A$500)+$A37-1,1)-1)</f>
        <v>1.6600541924230772E-2</v>
      </c>
      <c r="W37" s="9">
        <f ca="1">IF(OR(W10="",W$28&lt;$A37),"",W10/OFFSET(ParoRegESP!$A$2,MATCH(W$29,ParoRegESP!$A$2:$A$500)+$A37-1,1)-1)</f>
        <v>1.3849457795836129E-2</v>
      </c>
      <c r="X37" s="9">
        <f ca="1">IF(OR(X10="",X$28&lt;$A37),"",X10/OFFSET(ParoRegESP!$A$2,MATCH(X$29,ParoRegESP!$A$2:$A$500)+$A37-1,1)-1)</f>
        <v>1.5407128020935357E-2</v>
      </c>
      <c r="Y37" s="9">
        <f ca="1">IF(OR(Y10="",Y$28&lt;$A37),"",Y10/OFFSET(ParoRegESP!$A$2,MATCH(Y$29,ParoRegESP!$A$2:$A$500)+$A37-1,1)-1)</f>
        <v>7.2961812521195046E-3</v>
      </c>
      <c r="Z37" s="9">
        <f ca="1">IF(OR(Z10="",Z$28&lt;$A37),"",Z10/OFFSET(ParoRegESP!$A$2,MATCH(Z$29,ParoRegESP!$A$2:$A$500)+$A37-1,1)-1)</f>
        <v>6.2313988017768107E-3</v>
      </c>
      <c r="AA37" s="9">
        <f ca="1">IF(OR(AA10="",AA$28&lt;$A37),"",AA10/OFFSET(ParoRegESP!$A$2,MATCH(AA$29,ParoRegESP!$A$2:$A$500)+$A37-1,1)-1)</f>
        <v>2.1052458831018583E-2</v>
      </c>
      <c r="AB37" s="9">
        <f ca="1">IF(OR(AB10="",AB$28&lt;$A37),"",AB10/OFFSET(ParoRegESP!$A$2,MATCH(AB$29,ParoRegESP!$A$2:$A$500)+$A37-1,1)-1)</f>
        <v>2.9569600045347144E-2</v>
      </c>
      <c r="AC37" s="9">
        <f ca="1">IF(OR(AC10="",AC$28&lt;$A37),"",AC10/OFFSET(ParoRegESP!$A$2,MATCH(AC$29,ParoRegESP!$A$2:$A$500)+$A37-1,1)-1)</f>
        <v>4.1086980276175744E-2</v>
      </c>
      <c r="AD37" s="9">
        <f ca="1">IF(OR(AD10="",AD$28&lt;$A37),"",AD10/OFFSET(ParoRegESP!$A$2,MATCH(AD$29,ParoRegESP!$A$2:$A$500)+$A37-1,1)-1)</f>
        <v>3.0330411799050161E-2</v>
      </c>
      <c r="AE37" s="9">
        <f ca="1">IF(OR(AE10="",AE$28&lt;$A37),"",AE10/OFFSET(ParoRegESP!$A$2,MATCH(AE$29,ParoRegESP!$A$2:$A$500)+$A37-1,1)-1)</f>
        <v>2.834949182875679E-2</v>
      </c>
      <c r="AF37" s="9">
        <f ca="1">IF(OR(AF10="",AF$28&lt;$A37),"",AF10/OFFSET(ParoRegESP!$A$2,MATCH(AF$29,ParoRegESP!$A$2:$A$500)+$A37-1,1)-1)</f>
        <v>3.123031614102878E-2</v>
      </c>
      <c r="AG37" s="9">
        <f ca="1">IF(OR(AG10="",AG$28&lt;$A37),"",AG10/OFFSET(ParoRegESP!$A$2,MATCH(AG$29,ParoRegESP!$A$2:$A$500)+$A37-1,1)-1)</f>
        <v>2.7334541718310845E-2</v>
      </c>
      <c r="AH37" s="9">
        <f ca="1">IF(OR(AH10="",AH$28&lt;$A37),"",AH10/OFFSET(ParoRegESP!$A$2,MATCH(AH$29,ParoRegESP!$A$2:$A$500)+$A37-1,1)-1)</f>
        <v>1.7750745766295539E-2</v>
      </c>
      <c r="AI37" s="9">
        <f ca="1">IF(OR(AI10="",AI$28&lt;$A37),"",AI10/OFFSET(ParoRegESP!$A$2,MATCH(AI$29,ParoRegESP!$A$2:$A$500)+$A37-1,1)-1)</f>
        <v>4.0406046150522901E-3</v>
      </c>
      <c r="AJ37" s="9">
        <f ca="1">IF(OR(AJ10="",AJ$28&lt;$A37),"",AJ10/OFFSET(ParoRegESP!$A$2,MATCH(AJ$29,ParoRegESP!$A$2:$A$500)+$A37-1,1)-1)</f>
        <v>-2.7587418997107038E-2</v>
      </c>
      <c r="AK37" s="9">
        <f ca="1">IF(OR(AK10="",AK$28&lt;$A37),"",AK10/OFFSET(ParoRegESP!$A$2,MATCH(AK$29,ParoRegESP!$A$2:$A$500)+$A37-1,1)-1)</f>
        <v>-4.9386103371559353E-2</v>
      </c>
      <c r="AL37" s="9">
        <f ca="1">IF(OR(AL10="",AL$28&lt;$A37),"",AL10/OFFSET(ParoRegESP!$A$2,MATCH(AL$29,ParoRegESP!$A$2:$A$500)+$A37-1,1)-1)</f>
        <v>-6.8309820508929642E-2</v>
      </c>
      <c r="AM37" s="9">
        <f ca="1">IF(OR(AM10="",AM$28&lt;$A37),"",AM10/OFFSET(ParoRegESP!$A$2,MATCH(AM$29,ParoRegESP!$A$2:$A$500)+$A37-1,1)-1)</f>
        <v>-7.0176989116904176E-2</v>
      </c>
      <c r="AN37" s="9">
        <f ca="1">IF(OR(AN10="",AN$28&lt;$A37),"",AN10/OFFSET(ParoRegESP!$A$2,MATCH(AN$29,ParoRegESP!$A$2:$A$500)+$A37-1,1)-1)</f>
        <v>-6.6156180211654592E-2</v>
      </c>
      <c r="AO37" s="9">
        <f ca="1">IF(OR(AO10="",AO$28&lt;$A37),"",AO10/OFFSET(ParoRegESP!$A$2,MATCH(AO$29,ParoRegESP!$A$2:$A$500)+$A37-1,1)-1)</f>
        <v>-5.8576731877882371E-2</v>
      </c>
      <c r="AP37" s="9">
        <f ca="1">IF(OR(AP10="",AP$28&lt;$A37),"",AP10/OFFSET(ParoRegESP!$A$2,MATCH(AP$29,ParoRegESP!$A$2:$A$500)+$A37-1,1)-1)</f>
        <v>-5.9578290282368496E-2</v>
      </c>
      <c r="AQ37" s="9">
        <f ca="1">IF(OR(AQ10="",AQ$28&lt;$A37),"",AQ10/OFFSET(ParoRegESP!$A$2,MATCH(AQ$29,ParoRegESP!$A$2:$A$500)+$A37-1,1)-1)</f>
        <v>-7.2438776553967466E-2</v>
      </c>
      <c r="AR37" s="9">
        <f ca="1">IF(OR(AR10="",AR$28&lt;$A37),"",AR10/OFFSET(ParoRegESP!$A$2,MATCH(AR$29,ParoRegESP!$A$2:$A$500)+$A37-1,1)-1)</f>
        <v>-8.0680573594954175E-2</v>
      </c>
      <c r="AS37" s="9">
        <f ca="1">IF(OR(AS10="",AS$28&lt;$A37),"",AS10/OFFSET(ParoRegESP!$A$2,MATCH(AS$29,ParoRegESP!$A$2:$A$500)+$A37-1,1)-1)</f>
        <v>-7.7060969628368281E-2</v>
      </c>
      <c r="AT37" s="9">
        <f ca="1">IF(OR(AT10="",AT$28&lt;$A37),"",AT10/OFFSET(ParoRegESP!$A$2,MATCH(AT$29,ParoRegESP!$A$2:$A$500)+$A37-1,1)-1)</f>
        <v>-9.9338078494952908E-2</v>
      </c>
      <c r="AU37" s="9">
        <f ca="1">IF(OR(AU10="",AU$28&lt;$A37),"",AU10/OFFSET(ParoRegESP!$A$2,MATCH(AU$29,ParoRegESP!$A$2:$A$500)+$A37-1,1)-1)</f>
        <v>-0.13740935566415724</v>
      </c>
      <c r="AV37" s="9">
        <f ca="1">IF(OR(AV10="",AV$28&lt;$A37),"",AV10/OFFSET(ParoRegESP!$A$2,MATCH(AV$29,ParoRegESP!$A$2:$A$500)+$A37-1,1)-1)</f>
        <v>-0.16672744980534604</v>
      </c>
      <c r="AW37" s="9">
        <f ca="1">IF(OR(AW10="",AW$28&lt;$A37),"",AW10/OFFSET(ParoRegESP!$A$2,MATCH(AW$29,ParoRegESP!$A$2:$A$500)+$A37-1,1)-1)</f>
        <v>-0.18086272265442938</v>
      </c>
      <c r="AX37" s="9">
        <f ca="1">IF(OR(AX10="",AX$28&lt;$A37),"",AX10/OFFSET(ParoRegESP!$A$2,MATCH(AX$29,ParoRegESP!$A$2:$A$500)+$A37-1,1)-1)</f>
        <v>-0.1907036223529669</v>
      </c>
      <c r="AY37" s="9">
        <f ca="1">IF(OR(AY10="",AY$28&lt;$A37),"",AY10/OFFSET(ParoRegESP!$A$2,MATCH(AY$29,ParoRegESP!$A$2:$A$500)+$A37-1,1)-1)</f>
        <v>-0.19632730148527966</v>
      </c>
      <c r="AZ37" s="9">
        <f ca="1">IF(OR(AZ10="",AZ$28&lt;$A37),"",AZ10/OFFSET(ParoRegESP!$A$2,MATCH(AZ$29,ParoRegESP!$A$2:$A$500)+$A37-1,1)-1)</f>
        <v>-0.19047545064022087</v>
      </c>
      <c r="BA37" s="9">
        <f ca="1">IF(OR(BA10="",BA$28&lt;$A37),"",BA10/OFFSET(ParoRegESP!$A$2,MATCH(BA$29,ParoRegESP!$A$2:$A$500)+$A37-1,1)-1)</f>
        <v>-0.23096139840822416</v>
      </c>
      <c r="BB37" s="9">
        <f ca="1">IF(OR(BB10="",BB$28&lt;$A37),"",BB10/OFFSET(ParoRegESP!$A$2,MATCH(BB$29,ParoRegESP!$A$2:$A$500)+$A37-1,1)-1)</f>
        <v>-0.16673702027700887</v>
      </c>
      <c r="BC37" s="9">
        <f ca="1">IF(OR(BC10="",BC$28&lt;$A37),"",BC10/OFFSET(ParoRegESP!$A$2,MATCH(BC$29,ParoRegESP!$A$2:$A$500)+$A37-1,1)-1)</f>
        <v>-0.12426383843507771</v>
      </c>
      <c r="BD37" s="9">
        <f ca="1">IF(OR(BD10="",BD$28&lt;$A37),"",BD10/OFFSET(ParoRegESP!$A$2,MATCH(BD$29,ParoRegESP!$A$2:$A$500)+$A37-1,1)-1)</f>
        <v>-0.16988740093949839</v>
      </c>
      <c r="BE37" s="9">
        <f ca="1">IF(OR(BE10="",BE$28&lt;$A37),"",BE10/OFFSET(ParoRegESP!$A$2,MATCH(BE$29,ParoRegESP!$A$2:$A$500)+$A37-1,1)-1)</f>
        <v>-0.17124759037221005</v>
      </c>
      <c r="BF37" s="9">
        <f ca="1">IF(OR(BF10="",BF$28&lt;$A37),"",BF10/OFFSET(ParoRegESP!$A$2,MATCH(BF$29,ParoRegESP!$A$2:$A$500)+$A37-1,1)-1)</f>
        <v>-0.14445980192542984</v>
      </c>
      <c r="BG37" s="9">
        <f ca="1">IF(OR(BG10="",BG$28&lt;$A37),"",BG10/OFFSET(ParoRegESP!$A$2,MATCH(BG$29,ParoRegESP!$A$2:$A$500)+$A37-1,1)-1)</f>
        <v>-0.1085211026078633</v>
      </c>
      <c r="BH37" s="9">
        <f ca="1">IF(OR(BH10="",BH$28&lt;$A37),"",BH10/OFFSET(ParoRegESP!$A$2,MATCH(BH$29,ParoRegESP!$A$2:$A$500)+$A37-1,1)-1)</f>
        <v>-2.2360003810532048E-2</v>
      </c>
      <c r="BI37" s="9">
        <f ca="1">IF(OR(BI10="",BI$28&lt;$A37),"",BI10/OFFSET(ParoRegESP!$A$2,MATCH(BI$29,ParoRegESP!$A$2:$A$500)+$A37-1,1)-1)</f>
        <v>7.9440914756871095E-2</v>
      </c>
      <c r="BJ37" s="9">
        <f ca="1">IF(OR(BJ10="",BJ$28&lt;$A37),"",BJ10/OFFSET(ParoRegESP!$A$2,MATCH(BJ$29,ParoRegESP!$A$2:$A$500)+$A37-1,1)-1)</f>
        <v>0.12894369457602228</v>
      </c>
      <c r="BK37" s="9">
        <f ca="1">IF(OR(BK10="",BK$28&lt;$A37),"",BK10/OFFSET(ParoRegESP!$A$2,MATCH(BK$29,ParoRegESP!$A$2:$A$500)+$A37-1,1)-1)</f>
        <v>0.13886142981715399</v>
      </c>
      <c r="BL37" s="9">
        <f ca="1">IF(OR(BL10="",BL$28&lt;$A37),"",BL10/OFFSET(ParoRegESP!$A$2,MATCH(BL$29,ParoRegESP!$A$2:$A$500)+$A37-1,1)-1)</f>
        <v>0.19379591174485</v>
      </c>
      <c r="BM37" s="9">
        <f ca="1">IF(OR(BM10="",BM$28&lt;$A37),"",BM10/OFFSET(ParoRegESP!$A$2,MATCH(BM$29,ParoRegESP!$A$2:$A$500)+$A37-1,1)-1)</f>
        <v>0.23811178651957587</v>
      </c>
      <c r="BN37" s="9">
        <f ca="1">IF(OR(BN10="",BN$28&lt;$A37),"",BN10/OFFSET(ParoRegESP!$A$2,MATCH(BN$29,ParoRegESP!$A$2:$A$500)+$A37-1,1)-1)</f>
        <v>0.19753242557076023</v>
      </c>
      <c r="BO37" s="9">
        <f ca="1">IF(OR(BO10="",BO$28&lt;$A37),"",BO10/OFFSET(ParoRegESP!$A$2,MATCH(BO$29,ParoRegESP!$A$2:$A$500)+$A37-1,1)-1)</f>
        <v>0.15174425105496625</v>
      </c>
      <c r="BP37" s="9">
        <f ca="1">IF(OR(BP10="",BP$28&lt;$A37),"",BP10/OFFSET(ParoRegESP!$A$2,MATCH(BP$29,ParoRegESP!$A$2:$A$500)+$A37-1,1)-1)</f>
        <v>7.3801799726286976E-2</v>
      </c>
      <c r="BQ37" s="9">
        <f ca="1">IF(OR(BQ10="",BQ$28&lt;$A37),"",BQ10/OFFSET(ParoRegESP!$A$2,MATCH(BQ$29,ParoRegESP!$A$2:$A$500)+$A37-1,1)-1)</f>
        <v>-1.2718319176137305E-2</v>
      </c>
      <c r="BR37" s="9">
        <f ca="1">IF(OR(BR10="",BR$28&lt;$A37),"",BR10/OFFSET(ParoRegESP!$A$2,MATCH(BR$29,ParoRegESP!$A$2:$A$500)+$A37-1,1)-1)</f>
        <v>1.0837185954369666E-2</v>
      </c>
      <c r="BS37" s="9">
        <f ca="1">IF(OR(BS10="",BS$28&lt;$A37),"",BS10/OFFSET(ParoRegESP!$A$2,MATCH(BS$29,ParoRegESP!$A$2:$A$500)+$A37-1,1)-1)</f>
        <v>5.2863286978803048E-2</v>
      </c>
      <c r="BT37" s="9">
        <f ca="1">IF(OR(BT10="",BT$28&lt;$A37),"",BT10/OFFSET(ParoRegESP!$A$2,MATCH(BT$29,ParoRegESP!$A$2:$A$500)+$A37-1,1)-1)</f>
        <v>4.2918445444004583E-2</v>
      </c>
      <c r="BU37" s="9">
        <f ca="1">IF(OR(BU10="",BU$28&lt;$A37),"",BU10/OFFSET(ParoRegESP!$A$2,MATCH(BU$29,ParoRegESP!$A$2:$A$500)+$A37-1,1)-1)</f>
        <v>1.2760904833629461E-2</v>
      </c>
      <c r="BV37" s="9">
        <f ca="1">IF(OR(BV10="",BV$28&lt;$A37),"",BV10/OFFSET(ParoRegESP!$A$2,MATCH(BV$29,ParoRegESP!$A$2:$A$500)+$A37-1,1)-1)</f>
        <v>1.3563420475882104E-2</v>
      </c>
      <c r="BW37" s="9">
        <f ca="1">IF(OR(BW10="",BW$28&lt;$A37),"",BW10/OFFSET(ParoRegESP!$A$2,MATCH(BW$29,ParoRegESP!$A$2:$A$500)+$A37-1,1)-1)</f>
        <v>4.7576563883458656E-2</v>
      </c>
      <c r="BX37" s="9">
        <f ca="1">IF(OR(BX10="",BX$28&lt;$A37),"",BX10/OFFSET(ParoRegESP!$A$2,MATCH(BX$29,ParoRegESP!$A$2:$A$500)+$A37-1,1)-1)</f>
        <v>7.0247327432674034E-2</v>
      </c>
      <c r="BY37" s="9">
        <f ca="1">IF(OR(BY10="",BY$28&lt;$A37),"",BY10/OFFSET(ParoRegESP!$A$2,MATCH(BY$29,ParoRegESP!$A$2:$A$500)+$A37-1,1)-1)</f>
        <v>8.6727259491411246E-2</v>
      </c>
      <c r="BZ37" s="9">
        <f ca="1">IF(OR(BZ10="",BZ$28&lt;$A37),"",BZ10/OFFSET(ParoRegESP!$A$2,MATCH(BZ$29,ParoRegESP!$A$2:$A$500)+$A37-1,1)-1)</f>
        <v>8.1873056872376226E-2</v>
      </c>
      <c r="CA37" s="9">
        <f ca="1">IF(OR(CA10="",CA$28&lt;$A37),"",CA10/OFFSET(ParoRegESP!$A$2,MATCH(CA$29,ParoRegESP!$A$2:$A$500)+$A37-1,1)-1)</f>
        <v>3.5710441082897004E-2</v>
      </c>
      <c r="CB37" s="9">
        <f ca="1">IF(OR(CB10="",CB$28&lt;$A37),"",CB10/OFFSET(ParoRegESP!$A$2,MATCH(CB$29,ParoRegESP!$A$2:$A$500)+$A37-1,1)-1)</f>
        <v>-1.57713132440781E-2</v>
      </c>
      <c r="CC37" s="9">
        <f ca="1">IF(OR(CC10="",CC$28&lt;$A37),"",CC10/OFFSET(ParoRegESP!$A$2,MATCH(CC$29,ParoRegESP!$A$2:$A$500)+$A37-1,1)-1)</f>
        <v>-5.1688688068212807E-2</v>
      </c>
      <c r="CD37" s="9">
        <f ca="1">IF(OR(CD10="",CD$28&lt;$A37),"",CD10/OFFSET(ParoRegESP!$A$2,MATCH(CD$29,ParoRegESP!$A$2:$A$500)+$A37-1,1)-1)</f>
        <v>6.0146941109366914E-3</v>
      </c>
      <c r="CE37" s="9">
        <f ca="1">IF(OR(CE10="",CE$28&lt;$A37),"",CE10/OFFSET(ParoRegESP!$A$2,MATCH(CE$29,ParoRegESP!$A$2:$A$500)+$A37-1,1)-1)</f>
        <v>2.2620484055807744E-2</v>
      </c>
      <c r="CF37" s="9">
        <f ca="1">IF(OR(CF10="",CF$28&lt;$A37),"",CF10/OFFSET(ParoRegESP!$A$2,MATCH(CF$29,ParoRegESP!$A$2:$A$500)+$A37-1,1)-1)</f>
        <v>3.0412553915953211E-2</v>
      </c>
      <c r="CG37" s="9">
        <f ca="1">IF(OR(CG10="",CG$28&lt;$A37),"",CG10/OFFSET(ParoRegESP!$A$2,MATCH(CG$29,ParoRegESP!$A$2:$A$500)+$A37-1,1)-1)</f>
        <v>-1.1003928751173175E-3</v>
      </c>
      <c r="CH37" s="9">
        <f ca="1">IF(OR(CH10="",CH$28&lt;$A37),"",CH10/OFFSET(ParoRegESP!$A$2,MATCH(CH$29,ParoRegESP!$A$2:$A$500)+$A37-1,1)-1)</f>
        <v>-5.4990866420683959E-2</v>
      </c>
      <c r="CI37" s="9">
        <f ca="1">IF(OR(CI10="",CI$28&lt;$A37),"",CI10/OFFSET(ParoRegESP!$A$2,MATCH(CI$29,ParoRegESP!$A$2:$A$500)+$A37-1,1)-1)</f>
        <v>-5.8202191910664558E-3</v>
      </c>
      <c r="CJ37" s="9">
        <f ca="1">IF(OR(CJ10="",CJ$28&lt;$A37),"",CJ10/OFFSET(ParoRegESP!$A$2,MATCH(CJ$29,ParoRegESP!$A$2:$A$500)+$A37-1,1)-1)</f>
        <v>-1.9338964244032253E-3</v>
      </c>
      <c r="CK37" s="9">
        <f ca="1">IF(OR(CK10="",CK$28&lt;$A37),"",CK10/OFFSET(ParoRegESP!$A$2,MATCH(CK$29,ParoRegESP!$A$2:$A$500)+$A37-1,1)-1)</f>
        <v>1.0841043543243778E-3</v>
      </c>
      <c r="CL37" s="9">
        <f ca="1">IF(OR(CL10="",CL$28&lt;$A37),"",CL10/OFFSET(ParoRegESP!$A$2,MATCH(CL$29,ParoRegESP!$A$2:$A$500)+$A37-1,1)-1)</f>
        <v>-2.072631025959526E-2</v>
      </c>
      <c r="CM37" s="9">
        <f ca="1">IF(OR(CM10="",CM$28&lt;$A37),"",CM10/OFFSET(ParoRegESP!$A$2,MATCH(CM$29,ParoRegESP!$A$2:$A$500)+$A37-1,1)-1)</f>
        <v>-4.8010156938792847E-2</v>
      </c>
      <c r="CN37" s="9">
        <f ca="1">IF(OR(CN10="",CN$28&lt;$A37),"",CN10/OFFSET(ParoRegESP!$A$2,MATCH(CN$29,ParoRegESP!$A$2:$A$500)+$A37-1,1)-1)</f>
        <v>-6.3712192224611219E-2</v>
      </c>
      <c r="CO37" s="9">
        <f ca="1">IF(OR(CO10="",CO$28&lt;$A37),"",CO10/OFFSET(ParoRegESP!$A$2,MATCH(CO$29,ParoRegESP!$A$2:$A$500)+$A37-1,1)-1)</f>
        <v>-7.9286248725401687E-2</v>
      </c>
      <c r="CP37" s="9">
        <f ca="1">IF(OR(CP10="",CP$28&lt;$A37),"",CP10/OFFSET(ParoRegESP!$A$2,MATCH(CP$29,ParoRegESP!$A$2:$A$500)+$A37-1,1)-1)</f>
        <v>-6.988156189865069E-2</v>
      </c>
      <c r="CQ37" s="9">
        <f ca="1">IF(OR(CQ10="",CQ$28&lt;$A37),"",CQ10/OFFSET(ParoRegESP!$A$2,MATCH(CQ$29,ParoRegESP!$A$2:$A$500)+$A37-1,1)-1)</f>
        <v>-2.516539824305597E-2</v>
      </c>
      <c r="CR37" s="9">
        <f ca="1">IF(OR(CR10="",CR$28&lt;$A37),"",CR10/OFFSET(ParoRegESP!$A$2,MATCH(CR$29,ParoRegESP!$A$2:$A$500)+$A37-1,1)-1)</f>
        <v>1.2964324447651165E-2</v>
      </c>
      <c r="CS37" s="9">
        <f ca="1">IF(OR(CS10="",CS$28&lt;$A37),"",CS10/OFFSET(ParoRegESP!$A$2,MATCH(CS$29,ParoRegESP!$A$2:$A$500)+$A37-1,1)-1)</f>
        <v>-1.1575043040336963E-2</v>
      </c>
      <c r="CT37" s="9">
        <f ca="1">IF(OR(CT10="",CT$28&lt;$A37),"",CT10/OFFSET(ParoRegESP!$A$2,MATCH(CT$29,ParoRegESP!$A$2:$A$500)+$A37-1,1)-1)</f>
        <v>-2.8386070630546767E-2</v>
      </c>
      <c r="CU37" s="9">
        <f ca="1">IF(OR(CU10="",CU$28&lt;$A37),"",CU10/OFFSET(ParoRegESP!$A$2,MATCH(CU$29,ParoRegESP!$A$2:$A$500)+$A37-1,1)-1)</f>
        <v>-8.7283122122494561E-4</v>
      </c>
      <c r="CV37" s="9">
        <f ca="1">IF(OR(CV10="",CV$28&lt;$A37),"",CV10/OFFSET(ParoRegESP!$A$2,MATCH(CV$29,ParoRegESP!$A$2:$A$500)+$A37-1,1)-1)</f>
        <v>2.1219612590010595E-2</v>
      </c>
      <c r="CW37" s="9">
        <f ca="1">IF(OR(CW10="",CW$28&lt;$A37),"",CW10/OFFSET(ParoRegESP!$A$2,MATCH(CW$29,ParoRegESP!$A$2:$A$500)+$A37-1,1)-1)</f>
        <v>1.19609443559201E-2</v>
      </c>
      <c r="CX37" s="9">
        <f ca="1">IF(OR(CX10="",CX$28&lt;$A37),"",CX10/OFFSET(ParoRegESP!$A$2,MATCH(CX$29,ParoRegESP!$A$2:$A$500)+$A37-1,1)-1)</f>
        <v>4.2857799437030053E-2</v>
      </c>
      <c r="CY37" s="9">
        <f ca="1">IF(OR(CY10="",CY$28&lt;$A37),"",CY10/OFFSET(ParoRegESP!$A$2,MATCH(CY$29,ParoRegESP!$A$2:$A$500)+$A37-1,1)-1)</f>
        <v>4.4146388753931953E-2</v>
      </c>
      <c r="CZ37" s="9">
        <f ca="1">IF(OR(CZ10="",CZ$28&lt;$A37),"",CZ10/OFFSET(ParoRegESP!$A$2,MATCH(CZ$29,ParoRegESP!$A$2:$A$500)+$A37-1,1)-1)</f>
        <v>1.2679963166648545E-2</v>
      </c>
      <c r="DA37" s="9">
        <f ca="1">IF(OR(DA10="",DA$28&lt;$A37),"",DA10/OFFSET(ParoRegESP!$A$2,MATCH(DA$29,ParoRegESP!$A$2:$A$500)+$A37-1,1)-1)</f>
        <v>3.8747886963202527E-2</v>
      </c>
      <c r="DB37" s="9">
        <f ca="1">IF(OR(DB10="",DB$28&lt;$A37),"",DB10/OFFSET(ParoRegESP!$A$2,MATCH(DB$29,ParoRegESP!$A$2:$A$500)+$A37-1,1)-1)</f>
        <v>2.2454451548199472E-2</v>
      </c>
      <c r="DC37" s="9">
        <f ca="1">IF(OR(DC10="",DC$28&lt;$A37),"",DC10/OFFSET(ParoRegESP!$A$2,MATCH(DC$29,ParoRegESP!$A$2:$A$500)+$A37-1,1)-1)</f>
        <v>3.654888647212573E-2</v>
      </c>
      <c r="DD37" s="9">
        <f ca="1">IF(OR(DD10="",DD$28&lt;$A37),"",DD10/OFFSET(ParoRegESP!$A$2,MATCH(DD$29,ParoRegESP!$A$2:$A$500)+$A37-1,1)-1)</f>
        <v>6.6692790742451269E-2</v>
      </c>
      <c r="DE37" s="9">
        <f ca="1">IF(OR(DE10="",DE$28&lt;$A37),"",DE10/OFFSET(ParoRegESP!$A$2,MATCH(DE$29,ParoRegESP!$A$2:$A$500)+$A37-1,1)-1)</f>
        <v>7.0636762034461675E-2</v>
      </c>
      <c r="DF37" s="9">
        <f ca="1">IF(OR(DF10="",DF$28&lt;$A37),"",DF10/OFFSET(ParoRegESP!$A$2,MATCH(DF$29,ParoRegESP!$A$2:$A$500)+$A37-1,1)-1)</f>
        <v>1.6944896540734167E-2</v>
      </c>
      <c r="DG37" s="9">
        <f ca="1">IF(OR(DG10="",DG$28&lt;$A37),"",DG10/OFFSET(ParoRegESP!$A$2,MATCH(DG$29,ParoRegESP!$A$2:$A$500)+$A37-1,1)-1)</f>
        <v>2.7368862993152998E-2</v>
      </c>
      <c r="DH37" s="9">
        <f ca="1">IF(OR(DH10="",DH$28&lt;$A37),"",DH10/OFFSET(ParoRegESP!$A$2,MATCH(DH$29,ParoRegESP!$A$2:$A$500)+$A37-1,1)-1)</f>
        <v>1.2596700558986429E-2</v>
      </c>
      <c r="DI37" s="9">
        <f ca="1">IF(OR(DI10="",DI$28&lt;$A37),"",DI10/OFFSET(ParoRegESP!$A$2,MATCH(DI$29,ParoRegESP!$A$2:$A$500)+$A37-1,1)-1)</f>
        <v>3.5802890172717872E-2</v>
      </c>
      <c r="DJ37" s="9">
        <f ca="1">IF(OR(DJ10="",DJ$28&lt;$A37),"",DJ10/OFFSET(ParoRegESP!$A$2,MATCH(DJ$29,ParoRegESP!$A$2:$A$500)+$A37-1,1)-1)</f>
        <v>5.7466857702751062E-2</v>
      </c>
      <c r="DK37" s="9">
        <f ca="1">IF(OR(DK10="",DK$28&lt;$A37),"",DK10/OFFSET(ParoRegESP!$A$2,MATCH(DK$29,ParoRegESP!$A$2:$A$500)+$A37-1,1)-1)</f>
        <v>4.412446679054205E-2</v>
      </c>
      <c r="DL37" s="9">
        <f ca="1">IF(OR(DL10="",DL$28&lt;$A37),"",DL10/OFFSET(ParoRegESP!$A$2,MATCH(DL$29,ParoRegESP!$A$2:$A$500)+$A37-1,1)-1)</f>
        <v>3.3506418747887734E-2</v>
      </c>
      <c r="DM37" s="9">
        <f ca="1">IF(OR(DM10="",DM$28&lt;$A37),"",DM10/OFFSET(ParoRegESP!$A$2,MATCH(DM$29,ParoRegESP!$A$2:$A$500)+$A37-1,1)-1)</f>
        <v>3.1844022865664234E-2</v>
      </c>
      <c r="DN37" s="9">
        <f ca="1">IF(OR(DN10="",DN$28&lt;$A37),"",DN10/OFFSET(ParoRegESP!$A$2,MATCH(DN$29,ParoRegESP!$A$2:$A$500)+$A37-1,1)-1)</f>
        <v>2.9784225204162462E-2</v>
      </c>
      <c r="DO37" s="9">
        <f ca="1">IF(OR(DO10="",DO$28&lt;$A37),"",DO10/OFFSET(ParoRegESP!$A$2,MATCH(DO$29,ParoRegESP!$A$2:$A$500)+$A37-1,1)-1)</f>
        <v>3.9094057489179157E-2</v>
      </c>
      <c r="DP37" s="9">
        <f ca="1">IF(OR(DP10="",DP$28&lt;$A37),"",DP10/OFFSET(ParoRegESP!$A$2,MATCH(DP$29,ParoRegESP!$A$2:$A$500)+$A37-1,1)-1)</f>
        <v>5.0122146250603627E-2</v>
      </c>
      <c r="DQ37" s="9">
        <f ca="1">IF(OR(DQ10="",DQ$28&lt;$A37),"",DQ10/OFFSET(ParoRegESP!$A$2,MATCH(DQ$29,ParoRegESP!$A$2:$A$500)+$A37-1,1)-1)</f>
        <v>9.120976237022127E-3</v>
      </c>
      <c r="DR37" s="9">
        <f ca="1">IF(OR(DR10="",DR$28&lt;$A37),"",DR10/OFFSET(ParoRegESP!$A$2,MATCH(DR$29,ParoRegESP!$A$2:$A$500)+$A37-1,1)-1)</f>
        <v>-3.4450805077909763E-2</v>
      </c>
      <c r="DS37" s="9">
        <f ca="1">IF(OR(DS10="",DS$28&lt;$A37),"",DS10/OFFSET(ParoRegESP!$A$2,MATCH(DS$29,ParoRegESP!$A$2:$A$500)+$A37-1,1)-1)</f>
        <v>-1.3487844516416048E-2</v>
      </c>
      <c r="DT37" s="9">
        <f ca="1">IF(OR(DT10="",DT$28&lt;$A37),"",DT10/OFFSET(ParoRegESP!$A$2,MATCH(DT$29,ParoRegESP!$A$2:$A$500)+$A37-1,1)-1)</f>
        <v>-3.6912922671819781E-2</v>
      </c>
      <c r="DU37" s="9">
        <f ca="1">IF(OR(DU10="",DU$28&lt;$A37),"",DU10/OFFSET(ParoRegESP!$A$2,MATCH(DU$29,ParoRegESP!$A$2:$A$500)+$A37-1,1)-1)</f>
        <v>-5.00588579998551E-3</v>
      </c>
      <c r="DV37" s="9">
        <f ca="1">IF(OR(DV10="",DV$28&lt;$A37),"",DV10/OFFSET(ParoRegESP!$A$2,MATCH(DV$29,ParoRegESP!$A$2:$A$500)+$A37-1,1)-1)</f>
        <v>-3.02616316003671E-2</v>
      </c>
      <c r="DW37" s="9">
        <f ca="1">IF(OR(DW10="",DW$28&lt;$A37),"",DW10/OFFSET(ParoRegESP!$A$2,MATCH(DW$29,ParoRegESP!$A$2:$A$500)+$A37-1,1)-1)</f>
        <v>-1.8768286304358339E-2</v>
      </c>
      <c r="DX37" s="9">
        <f ca="1">IF(OR(DX10="",DX$28&lt;$A37),"",DX10/OFFSET(ParoRegESP!$A$2,MATCH(DX$29,ParoRegESP!$A$2:$A$500)+$A37-1,1)-1)</f>
        <v>-7.0812692481156958E-3</v>
      </c>
      <c r="DY37" s="9">
        <f ca="1">IF(OR(DY10="",DY$28&lt;$A37),"",DY10/OFFSET(ParoRegESP!$A$2,MATCH(DY$29,ParoRegESP!$A$2:$A$500)+$A37-1,1)-1)</f>
        <v>5.0256194972189139E-2</v>
      </c>
      <c r="DZ37" s="9">
        <f ca="1">IF(OR(DZ10="",DZ$28&lt;$A37),"",DZ10/OFFSET(ParoRegESP!$A$2,MATCH(DZ$29,ParoRegESP!$A$2:$A$500)+$A37-1,1)-1)</f>
        <v>4.8563288635065538E-2</v>
      </c>
      <c r="EA37" s="9">
        <f ca="1">IF(OR(EA10="",EA$28&lt;$A37),"",EA10/OFFSET(ParoRegESP!$A$2,MATCH(EA$29,ParoRegESP!$A$2:$A$500)+$A37-1,1)-1)</f>
        <v>5.2617754348066148E-2</v>
      </c>
      <c r="EB37" s="9">
        <f ca="1">IF(OR(EB10="",EB$28&lt;$A37),"",EB10/OFFSET(ParoRegESP!$A$2,MATCH(EB$29,ParoRegESP!$A$2:$A$500)+$A37-1,1)-1)</f>
        <v>4.8275643936962043E-2</v>
      </c>
      <c r="EC37" s="9">
        <f ca="1">IF(OR(EC10="",EC$28&lt;$A37),"",EC10/OFFSET(ParoRegESP!$A$2,MATCH(EC$29,ParoRegESP!$A$2:$A$500)+$A37-1,1)-1)</f>
        <v>2.6696201052542001E-2</v>
      </c>
      <c r="ED37" s="9">
        <f ca="1">IF(OR(ED10="",ED$28&lt;$A37),"",ED10/OFFSET(ParoRegESP!$A$2,MATCH(ED$29,ParoRegESP!$A$2:$A$500)+$A37-1,1)-1)</f>
        <v>1.8489810932357464E-2</v>
      </c>
      <c r="EE37" s="9">
        <f ca="1">IF(OR(EE10="",EE$28&lt;$A37),"",EE10/OFFSET(ParoRegESP!$A$2,MATCH(EE$29,ParoRegESP!$A$2:$A$500)+$A37-1,1)-1)</f>
        <v>1.8495173605614923E-4</v>
      </c>
      <c r="EF37" s="9">
        <f ca="1">IF(OR(EF10="",EF$28&lt;$A37),"",EF10/OFFSET(ParoRegESP!$A$2,MATCH(EF$29,ParoRegESP!$A$2:$A$500)+$A37-1,1)-1)</f>
        <v>-2.4679352146630418E-2</v>
      </c>
      <c r="EG37" s="9">
        <f ca="1">IF(OR(EG10="",EG$28&lt;$A37),"",EG10/OFFSET(ParoRegESP!$A$2,MATCH(EG$29,ParoRegESP!$A$2:$A$500)+$A37-1,1)-1)</f>
        <v>-2.2588478385132005E-2</v>
      </c>
      <c r="EH37" s="9">
        <f ca="1">IF(OR(EH10="",EH$28&lt;$A37),"",EH10/OFFSET(ParoRegESP!$A$2,MATCH(EH$29,ParoRegESP!$A$2:$A$500)+$A37-1,1)-1)</f>
        <v>-3.1515352820827847E-2</v>
      </c>
      <c r="EI37" s="9">
        <f ca="1">IF(OR(EI10="",EI$28&lt;$A37),"",EI10/OFFSET(ParoRegESP!$A$2,MATCH(EI$29,ParoRegESP!$A$2:$A$500)+$A37-1,1)-1)</f>
        <v>-1.5909815546780615E-2</v>
      </c>
      <c r="EJ37" s="9">
        <f ca="1">IF(OR(EJ10="",EJ$28&lt;$A37),"",EJ10/OFFSET(ParoRegESP!$A$2,MATCH(EJ$29,ParoRegESP!$A$2:$A$500)+$A37-1,1)-1)</f>
        <v>2.2597156122603934E-2</v>
      </c>
      <c r="EK37" s="9">
        <f ca="1">IF(OR(EK10="",EK$28&lt;$A37),"",EK10/OFFSET(ParoRegESP!$A$2,MATCH(EK$29,ParoRegESP!$A$2:$A$500)+$A37-1,1)-1)</f>
        <v>-5.5472395580413725E-3</v>
      </c>
      <c r="EL37" s="9">
        <f ca="1">IF(OR(EL10="",EL$28&lt;$A37),"",EL10/OFFSET(ParoRegESP!$A$2,MATCH(EL$29,ParoRegESP!$A$2:$A$500)+$A37-1,1)-1)</f>
        <v>1.4120727966597135E-2</v>
      </c>
      <c r="EM37" s="9">
        <f ca="1">IF(OR(EM10="",EM$28&lt;$A37),"",EM10/OFFSET(ParoRegESP!$A$2,MATCH(EM$29,ParoRegESP!$A$2:$A$500)+$A37-1,1)-1)</f>
        <v>3.3722657807333523E-2</v>
      </c>
      <c r="EN37" s="9">
        <f ca="1">IF(OR(EN10="",EN$28&lt;$A37),"",EN10/OFFSET(ParoRegESP!$A$2,MATCH(EN$29,ParoRegESP!$A$2:$A$500)+$A37-1,1)-1)</f>
        <v>4.7857089836159217E-2</v>
      </c>
      <c r="EO37" s="9">
        <f ca="1">IF(OR(EO10="",EO$28&lt;$A37),"",EO10/OFFSET(ParoRegESP!$A$2,MATCH(EO$29,ParoRegESP!$A$2:$A$500)+$A37-1,1)-1)</f>
        <v>2.0044524497145E-2</v>
      </c>
      <c r="EP37" s="9">
        <f ca="1">IF(OR(EP10="",EP$28&lt;$A37),"",EP10/OFFSET(ParoRegESP!$A$2,MATCH(EP$29,ParoRegESP!$A$2:$A$500)+$A37-1,1)-1)</f>
        <v>2.2399744270670707E-2</v>
      </c>
      <c r="EQ37" s="9">
        <f ca="1">IF(OR(EQ10="",EQ$28&lt;$A37),"",EQ10/OFFSET(ParoRegESP!$A$2,MATCH(EQ$29,ParoRegESP!$A$2:$A$500)+$A37-1,1)-1)</f>
        <v>-1.0739069552001546E-2</v>
      </c>
      <c r="ER37" s="9">
        <f ca="1">IF(OR(ER10="",ER$28&lt;$A37),"",ER10/OFFSET(ParoRegESP!$A$2,MATCH(ER$29,ParoRegESP!$A$2:$A$500)+$A37-1,1)-1)</f>
        <v>8.0561260736249363E-3</v>
      </c>
      <c r="ES37" s="9">
        <f ca="1">IF(OR(ES10="",ES$28&lt;$A37),"",ES10/OFFSET(ParoRegESP!$A$2,MATCH(ES$29,ParoRegESP!$A$2:$A$500)+$A37-1,1)-1)</f>
        <v>-6.7936158711100481E-3</v>
      </c>
      <c r="ET37" s="9">
        <f ca="1">IF(OR(ET10="",ET$28&lt;$A37),"",ET10/OFFSET(ParoRegESP!$A$2,MATCH(ET$29,ParoRegESP!$A$2:$A$500)+$A37-1,1)-1)</f>
        <v>2.6106583128396865E-2</v>
      </c>
      <c r="EU37" s="9">
        <f ca="1">IF(OR(EU10="",EU$28&lt;$A37),"",EU10/OFFSET(ParoRegESP!$A$2,MATCH(EU$29,ParoRegESP!$A$2:$A$500)+$A37-1,1)-1)</f>
        <v>2.3964762721936372E-2</v>
      </c>
      <c r="EV37" s="9">
        <f ca="1">IF(OR(EV10="",EV$28&lt;$A37),"",EV10/OFFSET(ParoRegESP!$A$2,MATCH(EV$29,ParoRegESP!$A$2:$A$500)+$A37-1,1)-1)</f>
        <v>5.8445868664525058E-4</v>
      </c>
      <c r="EW37" s="9">
        <f ca="1">IF(OR(EW10="",EW$28&lt;$A37),"",EW10/OFFSET(ParoRegESP!$A$2,MATCH(EW$29,ParoRegESP!$A$2:$A$500)+$A37-1,1)-1)</f>
        <v>1.4532833833591496E-4</v>
      </c>
      <c r="EX37" s="9">
        <f ca="1">IF(OR(EX10="",EX$28&lt;$A37),"",EX10/OFFSET(ParoRegESP!$A$2,MATCH(EX$29,ParoRegESP!$A$2:$A$500)+$A37-1,1)-1)</f>
        <v>2.4916428937725943E-2</v>
      </c>
      <c r="EY37" s="9">
        <f ca="1">IF(OR(EY10="",EY$28&lt;$A37),"",EY10/OFFSET(ParoRegESP!$A$2,MATCH(EY$29,ParoRegESP!$A$2:$A$500)+$A37-1,1)-1)</f>
        <v>3.5235390000079025E-2</v>
      </c>
      <c r="EZ37" s="9">
        <f ca="1">IF(OR(EZ10="",EZ$28&lt;$A37),"",EZ10/OFFSET(ParoRegESP!$A$2,MATCH(EZ$29,ParoRegESP!$A$2:$A$500)+$A37-1,1)-1)</f>
        <v>7.1069568935959726E-3</v>
      </c>
      <c r="FA37" s="9">
        <f ca="1">IF(OR(FA10="",FA$28&lt;$A37),"",FA10/OFFSET(ParoRegESP!$A$2,MATCH(FA$29,ParoRegESP!$A$2:$A$500)+$A37-1,1)-1)</f>
        <v>3.5366675076680565E-2</v>
      </c>
      <c r="FB37" s="9">
        <f ca="1">IF(OR(FB10="",FB$28&lt;$A37),"",FB10/OFFSET(ParoRegESP!$A$2,MATCH(FB$29,ParoRegESP!$A$2:$A$500)+$A37-1,1)-1)</f>
        <v>-2.5292661361160262E-2</v>
      </c>
      <c r="FC37" s="9">
        <f ca="1">IF(OR(FC10="",FC$28&lt;$A37),"",FC10/OFFSET(ParoRegESP!$A$2,MATCH(FC$29,ParoRegESP!$A$2:$A$500)+$A37-1,1)-1)</f>
        <v>-3.0338922551224279E-2</v>
      </c>
      <c r="FD37" s="9">
        <f ca="1">IF(OR(FD10="",FD$28&lt;$A37),"",FD10/OFFSET(ParoRegESP!$A$2,MATCH(FD$29,ParoRegESP!$A$2:$A$500)+$A37-1,1)-1)</f>
        <v>-3.2850090535792131E-2</v>
      </c>
      <c r="FE37" s="9">
        <f ca="1">IF(OR(FE10="",FE$28&lt;$A37),"",FE10/OFFSET(ParoRegESP!$A$2,MATCH(FE$29,ParoRegESP!$A$2:$A$500)+$A37-1,1)-1)</f>
        <v>-3.671204093077074E-2</v>
      </c>
      <c r="FF37" s="9">
        <f ca="1">IF(OR(FF10="",FF$28&lt;$A37),"",FF10/OFFSET(ParoRegESP!$A$2,MATCH(FF$29,ParoRegESP!$A$2:$A$500)+$A37-1,1)-1)</f>
        <v>-6.7316476599629249E-2</v>
      </c>
      <c r="FG37" s="9">
        <f ca="1">IF(OR(FG10="",FG$28&lt;$A37),"",FG10/OFFSET(ParoRegESP!$A$2,MATCH(FG$29,ParoRegESP!$A$2:$A$500)+$A37-1,1)-1)</f>
        <v>-4.8891027444910251E-2</v>
      </c>
      <c r="FH37" s="9">
        <f ca="1">IF(OR(FH10="",FH$28&lt;$A37),"",FH10/OFFSET(ParoRegESP!$A$2,MATCH(FH$29,ParoRegESP!$A$2:$A$500)+$A37-1,1)-1)</f>
        <v>-1.6675745776642215E-2</v>
      </c>
      <c r="FI37" s="9">
        <f ca="1">IF(OR(FI10="",FI$28&lt;$A37),"",FI10/OFFSET(ParoRegESP!$A$2,MATCH(FI$29,ParoRegESP!$A$2:$A$500)+$A37-1,1)-1)</f>
        <v>3.5173496842773933E-2</v>
      </c>
      <c r="FJ37" s="9">
        <f ca="1">IF(OR(FJ10="",FJ$28&lt;$A37),"",FJ10/OFFSET(ParoRegESP!$A$2,MATCH(FJ$29,ParoRegESP!$A$2:$A$500)+$A37-1,1)-1)</f>
        <v>5.0030046901770486E-2</v>
      </c>
      <c r="FK37" s="9">
        <f ca="1">IF(OR(FK10="",FK$28&lt;$A37),"",FK10/OFFSET(ParoRegESP!$A$2,MATCH(FK$29,ParoRegESP!$A$2:$A$500)+$A37-1,1)-1)</f>
        <v>2.7327664066393753E-2</v>
      </c>
      <c r="FL37" s="9">
        <f ca="1">IF(OR(FL10="",FL$28&lt;$A37),"",FL10/OFFSET(ParoRegESP!$A$2,MATCH(FL$29,ParoRegESP!$A$2:$A$500)+$A37-1,1)-1)</f>
        <v>8.2005299008174326E-3</v>
      </c>
      <c r="FM37" s="9">
        <f ca="1">IF(OR(FM10="",FM$28&lt;$A37),"",FM10/OFFSET(ParoRegESP!$A$2,MATCH(FM$29,ParoRegESP!$A$2:$A$500)+$A37-1,1)-1)</f>
        <v>-9.9575721773812464E-3</v>
      </c>
      <c r="FN37" s="9">
        <f ca="1">IF(OR(FN10="",FN$28&lt;$A37),"",FN10/OFFSET(ParoRegESP!$A$2,MATCH(FN$29,ParoRegESP!$A$2:$A$500)+$A37-1,1)-1)</f>
        <v>-1.0919623794356959E-2</v>
      </c>
      <c r="FO37" s="9">
        <f ca="1">IF(OR(FO10="",FO$28&lt;$A37),"",FO10/OFFSET(ParoRegESP!$A$2,MATCH(FO$29,ParoRegESP!$A$2:$A$500)+$A37-1,1)-1)</f>
        <v>-2.2759707072460778E-2</v>
      </c>
      <c r="FP37" s="9">
        <f ca="1">IF(OR(FP10="",FP$28&lt;$A37),"",FP10/OFFSET(ParoRegESP!$A$2,MATCH(FP$29,ParoRegESP!$A$2:$A$500)+$A37-1,1)-1)</f>
        <v>-2.4816805258434438E-2</v>
      </c>
      <c r="FQ37" s="9">
        <f ca="1">IF(OR(FQ10="",FQ$28&lt;$A37),"",FQ10/OFFSET(ParoRegESP!$A$2,MATCH(FQ$29,ParoRegESP!$A$2:$A$500)+$A37-1,1)-1)</f>
        <v>-1.7043780311073564E-2</v>
      </c>
      <c r="FR37" s="9">
        <f ca="1">IF(OR(FR10="",FR$28&lt;$A37),"",FR10/OFFSET(ParoRegESP!$A$2,MATCH(FR$29,ParoRegESP!$A$2:$A$500)+$A37-1,1)-1)</f>
        <v>1.1925295163908167E-3</v>
      </c>
      <c r="FS37" s="9">
        <f ca="1">IF(OR(FS10="",FS$28&lt;$A37),"",FS10/OFFSET(ParoRegESP!$A$2,MATCH(FS$29,ParoRegESP!$A$2:$A$500)+$A37-1,1)-1)</f>
        <v>1.771249411539122E-2</v>
      </c>
      <c r="FT37" s="9">
        <f ca="1">IF(OR(FT10="",FT$28&lt;$A37),"",FT10/OFFSET(ParoRegESP!$A$2,MATCH(FT$29,ParoRegESP!$A$2:$A$500)+$A37-1,1)-1)</f>
        <v>1.9226811535955513E-2</v>
      </c>
      <c r="FU37" s="9">
        <f ca="1">IF(OR(FU10="",FU$28&lt;$A37),"",FU10/OFFSET(ParoRegESP!$A$2,MATCH(FU$29,ParoRegESP!$A$2:$A$500)+$A37-1,1)-1)</f>
        <v>2.4716072113228904E-2</v>
      </c>
      <c r="FV37" s="9">
        <f ca="1">IF(OR(FV10="",FV$28&lt;$A37),"",FV10/OFFSET(ParoRegESP!$A$2,MATCH(FV$29,ParoRegESP!$A$2:$A$500)+$A37-1,1)-1)</f>
        <v>3.0100079917722233E-2</v>
      </c>
      <c r="FW37" s="9">
        <f ca="1">IF(OR(FW10="",FW$28&lt;$A37),"",FW10/OFFSET(ParoRegESP!$A$2,MATCH(FW$29,ParoRegESP!$A$2:$A$500)+$A37-1,1)-1)</f>
        <v>1.6015723066054699E-2</v>
      </c>
      <c r="FX37" s="9">
        <f ca="1">IF(OR(FX10="",FX$28&lt;$A37),"",FX10/OFFSET(ParoRegESP!$A$2,MATCH(FX$29,ParoRegESP!$A$2:$A$500)+$A37-1,1)-1)</f>
        <v>-1.4845060434333313E-2</v>
      </c>
      <c r="FY37" s="9">
        <f ca="1">IF(OR(FY10="",FY$28&lt;$A37),"",FY10/OFFSET(ParoRegESP!$A$2,MATCH(FY$29,ParoRegESP!$A$2:$A$500)+$A37-1,1)-1)</f>
        <v>-4.1697095253825256E-2</v>
      </c>
      <c r="FZ37" s="9">
        <f ca="1">IF(OR(FZ10="",FZ$28&lt;$A37),"",FZ10/OFFSET(ParoRegESP!$A$2,MATCH(FZ$29,ParoRegESP!$A$2:$A$500)+$A37-1,1)-1)</f>
        <v>-3.0994768877556922E-2</v>
      </c>
      <c r="GA37" s="9">
        <f ca="1">IF(OR(GA10="",GA$28&lt;$A37),"",GA10/OFFSET(ParoRegESP!$A$2,MATCH(GA$29,ParoRegESP!$A$2:$A$500)+$A37-1,1)-1)</f>
        <v>-2.3045840568264309E-2</v>
      </c>
      <c r="GB37" s="9">
        <f ca="1">IF(OR(GB10="",GB$28&lt;$A37),"",GB10/OFFSET(ParoRegESP!$A$2,MATCH(GB$29,ParoRegESP!$A$2:$A$500)+$A37-1,1)-1)</f>
        <v>-3.7557192926656047E-2</v>
      </c>
      <c r="GC37" s="9">
        <f ca="1">IF(OR(GC10="",GC$28&lt;$A37),"",GC10/OFFSET(ParoRegESP!$A$2,MATCH(GC$29,ParoRegESP!$A$2:$A$500)+$A37-1,1)-1)</f>
        <v>-3.8258169829495037E-2</v>
      </c>
      <c r="GD37" s="9">
        <f ca="1">IF(OR(GD10="",GD$28&lt;$A37),"",GD10/OFFSET(ParoRegESP!$A$2,MATCH(GD$29,ParoRegESP!$A$2:$A$500)+$A37-1,1)-1)</f>
        <v>-3.6456974539000764E-2</v>
      </c>
      <c r="GE37" s="9">
        <f ca="1">IF(OR(GE10="",GE$28&lt;$A37),"",GE10/OFFSET(ParoRegESP!$A$2,MATCH(GE$29,ParoRegESP!$A$2:$A$500)+$A37-1,1)-1)</f>
        <v>-3.7265758474823163E-2</v>
      </c>
      <c r="GF37" s="9">
        <f ca="1">IF(OR(GF10="",GF$28&lt;$A37),"",GF10/OFFSET(ParoRegESP!$A$2,MATCH(GF$29,ParoRegESP!$A$2:$A$500)+$A37-1,1)-1)</f>
        <v>2.5921956580901018E-3</v>
      </c>
      <c r="GG37" s="9">
        <f ca="1">IF(OR(GG10="",GG$28&lt;$A37),"",GG10/OFFSET(ParoRegESP!$A$2,MATCH(GG$29,ParoRegESP!$A$2:$A$500)+$A37-1,1)-1)</f>
        <v>-7.8891893781286804E-2</v>
      </c>
      <c r="GH37" s="9">
        <f ca="1">IF(OR(GH10="",GH$28&lt;$A37),"",GH10/OFFSET(ParoRegESP!$A$2,MATCH(GH$29,ParoRegESP!$A$2:$A$500)+$A37-1,1)-1)</f>
        <v>-0.16825882799507941</v>
      </c>
      <c r="GI37" s="9">
        <f ca="1">IF(OR(GI10="",GI$28&lt;$A37),"",GI10/OFFSET(ParoRegESP!$A$2,MATCH(GI$29,ParoRegESP!$A$2:$A$500)+$A37-1,1)-1)</f>
        <v>-0.20872334576273088</v>
      </c>
      <c r="GJ37" s="9">
        <f ca="1">IF(OR(GJ10="",GJ$28&lt;$A37),"",GJ10/OFFSET(ParoRegESP!$A$2,MATCH(GJ$29,ParoRegESP!$A$2:$A$500)+$A37-1,1)-1)</f>
        <v>-0.19378550927339355</v>
      </c>
      <c r="GK37" s="9">
        <f ca="1">IF(OR(GK10="",GK$28&lt;$A37),"",GK10/OFFSET(ParoRegESP!$A$2,MATCH(GK$29,ParoRegESP!$A$2:$A$500)+$A37-1,1)-1)</f>
        <v>-0.19686606870375811</v>
      </c>
      <c r="GL37" s="9">
        <f ca="1">IF(OR(GL10="",GL$28&lt;$A37),"",GL10/OFFSET(ParoRegESP!$A$2,MATCH(GL$29,ParoRegESP!$A$2:$A$500)+$A37-1,1)-1)</f>
        <v>-0.19320752751071968</v>
      </c>
      <c r="GM37" s="9">
        <f ca="1">IF(OR(GM10="",GM$28&lt;$A37),"",GM10/OFFSET(ParoRegESP!$A$2,MATCH(GM$29,ParoRegESP!$A$2:$A$500)+$A37-1,1)-1)</f>
        <v>-0.18346904126217867</v>
      </c>
      <c r="GN37" s="9">
        <f ca="1">IF(OR(GN10="",GN$28&lt;$A37),"",GN10/OFFSET(ParoRegESP!$A$2,MATCH(GN$29,ParoRegESP!$A$2:$A$500)+$A37-1,1)-1)</f>
        <v>-0.19539725099357386</v>
      </c>
      <c r="GO37" s="9">
        <f ca="1">IF(OR(GO10="",GO$28&lt;$A37),"",GO10/OFFSET(ParoRegESP!$A$2,MATCH(GO$29,ParoRegESP!$A$2:$A$500)+$A37-1,1)-1)</f>
        <v>-1.9130417113517817E-2</v>
      </c>
      <c r="GP37" s="9">
        <f ca="1">IF(OR(GP10="",GP$28&lt;$A37),"",GP10/OFFSET(ParoRegESP!$A$2,MATCH(GP$29,ParoRegESP!$A$2:$A$500)+$A37-1,1)-1)</f>
        <v>0.26734948100918876</v>
      </c>
      <c r="GQ37" s="9">
        <f ca="1">IF(OR(GQ10="",GQ$28&lt;$A37),"",GQ10/OFFSET(ParoRegESP!$A$2,MATCH(GQ$29,ParoRegESP!$A$2:$A$500)+$A37-1,1)-1)</f>
        <v>0.17239454027155121</v>
      </c>
      <c r="GR37" s="9" t="str">
        <f ca="1">IF(OR(GR10="",GR$28&lt;$A37),"",GR10/OFFSET(ParoRegESP!$A$2,MATCH(GR$29,ParoRegESP!$A$2:$A$500)+$A37-1,1)-1)</f>
        <v/>
      </c>
      <c r="GS37" s="9" t="str">
        <f ca="1">IF(OR(GS10="",GS$28&lt;$A37),"",GS10/OFFSET(ParoRegESP!$A$2,MATCH(GS$29,ParoRegESP!$A$2:$A$500)+$A37-1,1)-1)</f>
        <v/>
      </c>
      <c r="GT37" s="9" t="str">
        <f ca="1">IF(OR(GT10="",GT$28&lt;$A37),"",GT10/OFFSET(ParoRegESP!$A$2,MATCH(GT$29,ParoRegESP!$A$2:$A$500)+$A37-1,1)-1)</f>
        <v/>
      </c>
      <c r="GU37" s="9" t="str">
        <f ca="1">IF(OR(GU10="",GU$28&lt;$A37),"",GU10/OFFSET(ParoRegESP!$A$2,MATCH(GU$29,ParoRegESP!$A$2:$A$500)+$A37-1,1)-1)</f>
        <v/>
      </c>
      <c r="GV37" s="9" t="str">
        <f ca="1">IF(OR(GV10="",GV$28&lt;$A37),"",GV10/OFFSET(ParoRegESP!$A$2,MATCH(GV$29,ParoRegESP!$A$2:$A$500)+$A37-1,1)-1)</f>
        <v/>
      </c>
      <c r="GW37" s="9" t="str">
        <f ca="1">IF(OR(GW10="",GW$28&lt;$A37),"",GW10/OFFSET(ParoRegESP!$A$2,MATCH(GW$29,ParoRegESP!$A$2:$A$500)+$A37-1,1)-1)</f>
        <v/>
      </c>
      <c r="GX37" s="9" t="str">
        <f ca="1">IF(OR(GX10="",GX$28&lt;$A37),"",GX10/OFFSET(ParoRegESP!$A$2,MATCH(GX$29,ParoRegESP!$A$2:$A$500)+$A37-1,1)-1)</f>
        <v/>
      </c>
      <c r="GY37" s="9" t="str">
        <f ca="1">IF(OR(GY10="",GY$28&lt;$A37),"",GY10/OFFSET(ParoRegESP!$A$2,MATCH(GY$29,ParoRegESP!$A$2:$A$500)+$A37-1,1)-1)</f>
        <v/>
      </c>
      <c r="GZ37" s="9" t="str">
        <f ca="1">IF(OR(GZ10="",GZ$28&lt;$A37),"",GZ10/OFFSET(ParoRegESP!$A$2,MATCH(GZ$29,ParoRegESP!$A$2:$A$500)+$A37-1,1)-1)</f>
        <v/>
      </c>
      <c r="HA37" s="9" t="str">
        <f ca="1">IF(OR(HA10="",HA$28&lt;$A37),"",HA10/OFFSET(ParoRegESP!$A$2,MATCH(HA$29,ParoRegESP!$A$2:$A$500)+$A37-1,1)-1)</f>
        <v/>
      </c>
      <c r="HB37" s="9" t="str">
        <f ca="1">IF(OR(HB10="",HB$28&lt;$A37),"",HB10/OFFSET(ParoRegESP!$A$2,MATCH(HB$29,ParoRegESP!$A$2:$A$500)+$A37-1,1)-1)</f>
        <v/>
      </c>
      <c r="HC37" s="9" t="str">
        <f ca="1">IF(OR(HC10="",HC$28&lt;$A37),"",HC10/OFFSET(ParoRegESP!$A$2,MATCH(HC$29,ParoRegESP!$A$2:$A$500)+$A37-1,1)-1)</f>
        <v/>
      </c>
      <c r="HD37" s="9" t="str">
        <f ca="1">IF(OR(HD10="",HD$28&lt;$A37),"",HD10/OFFSET(ParoRegESP!$A$2,MATCH(HD$29,ParoRegESP!$A$2:$A$500)+$A37-1,1)-1)</f>
        <v/>
      </c>
      <c r="HE37" s="9" t="str">
        <f ca="1">IF(OR(HE10="",HE$28&lt;$A37),"",HE10/OFFSET(ParoRegESP!$A$2,MATCH(HE$29,ParoRegESP!$A$2:$A$500)+$A37-1,1)-1)</f>
        <v/>
      </c>
      <c r="HF37" s="9" t="str">
        <f ca="1">IF(OR(HF10="",HF$28&lt;$A37),"",HF10/OFFSET(ParoRegESP!$A$2,MATCH(HF$29,ParoRegESP!$A$2:$A$500)+$A37-1,1)-1)</f>
        <v/>
      </c>
      <c r="HG37" s="9" t="str">
        <f ca="1">IF(OR(HG10="",HG$28&lt;$A37),"",HG10/OFFSET(ParoRegESP!$A$2,MATCH(HG$29,ParoRegESP!$A$2:$A$500)+$A37-1,1)-1)</f>
        <v/>
      </c>
      <c r="HH37" s="9" t="str">
        <f ca="1">IF(OR(HH10="",HH$28&lt;$A37),"",HH10/OFFSET(ParoRegESP!$A$2,MATCH(HH$29,ParoRegESP!$A$2:$A$500)+$A37-1,1)-1)</f>
        <v/>
      </c>
      <c r="HI37" s="9" t="str">
        <f ca="1">IF(OR(HI10="",HI$28&lt;$A37),"",HI10/OFFSET(ParoRegESP!$A$2,MATCH(HI$29,ParoRegESP!$A$2:$A$500)+$A37-1,1)-1)</f>
        <v/>
      </c>
      <c r="HJ37" s="9" t="str">
        <f ca="1">IF(OR(HJ10="",HJ$28&lt;$A37),"",HJ10/OFFSET(ParoRegESP!$A$2,MATCH(HJ$29,ParoRegESP!$A$2:$A$500)+$A37-1,1)-1)</f>
        <v/>
      </c>
      <c r="HK37" s="9" t="str">
        <f ca="1">IF(OR(HK10="",HK$28&lt;$A37),"",HK10/OFFSET(ParoRegESP!$A$2,MATCH(HK$29,ParoRegESP!$A$2:$A$500)+$A37-1,1)-1)</f>
        <v/>
      </c>
      <c r="HL37" s="9" t="str">
        <f ca="1">IF(OR(HL10="",HL$28&lt;$A37),"",HL10/OFFSET(ParoRegESP!$A$2,MATCH(HL$29,ParoRegESP!$A$2:$A$500)+$A37-1,1)-1)</f>
        <v/>
      </c>
      <c r="HM37" s="9" t="str">
        <f ca="1">IF(OR(HM10="",HM$28&lt;$A37),"",HM10/OFFSET(ParoRegESP!$A$2,MATCH(HM$29,ParoRegESP!$A$2:$A$500)+$A37-1,1)-1)</f>
        <v/>
      </c>
      <c r="HN37" s="9" t="str">
        <f ca="1">IF(OR(HN10="",HN$28&lt;$A37),"",HN10/OFFSET(ParoRegESP!$A$2,MATCH(HN$29,ParoRegESP!$A$2:$A$500)+$A37-1,1)-1)</f>
        <v/>
      </c>
      <c r="HO37" s="9" t="str">
        <f ca="1">IF(OR(HO10="",HO$28&lt;$A37),"",HO10/OFFSET(ParoRegESP!$A$2,MATCH(HO$29,ParoRegESP!$A$2:$A$500)+$A37-1,1)-1)</f>
        <v/>
      </c>
      <c r="HP37" s="9" t="str">
        <f ca="1">IF(OR(HP10="",HP$28&lt;$A37),"",HP10/OFFSET(ParoRegESP!$A$2,MATCH(HP$29,ParoRegESP!$A$2:$A$500)+$A37-1,1)-1)</f>
        <v/>
      </c>
      <c r="HQ37" s="9" t="str">
        <f ca="1">IF(OR(HQ10="",HQ$28&lt;$A37),"",HQ10/OFFSET(ParoRegESP!$A$2,MATCH(HQ$29,ParoRegESP!$A$2:$A$500)+$A37-1,1)-1)</f>
        <v/>
      </c>
      <c r="HR37" s="9" t="str">
        <f ca="1">IF(OR(HR10="",HR$28&lt;$A37),"",HR10/OFFSET(ParoRegESP!$A$2,MATCH(HR$29,ParoRegESP!$A$2:$A$500)+$A37-1,1)-1)</f>
        <v/>
      </c>
      <c r="HS37" s="9" t="str">
        <f ca="1">IF(OR(HS10="",HS$28&lt;$A37),"",HS10/OFFSET(ParoRegESP!$A$2,MATCH(HS$29,ParoRegESP!$A$2:$A$500)+$A37-1,1)-1)</f>
        <v/>
      </c>
      <c r="HT37" s="9" t="str">
        <f ca="1">IF(OR(HT10="",HT$28&lt;$A37),"",HT10/OFFSET(ParoRegESP!$A$2,MATCH(HT$29,ParoRegESP!$A$2:$A$500)+$A37-1,1)-1)</f>
        <v/>
      </c>
      <c r="HU37" s="9" t="str">
        <f ca="1">IF(OR(HU10="",HU$28&lt;$A37),"",HU10/OFFSET(ParoRegESP!$A$2,MATCH(HU$29,ParoRegESP!$A$2:$A$500)+$A37-1,1)-1)</f>
        <v/>
      </c>
      <c r="HV37" s="9" t="str">
        <f ca="1">IF(OR(HV10="",HV$28&lt;$A37),"",HV10/OFFSET(ParoRegESP!$A$2,MATCH(HV$29,ParoRegESP!$A$2:$A$500)+$A37-1,1)-1)</f>
        <v/>
      </c>
      <c r="HW37" s="9" t="str">
        <f ca="1">IF(OR(HW10="",HW$28&lt;$A37),"",HW10/OFFSET(ParoRegESP!$A$2,MATCH(HW$29,ParoRegESP!$A$2:$A$500)+$A37-1,1)-1)</f>
        <v/>
      </c>
      <c r="HX37" s="9" t="str">
        <f ca="1">IF(OR(HX10="",HX$28&lt;$A37),"",HX10/OFFSET(ParoRegESP!$A$2,MATCH(HX$29,ParoRegESP!$A$2:$A$500)+$A37-1,1)-1)</f>
        <v/>
      </c>
      <c r="HY37" s="9" t="str">
        <f ca="1">IF(OR(HY10="",HY$28&lt;$A37),"",HY10/OFFSET(ParoRegESP!$A$2,MATCH(HY$29,ParoRegESP!$A$2:$A$500)+$A37-1,1)-1)</f>
        <v/>
      </c>
      <c r="HZ37" s="9" t="str">
        <f ca="1">IF(OR(HZ10="",HZ$28&lt;$A37),"",HZ10/OFFSET(ParoRegESP!$A$2,MATCH(HZ$29,ParoRegESP!$A$2:$A$500)+$A37-1,1)-1)</f>
        <v/>
      </c>
      <c r="IA37" s="9" t="str">
        <f ca="1">IF(OR(IA10="",IA$28&lt;$A37),"",IA10/OFFSET(ParoRegESP!$A$2,MATCH(IA$29,ParoRegESP!$A$2:$A$500)+$A37-1,1)-1)</f>
        <v/>
      </c>
      <c r="IB37" s="9" t="str">
        <f ca="1">IF(OR(IB10="",IB$28&lt;$A37),"",IB10/OFFSET(ParoRegESP!$A$2,MATCH(IB$29,ParoRegESP!$A$2:$A$500)+$A37-1,1)-1)</f>
        <v/>
      </c>
      <c r="IC37" s="9" t="str">
        <f ca="1">IF(OR(IC10="",IC$28&lt;$A37),"",IC10/OFFSET(ParoRegESP!$A$2,MATCH(IC$29,ParoRegESP!$A$2:$A$500)+$A37-1,1)-1)</f>
        <v/>
      </c>
      <c r="ID37" s="9" t="str">
        <f ca="1">IF(OR(ID10="",ID$28&lt;$A37),"",ID10/OFFSET(ParoRegESP!$A$2,MATCH(ID$29,ParoRegESP!$A$2:$A$500)+$A37-1,1)-1)</f>
        <v/>
      </c>
      <c r="IE37" s="9" t="str">
        <f ca="1">IF(OR(IE10="",IE$28&lt;$A37),"",IE10/OFFSET(ParoRegESP!$A$2,MATCH(IE$29,ParoRegESP!$A$2:$A$500)+$A37-1,1)-1)</f>
        <v/>
      </c>
      <c r="IF37" s="9" t="str">
        <f ca="1">IF(OR(IF10="",IF$28&lt;$A37),"",IF10/OFFSET(ParoRegESP!$A$2,MATCH(IF$29,ParoRegESP!$A$2:$A$500)+$A37-1,1)-1)</f>
        <v/>
      </c>
      <c r="IG37" s="9" t="str">
        <f ca="1">IF(OR(IG10="",IG$28&lt;$A37),"",IG10/OFFSET(ParoRegESP!$A$2,MATCH(IG$29,ParoRegESP!$A$2:$A$500)+$A37-1,1)-1)</f>
        <v/>
      </c>
      <c r="IH37" s="9" t="str">
        <f ca="1">IF(OR(IH10="",IH$28&lt;$A37),"",IH10/OFFSET(ParoRegESP!$A$2,MATCH(IH$29,ParoRegESP!$A$2:$A$500)+$A37-1,1)-1)</f>
        <v/>
      </c>
      <c r="II37" s="9" t="str">
        <f ca="1">IF(OR(II10="",II$28&lt;$A37),"",II10/OFFSET(ParoRegESP!$A$2,MATCH(II$29,ParoRegESP!$A$2:$A$500)+$A37-1,1)-1)</f>
        <v/>
      </c>
      <c r="IJ37" s="9" t="str">
        <f ca="1">IF(OR(IJ10="",IJ$28&lt;$A37),"",IJ10/OFFSET(ParoRegESP!$A$2,MATCH(IJ$29,ParoRegESP!$A$2:$A$500)+$A37-1,1)-1)</f>
        <v/>
      </c>
      <c r="IK37" s="9" t="str">
        <f ca="1">IF(OR(IK10="",IK$28&lt;$A37),"",IK10/OFFSET(ParoRegESP!$A$2,MATCH(IK$29,ParoRegESP!$A$2:$A$500)+$A37-1,1)-1)</f>
        <v/>
      </c>
      <c r="IL37" s="9" t="str">
        <f ca="1">IF(OR(IL10="",IL$28&lt;$A37),"",IL10/OFFSET(ParoRegESP!$A$2,MATCH(IL$29,ParoRegESP!$A$2:$A$500)+$A37-1,1)-1)</f>
        <v/>
      </c>
      <c r="IM37" s="9" t="str">
        <f ca="1">IF(OR(IM10="",IM$28&lt;$A37),"",IM10/OFFSET(ParoRegESP!$A$2,MATCH(IM$29,ParoRegESP!$A$2:$A$500)+$A37-1,1)-1)</f>
        <v/>
      </c>
      <c r="IN37" s="9" t="str">
        <f ca="1">IF(OR(IN10="",IN$28&lt;$A37),"",IN10/OFFSET(ParoRegESP!$A$2,MATCH(IN$29,ParoRegESP!$A$2:$A$500)+$A37-1,1)-1)</f>
        <v/>
      </c>
      <c r="IO37" s="9" t="str">
        <f ca="1">IF(OR(IO10="",IO$28&lt;$A37),"",IO10/OFFSET(ParoRegESP!$A$2,MATCH(IO$29,ParoRegESP!$A$2:$A$500)+$A37-1,1)-1)</f>
        <v/>
      </c>
      <c r="IP37" s="9" t="str">
        <f ca="1">IF(OR(IP10="",IP$28&lt;$A37),"",IP10/OFFSET(ParoRegESP!$A$2,MATCH(IP$29,ParoRegESP!$A$2:$A$500)+$A37-1,1)-1)</f>
        <v/>
      </c>
      <c r="IQ37" s="9" t="str">
        <f ca="1">IF(OR(IQ10="",IQ$28&lt;$A37),"",IQ10/OFFSET(ParoRegESP!$A$2,MATCH(IQ$29,ParoRegESP!$A$2:$A$500)+$A37-1,1)-1)</f>
        <v/>
      </c>
      <c r="IR37" s="9" t="str">
        <f ca="1">IF(OR(IR10="",IR$28&lt;$A37),"",IR10/OFFSET(ParoRegESP!$A$2,MATCH(IR$29,ParoRegESP!$A$2:$A$500)+$A37-1,1)-1)</f>
        <v/>
      </c>
      <c r="IS37" s="9" t="str">
        <f ca="1">IF(OR(IS10="",IS$28&lt;$A37),"",IS10/OFFSET(ParoRegESP!$A$2,MATCH(IS$29,ParoRegESP!$A$2:$A$500)+$A37-1,1)-1)</f>
        <v/>
      </c>
      <c r="IT37" s="9" t="str">
        <f ca="1">IF(OR(IT10="",IT$28&lt;$A37),"",IT10/OFFSET(ParoRegESP!$A$2,MATCH(IT$29,ParoRegESP!$A$2:$A$500)+$A37-1,1)-1)</f>
        <v/>
      </c>
      <c r="IU37" s="9" t="str">
        <f ca="1">IF(OR(IU10="",IU$28&lt;$A37),"",IU10/OFFSET(ParoRegESP!$A$2,MATCH(IU$29,ParoRegESP!$A$2:$A$500)+$A37-1,1)-1)</f>
        <v/>
      </c>
      <c r="IV37" s="9" t="str">
        <f ca="1">IF(OR(IV10="",IV$28&lt;$A37),"",IV10/OFFSET(ParoRegESP!$A$2,MATCH(IV$29,ParoRegESP!$A$2:$A$500)+$A37-1,1)-1)</f>
        <v/>
      </c>
      <c r="IW37" s="9" t="str">
        <f ca="1">IF(OR(IW10="",IW$28&lt;$A37),"",IW10/OFFSET(ParoRegESP!$A$2,MATCH(IW$29,ParoRegESP!$A$2:$A$500)+$A37-1,1)-1)</f>
        <v/>
      </c>
      <c r="IX37" s="9" t="str">
        <f ca="1">IF(OR(IX10="",IX$28&lt;$A37),"",IX10/OFFSET(ParoRegESP!$A$2,MATCH(IX$29,ParoRegESP!$A$2:$A$500)+$A37-1,1)-1)</f>
        <v/>
      </c>
      <c r="IY37" s="9" t="str">
        <f ca="1">IF(OR(IY10="",IY$28&lt;$A37),"",IY10/OFFSET(ParoRegESP!$A$2,MATCH(IY$29,ParoRegESP!$A$2:$A$500)+$A37-1,1)-1)</f>
        <v/>
      </c>
      <c r="IZ37" s="9" t="str">
        <f ca="1">IF(OR(IZ10="",IZ$28&lt;$A37),"",IZ10/OFFSET(ParoRegESP!$A$2,MATCH(IZ$29,ParoRegESP!$A$2:$A$500)+$A37-1,1)-1)</f>
        <v/>
      </c>
      <c r="JA37" s="9" t="str">
        <f ca="1">IF(OR(JA10="",JA$28&lt;$A37),"",JA10/OFFSET(ParoRegESP!$A$2,MATCH(JA$29,ParoRegESP!$A$2:$A$500)+$A37-1,1)-1)</f>
        <v/>
      </c>
      <c r="JB37" s="9" t="str">
        <f ca="1">IF(OR(JB10="",JB$28&lt;$A37),"",JB10/OFFSET(ParoRegESP!$A$2,MATCH(JB$29,ParoRegESP!$A$2:$A$500)+$A37-1,1)-1)</f>
        <v/>
      </c>
      <c r="JC37" s="9" t="str">
        <f ca="1">IF(OR(JC10="",JC$28&lt;$A37),"",JC10/OFFSET(ParoRegESP!$A$2,MATCH(JC$29,ParoRegESP!$A$2:$A$500)+$A37-1,1)-1)</f>
        <v/>
      </c>
      <c r="JD37" s="9" t="str">
        <f ca="1">IF(OR(JD10="",JD$28&lt;$A37),"",JD10/OFFSET(ParoRegESP!$A$2,MATCH(JD$29,ParoRegESP!$A$2:$A$500)+$A37-1,1)-1)</f>
        <v/>
      </c>
      <c r="JE37" s="9" t="str">
        <f ca="1">IF(OR(JE10="",JE$28&lt;$A37),"",JE10/OFFSET(ParoRegESP!$A$2,MATCH(JE$29,ParoRegESP!$A$2:$A$500)+$A37-1,1)-1)</f>
        <v/>
      </c>
      <c r="JF37" s="9" t="str">
        <f ca="1">IF(OR(JF10="",JF$28&lt;$A37),"",JF10/OFFSET(ParoRegESP!$A$2,MATCH(JF$29,ParoRegESP!$A$2:$A$500)+$A37-1,1)-1)</f>
        <v/>
      </c>
      <c r="JG37" s="9" t="str">
        <f ca="1">IF(OR(JG10="",JG$28&lt;$A37),"",JG10/OFFSET(ParoRegESP!$A$2,MATCH(JG$29,ParoRegESP!$A$2:$A$500)+$A37-1,1)-1)</f>
        <v/>
      </c>
      <c r="JH37" s="9" t="str">
        <f ca="1">IF(OR(JH10="",JH$28&lt;$A37),"",JH10/OFFSET(ParoRegESP!$A$2,MATCH(JH$29,ParoRegESP!$A$2:$A$500)+$A37-1,1)-1)</f>
        <v/>
      </c>
      <c r="JI37" s="13">
        <f t="shared" ca="1" si="13"/>
        <v>-4.3096096163247909E-2</v>
      </c>
      <c r="JJ37" s="13">
        <f t="shared" ca="1" si="14"/>
        <v>-3.0994768877556922E-2</v>
      </c>
      <c r="JK37" s="14">
        <f t="shared" ca="1" si="15"/>
        <v>1.2103449307247112E-2</v>
      </c>
      <c r="JL37" s="17">
        <f t="shared" ca="1" si="18"/>
        <v>0.1100156775520976</v>
      </c>
      <c r="JM37" s="15" t="str">
        <f t="shared" ca="1" si="16"/>
        <v>[ -26,31% ; 17,69% ]</v>
      </c>
      <c r="JN37" s="17">
        <f t="shared" ca="1" si="17"/>
        <v>0.14082006726668492</v>
      </c>
      <c r="LY37" s="1"/>
    </row>
    <row r="38" spans="1:337" x14ac:dyDescent="0.25">
      <c r="A38" s="4">
        <v>9</v>
      </c>
      <c r="B38" s="9">
        <f ca="1">IF(OR(B11="",B$28&lt;$A38),"",B11/OFFSET(ParoRegESP!$A$2,MATCH(B$29,ParoRegESP!$A$2:$A$500)+$A38-1,1)-1)</f>
        <v>4.3177727603744165E-2</v>
      </c>
      <c r="C38" s="9">
        <f ca="1">IF(OR(C11="",C$28&lt;$A38),"",C11/OFFSET(ParoRegESP!$A$2,MATCH(C$29,ParoRegESP!$A$2:$A$500)+$A38-1,1)-1)</f>
        <v>4.8519227593687653E-2</v>
      </c>
      <c r="D38" s="9">
        <f ca="1">IF(OR(D11="",D$28&lt;$A38),"",D11/OFFSET(ParoRegESP!$A$2,MATCH(D$29,ParoRegESP!$A$2:$A$500)+$A38-1,1)-1)</f>
        <v>2.9810247317672234E-2</v>
      </c>
      <c r="E38" s="9">
        <f ca="1">IF(OR(E11="",E$28&lt;$A38),"",E11/OFFSET(ParoRegESP!$A$2,MATCH(E$29,ParoRegESP!$A$2:$A$500)+$A38-1,1)-1)</f>
        <v>4.2263478110051489E-2</v>
      </c>
      <c r="F38" s="9">
        <f ca="1">IF(OR(F11="",F$28&lt;$A38),"",F11/OFFSET(ParoRegESP!$A$2,MATCH(F$29,ParoRegESP!$A$2:$A$500)+$A38-1,1)-1)</f>
        <v>4.3951710490439666E-2</v>
      </c>
      <c r="G38" s="9">
        <f ca="1">IF(OR(G11="",G$28&lt;$A38),"",G11/OFFSET(ParoRegESP!$A$2,MATCH(G$29,ParoRegESP!$A$2:$A$500)+$A38-1,1)-1)</f>
        <v>4.9697224472585955E-2</v>
      </c>
      <c r="H38" s="9">
        <f ca="1">IF(OR(H11="",H$28&lt;$A38),"",H11/OFFSET(ParoRegESP!$A$2,MATCH(H$29,ParoRegESP!$A$2:$A$500)+$A38-1,1)-1)</f>
        <v>3.9920832969321918E-2</v>
      </c>
      <c r="I38" s="9">
        <f ca="1">IF(OR(I11="",I$28&lt;$A38),"",I11/OFFSET(ParoRegESP!$A$2,MATCH(I$29,ParoRegESP!$A$2:$A$500)+$A38-1,1)-1)</f>
        <v>4.2281296355221709E-2</v>
      </c>
      <c r="J38" s="9">
        <f ca="1">IF(OR(J11="",J$28&lt;$A38),"",J11/OFFSET(ParoRegESP!$A$2,MATCH(J$29,ParoRegESP!$A$2:$A$500)+$A38-1,1)-1)</f>
        <v>5.8602444130233966E-2</v>
      </c>
      <c r="K38" s="9">
        <f ca="1">IF(OR(K11="",K$28&lt;$A38),"",K11/OFFSET(ParoRegESP!$A$2,MATCH(K$29,ParoRegESP!$A$2:$A$500)+$A38-1,1)-1)</f>
        <v>4.2243685676361276E-2</v>
      </c>
      <c r="L38" s="9">
        <f ca="1">IF(OR(L11="",L$28&lt;$A38),"",L11/OFFSET(ParoRegESP!$A$2,MATCH(L$29,ParoRegESP!$A$2:$A$500)+$A38-1,1)-1)</f>
        <v>1.3060732711039469E-2</v>
      </c>
      <c r="M38" s="9">
        <f ca="1">IF(OR(M11="",M$28&lt;$A38),"",M11/OFFSET(ParoRegESP!$A$2,MATCH(M$29,ParoRegESP!$A$2:$A$500)+$A38-1,1)-1)</f>
        <v>-3.2025299644544702E-4</v>
      </c>
      <c r="N38" s="9">
        <f ca="1">IF(OR(N11="",N$28&lt;$A38),"",N11/OFFSET(ParoRegESP!$A$2,MATCH(N$29,ParoRegESP!$A$2:$A$500)+$A38-1,1)-1)</f>
        <v>-1.2205283885879492E-2</v>
      </c>
      <c r="O38" s="9">
        <f ca="1">IF(OR(O11="",O$28&lt;$A38),"",O11/OFFSET(ParoRegESP!$A$2,MATCH(O$29,ParoRegESP!$A$2:$A$500)+$A38-1,1)-1)</f>
        <v>-1.8515531651180028E-2</v>
      </c>
      <c r="P38" s="9">
        <f ca="1">IF(OR(P11="",P$28&lt;$A38),"",P11/OFFSET(ParoRegESP!$A$2,MATCH(P$29,ParoRegESP!$A$2:$A$500)+$A38-1,1)-1)</f>
        <v>-2.5289378581475064E-2</v>
      </c>
      <c r="Q38" s="9">
        <f ca="1">IF(OR(Q11="",Q$28&lt;$A38),"",Q11/OFFSET(ParoRegESP!$A$2,MATCH(Q$29,ParoRegESP!$A$2:$A$500)+$A38-1,1)-1)</f>
        <v>-1.0212599452402604E-2</v>
      </c>
      <c r="R38" s="9">
        <f ca="1">IF(OR(R11="",R$28&lt;$A38),"",R11/OFFSET(ParoRegESP!$A$2,MATCH(R$29,ParoRegESP!$A$2:$A$500)+$A38-1,1)-1)</f>
        <v>-5.4771914615994177E-3</v>
      </c>
      <c r="S38" s="9">
        <f ca="1">IF(OR(S11="",S$28&lt;$A38),"",S11/OFFSET(ParoRegESP!$A$2,MATCH(S$29,ParoRegESP!$A$2:$A$500)+$A38-1,1)-1)</f>
        <v>-2.4752531361662333E-2</v>
      </c>
      <c r="T38" s="9">
        <f ca="1">IF(OR(T11="",T$28&lt;$A38),"",T11/OFFSET(ParoRegESP!$A$2,MATCH(T$29,ParoRegESP!$A$2:$A$500)+$A38-1,1)-1)</f>
        <v>-3.2643767184796002E-2</v>
      </c>
      <c r="U38" s="9">
        <f ca="1">IF(OR(U11="",U$28&lt;$A38),"",U11/OFFSET(ParoRegESP!$A$2,MATCH(U$29,ParoRegESP!$A$2:$A$500)+$A38-1,1)-1)</f>
        <v>6.2525774305188797E-4</v>
      </c>
      <c r="V38" s="9">
        <f ca="1">IF(OR(V11="",V$28&lt;$A38),"",V11/OFFSET(ParoRegESP!$A$2,MATCH(V$29,ParoRegESP!$A$2:$A$500)+$A38-1,1)-1)</f>
        <v>1.9244733176288831E-2</v>
      </c>
      <c r="W38" s="9">
        <f ca="1">IF(OR(W11="",W$28&lt;$A38),"",W11/OFFSET(ParoRegESP!$A$2,MATCH(W$29,ParoRegESP!$A$2:$A$500)+$A38-1,1)-1)</f>
        <v>1.7374559554036884E-2</v>
      </c>
      <c r="X38" s="9">
        <f ca="1">IF(OR(X11="",X$28&lt;$A38),"",X11/OFFSET(ParoRegESP!$A$2,MATCH(X$29,ParoRegESP!$A$2:$A$500)+$A38-1,1)-1)</f>
        <v>1.0453258962445311E-2</v>
      </c>
      <c r="Y38" s="9">
        <f ca="1">IF(OR(Y11="",Y$28&lt;$A38),"",Y11/OFFSET(ParoRegESP!$A$2,MATCH(Y$29,ParoRegESP!$A$2:$A$500)+$A38-1,1)-1)</f>
        <v>6.6208711279427401E-3</v>
      </c>
      <c r="Z38" s="9">
        <f ca="1">IF(OR(Z11="",Z$28&lt;$A38),"",Z11/OFFSET(ParoRegESP!$A$2,MATCH(Z$29,ParoRegESP!$A$2:$A$500)+$A38-1,1)-1)</f>
        <v>1.8638136547149076E-2</v>
      </c>
      <c r="AA38" s="9">
        <f ca="1">IF(OR(AA11="",AA$28&lt;$A38),"",AA11/OFFSET(ParoRegESP!$A$2,MATCH(AA$29,ParoRegESP!$A$2:$A$500)+$A38-1,1)-1)</f>
        <v>2.8927352407337903E-2</v>
      </c>
      <c r="AB38" s="9">
        <f ca="1">IF(OR(AB11="",AB$28&lt;$A38),"",AB11/OFFSET(ParoRegESP!$A$2,MATCH(AB$29,ParoRegESP!$A$2:$A$500)+$A38-1,1)-1)</f>
        <v>3.6446064461649552E-2</v>
      </c>
      <c r="AC38" s="9">
        <f ca="1">IF(OR(AC11="",AC$28&lt;$A38),"",AC11/OFFSET(ParoRegESP!$A$2,MATCH(AC$29,ParoRegESP!$A$2:$A$500)+$A38-1,1)-1)</f>
        <v>4.5612451009426236E-2</v>
      </c>
      <c r="AD38" s="9">
        <f ca="1">IF(OR(AD11="",AD$28&lt;$A38),"",AD11/OFFSET(ParoRegESP!$A$2,MATCH(AD$29,ParoRegESP!$A$2:$A$500)+$A38-1,1)-1)</f>
        <v>3.0973791274940821E-2</v>
      </c>
      <c r="AE38" s="9">
        <f ca="1">IF(OR(AE11="",AE$28&lt;$A38),"",AE11/OFFSET(ParoRegESP!$A$2,MATCH(AE$29,ParoRegESP!$A$2:$A$500)+$A38-1,1)-1)</f>
        <v>3.1291760215121256E-2</v>
      </c>
      <c r="AF38" s="9">
        <f ca="1">IF(OR(AF11="",AF$28&lt;$A38),"",AF11/OFFSET(ParoRegESP!$A$2,MATCH(AF$29,ParoRegESP!$A$2:$A$500)+$A38-1,1)-1)</f>
        <v>2.350813553490072E-2</v>
      </c>
      <c r="AG38" s="9">
        <f ca="1">IF(OR(AG11="",AG$28&lt;$A38),"",AG11/OFFSET(ParoRegESP!$A$2,MATCH(AG$29,ParoRegESP!$A$2:$A$500)+$A38-1,1)-1)</f>
        <v>2.0601308880423108E-2</v>
      </c>
      <c r="AH38" s="9">
        <f ca="1">IF(OR(AH11="",AH$28&lt;$A38),"",AH11/OFFSET(ParoRegESP!$A$2,MATCH(AH$29,ParoRegESP!$A$2:$A$500)+$A38-1,1)-1)</f>
        <v>9.0991546224288289E-3</v>
      </c>
      <c r="AI38" s="9">
        <f ca="1">IF(OR(AI11="",AI$28&lt;$A38),"",AI11/OFFSET(ParoRegESP!$A$2,MATCH(AI$29,ParoRegESP!$A$2:$A$500)+$A38-1,1)-1)</f>
        <v>-1.2458603896318032E-2</v>
      </c>
      <c r="AJ38" s="9">
        <f ca="1">IF(OR(AJ11="",AJ$28&lt;$A38),"",AJ11/OFFSET(ParoRegESP!$A$2,MATCH(AJ$29,ParoRegESP!$A$2:$A$500)+$A38-1,1)-1)</f>
        <v>-3.7618194715187903E-2</v>
      </c>
      <c r="AK38" s="9">
        <f ca="1">IF(OR(AK11="",AK$28&lt;$A38),"",AK11/OFFSET(ParoRegESP!$A$2,MATCH(AK$29,ParoRegESP!$A$2:$A$500)+$A38-1,1)-1)</f>
        <v>-6.4906823371262301E-2</v>
      </c>
      <c r="AL38" s="9">
        <f ca="1">IF(OR(AL11="",AL$28&lt;$A38),"",AL11/OFFSET(ParoRegESP!$A$2,MATCH(AL$29,ParoRegESP!$A$2:$A$500)+$A38-1,1)-1)</f>
        <v>-6.5462823623195998E-2</v>
      </c>
      <c r="AM38" s="9">
        <f ca="1">IF(OR(AM11="",AM$28&lt;$A38),"",AM11/OFFSET(ParoRegESP!$A$2,MATCH(AM$29,ParoRegESP!$A$2:$A$500)+$A38-1,1)-1)</f>
        <v>-6.9177313122491202E-2</v>
      </c>
      <c r="AN38" s="9">
        <f ca="1">IF(OR(AN11="",AN$28&lt;$A38),"",AN11/OFFSET(ParoRegESP!$A$2,MATCH(AN$29,ParoRegESP!$A$2:$A$500)+$A38-1,1)-1)</f>
        <v>-7.0858343079570507E-2</v>
      </c>
      <c r="AO38" s="9">
        <f ca="1">IF(OR(AO11="",AO$28&lt;$A38),"",AO11/OFFSET(ParoRegESP!$A$2,MATCH(AO$29,ParoRegESP!$A$2:$A$500)+$A38-1,1)-1)</f>
        <v>-7.1836809332118778E-2</v>
      </c>
      <c r="AP38" s="9">
        <f ca="1">IF(OR(AP11="",AP$28&lt;$A38),"",AP11/OFFSET(ParoRegESP!$A$2,MATCH(AP$29,ParoRegESP!$A$2:$A$500)+$A38-1,1)-1)</f>
        <v>-8.7850387496535842E-2</v>
      </c>
      <c r="AQ38" s="9">
        <f ca="1">IF(OR(AQ11="",AQ$28&lt;$A38),"",AQ11/OFFSET(ParoRegESP!$A$2,MATCH(AQ$29,ParoRegESP!$A$2:$A$500)+$A38-1,1)-1)</f>
        <v>-9.3423016241538925E-2</v>
      </c>
      <c r="AR38" s="9">
        <f ca="1">IF(OR(AR11="",AR$28&lt;$A38),"",AR11/OFFSET(ParoRegESP!$A$2,MATCH(AR$29,ParoRegESP!$A$2:$A$500)+$A38-1,1)-1)</f>
        <v>-8.6629890847430335E-2</v>
      </c>
      <c r="AS38" s="9">
        <f ca="1">IF(OR(AS11="",AS$28&lt;$A38),"",AS11/OFFSET(ParoRegESP!$A$2,MATCH(AS$29,ParoRegESP!$A$2:$A$500)+$A38-1,1)-1)</f>
        <v>-0.11231132284474632</v>
      </c>
      <c r="AT38" s="9">
        <f ca="1">IF(OR(AT11="",AT$28&lt;$A38),"",AT11/OFFSET(ParoRegESP!$A$2,MATCH(AT$29,ParoRegESP!$A$2:$A$500)+$A38-1,1)-1)</f>
        <v>-0.13225332995530292</v>
      </c>
      <c r="AU38" s="9">
        <f ca="1">IF(OR(AU11="",AU$28&lt;$A38),"",AU11/OFFSET(ParoRegESP!$A$2,MATCH(AU$29,ParoRegESP!$A$2:$A$500)+$A38-1,1)-1)</f>
        <v>-0.16380932949863058</v>
      </c>
      <c r="AV38" s="9">
        <f ca="1">IF(OR(AV11="",AV$28&lt;$A38),"",AV11/OFFSET(ParoRegESP!$A$2,MATCH(AV$29,ParoRegESP!$A$2:$A$500)+$A38-1,1)-1)</f>
        <v>-0.18152198071128056</v>
      </c>
      <c r="AW38" s="9">
        <f ca="1">IF(OR(AW11="",AW$28&lt;$A38),"",AW11/OFFSET(ParoRegESP!$A$2,MATCH(AW$29,ParoRegESP!$A$2:$A$500)+$A38-1,1)-1)</f>
        <v>-0.20037828332275254</v>
      </c>
      <c r="AX38" s="9">
        <f ca="1">IF(OR(AX11="",AX$28&lt;$A38),"",AX11/OFFSET(ParoRegESP!$A$2,MATCH(AX$29,ParoRegESP!$A$2:$A$500)+$A38-1,1)-1)</f>
        <v>-0.21951382333212566</v>
      </c>
      <c r="AY38" s="9">
        <f ca="1">IF(OR(AY11="",AY$28&lt;$A38),"",AY11/OFFSET(ParoRegESP!$A$2,MATCH(AY$29,ParoRegESP!$A$2:$A$500)+$A38-1,1)-1)</f>
        <v>-0.23773796565221195</v>
      </c>
      <c r="AZ38" s="9">
        <f ca="1">IF(OR(AZ11="",AZ$28&lt;$A38),"",AZ11/OFFSET(ParoRegESP!$A$2,MATCH(AZ$29,ParoRegESP!$A$2:$A$500)+$A38-1,1)-1)</f>
        <v>-0.22140920126271346</v>
      </c>
      <c r="BA38" s="9">
        <f ca="1">IF(OR(BA11="",BA$28&lt;$A38),"",BA11/OFFSET(ParoRegESP!$A$2,MATCH(BA$29,ParoRegESP!$A$2:$A$500)+$A38-1,1)-1)</f>
        <v>-0.26040625593586386</v>
      </c>
      <c r="BB38" s="9">
        <f ca="1">IF(OR(BB11="",BB$28&lt;$A38),"",BB11/OFFSET(ParoRegESP!$A$2,MATCH(BB$29,ParoRegESP!$A$2:$A$500)+$A38-1,1)-1)</f>
        <v>-0.18249121380410094</v>
      </c>
      <c r="BC38" s="9">
        <f ca="1">IF(OR(BC11="",BC$28&lt;$A38),"",BC11/OFFSET(ParoRegESP!$A$2,MATCH(BC$29,ParoRegESP!$A$2:$A$500)+$A38-1,1)-1)</f>
        <v>-0.14526363178234769</v>
      </c>
      <c r="BD38" s="9">
        <f ca="1">IF(OR(BD11="",BD$28&lt;$A38),"",BD11/OFFSET(ParoRegESP!$A$2,MATCH(BD$29,ParoRegESP!$A$2:$A$500)+$A38-1,1)-1)</f>
        <v>-0.19359531686196763</v>
      </c>
      <c r="BE38" s="9">
        <f ca="1">IF(OR(BE11="",BE$28&lt;$A38),"",BE11/OFFSET(ParoRegESP!$A$2,MATCH(BE$29,ParoRegESP!$A$2:$A$500)+$A38-1,1)-1)</f>
        <v>-0.17798788691666512</v>
      </c>
      <c r="BF38" s="9">
        <f ca="1">IF(OR(BF11="",BF$28&lt;$A38),"",BF11/OFFSET(ParoRegESP!$A$2,MATCH(BF$29,ParoRegESP!$A$2:$A$500)+$A38-1,1)-1)</f>
        <v>-0.13260304223978958</v>
      </c>
      <c r="BG38" s="9">
        <f ca="1">IF(OR(BG11="",BG$28&lt;$A38),"",BG11/OFFSET(ParoRegESP!$A$2,MATCH(BG$29,ParoRegESP!$A$2:$A$500)+$A38-1,1)-1)</f>
        <v>-8.1716380681512435E-2</v>
      </c>
      <c r="BH38" s="9">
        <f ca="1">IF(OR(BH11="",BH$28&lt;$A38),"",BH11/OFFSET(ParoRegESP!$A$2,MATCH(BH$29,ParoRegESP!$A$2:$A$500)+$A38-1,1)-1)</f>
        <v>8.6686062361367444E-3</v>
      </c>
      <c r="BI38" s="9">
        <f ca="1">IF(OR(BI11="",BI$28&lt;$A38),"",BI11/OFFSET(ParoRegESP!$A$2,MATCH(BI$29,ParoRegESP!$A$2:$A$500)+$A38-1,1)-1)</f>
        <v>9.8642904883986748E-2</v>
      </c>
      <c r="BJ38" s="9">
        <f ca="1">IF(OR(BJ11="",BJ$28&lt;$A38),"",BJ11/OFFSET(ParoRegESP!$A$2,MATCH(BJ$29,ParoRegESP!$A$2:$A$500)+$A38-1,1)-1)</f>
        <v>0.14075575607632151</v>
      </c>
      <c r="BK38" s="9">
        <f ca="1">IF(OR(BK11="",BK$28&lt;$A38),"",BK11/OFFSET(ParoRegESP!$A$2,MATCH(BK$29,ParoRegESP!$A$2:$A$500)+$A38-1,1)-1)</f>
        <v>0.16135726984231558</v>
      </c>
      <c r="BL38" s="9">
        <f ca="1">IF(OR(BL11="",BL$28&lt;$A38),"",BL11/OFFSET(ParoRegESP!$A$2,MATCH(BL$29,ParoRegESP!$A$2:$A$500)+$A38-1,1)-1)</f>
        <v>0.22626840347090127</v>
      </c>
      <c r="BM38" s="9">
        <f ca="1">IF(OR(BM11="",BM$28&lt;$A38),"",BM11/OFFSET(ParoRegESP!$A$2,MATCH(BM$29,ParoRegESP!$A$2:$A$500)+$A38-1,1)-1)</f>
        <v>0.26849070374764938</v>
      </c>
      <c r="BN38" s="9">
        <f ca="1">IF(OR(BN11="",BN$28&lt;$A38),"",BN11/OFFSET(ParoRegESP!$A$2,MATCH(BN$29,ParoRegESP!$A$2:$A$500)+$A38-1,1)-1)</f>
        <v>0.21637793802879712</v>
      </c>
      <c r="BO38" s="9">
        <f ca="1">IF(OR(BO11="",BO$28&lt;$A38),"",BO11/OFFSET(ParoRegESP!$A$2,MATCH(BO$29,ParoRegESP!$A$2:$A$500)+$A38-1,1)-1)</f>
        <v>0.15477066889315472</v>
      </c>
      <c r="BP38" s="9">
        <f ca="1">IF(OR(BP11="",BP$28&lt;$A38),"",BP11/OFFSET(ParoRegESP!$A$2,MATCH(BP$29,ParoRegESP!$A$2:$A$500)+$A38-1,1)-1)</f>
        <v>7.2615817662049498E-2</v>
      </c>
      <c r="BQ38" s="9">
        <f ca="1">IF(OR(BQ11="",BQ$28&lt;$A38),"",BQ11/OFFSET(ParoRegESP!$A$2,MATCH(BQ$29,ParoRegESP!$A$2:$A$500)+$A38-1,1)-1)</f>
        <v>-1.342359560892048E-2</v>
      </c>
      <c r="BR38" s="9">
        <f ca="1">IF(OR(BR11="",BR$28&lt;$A38),"",BR11/OFFSET(ParoRegESP!$A$2,MATCH(BR$29,ParoRegESP!$A$2:$A$500)+$A38-1,1)-1)</f>
        <v>8.7270456331500768E-3</v>
      </c>
      <c r="BS38" s="9">
        <f ca="1">IF(OR(BS11="",BS$28&lt;$A38),"",BS11/OFFSET(ParoRegESP!$A$2,MATCH(BS$29,ParoRegESP!$A$2:$A$500)+$A38-1,1)-1)</f>
        <v>7.0696480723761779E-2</v>
      </c>
      <c r="BT38" s="9">
        <f ca="1">IF(OR(BT11="",BT$28&lt;$A38),"",BT11/OFFSET(ParoRegESP!$A$2,MATCH(BT$29,ParoRegESP!$A$2:$A$500)+$A38-1,1)-1)</f>
        <v>6.4680104142238681E-2</v>
      </c>
      <c r="BU38" s="9">
        <f ca="1">IF(OR(BU11="",BU$28&lt;$A38),"",BU11/OFFSET(ParoRegESP!$A$2,MATCH(BU$29,ParoRegESP!$A$2:$A$500)+$A38-1,1)-1)</f>
        <v>8.5914727288891601E-3</v>
      </c>
      <c r="BV38" s="9">
        <f ca="1">IF(OR(BV11="",BV$28&lt;$A38),"",BV11/OFFSET(ParoRegESP!$A$2,MATCH(BV$29,ParoRegESP!$A$2:$A$500)+$A38-1,1)-1)</f>
        <v>1.1451786906373052E-2</v>
      </c>
      <c r="BW38" s="9">
        <f ca="1">IF(OR(BW11="",BW$28&lt;$A38),"",BW11/OFFSET(ParoRegESP!$A$2,MATCH(BW$29,ParoRegESP!$A$2:$A$500)+$A38-1,1)-1)</f>
        <v>4.9821382855183005E-2</v>
      </c>
      <c r="BX38" s="9">
        <f ca="1">IF(OR(BX11="",BX$28&lt;$A38),"",BX11/OFFSET(ParoRegESP!$A$2,MATCH(BX$29,ParoRegESP!$A$2:$A$500)+$A38-1,1)-1)</f>
        <v>8.5786179631293313E-2</v>
      </c>
      <c r="BY38" s="9">
        <f ca="1">IF(OR(BY11="",BY$28&lt;$A38),"",BY11/OFFSET(ParoRegESP!$A$2,MATCH(BY$29,ParoRegESP!$A$2:$A$500)+$A38-1,1)-1)</f>
        <v>0.10809185186782466</v>
      </c>
      <c r="BZ38" s="9">
        <f ca="1">IF(OR(BZ11="",BZ$28&lt;$A38),"",BZ11/OFFSET(ParoRegESP!$A$2,MATCH(BZ$29,ParoRegESP!$A$2:$A$500)+$A38-1,1)-1)</f>
        <v>8.1918393151474422E-2</v>
      </c>
      <c r="CA38" s="9">
        <f ca="1">IF(OR(CA11="",CA$28&lt;$A38),"",CA11/OFFSET(ParoRegESP!$A$2,MATCH(CA$29,ParoRegESP!$A$2:$A$500)+$A38-1,1)-1)</f>
        <v>3.1010817786821576E-2</v>
      </c>
      <c r="CB38" s="9">
        <f ca="1">IF(OR(CB11="",CB$28&lt;$A38),"",CB11/OFFSET(ParoRegESP!$A$2,MATCH(CB$29,ParoRegESP!$A$2:$A$500)+$A38-1,1)-1)</f>
        <v>-2.5508800376835561E-2</v>
      </c>
      <c r="CC38" s="9">
        <f ca="1">IF(OR(CC11="",CC$28&lt;$A38),"",CC11/OFFSET(ParoRegESP!$A$2,MATCH(CC$29,ParoRegESP!$A$2:$A$500)+$A38-1,1)-1)</f>
        <v>-5.2962176254548687E-2</v>
      </c>
      <c r="CD38" s="9">
        <f ca="1">IF(OR(CD11="",CD$28&lt;$A38),"",CD11/OFFSET(ParoRegESP!$A$2,MATCH(CD$29,ParoRegESP!$A$2:$A$500)+$A38-1,1)-1)</f>
        <v>1.0203211846675719E-2</v>
      </c>
      <c r="CE38" s="9">
        <f ca="1">IF(OR(CE11="",CE$28&lt;$A38),"",CE11/OFFSET(ParoRegESP!$A$2,MATCH(CE$29,ParoRegESP!$A$2:$A$500)+$A38-1,1)-1)</f>
        <v>3.0199115887349803E-2</v>
      </c>
      <c r="CF38" s="9">
        <f ca="1">IF(OR(CF11="",CF$28&lt;$A38),"",CF11/OFFSET(ParoRegESP!$A$2,MATCH(CF$29,ParoRegESP!$A$2:$A$500)+$A38-1,1)-1)</f>
        <v>3.3017348775228106E-2</v>
      </c>
      <c r="CG38" s="9">
        <f ca="1">IF(OR(CG11="",CG$28&lt;$A38),"",CG11/OFFSET(ParoRegESP!$A$2,MATCH(CG$29,ParoRegESP!$A$2:$A$500)+$A38-1,1)-1)</f>
        <v>-1.3993009472769158E-3</v>
      </c>
      <c r="CH38" s="9">
        <f ca="1">IF(OR(CH11="",CH$28&lt;$A38),"",CH11/OFFSET(ParoRegESP!$A$2,MATCH(CH$29,ParoRegESP!$A$2:$A$500)+$A38-1,1)-1)</f>
        <v>-7.4837985800429108E-2</v>
      </c>
      <c r="CI38" s="9">
        <f ca="1">IF(OR(CI11="",CI$28&lt;$A38),"",CI11/OFFSET(ParoRegESP!$A$2,MATCH(CI$29,ParoRegESP!$A$2:$A$500)+$A38-1,1)-1)</f>
        <v>-2.174520031159799E-2</v>
      </c>
      <c r="CJ38" s="9">
        <f ca="1">IF(OR(CJ11="",CJ$28&lt;$A38),"",CJ11/OFFSET(ParoRegESP!$A$2,MATCH(CJ$29,ParoRegESP!$A$2:$A$500)+$A38-1,1)-1)</f>
        <v>-1.6187544692202183E-3</v>
      </c>
      <c r="CK38" s="9">
        <f ca="1">IF(OR(CK11="",CK$28&lt;$A38),"",CK11/OFFSET(ParoRegESP!$A$2,MATCH(CK$29,ParoRegESP!$A$2:$A$500)+$A38-1,1)-1)</f>
        <v>1.3197188360477563E-2</v>
      </c>
      <c r="CL38" s="9">
        <f ca="1">IF(OR(CL11="",CL$28&lt;$A38),"",CL11/OFFSET(ParoRegESP!$A$2,MATCH(CL$29,ParoRegESP!$A$2:$A$500)+$A38-1,1)-1)</f>
        <v>-4.1049421318395507E-2</v>
      </c>
      <c r="CM38" s="9">
        <f ca="1">IF(OR(CM11="",CM$28&lt;$A38),"",CM11/OFFSET(ParoRegESP!$A$2,MATCH(CM$29,ParoRegESP!$A$2:$A$500)+$A38-1,1)-1)</f>
        <v>-6.0529752628875499E-2</v>
      </c>
      <c r="CN38" s="9">
        <f ca="1">IF(OR(CN11="",CN$28&lt;$A38),"",CN11/OFFSET(ParoRegESP!$A$2,MATCH(CN$29,ParoRegESP!$A$2:$A$500)+$A38-1,1)-1)</f>
        <v>-6.8179549541546036E-2</v>
      </c>
      <c r="CO38" s="9">
        <f ca="1">IF(OR(CO11="",CO$28&lt;$A38),"",CO11/OFFSET(ParoRegESP!$A$2,MATCH(CO$29,ParoRegESP!$A$2:$A$500)+$A38-1,1)-1)</f>
        <v>-8.7175576862907889E-2</v>
      </c>
      <c r="CP38" s="9">
        <f ca="1">IF(OR(CP11="",CP$28&lt;$A38),"",CP11/OFFSET(ParoRegESP!$A$2,MATCH(CP$29,ParoRegESP!$A$2:$A$500)+$A38-1,1)-1)</f>
        <v>-8.3762764340805762E-2</v>
      </c>
      <c r="CQ38" s="9">
        <f ca="1">IF(OR(CQ11="",CQ$28&lt;$A38),"",CQ11/OFFSET(ParoRegESP!$A$2,MATCH(CQ$29,ParoRegESP!$A$2:$A$500)+$A38-1,1)-1)</f>
        <v>-1.4585197656127535E-2</v>
      </c>
      <c r="CR38" s="9">
        <f ca="1">IF(OR(CR11="",CR$28&lt;$A38),"",CR11/OFFSET(ParoRegESP!$A$2,MATCH(CR$29,ParoRegESP!$A$2:$A$500)+$A38-1,1)-1)</f>
        <v>1.4907097041911621E-2</v>
      </c>
      <c r="CS38" s="9">
        <f ca="1">IF(OR(CS11="",CS$28&lt;$A38),"",CS11/OFFSET(ParoRegESP!$A$2,MATCH(CS$29,ParoRegESP!$A$2:$A$500)+$A38-1,1)-1)</f>
        <v>-6.8100032278145539E-3</v>
      </c>
      <c r="CT38" s="9">
        <f ca="1">IF(OR(CT11="",CT$28&lt;$A38),"",CT11/OFFSET(ParoRegESP!$A$2,MATCH(CT$29,ParoRegESP!$A$2:$A$500)+$A38-1,1)-1)</f>
        <v>-3.1860386921977124E-2</v>
      </c>
      <c r="CU38" s="9">
        <f ca="1">IF(OR(CU11="",CU$28&lt;$A38),"",CU11/OFFSET(ParoRegESP!$A$2,MATCH(CU$29,ParoRegESP!$A$2:$A$500)+$A38-1,1)-1)</f>
        <v>-7.3330903748181075E-4</v>
      </c>
      <c r="CV38" s="9">
        <f ca="1">IF(OR(CV11="",CV$28&lt;$A38),"",CV11/OFFSET(ParoRegESP!$A$2,MATCH(CV$29,ParoRegESP!$A$2:$A$500)+$A38-1,1)-1)</f>
        <v>2.4795852461757972E-2</v>
      </c>
      <c r="CW38" s="9">
        <f ca="1">IF(OR(CW11="",CW$28&lt;$A38),"",CW11/OFFSET(ParoRegESP!$A$2,MATCH(CW$29,ParoRegESP!$A$2:$A$500)+$A38-1,1)-1)</f>
        <v>3.6660715073030259E-2</v>
      </c>
      <c r="CX38" s="9">
        <f ca="1">IF(OR(CX11="",CX$28&lt;$A38),"",CX11/OFFSET(ParoRegESP!$A$2,MATCH(CX$29,ParoRegESP!$A$2:$A$500)+$A38-1,1)-1)</f>
        <v>4.2893122673801631E-2</v>
      </c>
      <c r="CY38" s="9">
        <f ca="1">IF(OR(CY11="",CY$28&lt;$A38),"",CY11/OFFSET(ParoRegESP!$A$2,MATCH(CY$29,ParoRegESP!$A$2:$A$500)+$A38-1,1)-1)</f>
        <v>4.8383655626565769E-2</v>
      </c>
      <c r="CZ38" s="9">
        <f ca="1">IF(OR(CZ11="",CZ$28&lt;$A38),"",CZ11/OFFSET(ParoRegESP!$A$2,MATCH(CZ$29,ParoRegESP!$A$2:$A$500)+$A38-1,1)-1)</f>
        <v>2.0000440168080891E-2</v>
      </c>
      <c r="DA38" s="9">
        <f ca="1">IF(OR(DA11="",DA$28&lt;$A38),"",DA11/OFFSET(ParoRegESP!$A$2,MATCH(DA$29,ParoRegESP!$A$2:$A$500)+$A38-1,1)-1)</f>
        <v>4.0286260632714788E-2</v>
      </c>
      <c r="DB38" s="9">
        <f ca="1">IF(OR(DB11="",DB$28&lt;$A38),"",DB11/OFFSET(ParoRegESP!$A$2,MATCH(DB$29,ParoRegESP!$A$2:$A$500)+$A38-1,1)-1)</f>
        <v>2.7510806212107886E-2</v>
      </c>
      <c r="DC38" s="9">
        <f ca="1">IF(OR(DC11="",DC$28&lt;$A38),"",DC11/OFFSET(ParoRegESP!$A$2,MATCH(DC$29,ParoRegESP!$A$2:$A$500)+$A38-1,1)-1)</f>
        <v>4.508093169252736E-2</v>
      </c>
      <c r="DD38" s="9">
        <f ca="1">IF(OR(DD11="",DD$28&lt;$A38),"",DD11/OFFSET(ParoRegESP!$A$2,MATCH(DD$29,ParoRegESP!$A$2:$A$500)+$A38-1,1)-1)</f>
        <v>7.5843774614229753E-2</v>
      </c>
      <c r="DE38" s="9">
        <f ca="1">IF(OR(DE11="",DE$28&lt;$A38),"",DE11/OFFSET(ParoRegESP!$A$2,MATCH(DE$29,ParoRegESP!$A$2:$A$500)+$A38-1,1)-1)</f>
        <v>7.6552824022280364E-2</v>
      </c>
      <c r="DF38" s="9">
        <f ca="1">IF(OR(DF11="",DF$28&lt;$A38),"",DF11/OFFSET(ParoRegESP!$A$2,MATCH(DF$29,ParoRegESP!$A$2:$A$500)+$A38-1,1)-1)</f>
        <v>1.8693210268293514E-2</v>
      </c>
      <c r="DG38" s="9">
        <f ca="1">IF(OR(DG11="",DG$28&lt;$A38),"",DG11/OFFSET(ParoRegESP!$A$2,MATCH(DG$29,ParoRegESP!$A$2:$A$500)+$A38-1,1)-1)</f>
        <v>2.4643885878106397E-2</v>
      </c>
      <c r="DH38" s="9">
        <f ca="1">IF(OR(DH11="",DH$28&lt;$A38),"",DH11/OFFSET(ParoRegESP!$A$2,MATCH(DH$29,ParoRegESP!$A$2:$A$500)+$A38-1,1)-1)</f>
        <v>2.9482663932495656E-2</v>
      </c>
      <c r="DI38" s="9">
        <f ca="1">IF(OR(DI11="",DI$28&lt;$A38),"",DI11/OFFSET(ParoRegESP!$A$2,MATCH(DI$29,ParoRegESP!$A$2:$A$500)+$A38-1,1)-1)</f>
        <v>5.6600241557974496E-2</v>
      </c>
      <c r="DJ38" s="9">
        <f ca="1">IF(OR(DJ11="",DJ$28&lt;$A38),"",DJ11/OFFSET(ParoRegESP!$A$2,MATCH(DJ$29,ParoRegESP!$A$2:$A$500)+$A38-1,1)-1)</f>
        <v>5.7437299716182499E-2</v>
      </c>
      <c r="DK38" s="9">
        <f ca="1">IF(OR(DK11="",DK$28&lt;$A38),"",DK11/OFFSET(ParoRegESP!$A$2,MATCH(DK$29,ParoRegESP!$A$2:$A$500)+$A38-1,1)-1)</f>
        <v>5.3185267997015062E-2</v>
      </c>
      <c r="DL38" s="9">
        <f ca="1">IF(OR(DL11="",DL$28&lt;$A38),"",DL11/OFFSET(ParoRegESP!$A$2,MATCH(DL$29,ParoRegESP!$A$2:$A$500)+$A38-1,1)-1)</f>
        <v>3.4233351079877128E-2</v>
      </c>
      <c r="DM38" s="9">
        <f ca="1">IF(OR(DM11="",DM$28&lt;$A38),"",DM11/OFFSET(ParoRegESP!$A$2,MATCH(DM$29,ParoRegESP!$A$2:$A$500)+$A38-1,1)-1)</f>
        <v>3.3530089816449005E-2</v>
      </c>
      <c r="DN38" s="9">
        <f ca="1">IF(OR(DN11="",DN$28&lt;$A38),"",DN11/OFFSET(ParoRegESP!$A$2,MATCH(DN$29,ParoRegESP!$A$2:$A$500)+$A38-1,1)-1)</f>
        <v>3.6205123294070329E-2</v>
      </c>
      <c r="DO38" s="9">
        <f ca="1">IF(OR(DO11="",DO$28&lt;$A38),"",DO11/OFFSET(ParoRegESP!$A$2,MATCH(DO$29,ParoRegESP!$A$2:$A$500)+$A38-1,1)-1)</f>
        <v>4.388811567246198E-2</v>
      </c>
      <c r="DP38" s="9">
        <f ca="1">IF(OR(DP11="",DP$28&lt;$A38),"",DP11/OFFSET(ParoRegESP!$A$2,MATCH(DP$29,ParoRegESP!$A$2:$A$500)+$A38-1,1)-1)</f>
        <v>4.3075117766424587E-2</v>
      </c>
      <c r="DQ38" s="9">
        <f ca="1">IF(OR(DQ11="",DQ$28&lt;$A38),"",DQ11/OFFSET(ParoRegESP!$A$2,MATCH(DQ$29,ParoRegESP!$A$2:$A$500)+$A38-1,1)-1)</f>
        <v>1.0442825798913535E-2</v>
      </c>
      <c r="DR38" s="9">
        <f ca="1">IF(OR(DR11="",DR$28&lt;$A38),"",DR11/OFFSET(ParoRegESP!$A$2,MATCH(DR$29,ParoRegESP!$A$2:$A$500)+$A38-1,1)-1)</f>
        <v>-4.1476547073439396E-2</v>
      </c>
      <c r="DS38" s="9">
        <f ca="1">IF(OR(DS11="",DS$28&lt;$A38),"",DS11/OFFSET(ParoRegESP!$A$2,MATCH(DS$29,ParoRegESP!$A$2:$A$500)+$A38-1,1)-1)</f>
        <v>-2.0978234715289368E-2</v>
      </c>
      <c r="DT38" s="9">
        <f ca="1">IF(OR(DT11="",DT$28&lt;$A38),"",DT11/OFFSET(ParoRegESP!$A$2,MATCH(DT$29,ParoRegESP!$A$2:$A$500)+$A38-1,1)-1)</f>
        <v>-2.596368121757231E-2</v>
      </c>
      <c r="DU38" s="9">
        <f ca="1">IF(OR(DU11="",DU$28&lt;$A38),"",DU11/OFFSET(ParoRegESP!$A$2,MATCH(DU$29,ParoRegESP!$A$2:$A$500)+$A38-1,1)-1)</f>
        <v>1.3782671053979012E-3</v>
      </c>
      <c r="DV38" s="9">
        <f ca="1">IF(OR(DV11="",DV$28&lt;$A38),"",DV11/OFFSET(ParoRegESP!$A$2,MATCH(DV$29,ParoRegESP!$A$2:$A$500)+$A38-1,1)-1)</f>
        <v>-2.6611339907252063E-2</v>
      </c>
      <c r="DW38" s="9">
        <f ca="1">IF(OR(DW11="",DW$28&lt;$A38),"",DW11/OFFSET(ParoRegESP!$A$2,MATCH(DW$29,ParoRegESP!$A$2:$A$500)+$A38-1,1)-1)</f>
        <v>-1.2514018244751401E-2</v>
      </c>
      <c r="DX38" s="9">
        <f ca="1">IF(OR(DX11="",DX$28&lt;$A38),"",DX11/OFFSET(ParoRegESP!$A$2,MATCH(DX$29,ParoRegESP!$A$2:$A$500)+$A38-1,1)-1)</f>
        <v>-9.1899966931929811E-6</v>
      </c>
      <c r="DY38" s="9">
        <f ca="1">IF(OR(DY11="",DY$28&lt;$A38),"",DY11/OFFSET(ParoRegESP!$A$2,MATCH(DY$29,ParoRegESP!$A$2:$A$500)+$A38-1,1)-1)</f>
        <v>6.1138657883804237E-2</v>
      </c>
      <c r="DZ38" s="9">
        <f ca="1">IF(OR(DZ11="",DZ$28&lt;$A38),"",DZ11/OFFSET(ParoRegESP!$A$2,MATCH(DZ$29,ParoRegESP!$A$2:$A$500)+$A38-1,1)-1)</f>
        <v>5.2274994736968949E-2</v>
      </c>
      <c r="EA38" s="9">
        <f ca="1">IF(OR(EA11="",EA$28&lt;$A38),"",EA11/OFFSET(ParoRegESP!$A$2,MATCH(EA$29,ParoRegESP!$A$2:$A$500)+$A38-1,1)-1)</f>
        <v>5.3864546495018706E-2</v>
      </c>
      <c r="EB38" s="9">
        <f ca="1">IF(OR(EB11="",EB$28&lt;$A38),"",EB11/OFFSET(ParoRegESP!$A$2,MATCH(EB$29,ParoRegESP!$A$2:$A$500)+$A38-1,1)-1)</f>
        <v>5.6823531757010048E-2</v>
      </c>
      <c r="EC38" s="9">
        <f ca="1">IF(OR(EC11="",EC$28&lt;$A38),"",EC11/OFFSET(ParoRegESP!$A$2,MATCH(EC$29,ParoRegESP!$A$2:$A$500)+$A38-1,1)-1)</f>
        <v>2.7927256345660512E-2</v>
      </c>
      <c r="ED38" s="9">
        <f ca="1">IF(OR(ED11="",ED$28&lt;$A38),"",ED11/OFFSET(ParoRegESP!$A$2,MATCH(ED$29,ParoRegESP!$A$2:$A$500)+$A38-1,1)-1)</f>
        <v>1.4469015619314129E-2</v>
      </c>
      <c r="EE38" s="9">
        <f ca="1">IF(OR(EE11="",EE$28&lt;$A38),"",EE11/OFFSET(ParoRegESP!$A$2,MATCH(EE$29,ParoRegESP!$A$2:$A$500)+$A38-1,1)-1)</f>
        <v>-3.8510033914641584E-3</v>
      </c>
      <c r="EF38" s="9">
        <f ca="1">IF(OR(EF11="",EF$28&lt;$A38),"",EF11/OFFSET(ParoRegESP!$A$2,MATCH(EF$29,ParoRegESP!$A$2:$A$500)+$A38-1,1)-1)</f>
        <v>-1.7798639238196023E-2</v>
      </c>
      <c r="EG38" s="9">
        <f ca="1">IF(OR(EG11="",EG$28&lt;$A38),"",EG11/OFFSET(ParoRegESP!$A$2,MATCH(EG$29,ParoRegESP!$A$2:$A$500)+$A38-1,1)-1)</f>
        <v>-2.2310496535691615E-2</v>
      </c>
      <c r="EH38" s="9">
        <f ca="1">IF(OR(EH11="",EH$28&lt;$A38),"",EH11/OFFSET(ParoRegESP!$A$2,MATCH(EH$29,ParoRegESP!$A$2:$A$500)+$A38-1,1)-1)</f>
        <v>-2.4600335686974506E-2</v>
      </c>
      <c r="EI38" s="9">
        <f ca="1">IF(OR(EI11="",EI$28&lt;$A38),"",EI11/OFFSET(ParoRegESP!$A$2,MATCH(EI$29,ParoRegESP!$A$2:$A$500)+$A38-1,1)-1)</f>
        <v>-1.577820890705639E-2</v>
      </c>
      <c r="EJ38" s="9">
        <f ca="1">IF(OR(EJ11="",EJ$28&lt;$A38),"",EJ11/OFFSET(ParoRegESP!$A$2,MATCH(EJ$29,ParoRegESP!$A$2:$A$500)+$A38-1,1)-1)</f>
        <v>2.671587273864473E-2</v>
      </c>
      <c r="EK38" s="9">
        <f ca="1">IF(OR(EK11="",EK$28&lt;$A38),"",EK11/OFFSET(ParoRegESP!$A$2,MATCH(EK$29,ParoRegESP!$A$2:$A$500)+$A38-1,1)-1)</f>
        <v>-6.2132579485123518E-3</v>
      </c>
      <c r="EL38" s="9">
        <f ca="1">IF(OR(EL11="",EL$28&lt;$A38),"",EL11/OFFSET(ParoRegESP!$A$2,MATCH(EL$29,ParoRegESP!$A$2:$A$500)+$A38-1,1)-1)</f>
        <v>1.8891847117373572E-2</v>
      </c>
      <c r="EM38" s="9">
        <f ca="1">IF(OR(EM11="",EM$28&lt;$A38),"",EM11/OFFSET(ParoRegESP!$A$2,MATCH(EM$29,ParoRegESP!$A$2:$A$500)+$A38-1,1)-1)</f>
        <v>4.5462321529449623E-2</v>
      </c>
      <c r="EN38" s="9">
        <f ca="1">IF(OR(EN11="",EN$28&lt;$A38),"",EN11/OFFSET(ParoRegESP!$A$2,MATCH(EN$29,ParoRegESP!$A$2:$A$500)+$A38-1,1)-1)</f>
        <v>5.5239734937776452E-2</v>
      </c>
      <c r="EO38" s="9">
        <f ca="1">IF(OR(EO11="",EO$28&lt;$A38),"",EO11/OFFSET(ParoRegESP!$A$2,MATCH(EO$29,ParoRegESP!$A$2:$A$500)+$A38-1,1)-1)</f>
        <v>2.0799971454874999E-2</v>
      </c>
      <c r="EP38" s="9">
        <f ca="1">IF(OR(EP11="",EP$28&lt;$A38),"",EP11/OFFSET(ParoRegESP!$A$2,MATCH(EP$29,ParoRegESP!$A$2:$A$500)+$A38-1,1)-1)</f>
        <v>2.3555417061896566E-2</v>
      </c>
      <c r="EQ38" s="9">
        <f ca="1">IF(OR(EQ11="",EQ$28&lt;$A38),"",EQ11/OFFSET(ParoRegESP!$A$2,MATCH(EQ$29,ParoRegESP!$A$2:$A$500)+$A38-1,1)-1)</f>
        <v>-5.0615983306935286E-3</v>
      </c>
      <c r="ER38" s="9">
        <f ca="1">IF(OR(ER11="",ER$28&lt;$A38),"",ER11/OFFSET(ParoRegESP!$A$2,MATCH(ER$29,ParoRegESP!$A$2:$A$500)+$A38-1,1)-1)</f>
        <v>-3.0200995750339077E-3</v>
      </c>
      <c r="ES38" s="9">
        <f ca="1">IF(OR(ES11="",ES$28&lt;$A38),"",ES11/OFFSET(ParoRegESP!$A$2,MATCH(ES$29,ParoRegESP!$A$2:$A$500)+$A38-1,1)-1)</f>
        <v>2.3866174885167624E-4</v>
      </c>
      <c r="ET38" s="9">
        <f ca="1">IF(OR(ET11="",ET$28&lt;$A38),"",ET11/OFFSET(ParoRegESP!$A$2,MATCH(ET$29,ParoRegESP!$A$2:$A$500)+$A38-1,1)-1)</f>
        <v>3.0296407944936821E-2</v>
      </c>
      <c r="EU38" s="9">
        <f ca="1">IF(OR(EU11="",EU$28&lt;$A38),"",EU11/OFFSET(ParoRegESP!$A$2,MATCH(EU$29,ParoRegESP!$A$2:$A$500)+$A38-1,1)-1)</f>
        <v>2.6982767598608293E-2</v>
      </c>
      <c r="EV38" s="9">
        <f ca="1">IF(OR(EV11="",EV$28&lt;$A38),"",EV11/OFFSET(ParoRegESP!$A$2,MATCH(EV$29,ParoRegESP!$A$2:$A$500)+$A38-1,1)-1)</f>
        <v>-9.8973297310434027E-4</v>
      </c>
      <c r="EW38" s="9">
        <f ca="1">IF(OR(EW11="",EW$28&lt;$A38),"",EW11/OFFSET(ParoRegESP!$A$2,MATCH(EW$29,ParoRegESP!$A$2:$A$500)+$A38-1,1)-1)</f>
        <v>1.1902168440343086E-2</v>
      </c>
      <c r="EX38" s="9">
        <f ca="1">IF(OR(EX11="",EX$28&lt;$A38),"",EX11/OFFSET(ParoRegESP!$A$2,MATCH(EX$29,ParoRegESP!$A$2:$A$500)+$A38-1,1)-1)</f>
        <v>2.613823481976052E-2</v>
      </c>
      <c r="EY38" s="9">
        <f ca="1">IF(OR(EY11="",EY$28&lt;$A38),"",EY11/OFFSET(ParoRegESP!$A$2,MATCH(EY$29,ParoRegESP!$A$2:$A$500)+$A38-1,1)-1)</f>
        <v>3.3264694199450773E-2</v>
      </c>
      <c r="EZ38" s="9">
        <f ca="1">IF(OR(EZ11="",EZ$28&lt;$A38),"",EZ11/OFFSET(ParoRegESP!$A$2,MATCH(EZ$29,ParoRegESP!$A$2:$A$500)+$A38-1,1)-1)</f>
        <v>-6.6820853961604421E-3</v>
      </c>
      <c r="FA38" s="9">
        <f ca="1">IF(OR(FA11="",FA$28&lt;$A38),"",FA11/OFFSET(ParoRegESP!$A$2,MATCH(FA$29,ParoRegESP!$A$2:$A$500)+$A38-1,1)-1)</f>
        <v>2.3575424789652466E-2</v>
      </c>
      <c r="FB38" s="9">
        <f ca="1">IF(OR(FB11="",FB$28&lt;$A38),"",FB11/OFFSET(ParoRegESP!$A$2,MATCH(FB$29,ParoRegESP!$A$2:$A$500)+$A38-1,1)-1)</f>
        <v>-2.9368098712922786E-2</v>
      </c>
      <c r="FC38" s="9">
        <f ca="1">IF(OR(FC11="",FC$28&lt;$A38),"",FC11/OFFSET(ParoRegESP!$A$2,MATCH(FC$29,ParoRegESP!$A$2:$A$500)+$A38-1,1)-1)</f>
        <v>-3.298298231104313E-2</v>
      </c>
      <c r="FD38" s="9">
        <f ca="1">IF(OR(FD11="",FD$28&lt;$A38),"",FD11/OFFSET(ParoRegESP!$A$2,MATCH(FD$29,ParoRegESP!$A$2:$A$500)+$A38-1,1)-1)</f>
        <v>-3.2299917462480399E-2</v>
      </c>
      <c r="FE38" s="9">
        <f ca="1">IF(OR(FE11="",FE$28&lt;$A38),"",FE11/OFFSET(ParoRegESP!$A$2,MATCH(FE$29,ParoRegESP!$A$2:$A$500)+$A38-1,1)-1)</f>
        <v>-4.0667926450760783E-2</v>
      </c>
      <c r="FF38" s="9">
        <f ca="1">IF(OR(FF11="",FF$28&lt;$A38),"",FF11/OFFSET(ParoRegESP!$A$2,MATCH(FF$29,ParoRegESP!$A$2:$A$500)+$A38-1,1)-1)</f>
        <v>-6.6595934511938348E-2</v>
      </c>
      <c r="FG38" s="9">
        <f ca="1">IF(OR(FG11="",FG$28&lt;$A38),"",FG11/OFFSET(ParoRegESP!$A$2,MATCH(FG$29,ParoRegESP!$A$2:$A$500)+$A38-1,1)-1)</f>
        <v>-4.8691351202744482E-2</v>
      </c>
      <c r="FH38" s="9">
        <f ca="1">IF(OR(FH11="",FH$28&lt;$A38),"",FH11/OFFSET(ParoRegESP!$A$2,MATCH(FH$29,ParoRegESP!$A$2:$A$500)+$A38-1,1)-1)</f>
        <v>-1.9631419003441675E-2</v>
      </c>
      <c r="FI38" s="9">
        <f ca="1">IF(OR(FI11="",FI$28&lt;$A38),"",FI11/OFFSET(ParoRegESP!$A$2,MATCH(FI$29,ParoRegESP!$A$2:$A$500)+$A38-1,1)-1)</f>
        <v>3.5145980519219577E-2</v>
      </c>
      <c r="FJ38" s="9">
        <f ca="1">IF(OR(FJ11="",FJ$28&lt;$A38),"",FJ11/OFFSET(ParoRegESP!$A$2,MATCH(FJ$29,ParoRegESP!$A$2:$A$500)+$A38-1,1)-1)</f>
        <v>4.7850750993326585E-2</v>
      </c>
      <c r="FK38" s="9">
        <f ca="1">IF(OR(FK11="",FK$28&lt;$A38),"",FK11/OFFSET(ParoRegESP!$A$2,MATCH(FK$29,ParoRegESP!$A$2:$A$500)+$A38-1,1)-1)</f>
        <v>2.9660643699732425E-2</v>
      </c>
      <c r="FL38" s="9">
        <f ca="1">IF(OR(FL11="",FL$28&lt;$A38),"",FL11/OFFSET(ParoRegESP!$A$2,MATCH(FL$29,ParoRegESP!$A$2:$A$500)+$A38-1,1)-1)</f>
        <v>1.5111602476494124E-3</v>
      </c>
      <c r="FM38" s="9">
        <f ca="1">IF(OR(FM11="",FM$28&lt;$A38),"",FM11/OFFSET(ParoRegESP!$A$2,MATCH(FM$29,ParoRegESP!$A$2:$A$500)+$A38-1,1)-1)</f>
        <v>-1.5286004716677071E-2</v>
      </c>
      <c r="FN38" s="9">
        <f ca="1">IF(OR(FN11="",FN$28&lt;$A38),"",FN11/OFFSET(ParoRegESP!$A$2,MATCH(FN$29,ParoRegESP!$A$2:$A$500)+$A38-1,1)-1)</f>
        <v>-7.8266314293111705E-3</v>
      </c>
      <c r="FO38" s="9">
        <f ca="1">IF(OR(FO11="",FO$28&lt;$A38),"",FO11/OFFSET(ParoRegESP!$A$2,MATCH(FO$29,ParoRegESP!$A$2:$A$500)+$A38-1,1)-1)</f>
        <v>-1.9190046592875487E-2</v>
      </c>
      <c r="FP38" s="9">
        <f ca="1">IF(OR(FP11="",FP$28&lt;$A38),"",FP11/OFFSET(ParoRegESP!$A$2,MATCH(FP$29,ParoRegESP!$A$2:$A$500)+$A38-1,1)-1)</f>
        <v>-2.1362518547919263E-2</v>
      </c>
      <c r="FQ38" s="9">
        <f ca="1">IF(OR(FQ11="",FQ$28&lt;$A38),"",FQ11/OFFSET(ParoRegESP!$A$2,MATCH(FQ$29,ParoRegESP!$A$2:$A$500)+$A38-1,1)-1)</f>
        <v>-1.6296260457421607E-2</v>
      </c>
      <c r="FR38" s="9">
        <f ca="1">IF(OR(FR11="",FR$28&lt;$A38),"",FR11/OFFSET(ParoRegESP!$A$2,MATCH(FR$29,ParoRegESP!$A$2:$A$500)+$A38-1,1)-1)</f>
        <v>-2.0362571890376602E-3</v>
      </c>
      <c r="FS38" s="9">
        <f ca="1">IF(OR(FS11="",FS$28&lt;$A38),"",FS11/OFFSET(ParoRegESP!$A$2,MATCH(FS$29,ParoRegESP!$A$2:$A$500)+$A38-1,1)-1)</f>
        <v>1.7779721036754514E-2</v>
      </c>
      <c r="FT38" s="9">
        <f ca="1">IF(OR(FT11="",FT$28&lt;$A38),"",FT11/OFFSET(ParoRegESP!$A$2,MATCH(FT$29,ParoRegESP!$A$2:$A$500)+$A38-1,1)-1)</f>
        <v>2.1524265360171269E-2</v>
      </c>
      <c r="FU38" s="9">
        <f ca="1">IF(OR(FU11="",FU$28&lt;$A38),"",FU11/OFFSET(ParoRegESP!$A$2,MATCH(FU$29,ParoRegESP!$A$2:$A$500)+$A38-1,1)-1)</f>
        <v>2.592150116399905E-2</v>
      </c>
      <c r="FV38" s="9">
        <f ca="1">IF(OR(FV11="",FV$28&lt;$A38),"",FV11/OFFSET(ParoRegESP!$A$2,MATCH(FV$29,ParoRegESP!$A$2:$A$500)+$A38-1,1)-1)</f>
        <v>3.2933443536706353E-2</v>
      </c>
      <c r="FW38" s="9">
        <f ca="1">IF(OR(FW11="",FW$28&lt;$A38),"",FW11/OFFSET(ParoRegESP!$A$2,MATCH(FW$29,ParoRegESP!$A$2:$A$500)+$A38-1,1)-1)</f>
        <v>8.1531330818094272E-3</v>
      </c>
      <c r="FX38" s="9">
        <f ca="1">IF(OR(FX11="",FX$28&lt;$A38),"",FX11/OFFSET(ParoRegESP!$A$2,MATCH(FX$29,ParoRegESP!$A$2:$A$500)+$A38-1,1)-1)</f>
        <v>-2.8541098053828651E-2</v>
      </c>
      <c r="FY38" s="9">
        <f ca="1">IF(OR(FY11="",FY$28&lt;$A38),"",FY11/OFFSET(ParoRegESP!$A$2,MATCH(FY$29,ParoRegESP!$A$2:$A$500)+$A38-1,1)-1)</f>
        <v>-4.9348183351858421E-2</v>
      </c>
      <c r="FZ38" s="9">
        <f ca="1">IF(OR(FZ11="",FZ$28&lt;$A38),"",FZ11/OFFSET(ParoRegESP!$A$2,MATCH(FZ$29,ParoRegESP!$A$2:$A$500)+$A38-1,1)-1)</f>
        <v>-2.9226761390462208E-2</v>
      </c>
      <c r="GA38" s="9">
        <f ca="1">IF(OR(GA11="",GA$28&lt;$A38),"",GA11/OFFSET(ParoRegESP!$A$2,MATCH(GA$29,ParoRegESP!$A$2:$A$500)+$A38-1,1)-1)</f>
        <v>-3.1352658789666421E-2</v>
      </c>
      <c r="GB38" s="9">
        <f ca="1">IF(OR(GB11="",GB$28&lt;$A38),"",GB11/OFFSET(ParoRegESP!$A$2,MATCH(GB$29,ParoRegESP!$A$2:$A$500)+$A38-1,1)-1)</f>
        <v>-3.8471886470204386E-2</v>
      </c>
      <c r="GC38" s="9">
        <f ca="1">IF(OR(GC11="",GC$28&lt;$A38),"",GC11/OFFSET(ParoRegESP!$A$2,MATCH(GC$29,ParoRegESP!$A$2:$A$500)+$A38-1,1)-1)</f>
        <v>-3.951674220791368E-2</v>
      </c>
      <c r="GD38" s="9">
        <f ca="1">IF(OR(GD11="",GD$28&lt;$A38),"",GD11/OFFSET(ParoRegESP!$A$2,MATCH(GD$29,ParoRegESP!$A$2:$A$500)+$A38-1,1)-1)</f>
        <v>-3.7759112013424523E-2</v>
      </c>
      <c r="GE38" s="9">
        <f ca="1">IF(OR(GE11="",GE$28&lt;$A38),"",GE11/OFFSET(ParoRegESP!$A$2,MATCH(GE$29,ParoRegESP!$A$2:$A$500)+$A38-1,1)-1)</f>
        <v>-3.2916035016875678E-2</v>
      </c>
      <c r="GF38" s="9">
        <f ca="1">IF(OR(GF11="",GF$28&lt;$A38),"",GF11/OFFSET(ParoRegESP!$A$2,MATCH(GF$29,ParoRegESP!$A$2:$A$500)+$A38-1,1)-1)</f>
        <v>-8.8895137034202487E-2</v>
      </c>
      <c r="GG38" s="9">
        <f ca="1">IF(OR(GG11="",GG$28&lt;$A38),"",GG11/OFFSET(ParoRegESP!$A$2,MATCH(GG$29,ParoRegESP!$A$2:$A$500)+$A38-1,1)-1)</f>
        <v>-0.1673967939972606</v>
      </c>
      <c r="GH38" s="9">
        <f ca="1">IF(OR(GH11="",GH$28&lt;$A38),"",GH11/OFFSET(ParoRegESP!$A$2,MATCH(GH$29,ParoRegESP!$A$2:$A$500)+$A38-1,1)-1)</f>
        <v>-0.19237302884820873</v>
      </c>
      <c r="GI38" s="9">
        <f ca="1">IF(OR(GI11="",GI$28&lt;$A38),"",GI11/OFFSET(ParoRegESP!$A$2,MATCH(GI$29,ParoRegESP!$A$2:$A$500)+$A38-1,1)-1)</f>
        <v>-0.22976152740198308</v>
      </c>
      <c r="GJ38" s="9">
        <f ca="1">IF(OR(GJ11="",GJ$28&lt;$A38),"",GJ11/OFFSET(ParoRegESP!$A$2,MATCH(GJ$29,ParoRegESP!$A$2:$A$500)+$A38-1,1)-1)</f>
        <v>-0.17986314397997738</v>
      </c>
      <c r="GK38" s="9">
        <f ca="1">IF(OR(GK11="",GK$28&lt;$A38),"",GK11/OFFSET(ParoRegESP!$A$2,MATCH(GK$29,ParoRegESP!$A$2:$A$500)+$A38-1,1)-1)</f>
        <v>-0.19641100995213723</v>
      </c>
      <c r="GL38" s="9">
        <f ca="1">IF(OR(GL11="",GL$28&lt;$A38),"",GL11/OFFSET(ParoRegESP!$A$2,MATCH(GL$29,ParoRegESP!$A$2:$A$500)+$A38-1,1)-1)</f>
        <v>-0.17773631232319387</v>
      </c>
      <c r="GM38" s="9">
        <f ca="1">IF(OR(GM11="",GM$28&lt;$A38),"",GM11/OFFSET(ParoRegESP!$A$2,MATCH(GM$29,ParoRegESP!$A$2:$A$500)+$A38-1,1)-1)</f>
        <v>-0.17328474806823324</v>
      </c>
      <c r="GN38" s="9">
        <f ca="1">IF(OR(GN11="",GN$28&lt;$A38),"",GN11/OFFSET(ParoRegESP!$A$2,MATCH(GN$29,ParoRegESP!$A$2:$A$500)+$A38-1,1)-1)</f>
        <v>-0.19582067424940319</v>
      </c>
      <c r="GO38" s="9">
        <f ca="1">IF(OR(GO11="",GO$28&lt;$A38),"",GO11/OFFSET(ParoRegESP!$A$2,MATCH(GO$29,ParoRegESP!$A$2:$A$500)+$A38-1,1)-1)</f>
        <v>-1.5829177602645461E-2</v>
      </c>
      <c r="GP38" s="9">
        <f ca="1">IF(OR(GP11="",GP$28&lt;$A38),"",GP11/OFFSET(ParoRegESP!$A$2,MATCH(GP$29,ParoRegESP!$A$2:$A$500)+$A38-1,1)-1)</f>
        <v>0.28441215868043068</v>
      </c>
      <c r="GQ38" s="9" t="str">
        <f ca="1">IF(OR(GQ11="",GQ$28&lt;$A38),"",GQ11/OFFSET(ParoRegESP!$A$2,MATCH(GQ$29,ParoRegESP!$A$2:$A$500)+$A38-1,1)-1)</f>
        <v/>
      </c>
      <c r="GR38" s="9" t="str">
        <f ca="1">IF(OR(GR11="",GR$28&lt;$A38),"",GR11/OFFSET(ParoRegESP!$A$2,MATCH(GR$29,ParoRegESP!$A$2:$A$500)+$A38-1,1)-1)</f>
        <v/>
      </c>
      <c r="GS38" s="9" t="str">
        <f ca="1">IF(OR(GS11="",GS$28&lt;$A38),"",GS11/OFFSET(ParoRegESP!$A$2,MATCH(GS$29,ParoRegESP!$A$2:$A$500)+$A38-1,1)-1)</f>
        <v/>
      </c>
      <c r="GT38" s="9" t="str">
        <f ca="1">IF(OR(GT11="",GT$28&lt;$A38),"",GT11/OFFSET(ParoRegESP!$A$2,MATCH(GT$29,ParoRegESP!$A$2:$A$500)+$A38-1,1)-1)</f>
        <v/>
      </c>
      <c r="GU38" s="9" t="str">
        <f ca="1">IF(OR(GU11="",GU$28&lt;$A38),"",GU11/OFFSET(ParoRegESP!$A$2,MATCH(GU$29,ParoRegESP!$A$2:$A$500)+$A38-1,1)-1)</f>
        <v/>
      </c>
      <c r="GV38" s="9" t="str">
        <f ca="1">IF(OR(GV11="",GV$28&lt;$A38),"",GV11/OFFSET(ParoRegESP!$A$2,MATCH(GV$29,ParoRegESP!$A$2:$A$500)+$A38-1,1)-1)</f>
        <v/>
      </c>
      <c r="GW38" s="9" t="str">
        <f ca="1">IF(OR(GW11="",GW$28&lt;$A38),"",GW11/OFFSET(ParoRegESP!$A$2,MATCH(GW$29,ParoRegESP!$A$2:$A$500)+$A38-1,1)-1)</f>
        <v/>
      </c>
      <c r="GX38" s="9" t="str">
        <f ca="1">IF(OR(GX11="",GX$28&lt;$A38),"",GX11/OFFSET(ParoRegESP!$A$2,MATCH(GX$29,ParoRegESP!$A$2:$A$500)+$A38-1,1)-1)</f>
        <v/>
      </c>
      <c r="GY38" s="9" t="str">
        <f ca="1">IF(OR(GY11="",GY$28&lt;$A38),"",GY11/OFFSET(ParoRegESP!$A$2,MATCH(GY$29,ParoRegESP!$A$2:$A$500)+$A38-1,1)-1)</f>
        <v/>
      </c>
      <c r="GZ38" s="9" t="str">
        <f ca="1">IF(OR(GZ11="",GZ$28&lt;$A38),"",GZ11/OFFSET(ParoRegESP!$A$2,MATCH(GZ$29,ParoRegESP!$A$2:$A$500)+$A38-1,1)-1)</f>
        <v/>
      </c>
      <c r="HA38" s="9" t="str">
        <f ca="1">IF(OR(HA11="",HA$28&lt;$A38),"",HA11/OFFSET(ParoRegESP!$A$2,MATCH(HA$29,ParoRegESP!$A$2:$A$500)+$A38-1,1)-1)</f>
        <v/>
      </c>
      <c r="HB38" s="9" t="str">
        <f ca="1">IF(OR(HB11="",HB$28&lt;$A38),"",HB11/OFFSET(ParoRegESP!$A$2,MATCH(HB$29,ParoRegESP!$A$2:$A$500)+$A38-1,1)-1)</f>
        <v/>
      </c>
      <c r="HC38" s="9" t="str">
        <f ca="1">IF(OR(HC11="",HC$28&lt;$A38),"",HC11/OFFSET(ParoRegESP!$A$2,MATCH(HC$29,ParoRegESP!$A$2:$A$500)+$A38-1,1)-1)</f>
        <v/>
      </c>
      <c r="HD38" s="9" t="str">
        <f ca="1">IF(OR(HD11="",HD$28&lt;$A38),"",HD11/OFFSET(ParoRegESP!$A$2,MATCH(HD$29,ParoRegESP!$A$2:$A$500)+$A38-1,1)-1)</f>
        <v/>
      </c>
      <c r="HE38" s="9" t="str">
        <f ca="1">IF(OR(HE11="",HE$28&lt;$A38),"",HE11/OFFSET(ParoRegESP!$A$2,MATCH(HE$29,ParoRegESP!$A$2:$A$500)+$A38-1,1)-1)</f>
        <v/>
      </c>
      <c r="HF38" s="9" t="str">
        <f ca="1">IF(OR(HF11="",HF$28&lt;$A38),"",HF11/OFFSET(ParoRegESP!$A$2,MATCH(HF$29,ParoRegESP!$A$2:$A$500)+$A38-1,1)-1)</f>
        <v/>
      </c>
      <c r="HG38" s="9" t="str">
        <f ca="1">IF(OR(HG11="",HG$28&lt;$A38),"",HG11/OFFSET(ParoRegESP!$A$2,MATCH(HG$29,ParoRegESP!$A$2:$A$500)+$A38-1,1)-1)</f>
        <v/>
      </c>
      <c r="HH38" s="9" t="str">
        <f ca="1">IF(OR(HH11="",HH$28&lt;$A38),"",HH11/OFFSET(ParoRegESP!$A$2,MATCH(HH$29,ParoRegESP!$A$2:$A$500)+$A38-1,1)-1)</f>
        <v/>
      </c>
      <c r="HI38" s="9" t="str">
        <f ca="1">IF(OR(HI11="",HI$28&lt;$A38),"",HI11/OFFSET(ParoRegESP!$A$2,MATCH(HI$29,ParoRegESP!$A$2:$A$500)+$A38-1,1)-1)</f>
        <v/>
      </c>
      <c r="HJ38" s="9" t="str">
        <f ca="1">IF(OR(HJ11="",HJ$28&lt;$A38),"",HJ11/OFFSET(ParoRegESP!$A$2,MATCH(HJ$29,ParoRegESP!$A$2:$A$500)+$A38-1,1)-1)</f>
        <v/>
      </c>
      <c r="HK38" s="9" t="str">
        <f ca="1">IF(OR(HK11="",HK$28&lt;$A38),"",HK11/OFFSET(ParoRegESP!$A$2,MATCH(HK$29,ParoRegESP!$A$2:$A$500)+$A38-1,1)-1)</f>
        <v/>
      </c>
      <c r="HL38" s="9" t="str">
        <f ca="1">IF(OR(HL11="",HL$28&lt;$A38),"",HL11/OFFSET(ParoRegESP!$A$2,MATCH(HL$29,ParoRegESP!$A$2:$A$500)+$A38-1,1)-1)</f>
        <v/>
      </c>
      <c r="HM38" s="9" t="str">
        <f ca="1">IF(OR(HM11="",HM$28&lt;$A38),"",HM11/OFFSET(ParoRegESP!$A$2,MATCH(HM$29,ParoRegESP!$A$2:$A$500)+$A38-1,1)-1)</f>
        <v/>
      </c>
      <c r="HN38" s="9" t="str">
        <f ca="1">IF(OR(HN11="",HN$28&lt;$A38),"",HN11/OFFSET(ParoRegESP!$A$2,MATCH(HN$29,ParoRegESP!$A$2:$A$500)+$A38-1,1)-1)</f>
        <v/>
      </c>
      <c r="HO38" s="9" t="str">
        <f ca="1">IF(OR(HO11="",HO$28&lt;$A38),"",HO11/OFFSET(ParoRegESP!$A$2,MATCH(HO$29,ParoRegESP!$A$2:$A$500)+$A38-1,1)-1)</f>
        <v/>
      </c>
      <c r="HP38" s="9" t="str">
        <f ca="1">IF(OR(HP11="",HP$28&lt;$A38),"",HP11/OFFSET(ParoRegESP!$A$2,MATCH(HP$29,ParoRegESP!$A$2:$A$500)+$A38-1,1)-1)</f>
        <v/>
      </c>
      <c r="HQ38" s="9" t="str">
        <f ca="1">IF(OR(HQ11="",HQ$28&lt;$A38),"",HQ11/OFFSET(ParoRegESP!$A$2,MATCH(HQ$29,ParoRegESP!$A$2:$A$500)+$A38-1,1)-1)</f>
        <v/>
      </c>
      <c r="HR38" s="9" t="str">
        <f ca="1">IF(OR(HR11="",HR$28&lt;$A38),"",HR11/OFFSET(ParoRegESP!$A$2,MATCH(HR$29,ParoRegESP!$A$2:$A$500)+$A38-1,1)-1)</f>
        <v/>
      </c>
      <c r="HS38" s="9" t="str">
        <f ca="1">IF(OR(HS11="",HS$28&lt;$A38),"",HS11/OFFSET(ParoRegESP!$A$2,MATCH(HS$29,ParoRegESP!$A$2:$A$500)+$A38-1,1)-1)</f>
        <v/>
      </c>
      <c r="HT38" s="9" t="str">
        <f ca="1">IF(OR(HT11="",HT$28&lt;$A38),"",HT11/OFFSET(ParoRegESP!$A$2,MATCH(HT$29,ParoRegESP!$A$2:$A$500)+$A38-1,1)-1)</f>
        <v/>
      </c>
      <c r="HU38" s="9" t="str">
        <f ca="1">IF(OR(HU11="",HU$28&lt;$A38),"",HU11/OFFSET(ParoRegESP!$A$2,MATCH(HU$29,ParoRegESP!$A$2:$A$500)+$A38-1,1)-1)</f>
        <v/>
      </c>
      <c r="HV38" s="9" t="str">
        <f ca="1">IF(OR(HV11="",HV$28&lt;$A38),"",HV11/OFFSET(ParoRegESP!$A$2,MATCH(HV$29,ParoRegESP!$A$2:$A$500)+$A38-1,1)-1)</f>
        <v/>
      </c>
      <c r="HW38" s="9" t="str">
        <f ca="1">IF(OR(HW11="",HW$28&lt;$A38),"",HW11/OFFSET(ParoRegESP!$A$2,MATCH(HW$29,ParoRegESP!$A$2:$A$500)+$A38-1,1)-1)</f>
        <v/>
      </c>
      <c r="HX38" s="9" t="str">
        <f ca="1">IF(OR(HX11="",HX$28&lt;$A38),"",HX11/OFFSET(ParoRegESP!$A$2,MATCH(HX$29,ParoRegESP!$A$2:$A$500)+$A38-1,1)-1)</f>
        <v/>
      </c>
      <c r="HY38" s="9" t="str">
        <f ca="1">IF(OR(HY11="",HY$28&lt;$A38),"",HY11/OFFSET(ParoRegESP!$A$2,MATCH(HY$29,ParoRegESP!$A$2:$A$500)+$A38-1,1)-1)</f>
        <v/>
      </c>
      <c r="HZ38" s="9" t="str">
        <f ca="1">IF(OR(HZ11="",HZ$28&lt;$A38),"",HZ11/OFFSET(ParoRegESP!$A$2,MATCH(HZ$29,ParoRegESP!$A$2:$A$500)+$A38-1,1)-1)</f>
        <v/>
      </c>
      <c r="IA38" s="9" t="str">
        <f ca="1">IF(OR(IA11="",IA$28&lt;$A38),"",IA11/OFFSET(ParoRegESP!$A$2,MATCH(IA$29,ParoRegESP!$A$2:$A$500)+$A38-1,1)-1)</f>
        <v/>
      </c>
      <c r="IB38" s="9" t="str">
        <f ca="1">IF(OR(IB11="",IB$28&lt;$A38),"",IB11/OFFSET(ParoRegESP!$A$2,MATCH(IB$29,ParoRegESP!$A$2:$A$500)+$A38-1,1)-1)</f>
        <v/>
      </c>
      <c r="IC38" s="9" t="str">
        <f ca="1">IF(OR(IC11="",IC$28&lt;$A38),"",IC11/OFFSET(ParoRegESP!$A$2,MATCH(IC$29,ParoRegESP!$A$2:$A$500)+$A38-1,1)-1)</f>
        <v/>
      </c>
      <c r="ID38" s="9" t="str">
        <f ca="1">IF(OR(ID11="",ID$28&lt;$A38),"",ID11/OFFSET(ParoRegESP!$A$2,MATCH(ID$29,ParoRegESP!$A$2:$A$500)+$A38-1,1)-1)</f>
        <v/>
      </c>
      <c r="IE38" s="9" t="str">
        <f ca="1">IF(OR(IE11="",IE$28&lt;$A38),"",IE11/OFFSET(ParoRegESP!$A$2,MATCH(IE$29,ParoRegESP!$A$2:$A$500)+$A38-1,1)-1)</f>
        <v/>
      </c>
      <c r="IF38" s="9" t="str">
        <f ca="1">IF(OR(IF11="",IF$28&lt;$A38),"",IF11/OFFSET(ParoRegESP!$A$2,MATCH(IF$29,ParoRegESP!$A$2:$A$500)+$A38-1,1)-1)</f>
        <v/>
      </c>
      <c r="IG38" s="9" t="str">
        <f ca="1">IF(OR(IG11="",IG$28&lt;$A38),"",IG11/OFFSET(ParoRegESP!$A$2,MATCH(IG$29,ParoRegESP!$A$2:$A$500)+$A38-1,1)-1)</f>
        <v/>
      </c>
      <c r="IH38" s="9" t="str">
        <f ca="1">IF(OR(IH11="",IH$28&lt;$A38),"",IH11/OFFSET(ParoRegESP!$A$2,MATCH(IH$29,ParoRegESP!$A$2:$A$500)+$A38-1,1)-1)</f>
        <v/>
      </c>
      <c r="II38" s="9" t="str">
        <f ca="1">IF(OR(II11="",II$28&lt;$A38),"",II11/OFFSET(ParoRegESP!$A$2,MATCH(II$29,ParoRegESP!$A$2:$A$500)+$A38-1,1)-1)</f>
        <v/>
      </c>
      <c r="IJ38" s="9" t="str">
        <f ca="1">IF(OR(IJ11="",IJ$28&lt;$A38),"",IJ11/OFFSET(ParoRegESP!$A$2,MATCH(IJ$29,ParoRegESP!$A$2:$A$500)+$A38-1,1)-1)</f>
        <v/>
      </c>
      <c r="IK38" s="9" t="str">
        <f ca="1">IF(OR(IK11="",IK$28&lt;$A38),"",IK11/OFFSET(ParoRegESP!$A$2,MATCH(IK$29,ParoRegESP!$A$2:$A$500)+$A38-1,1)-1)</f>
        <v/>
      </c>
      <c r="IL38" s="9" t="str">
        <f ca="1">IF(OR(IL11="",IL$28&lt;$A38),"",IL11/OFFSET(ParoRegESP!$A$2,MATCH(IL$29,ParoRegESP!$A$2:$A$500)+$A38-1,1)-1)</f>
        <v/>
      </c>
      <c r="IM38" s="9" t="str">
        <f ca="1">IF(OR(IM11="",IM$28&lt;$A38),"",IM11/OFFSET(ParoRegESP!$A$2,MATCH(IM$29,ParoRegESP!$A$2:$A$500)+$A38-1,1)-1)</f>
        <v/>
      </c>
      <c r="IN38" s="9" t="str">
        <f ca="1">IF(OR(IN11="",IN$28&lt;$A38),"",IN11/OFFSET(ParoRegESP!$A$2,MATCH(IN$29,ParoRegESP!$A$2:$A$500)+$A38-1,1)-1)</f>
        <v/>
      </c>
      <c r="IO38" s="9" t="str">
        <f ca="1">IF(OR(IO11="",IO$28&lt;$A38),"",IO11/OFFSET(ParoRegESP!$A$2,MATCH(IO$29,ParoRegESP!$A$2:$A$500)+$A38-1,1)-1)</f>
        <v/>
      </c>
      <c r="IP38" s="9" t="str">
        <f ca="1">IF(OR(IP11="",IP$28&lt;$A38),"",IP11/OFFSET(ParoRegESP!$A$2,MATCH(IP$29,ParoRegESP!$A$2:$A$500)+$A38-1,1)-1)</f>
        <v/>
      </c>
      <c r="IQ38" s="9" t="str">
        <f ca="1">IF(OR(IQ11="",IQ$28&lt;$A38),"",IQ11/OFFSET(ParoRegESP!$A$2,MATCH(IQ$29,ParoRegESP!$A$2:$A$500)+$A38-1,1)-1)</f>
        <v/>
      </c>
      <c r="IR38" s="9" t="str">
        <f ca="1">IF(OR(IR11="",IR$28&lt;$A38),"",IR11/OFFSET(ParoRegESP!$A$2,MATCH(IR$29,ParoRegESP!$A$2:$A$500)+$A38-1,1)-1)</f>
        <v/>
      </c>
      <c r="IS38" s="9" t="str">
        <f ca="1">IF(OR(IS11="",IS$28&lt;$A38),"",IS11/OFFSET(ParoRegESP!$A$2,MATCH(IS$29,ParoRegESP!$A$2:$A$500)+$A38-1,1)-1)</f>
        <v/>
      </c>
      <c r="IT38" s="9" t="str">
        <f ca="1">IF(OR(IT11="",IT$28&lt;$A38),"",IT11/OFFSET(ParoRegESP!$A$2,MATCH(IT$29,ParoRegESP!$A$2:$A$500)+$A38-1,1)-1)</f>
        <v/>
      </c>
      <c r="IU38" s="9" t="str">
        <f ca="1">IF(OR(IU11="",IU$28&lt;$A38),"",IU11/OFFSET(ParoRegESP!$A$2,MATCH(IU$29,ParoRegESP!$A$2:$A$500)+$A38-1,1)-1)</f>
        <v/>
      </c>
      <c r="IV38" s="9" t="str">
        <f ca="1">IF(OR(IV11="",IV$28&lt;$A38),"",IV11/OFFSET(ParoRegESP!$A$2,MATCH(IV$29,ParoRegESP!$A$2:$A$500)+$A38-1,1)-1)</f>
        <v/>
      </c>
      <c r="IW38" s="9" t="str">
        <f ca="1">IF(OR(IW11="",IW$28&lt;$A38),"",IW11/OFFSET(ParoRegESP!$A$2,MATCH(IW$29,ParoRegESP!$A$2:$A$500)+$A38-1,1)-1)</f>
        <v/>
      </c>
      <c r="IX38" s="9" t="str">
        <f ca="1">IF(OR(IX11="",IX$28&lt;$A38),"",IX11/OFFSET(ParoRegESP!$A$2,MATCH(IX$29,ParoRegESP!$A$2:$A$500)+$A38-1,1)-1)</f>
        <v/>
      </c>
      <c r="IY38" s="9" t="str">
        <f ca="1">IF(OR(IY11="",IY$28&lt;$A38),"",IY11/OFFSET(ParoRegESP!$A$2,MATCH(IY$29,ParoRegESP!$A$2:$A$500)+$A38-1,1)-1)</f>
        <v/>
      </c>
      <c r="IZ38" s="9" t="str">
        <f ca="1">IF(OR(IZ11="",IZ$28&lt;$A38),"",IZ11/OFFSET(ParoRegESP!$A$2,MATCH(IZ$29,ParoRegESP!$A$2:$A$500)+$A38-1,1)-1)</f>
        <v/>
      </c>
      <c r="JA38" s="9" t="str">
        <f ca="1">IF(OR(JA11="",JA$28&lt;$A38),"",JA11/OFFSET(ParoRegESP!$A$2,MATCH(JA$29,ParoRegESP!$A$2:$A$500)+$A38-1,1)-1)</f>
        <v/>
      </c>
      <c r="JB38" s="9" t="str">
        <f ca="1">IF(OR(JB11="",JB$28&lt;$A38),"",JB11/OFFSET(ParoRegESP!$A$2,MATCH(JB$29,ParoRegESP!$A$2:$A$500)+$A38-1,1)-1)</f>
        <v/>
      </c>
      <c r="JC38" s="9" t="str">
        <f ca="1">IF(OR(JC11="",JC$28&lt;$A38),"",JC11/OFFSET(ParoRegESP!$A$2,MATCH(JC$29,ParoRegESP!$A$2:$A$500)+$A38-1,1)-1)</f>
        <v/>
      </c>
      <c r="JD38" s="9" t="str">
        <f ca="1">IF(OR(JD11="",JD$28&lt;$A38),"",JD11/OFFSET(ParoRegESP!$A$2,MATCH(JD$29,ParoRegESP!$A$2:$A$500)+$A38-1,1)-1)</f>
        <v/>
      </c>
      <c r="JE38" s="9" t="str">
        <f ca="1">IF(OR(JE11="",JE$28&lt;$A38),"",JE11/OFFSET(ParoRegESP!$A$2,MATCH(JE$29,ParoRegESP!$A$2:$A$500)+$A38-1,1)-1)</f>
        <v/>
      </c>
      <c r="JF38" s="9" t="str">
        <f ca="1">IF(OR(JF11="",JF$28&lt;$A38),"",JF11/OFFSET(ParoRegESP!$A$2,MATCH(JF$29,ParoRegESP!$A$2:$A$500)+$A38-1,1)-1)</f>
        <v/>
      </c>
      <c r="JG38" s="9" t="str">
        <f ca="1">IF(OR(JG11="",JG$28&lt;$A38),"",JG11/OFFSET(ParoRegESP!$A$2,MATCH(JG$29,ParoRegESP!$A$2:$A$500)+$A38-1,1)-1)</f>
        <v/>
      </c>
      <c r="JH38" s="9" t="str">
        <f ca="1">IF(OR(JH11="",JH$28&lt;$A38),"",JH11/OFFSET(ParoRegESP!$A$2,MATCH(JH$29,ParoRegESP!$A$2:$A$500)+$A38-1,1)-1)</f>
        <v/>
      </c>
      <c r="JI38" s="13">
        <f t="shared" ca="1" si="13"/>
        <v>-5.8927397136079515E-2</v>
      </c>
      <c r="JJ38" s="13">
        <f t="shared" ca="1" si="14"/>
        <v>-3.53375735151501E-2</v>
      </c>
      <c r="JK38" s="14">
        <f t="shared" ca="1" si="15"/>
        <v>1.1576185968979575E-2</v>
      </c>
      <c r="JL38" s="17">
        <f t="shared" ca="1" si="18"/>
        <v>0.10759268548084286</v>
      </c>
      <c r="JM38" s="15" t="str">
        <f t="shared" ca="1" si="16"/>
        <v>[ -27,41% ; 15,63% ]</v>
      </c>
      <c r="JN38" s="17">
        <f t="shared" ca="1" si="17"/>
        <v>0.13771863741547885</v>
      </c>
      <c r="LY38" s="1"/>
    </row>
    <row r="39" spans="1:337" x14ac:dyDescent="0.25">
      <c r="A39" s="4">
        <v>10</v>
      </c>
      <c r="B39" s="9">
        <f ca="1">IF(OR(B12="",B$28&lt;$A39),"",B12/OFFSET(ParoRegESP!$A$2,MATCH(B$29,ParoRegESP!$A$2:$A$500)+$A39-1,1)-1)</f>
        <v>5.9344928131906505E-2</v>
      </c>
      <c r="C39" s="9">
        <f ca="1">IF(OR(C12="",C$28&lt;$A39),"",C12/OFFSET(ParoRegESP!$A$2,MATCH(C$29,ParoRegESP!$A$2:$A$500)+$A39-1,1)-1)</f>
        <v>4.9844881307815614E-2</v>
      </c>
      <c r="D39" s="9">
        <f ca="1">IF(OR(D12="",D$28&lt;$A39),"",D12/OFFSET(ParoRegESP!$A$2,MATCH(D$29,ParoRegESP!$A$2:$A$500)+$A39-1,1)-1)</f>
        <v>4.6047889700473466E-2</v>
      </c>
      <c r="E39" s="9">
        <f ca="1">IF(OR(E12="",E$28&lt;$A39),"",E12/OFFSET(ParoRegESP!$A$2,MATCH(E$29,ParoRegESP!$A$2:$A$500)+$A39-1,1)-1)</f>
        <v>3.8116391187411613E-2</v>
      </c>
      <c r="F39" s="9">
        <f ca="1">IF(OR(F12="",F$28&lt;$A39),"",F12/OFFSET(ParoRegESP!$A$2,MATCH(F$29,ParoRegESP!$A$2:$A$500)+$A39-1,1)-1)</f>
        <v>4.7260878287691099E-2</v>
      </c>
      <c r="G39" s="9">
        <f ca="1">IF(OR(G12="",G$28&lt;$A39),"",G12/OFFSET(ParoRegESP!$A$2,MATCH(G$29,ParoRegESP!$A$2:$A$500)+$A39-1,1)-1)</f>
        <v>4.1314798884929838E-2</v>
      </c>
      <c r="H39" s="9">
        <f ca="1">IF(OR(H12="",H$28&lt;$A39),"",H12/OFFSET(ParoRegESP!$A$2,MATCH(H$29,ParoRegESP!$A$2:$A$500)+$A39-1,1)-1)</f>
        <v>4.731691690289197E-2</v>
      </c>
      <c r="I39" s="9">
        <f ca="1">IF(OR(I12="",I$28&lt;$A39),"",I12/OFFSET(ParoRegESP!$A$2,MATCH(I$29,ParoRegESP!$A$2:$A$500)+$A39-1,1)-1)</f>
        <v>5.8183702505916868E-2</v>
      </c>
      <c r="J39" s="9">
        <f ca="1">IF(OR(J12="",J$28&lt;$A39),"",J12/OFFSET(ParoRegESP!$A$2,MATCH(J$29,ParoRegESP!$A$2:$A$500)+$A39-1,1)-1)</f>
        <v>5.6883906422612984E-2</v>
      </c>
      <c r="K39" s="9">
        <f ca="1">IF(OR(K12="",K$28&lt;$A39),"",K12/OFFSET(ParoRegESP!$A$2,MATCH(K$29,ParoRegESP!$A$2:$A$500)+$A39-1,1)-1)</f>
        <v>2.1774312559097231E-2</v>
      </c>
      <c r="L39" s="9">
        <f ca="1">IF(OR(L12="",L$28&lt;$A39),"",L12/OFFSET(ParoRegESP!$A$2,MATCH(L$29,ParoRegESP!$A$2:$A$500)+$A39-1,1)-1)</f>
        <v>1.3090159864872719E-2</v>
      </c>
      <c r="M39" s="9">
        <f ca="1">IF(OR(M12="",M$28&lt;$A39),"",M12/OFFSET(ParoRegESP!$A$2,MATCH(M$29,ParoRegESP!$A$2:$A$500)+$A39-1,1)-1)</f>
        <v>6.3517335098657313E-3</v>
      </c>
      <c r="N39" s="9">
        <f ca="1">IF(OR(N12="",N$28&lt;$A39),"",N12/OFFSET(ParoRegESP!$A$2,MATCH(N$29,ParoRegESP!$A$2:$A$500)+$A39-1,1)-1)</f>
        <v>-1.1991452272691161E-2</v>
      </c>
      <c r="O39" s="9">
        <f ca="1">IF(OR(O12="",O$28&lt;$A39),"",O12/OFFSET(ParoRegESP!$A$2,MATCH(O$29,ParoRegESP!$A$2:$A$500)+$A39-1,1)-1)</f>
        <v>-1.9832671747474273E-2</v>
      </c>
      <c r="P39" s="9">
        <f ca="1">IF(OR(P12="",P$28&lt;$A39),"",P12/OFFSET(ParoRegESP!$A$2,MATCH(P$29,ParoRegESP!$A$2:$A$500)+$A39-1,1)-1)</f>
        <v>-2.5067870320666596E-2</v>
      </c>
      <c r="Q39" s="9">
        <f ca="1">IF(OR(Q12="",Q$28&lt;$A39),"",Q12/OFFSET(ParoRegESP!$A$2,MATCH(Q$29,ParoRegESP!$A$2:$A$500)+$A39-1,1)-1)</f>
        <v>-1.2688093352360541E-2</v>
      </c>
      <c r="R39" s="9">
        <f ca="1">IF(OR(R12="",R$28&lt;$A39),"",R12/OFFSET(ParoRegESP!$A$2,MATCH(R$29,ParoRegESP!$A$2:$A$500)+$A39-1,1)-1)</f>
        <v>-6.0753338904152576E-3</v>
      </c>
      <c r="S39" s="9">
        <f ca="1">IF(OR(S12="",S$28&lt;$A39),"",S12/OFFSET(ParoRegESP!$A$2,MATCH(S$29,ParoRegESP!$A$2:$A$500)+$A39-1,1)-1)</f>
        <v>-3.2182080489406406E-2</v>
      </c>
      <c r="T39" s="9">
        <f ca="1">IF(OR(T12="",T$28&lt;$A39),"",T12/OFFSET(ParoRegESP!$A$2,MATCH(T$29,ParoRegESP!$A$2:$A$500)+$A39-1,1)-1)</f>
        <v>-2.3020032708387705E-2</v>
      </c>
      <c r="U39" s="9">
        <f ca="1">IF(OR(U12="",U$28&lt;$A39),"",U12/OFFSET(ParoRegESP!$A$2,MATCH(U$29,ParoRegESP!$A$2:$A$500)+$A39-1,1)-1)</f>
        <v>3.5302076272831773E-3</v>
      </c>
      <c r="V39" s="9">
        <f ca="1">IF(OR(V12="",V$28&lt;$A39),"",V12/OFFSET(ParoRegESP!$A$2,MATCH(V$29,ParoRegESP!$A$2:$A$500)+$A39-1,1)-1)</f>
        <v>2.3319373980438929E-2</v>
      </c>
      <c r="W39" s="9">
        <f ca="1">IF(OR(W12="",W$28&lt;$A39),"",W12/OFFSET(ParoRegESP!$A$2,MATCH(W$29,ParoRegESP!$A$2:$A$500)+$A39-1,1)-1)</f>
        <v>1.2445063013387214E-2</v>
      </c>
      <c r="X39" s="9">
        <f ca="1">IF(OR(X12="",X$28&lt;$A39),"",X12/OFFSET(ParoRegESP!$A$2,MATCH(X$29,ParoRegESP!$A$2:$A$500)+$A39-1,1)-1)</f>
        <v>1.0178390827334072E-2</v>
      </c>
      <c r="Y39" s="9">
        <f ca="1">IF(OR(Y12="",Y$28&lt;$A39),"",Y12/OFFSET(ParoRegESP!$A$2,MATCH(Y$29,ParoRegESP!$A$2:$A$500)+$A39-1,1)-1)</f>
        <v>1.9487215874250952E-2</v>
      </c>
      <c r="Z39" s="9">
        <f ca="1">IF(OR(Z12="",Z$28&lt;$A39),"",Z12/OFFSET(ParoRegESP!$A$2,MATCH(Z$29,ParoRegESP!$A$2:$A$500)+$A39-1,1)-1)</f>
        <v>2.6782161304171437E-2</v>
      </c>
      <c r="AA39" s="9">
        <f ca="1">IF(OR(AA12="",AA$28&lt;$A39),"",AA12/OFFSET(ParoRegESP!$A$2,MATCH(AA$29,ParoRegESP!$A$2:$A$500)+$A39-1,1)-1)</f>
        <v>3.5570960847103095E-2</v>
      </c>
      <c r="AB39" s="9">
        <f ca="1">IF(OR(AB12="",AB$28&lt;$A39),"",AB12/OFFSET(ParoRegESP!$A$2,MATCH(AB$29,ParoRegESP!$A$2:$A$500)+$A39-1,1)-1)</f>
        <v>4.1406869536980251E-2</v>
      </c>
      <c r="AC39" s="9">
        <f ca="1">IF(OR(AC12="",AC$28&lt;$A39),"",AC12/OFFSET(ParoRegESP!$A$2,MATCH(AC$29,ParoRegESP!$A$2:$A$500)+$A39-1,1)-1)</f>
        <v>4.7301522487105174E-2</v>
      </c>
      <c r="AD39" s="9">
        <f ca="1">IF(OR(AD12="",AD$28&lt;$A39),"",AD12/OFFSET(ParoRegESP!$A$2,MATCH(AD$29,ParoRegESP!$A$2:$A$500)+$A39-1,1)-1)</f>
        <v>3.1476182272131448E-2</v>
      </c>
      <c r="AE39" s="9">
        <f ca="1">IF(OR(AE12="",AE$28&lt;$A39),"",AE12/OFFSET(ParoRegESP!$A$2,MATCH(AE$29,ParoRegESP!$A$2:$A$500)+$A39-1,1)-1)</f>
        <v>2.3552923578022078E-2</v>
      </c>
      <c r="AF39" s="9">
        <f ca="1">IF(OR(AF12="",AF$28&lt;$A39),"",AF12/OFFSET(ParoRegESP!$A$2,MATCH(AF$29,ParoRegESP!$A$2:$A$500)+$A39-1,1)-1)</f>
        <v>1.6604697290298009E-2</v>
      </c>
      <c r="AG39" s="9">
        <f ca="1">IF(OR(AG12="",AG$28&lt;$A39),"",AG12/OFFSET(ParoRegESP!$A$2,MATCH(AG$29,ParoRegESP!$A$2:$A$500)+$A39-1,1)-1)</f>
        <v>1.2626221093672951E-2</v>
      </c>
      <c r="AH39" s="9">
        <f ca="1">IF(OR(AH12="",AH$28&lt;$A39),"",AH12/OFFSET(ParoRegESP!$A$2,MATCH(AH$29,ParoRegESP!$A$2:$A$500)+$A39-1,1)-1)</f>
        <v>-7.9451841303866955E-3</v>
      </c>
      <c r="AI39" s="9">
        <f ca="1">IF(OR(AI12="",AI$28&lt;$A39),"",AI12/OFFSET(ParoRegESP!$A$2,MATCH(AI$29,ParoRegESP!$A$2:$A$500)+$A39-1,1)-1)</f>
        <v>-2.1667151926977213E-2</v>
      </c>
      <c r="AJ39" s="9">
        <f ca="1">IF(OR(AJ12="",AJ$28&lt;$A39),"",AJ12/OFFSET(ParoRegESP!$A$2,MATCH(AJ$29,ParoRegESP!$A$2:$A$500)+$A39-1,1)-1)</f>
        <v>-5.2654966997485952E-2</v>
      </c>
      <c r="AK39" s="9">
        <f ca="1">IF(OR(AK12="",AK$28&lt;$A39),"",AK12/OFFSET(ParoRegESP!$A$2,MATCH(AK$29,ParoRegESP!$A$2:$A$500)+$A39-1,1)-1)</f>
        <v>-6.101848360621942E-2</v>
      </c>
      <c r="AL39" s="9">
        <f ca="1">IF(OR(AL12="",AL$28&lt;$A39),"",AL12/OFFSET(ParoRegESP!$A$2,MATCH(AL$29,ParoRegESP!$A$2:$A$500)+$A39-1,1)-1)</f>
        <v>-6.3499323929033236E-2</v>
      </c>
      <c r="AM39" s="9">
        <f ca="1">IF(OR(AM12="",AM$28&lt;$A39),"",AM12/OFFSET(ParoRegESP!$A$2,MATCH(AM$29,ParoRegESP!$A$2:$A$500)+$A39-1,1)-1)</f>
        <v>-7.271339900508722E-2</v>
      </c>
      <c r="AN39" s="9">
        <f ca="1">IF(OR(AN12="",AN$28&lt;$A39),"",AN12/OFFSET(ParoRegESP!$A$2,MATCH(AN$29,ParoRegESP!$A$2:$A$500)+$A39-1,1)-1)</f>
        <v>-8.5604196497543916E-2</v>
      </c>
      <c r="AO39" s="9">
        <f ca="1">IF(OR(AO12="",AO$28&lt;$A39),"",AO12/OFFSET(ParoRegESP!$A$2,MATCH(AO$29,ParoRegESP!$A$2:$A$500)+$A39-1,1)-1)</f>
        <v>-0.10012229768808911</v>
      </c>
      <c r="AP39" s="9">
        <f ca="1">IF(OR(AP12="",AP$28&lt;$A39),"",AP12/OFFSET(ParoRegESP!$A$2,MATCH(AP$29,ParoRegESP!$A$2:$A$500)+$A39-1,1)-1)</f>
        <v>-0.10987812269432429</v>
      </c>
      <c r="AQ39" s="9">
        <f ca="1">IF(OR(AQ12="",AQ$28&lt;$A39),"",AQ12/OFFSET(ParoRegESP!$A$2,MATCH(AQ$29,ParoRegESP!$A$2:$A$500)+$A39-1,1)-1)</f>
        <v>-9.9707050284331467E-2</v>
      </c>
      <c r="AR39" s="9">
        <f ca="1">IF(OR(AR12="",AR$28&lt;$A39),"",AR12/OFFSET(ParoRegESP!$A$2,MATCH(AR$29,ParoRegESP!$A$2:$A$500)+$A39-1,1)-1)</f>
        <v>-0.1184193268253132</v>
      </c>
      <c r="AS39" s="9">
        <f ca="1">IF(OR(AS12="",AS$28&lt;$A39),"",AS12/OFFSET(ParoRegESP!$A$2,MATCH(AS$29,ParoRegESP!$A$2:$A$500)+$A39-1,1)-1)</f>
        <v>-0.14545764639732772</v>
      </c>
      <c r="AT39" s="9">
        <f ca="1">IF(OR(AT12="",AT$28&lt;$A39),"",AT12/OFFSET(ParoRegESP!$A$2,MATCH(AT$29,ParoRegESP!$A$2:$A$500)+$A39-1,1)-1)</f>
        <v>-0.15896108226108308</v>
      </c>
      <c r="AU39" s="9">
        <f ca="1">IF(OR(AU12="",AU$28&lt;$A39),"",AU12/OFFSET(ParoRegESP!$A$2,MATCH(AU$29,ParoRegESP!$A$2:$A$500)+$A39-1,1)-1)</f>
        <v>-0.1793487307877385</v>
      </c>
      <c r="AV39" s="9">
        <f ca="1">IF(OR(AV12="",AV$28&lt;$A39),"",AV12/OFFSET(ParoRegESP!$A$2,MATCH(AV$29,ParoRegESP!$A$2:$A$500)+$A39-1,1)-1)</f>
        <v>-0.2004058286024426</v>
      </c>
      <c r="AW39" s="9">
        <f ca="1">IF(OR(AW12="",AW$28&lt;$A39),"",AW12/OFFSET(ParoRegESP!$A$2,MATCH(AW$29,ParoRegESP!$A$2:$A$500)+$A39-1,1)-1)</f>
        <v>-0.22939684057738585</v>
      </c>
      <c r="AX39" s="9">
        <f ca="1">IF(OR(AX12="",AX$28&lt;$A39),"",AX12/OFFSET(ParoRegESP!$A$2,MATCH(AX$29,ParoRegESP!$A$2:$A$500)+$A39-1,1)-1)</f>
        <v>-0.25950323114541907</v>
      </c>
      <c r="AY39" s="9">
        <f ca="1">IF(OR(AY12="",AY$28&lt;$A39),"",AY12/OFFSET(ParoRegESP!$A$2,MATCH(AY$29,ParoRegESP!$A$2:$A$500)+$A39-1,1)-1)</f>
        <v>-0.26724951167048172</v>
      </c>
      <c r="AZ39" s="9">
        <f ca="1">IF(OR(AZ12="",AZ$28&lt;$A39),"",AZ12/OFFSET(ParoRegESP!$A$2,MATCH(AZ$29,ParoRegESP!$A$2:$A$500)+$A39-1,1)-1)</f>
        <v>-0.25054919331735537</v>
      </c>
      <c r="BA39" s="9">
        <f ca="1">IF(OR(BA12="",BA$28&lt;$A39),"",BA12/OFFSET(ParoRegESP!$A$2,MATCH(BA$29,ParoRegESP!$A$2:$A$500)+$A39-1,1)-1)</f>
        <v>-0.28103752322236897</v>
      </c>
      <c r="BB39" s="9">
        <f ca="1">IF(OR(BB12="",BB$28&lt;$A39),"",BB12/OFFSET(ParoRegESP!$A$2,MATCH(BB$29,ParoRegESP!$A$2:$A$500)+$A39-1,1)-1)</f>
        <v>-0.20800423026032522</v>
      </c>
      <c r="BC39" s="9">
        <f ca="1">IF(OR(BC12="",BC$28&lt;$A39),"",BC12/OFFSET(ParoRegESP!$A$2,MATCH(BC$29,ParoRegESP!$A$2:$A$500)+$A39-1,1)-1)</f>
        <v>-0.16665387980096991</v>
      </c>
      <c r="BD39" s="9">
        <f ca="1">IF(OR(BD12="",BD$28&lt;$A39),"",BD12/OFFSET(ParoRegESP!$A$2,MATCH(BD$29,ParoRegESP!$A$2:$A$500)+$A39-1,1)-1)</f>
        <v>-0.20570483260578565</v>
      </c>
      <c r="BE39" s="9">
        <f ca="1">IF(OR(BE12="",BE$28&lt;$A39),"",BE12/OFFSET(ParoRegESP!$A$2,MATCH(BE$29,ParoRegESP!$A$2:$A$500)+$A39-1,1)-1)</f>
        <v>-0.17657199018462155</v>
      </c>
      <c r="BF39" s="9">
        <f ca="1">IF(OR(BF12="",BF$28&lt;$A39),"",BF12/OFFSET(ParoRegESP!$A$2,MATCH(BF$29,ParoRegESP!$A$2:$A$500)+$A39-1,1)-1)</f>
        <v>-0.10674642393926936</v>
      </c>
      <c r="BG39" s="9">
        <f ca="1">IF(OR(BG12="",BG$28&lt;$A39),"",BG12/OFFSET(ParoRegESP!$A$2,MATCH(BG$29,ParoRegESP!$A$2:$A$500)+$A39-1,1)-1)</f>
        <v>-5.6193387051329369E-2</v>
      </c>
      <c r="BH39" s="9">
        <f ca="1">IF(OR(BH12="",BH$28&lt;$A39),"",BH12/OFFSET(ParoRegESP!$A$2,MATCH(BH$29,ParoRegESP!$A$2:$A$500)+$A39-1,1)-1)</f>
        <v>2.1214648857478036E-2</v>
      </c>
      <c r="BI39" s="9">
        <f ca="1">IF(OR(BI12="",BI$28&lt;$A39),"",BI12/OFFSET(ParoRegESP!$A$2,MATCH(BI$29,ParoRegESP!$A$2:$A$500)+$A39-1,1)-1)</f>
        <v>0.10834806047862711</v>
      </c>
      <c r="BJ39" s="9">
        <f ca="1">IF(OR(BJ12="",BJ$28&lt;$A39),"",BJ12/OFFSET(ParoRegESP!$A$2,MATCH(BJ$29,ParoRegESP!$A$2:$A$500)+$A39-1,1)-1)</f>
        <v>0.16115455624233377</v>
      </c>
      <c r="BK39" s="9">
        <f ca="1">IF(OR(BK12="",BK$28&lt;$A39),"",BK12/OFFSET(ParoRegESP!$A$2,MATCH(BK$29,ParoRegESP!$A$2:$A$500)+$A39-1,1)-1)</f>
        <v>0.19139602915116494</v>
      </c>
      <c r="BL39" s="9">
        <f ca="1">IF(OR(BL12="",BL$28&lt;$A39),"",BL12/OFFSET(ParoRegESP!$A$2,MATCH(BL$29,ParoRegESP!$A$2:$A$500)+$A39-1,1)-1)</f>
        <v>0.25578282000953756</v>
      </c>
      <c r="BM39" s="9">
        <f ca="1">IF(OR(BM12="",BM$28&lt;$A39),"",BM12/OFFSET(ParoRegESP!$A$2,MATCH(BM$29,ParoRegESP!$A$2:$A$500)+$A39-1,1)-1)</f>
        <v>0.28241253397037869</v>
      </c>
      <c r="BN39" s="9">
        <f ca="1">IF(OR(BN12="",BN$28&lt;$A39),"",BN12/OFFSET(ParoRegESP!$A$2,MATCH(BN$29,ParoRegESP!$A$2:$A$500)+$A39-1,1)-1)</f>
        <v>0.22712215960486648</v>
      </c>
      <c r="BO39" s="9">
        <f ca="1">IF(OR(BO12="",BO$28&lt;$A39),"",BO12/OFFSET(ParoRegESP!$A$2,MATCH(BO$29,ParoRegESP!$A$2:$A$500)+$A39-1,1)-1)</f>
        <v>0.15691559647538256</v>
      </c>
      <c r="BP39" s="9">
        <f ca="1">IF(OR(BP12="",BP$28&lt;$A39),"",BP12/OFFSET(ParoRegESP!$A$2,MATCH(BP$29,ParoRegESP!$A$2:$A$500)+$A39-1,1)-1)</f>
        <v>7.7720976805599529E-2</v>
      </c>
      <c r="BQ39" s="9">
        <f ca="1">IF(OR(BQ12="",BQ$28&lt;$A39),"",BQ12/OFFSET(ParoRegESP!$A$2,MATCH(BQ$29,ParoRegESP!$A$2:$A$500)+$A39-1,1)-1)</f>
        <v>-1.1892665229196964E-2</v>
      </c>
      <c r="BR39" s="9">
        <f ca="1">IF(OR(BR12="",BR$28&lt;$A39),"",BR12/OFFSET(ParoRegESP!$A$2,MATCH(BR$29,ParoRegESP!$A$2:$A$500)+$A39-1,1)-1)</f>
        <v>2.2851050376050619E-2</v>
      </c>
      <c r="BS39" s="9">
        <f ca="1">IF(OR(BS12="",BS$28&lt;$A39),"",BS12/OFFSET(ParoRegESP!$A$2,MATCH(BS$29,ParoRegESP!$A$2:$A$500)+$A39-1,1)-1)</f>
        <v>9.5471926376281546E-2</v>
      </c>
      <c r="BT39" s="9">
        <f ca="1">IF(OR(BT12="",BT$28&lt;$A39),"",BT12/OFFSET(ParoRegESP!$A$2,MATCH(BT$29,ParoRegESP!$A$2:$A$500)+$A39-1,1)-1)</f>
        <v>6.5865350988121296E-2</v>
      </c>
      <c r="BU39" s="9">
        <f ca="1">IF(OR(BU12="",BU$28&lt;$A39),"",BU12/OFFSET(ParoRegESP!$A$2,MATCH(BU$29,ParoRegESP!$A$2:$A$500)+$A39-1,1)-1)</f>
        <v>5.5476143256172339E-3</v>
      </c>
      <c r="BV39" s="9">
        <f ca="1">IF(OR(BV12="",BV$28&lt;$A39),"",BV12/OFFSET(ParoRegESP!$A$2,MATCH(BV$29,ParoRegESP!$A$2:$A$500)+$A39-1,1)-1)</f>
        <v>2.3758186109287482E-2</v>
      </c>
      <c r="BW39" s="9">
        <f ca="1">IF(OR(BW12="",BW$28&lt;$A39),"",BW12/OFFSET(ParoRegESP!$A$2,MATCH(BW$29,ParoRegESP!$A$2:$A$500)+$A39-1,1)-1)</f>
        <v>6.3652766813055983E-2</v>
      </c>
      <c r="BX39" s="9">
        <f ca="1">IF(OR(BX12="",BX$28&lt;$A39),"",BX12/OFFSET(ParoRegESP!$A$2,MATCH(BX$29,ParoRegESP!$A$2:$A$500)+$A39-1,1)-1)</f>
        <v>0.10701959233339053</v>
      </c>
      <c r="BY39" s="9">
        <f ca="1">IF(OR(BY12="",BY$28&lt;$A39),"",BY12/OFFSET(ParoRegESP!$A$2,MATCH(BY$29,ParoRegESP!$A$2:$A$500)+$A39-1,1)-1)</f>
        <v>9.770405946555849E-2</v>
      </c>
      <c r="BZ39" s="9">
        <f ca="1">IF(OR(BZ12="",BZ$28&lt;$A39),"",BZ12/OFFSET(ParoRegESP!$A$2,MATCH(BZ$29,ParoRegESP!$A$2:$A$500)+$A39-1,1)-1)</f>
        <v>7.9525209658601215E-2</v>
      </c>
      <c r="CA39" s="9">
        <f ca="1">IF(OR(CA12="",CA$28&lt;$A39),"",CA12/OFFSET(ParoRegESP!$A$2,MATCH(CA$29,ParoRegESP!$A$2:$A$500)+$A39-1,1)-1)</f>
        <v>2.7915583646105802E-2</v>
      </c>
      <c r="CB39" s="9">
        <f ca="1">IF(OR(CB12="",CB$28&lt;$A39),"",CB12/OFFSET(ParoRegESP!$A$2,MATCH(CB$29,ParoRegESP!$A$2:$A$500)+$A39-1,1)-1)</f>
        <v>-2.0038097473131455E-2</v>
      </c>
      <c r="CC39" s="9">
        <f ca="1">IF(OR(CC12="",CC$28&lt;$A39),"",CC12/OFFSET(ParoRegESP!$A$2,MATCH(CC$29,ParoRegESP!$A$2:$A$500)+$A39-1,1)-1)</f>
        <v>-5.3296041390587412E-2</v>
      </c>
      <c r="CD39" s="9">
        <f ca="1">IF(OR(CD12="",CD$28&lt;$A39),"",CD12/OFFSET(ParoRegESP!$A$2,MATCH(CD$29,ParoRegESP!$A$2:$A$500)+$A39-1,1)-1)</f>
        <v>1.213795999547651E-2</v>
      </c>
      <c r="CE39" s="9">
        <f ca="1">IF(OR(CE12="",CE$28&lt;$A39),"",CE12/OFFSET(ParoRegESP!$A$2,MATCH(CE$29,ParoRegESP!$A$2:$A$500)+$A39-1,1)-1)</f>
        <v>3.6698678961343045E-2</v>
      </c>
      <c r="CF39" s="9">
        <f ca="1">IF(OR(CF12="",CF$28&lt;$A39),"",CF12/OFFSET(ParoRegESP!$A$2,MATCH(CF$29,ParoRegESP!$A$2:$A$500)+$A39-1,1)-1)</f>
        <v>3.226103585538076E-2</v>
      </c>
      <c r="CG39" s="9">
        <f ca="1">IF(OR(CG12="",CG$28&lt;$A39),"",CG12/OFFSET(ParoRegESP!$A$2,MATCH(CG$29,ParoRegESP!$A$2:$A$500)+$A39-1,1)-1)</f>
        <v>-1.7860312055365424E-2</v>
      </c>
      <c r="CH39" s="9">
        <f ca="1">IF(OR(CH12="",CH$28&lt;$A39),"",CH12/OFFSET(ParoRegESP!$A$2,MATCH(CH$29,ParoRegESP!$A$2:$A$500)+$A39-1,1)-1)</f>
        <v>-9.4089443726746103E-2</v>
      </c>
      <c r="CI39" s="9">
        <f ca="1">IF(OR(CI12="",CI$28&lt;$A39),"",CI12/OFFSET(ParoRegESP!$A$2,MATCH(CI$29,ParoRegESP!$A$2:$A$500)+$A39-1,1)-1)</f>
        <v>-2.2372959918793511E-2</v>
      </c>
      <c r="CJ39" s="9">
        <f ca="1">IF(OR(CJ12="",CJ$28&lt;$A39),"",CJ12/OFFSET(ParoRegESP!$A$2,MATCH(CJ$29,ParoRegESP!$A$2:$A$500)+$A39-1,1)-1)</f>
        <v>5.122512587454553E-3</v>
      </c>
      <c r="CK39" s="9">
        <f ca="1">IF(OR(CK12="",CK$28&lt;$A39),"",CK12/OFFSET(ParoRegESP!$A$2,MATCH(CK$29,ParoRegESP!$A$2:$A$500)+$A39-1,1)-1)</f>
        <v>-4.9958074197749003E-3</v>
      </c>
      <c r="CL39" s="9">
        <f ca="1">IF(OR(CL12="",CL$28&lt;$A39),"",CL12/OFFSET(ParoRegESP!$A$2,MATCH(CL$29,ParoRegESP!$A$2:$A$500)+$A39-1,1)-1)</f>
        <v>-5.3123448570168486E-2</v>
      </c>
      <c r="CM39" s="9">
        <f ca="1">IF(OR(CM12="",CM$28&lt;$A39),"",CM12/OFFSET(ParoRegESP!$A$2,MATCH(CM$29,ParoRegESP!$A$2:$A$500)+$A39-1,1)-1)</f>
        <v>-6.5360513445953394E-2</v>
      </c>
      <c r="CN39" s="9">
        <f ca="1">IF(OR(CN12="",CN$28&lt;$A39),"",CN12/OFFSET(ParoRegESP!$A$2,MATCH(CN$29,ParoRegESP!$A$2:$A$500)+$A39-1,1)-1)</f>
        <v>-7.6133890130860693E-2</v>
      </c>
      <c r="CO39" s="9">
        <f ca="1">IF(OR(CO12="",CO$28&lt;$A39),"",CO12/OFFSET(ParoRegESP!$A$2,MATCH(CO$29,ParoRegESP!$A$2:$A$500)+$A39-1,1)-1)</f>
        <v>-9.8122225769838534E-2</v>
      </c>
      <c r="CP39" s="9">
        <f ca="1">IF(OR(CP12="",CP$28&lt;$A39),"",CP12/OFFSET(ParoRegESP!$A$2,MATCH(CP$29,ParoRegESP!$A$2:$A$500)+$A39-1,1)-1)</f>
        <v>-7.8959347751179521E-2</v>
      </c>
      <c r="CQ39" s="9">
        <f ca="1">IF(OR(CQ12="",CQ$28&lt;$A39),"",CQ12/OFFSET(ParoRegESP!$A$2,MATCH(CQ$29,ParoRegESP!$A$2:$A$500)+$A39-1,1)-1)</f>
        <v>-1.3051227285802436E-2</v>
      </c>
      <c r="CR39" s="9">
        <f ca="1">IF(OR(CR12="",CR$28&lt;$A39),"",CR12/OFFSET(ParoRegESP!$A$2,MATCH(CR$29,ParoRegESP!$A$2:$A$500)+$A39-1,1)-1)</f>
        <v>1.6895709386224533E-2</v>
      </c>
      <c r="CS39" s="9">
        <f ca="1">IF(OR(CS12="",CS$28&lt;$A39),"",CS12/OFFSET(ParoRegESP!$A$2,MATCH(CS$29,ParoRegESP!$A$2:$A$500)+$A39-1,1)-1)</f>
        <v>-7.7254301120308622E-3</v>
      </c>
      <c r="CT39" s="9">
        <f ca="1">IF(OR(CT12="",CT$28&lt;$A39),"",CT12/OFFSET(ParoRegESP!$A$2,MATCH(CT$29,ParoRegESP!$A$2:$A$500)+$A39-1,1)-1)</f>
        <v>-4.0698842458043671E-2</v>
      </c>
      <c r="CU39" s="9">
        <f ca="1">IF(OR(CU12="",CU$28&lt;$A39),"",CU12/OFFSET(ParoRegESP!$A$2,MATCH(CU$29,ParoRegESP!$A$2:$A$500)+$A39-1,1)-1)</f>
        <v>1.4492045380536389E-3</v>
      </c>
      <c r="CV39" s="9">
        <f ca="1">IF(OR(CV12="",CV$28&lt;$A39),"",CV12/OFFSET(ParoRegESP!$A$2,MATCH(CV$29,ParoRegESP!$A$2:$A$500)+$A39-1,1)-1)</f>
        <v>4.4072318509923436E-2</v>
      </c>
      <c r="CW39" s="9">
        <f ca="1">IF(OR(CW12="",CW$28&lt;$A39),"",CW12/OFFSET(ParoRegESP!$A$2,MATCH(CW$29,ParoRegESP!$A$2:$A$500)+$A39-1,1)-1)</f>
        <v>3.6143531627897962E-2</v>
      </c>
      <c r="CX39" s="9">
        <f ca="1">IF(OR(CX12="",CX$28&lt;$A39),"",CX12/OFFSET(ParoRegESP!$A$2,MATCH(CX$29,ParoRegESP!$A$2:$A$500)+$A39-1,1)-1)</f>
        <v>4.5212215527749233E-2</v>
      </c>
      <c r="CY39" s="9">
        <f ca="1">IF(OR(CY12="",CY$28&lt;$A39),"",CY12/OFFSET(ParoRegESP!$A$2,MATCH(CY$29,ParoRegESP!$A$2:$A$500)+$A39-1,1)-1)</f>
        <v>5.6547810694119516E-2</v>
      </c>
      <c r="CZ39" s="9">
        <f ca="1">IF(OR(CZ12="",CZ$28&lt;$A39),"",CZ12/OFFSET(ParoRegESP!$A$2,MATCH(CZ$29,ParoRegESP!$A$2:$A$500)+$A39-1,1)-1)</f>
        <v>2.6376848943291842E-2</v>
      </c>
      <c r="DA39" s="9">
        <f ca="1">IF(OR(DA12="",DA$28&lt;$A39),"",DA12/OFFSET(ParoRegESP!$A$2,MATCH(DA$29,ParoRegESP!$A$2:$A$500)+$A39-1,1)-1)</f>
        <v>4.4875669855051648E-2</v>
      </c>
      <c r="DB39" s="9">
        <f ca="1">IF(OR(DB12="",DB$28&lt;$A39),"",DB12/OFFSET(ParoRegESP!$A$2,MATCH(DB$29,ParoRegESP!$A$2:$A$500)+$A39-1,1)-1)</f>
        <v>3.5589084884468436E-2</v>
      </c>
      <c r="DC39" s="9">
        <f ca="1">IF(OR(DC12="",DC$28&lt;$A39),"",DC12/OFFSET(ParoRegESP!$A$2,MATCH(DC$29,ParoRegESP!$A$2:$A$500)+$A39-1,1)-1)</f>
        <v>5.1899775726508501E-2</v>
      </c>
      <c r="DD39" s="9">
        <f ca="1">IF(OR(DD12="",DD$28&lt;$A39),"",DD12/OFFSET(ParoRegESP!$A$2,MATCH(DD$29,ParoRegESP!$A$2:$A$500)+$A39-1,1)-1)</f>
        <v>8.7129990502401444E-2</v>
      </c>
      <c r="DE39" s="9">
        <f ca="1">IF(OR(DE12="",DE$28&lt;$A39),"",DE12/OFFSET(ParoRegESP!$A$2,MATCH(DE$29,ParoRegESP!$A$2:$A$500)+$A39-1,1)-1)</f>
        <v>7.9871164532325123E-2</v>
      </c>
      <c r="DF39" s="9">
        <f ca="1">IF(OR(DF12="",DF$28&lt;$A39),"",DF12/OFFSET(ParoRegESP!$A$2,MATCH(DF$29,ParoRegESP!$A$2:$A$500)+$A39-1,1)-1)</f>
        <v>2.1326874692330966E-2</v>
      </c>
      <c r="DG39" s="9">
        <f ca="1">IF(OR(DG12="",DG$28&lt;$A39),"",DG12/OFFSET(ParoRegESP!$A$2,MATCH(DG$29,ParoRegESP!$A$2:$A$500)+$A39-1,1)-1)</f>
        <v>3.6977549319295422E-2</v>
      </c>
      <c r="DH39" s="9">
        <f ca="1">IF(OR(DH12="",DH$28&lt;$A39),"",DH12/OFFSET(ParoRegESP!$A$2,MATCH(DH$29,ParoRegESP!$A$2:$A$500)+$A39-1,1)-1)</f>
        <v>5.961459206128561E-2</v>
      </c>
      <c r="DI39" s="9">
        <f ca="1">IF(OR(DI12="",DI$28&lt;$A39),"",DI12/OFFSET(ParoRegESP!$A$2,MATCH(DI$29,ParoRegESP!$A$2:$A$500)+$A39-1,1)-1)</f>
        <v>5.784974912340779E-2</v>
      </c>
      <c r="DJ39" s="9">
        <f ca="1">IF(OR(DJ12="",DJ$28&lt;$A39),"",DJ12/OFFSET(ParoRegESP!$A$2,MATCH(DJ$29,ParoRegESP!$A$2:$A$500)+$A39-1,1)-1)</f>
        <v>6.5000741632496473E-2</v>
      </c>
      <c r="DK39" s="9">
        <f ca="1">IF(OR(DK12="",DK$28&lt;$A39),"",DK12/OFFSET(ParoRegESP!$A$2,MATCH(DK$29,ParoRegESP!$A$2:$A$500)+$A39-1,1)-1)</f>
        <v>5.5478295255400711E-2</v>
      </c>
      <c r="DL39" s="9">
        <f ca="1">IF(OR(DL12="",DL$28&lt;$A39),"",DL12/OFFSET(ParoRegESP!$A$2,MATCH(DL$29,ParoRegESP!$A$2:$A$500)+$A39-1,1)-1)</f>
        <v>4.0286815488868477E-2</v>
      </c>
      <c r="DM39" s="9">
        <f ca="1">IF(OR(DM12="",DM$28&lt;$A39),"",DM12/OFFSET(ParoRegESP!$A$2,MATCH(DM$29,ParoRegESP!$A$2:$A$500)+$A39-1,1)-1)</f>
        <v>3.5878341747642484E-2</v>
      </c>
      <c r="DN39" s="9">
        <f ca="1">IF(OR(DN12="",DN$28&lt;$A39),"",DN12/OFFSET(ParoRegESP!$A$2,MATCH(DN$29,ParoRegESP!$A$2:$A$500)+$A39-1,1)-1)</f>
        <v>4.3807665852869659E-2</v>
      </c>
      <c r="DO39" s="9">
        <f ca="1">IF(OR(DO12="",DO$28&lt;$A39),"",DO12/OFFSET(ParoRegESP!$A$2,MATCH(DO$29,ParoRegESP!$A$2:$A$500)+$A39-1,1)-1)</f>
        <v>3.6675179055924767E-2</v>
      </c>
      <c r="DP39" s="9">
        <f ca="1">IF(OR(DP12="",DP$28&lt;$A39),"",DP12/OFFSET(ParoRegESP!$A$2,MATCH(DP$29,ParoRegESP!$A$2:$A$500)+$A39-1,1)-1)</f>
        <v>4.7642963672002603E-2</v>
      </c>
      <c r="DQ39" s="9">
        <f ca="1">IF(OR(DQ12="",DQ$28&lt;$A39),"",DQ12/OFFSET(ParoRegESP!$A$2,MATCH(DQ$29,ParoRegESP!$A$2:$A$500)+$A39-1,1)-1)</f>
        <v>1.0067788628071339E-2</v>
      </c>
      <c r="DR39" s="9">
        <f ca="1">IF(OR(DR12="",DR$28&lt;$A39),"",DR12/OFFSET(ParoRegESP!$A$2,MATCH(DR$29,ParoRegESP!$A$2:$A$500)+$A39-1,1)-1)</f>
        <v>-5.0269140618966812E-2</v>
      </c>
      <c r="DS39" s="9">
        <f ca="1">IF(OR(DS12="",DS$28&lt;$A39),"",DS12/OFFSET(ParoRegESP!$A$2,MATCH(DS$29,ParoRegESP!$A$2:$A$500)+$A39-1,1)-1)</f>
        <v>-1.4919169829472501E-2</v>
      </c>
      <c r="DT39" s="9">
        <f ca="1">IF(OR(DT12="",DT$28&lt;$A39),"",DT12/OFFSET(ParoRegESP!$A$2,MATCH(DT$29,ParoRegESP!$A$2:$A$500)+$A39-1,1)-1)</f>
        <v>-2.3874302086790422E-2</v>
      </c>
      <c r="DU39" s="9">
        <f ca="1">IF(OR(DU12="",DU$28&lt;$A39),"",DU12/OFFSET(ParoRegESP!$A$2,MATCH(DU$29,ParoRegESP!$A$2:$A$500)+$A39-1,1)-1)</f>
        <v>1.0018252289236695E-2</v>
      </c>
      <c r="DV39" s="9">
        <f ca="1">IF(OR(DV12="",DV$28&lt;$A39),"",DV12/OFFSET(ParoRegESP!$A$2,MATCH(DV$29,ParoRegESP!$A$2:$A$500)+$A39-1,1)-1)</f>
        <v>-2.0981022596125776E-2</v>
      </c>
      <c r="DW39" s="9">
        <f ca="1">IF(OR(DW12="",DW$28&lt;$A39),"",DW12/OFFSET(ParoRegESP!$A$2,MATCH(DW$29,ParoRegESP!$A$2:$A$500)+$A39-1,1)-1)</f>
        <v>-4.0060777393442493E-3</v>
      </c>
      <c r="DX39" s="9">
        <f ca="1">IF(OR(DX12="",DX$28&lt;$A39),"",DX12/OFFSET(ParoRegESP!$A$2,MATCH(DX$29,ParoRegESP!$A$2:$A$500)+$A39-1,1)-1)</f>
        <v>6.992423836605477E-3</v>
      </c>
      <c r="DY39" s="9">
        <f ca="1">IF(OR(DY12="",DY$28&lt;$A39),"",DY12/OFFSET(ParoRegESP!$A$2,MATCH(DY$29,ParoRegESP!$A$2:$A$500)+$A39-1,1)-1)</f>
        <v>6.4754306623093782E-2</v>
      </c>
      <c r="DZ39" s="9">
        <f ca="1">IF(OR(DZ12="",DZ$28&lt;$A39),"",DZ12/OFFSET(ParoRegESP!$A$2,MATCH(DZ$29,ParoRegESP!$A$2:$A$500)+$A39-1,1)-1)</f>
        <v>5.1393767765747222E-2</v>
      </c>
      <c r="EA39" s="9">
        <f ca="1">IF(OR(EA12="",EA$28&lt;$A39),"",EA12/OFFSET(ParoRegESP!$A$2,MATCH(EA$29,ParoRegESP!$A$2:$A$500)+$A39-1,1)-1)</f>
        <v>5.8742996268138947E-2</v>
      </c>
      <c r="EB39" s="9">
        <f ca="1">IF(OR(EB12="",EB$28&lt;$A39),"",EB12/OFFSET(ParoRegESP!$A$2,MATCH(EB$29,ParoRegESP!$A$2:$A$500)+$A39-1,1)-1)</f>
        <v>5.549267550960657E-2</v>
      </c>
      <c r="EC39" s="9">
        <f ca="1">IF(OR(EC12="",EC$28&lt;$A39),"",EC12/OFFSET(ParoRegESP!$A$2,MATCH(EC$29,ParoRegESP!$A$2:$A$500)+$A39-1,1)-1)</f>
        <v>2.4313597556778532E-2</v>
      </c>
      <c r="ED39" s="9">
        <f ca="1">IF(OR(ED12="",ED$28&lt;$A39),"",ED12/OFFSET(ParoRegESP!$A$2,MATCH(ED$29,ParoRegESP!$A$2:$A$500)+$A39-1,1)-1)</f>
        <v>9.2235132777256368E-3</v>
      </c>
      <c r="EE39" s="9">
        <f ca="1">IF(OR(EE12="",EE$28&lt;$A39),"",EE12/OFFSET(ParoRegESP!$A$2,MATCH(EE$29,ParoRegESP!$A$2:$A$500)+$A39-1,1)-1)</f>
        <v>7.3595714376526455E-3</v>
      </c>
      <c r="EF39" s="9">
        <f ca="1">IF(OR(EF12="",EF$28&lt;$A39),"",EF12/OFFSET(ParoRegESP!$A$2,MATCH(EF$29,ParoRegESP!$A$2:$A$500)+$A39-1,1)-1)</f>
        <v>-1.7623080546580794E-2</v>
      </c>
      <c r="EG39" s="9">
        <f ca="1">IF(OR(EG12="",EG$28&lt;$A39),"",EG12/OFFSET(ParoRegESP!$A$2,MATCH(EG$29,ParoRegESP!$A$2:$A$500)+$A39-1,1)-1)</f>
        <v>-1.4906393948104002E-2</v>
      </c>
      <c r="EH39" s="9">
        <f ca="1">IF(OR(EH12="",EH$28&lt;$A39),"",EH12/OFFSET(ParoRegESP!$A$2,MATCH(EH$29,ParoRegESP!$A$2:$A$500)+$A39-1,1)-1)</f>
        <v>-2.3937576581359199E-2</v>
      </c>
      <c r="EI39" s="9">
        <f ca="1">IF(OR(EI12="",EI$28&lt;$A39),"",EI12/OFFSET(ParoRegESP!$A$2,MATCH(EI$29,ParoRegESP!$A$2:$A$500)+$A39-1,1)-1)</f>
        <v>-1.1521499236273103E-2</v>
      </c>
      <c r="EJ39" s="9">
        <f ca="1">IF(OR(EJ12="",EJ$28&lt;$A39),"",EJ12/OFFSET(ParoRegESP!$A$2,MATCH(EJ$29,ParoRegESP!$A$2:$A$500)+$A39-1,1)-1)</f>
        <v>2.6004905217809959E-2</v>
      </c>
      <c r="EK39" s="9">
        <f ca="1">IF(OR(EK12="",EK$28&lt;$A39),"",EK12/OFFSET(ParoRegESP!$A$2,MATCH(EK$29,ParoRegESP!$A$2:$A$500)+$A39-1,1)-1)</f>
        <v>1.4576838369184664E-4</v>
      </c>
      <c r="EL39" s="9">
        <f ca="1">IF(OR(EL12="",EL$28&lt;$A39),"",EL12/OFFSET(ParoRegESP!$A$2,MATCH(EL$29,ParoRegESP!$A$2:$A$500)+$A39-1,1)-1)</f>
        <v>2.9822268073405933E-2</v>
      </c>
      <c r="EM39" s="9">
        <f ca="1">IF(OR(EM12="",EM$28&lt;$A39),"",EM12/OFFSET(ParoRegESP!$A$2,MATCH(EM$29,ParoRegESP!$A$2:$A$500)+$A39-1,1)-1)</f>
        <v>5.4105561968453619E-2</v>
      </c>
      <c r="EN39" s="9">
        <f ca="1">IF(OR(EN12="",EN$28&lt;$A39),"",EN12/OFFSET(ParoRegESP!$A$2,MATCH(EN$29,ParoRegESP!$A$2:$A$500)+$A39-1,1)-1)</f>
        <v>5.7706498917405646E-2</v>
      </c>
      <c r="EO39" s="9">
        <f ca="1">IF(OR(EO12="",EO$28&lt;$A39),"",EO12/OFFSET(ParoRegESP!$A$2,MATCH(EO$29,ParoRegESP!$A$2:$A$500)+$A39-1,1)-1)</f>
        <v>1.8627221864849774E-2</v>
      </c>
      <c r="EP39" s="9">
        <f ca="1">IF(OR(EP12="",EP$28&lt;$A39),"",EP12/OFFSET(ParoRegESP!$A$2,MATCH(EP$29,ParoRegESP!$A$2:$A$500)+$A39-1,1)-1)</f>
        <v>3.372575551777568E-2</v>
      </c>
      <c r="EQ39" s="9">
        <f ca="1">IF(OR(EQ12="",EQ$28&lt;$A39),"",EQ12/OFFSET(ParoRegESP!$A$2,MATCH(EQ$29,ParoRegESP!$A$2:$A$500)+$A39-1,1)-1)</f>
        <v>-1.0236844528917266E-2</v>
      </c>
      <c r="ER39" s="9">
        <f ca="1">IF(OR(ER12="",ER$28&lt;$A39),"",ER12/OFFSET(ParoRegESP!$A$2,MATCH(ER$29,ParoRegESP!$A$2:$A$500)+$A39-1,1)-1)</f>
        <v>5.5411970382619469E-3</v>
      </c>
      <c r="ES39" s="9">
        <f ca="1">IF(OR(ES12="",ES$28&lt;$A39),"",ES12/OFFSET(ParoRegESP!$A$2,MATCH(ES$29,ParoRegESP!$A$2:$A$500)+$A39-1,1)-1)</f>
        <v>3.2164934746294893E-3</v>
      </c>
      <c r="ET39" s="9">
        <f ca="1">IF(OR(ET12="",ET$28&lt;$A39),"",ET12/OFFSET(ParoRegESP!$A$2,MATCH(ET$29,ParoRegESP!$A$2:$A$500)+$A39-1,1)-1)</f>
        <v>3.5694262065625537E-2</v>
      </c>
      <c r="EU39" s="9">
        <f ca="1">IF(OR(EU12="",EU$28&lt;$A39),"",EU12/OFFSET(ParoRegESP!$A$2,MATCH(EU$29,ParoRegESP!$A$2:$A$500)+$A39-1,1)-1)</f>
        <v>2.9317606571271915E-2</v>
      </c>
      <c r="EV39" s="9">
        <f ca="1">IF(OR(EV12="",EV$28&lt;$A39),"",EV12/OFFSET(ParoRegESP!$A$2,MATCH(EV$29,ParoRegESP!$A$2:$A$500)+$A39-1,1)-1)</f>
        <v>7.9874331525144893E-3</v>
      </c>
      <c r="EW39" s="9">
        <f ca="1">IF(OR(EW12="",EW$28&lt;$A39),"",EW12/OFFSET(ParoRegESP!$A$2,MATCH(EW$29,ParoRegESP!$A$2:$A$500)+$A39-1,1)-1)</f>
        <v>1.4559409041541516E-2</v>
      </c>
      <c r="EX39" s="9">
        <f ca="1">IF(OR(EX12="",EX$28&lt;$A39),"",EX12/OFFSET(ParoRegESP!$A$2,MATCH(EX$29,ParoRegESP!$A$2:$A$500)+$A39-1,1)-1)</f>
        <v>2.538454744695362E-2</v>
      </c>
      <c r="EY39" s="9">
        <f ca="1">IF(OR(EY12="",EY$28&lt;$A39),"",EY12/OFFSET(ParoRegESP!$A$2,MATCH(EY$29,ParoRegESP!$A$2:$A$500)+$A39-1,1)-1)</f>
        <v>2.3490282278025187E-2</v>
      </c>
      <c r="EZ39" s="9">
        <f ca="1">IF(OR(EZ12="",EZ$28&lt;$A39),"",EZ12/OFFSET(ParoRegESP!$A$2,MATCH(EZ$29,ParoRegESP!$A$2:$A$500)+$A39-1,1)-1)</f>
        <v>-1.7308095742015195E-2</v>
      </c>
      <c r="FA39" s="9">
        <f ca="1">IF(OR(FA12="",FA$28&lt;$A39),"",FA12/OFFSET(ParoRegESP!$A$2,MATCH(FA$29,ParoRegESP!$A$2:$A$500)+$A39-1,1)-1)</f>
        <v>2.254174676526155E-2</v>
      </c>
      <c r="FB39" s="9">
        <f ca="1">IF(OR(FB12="",FB$28&lt;$A39),"",FB12/OFFSET(ParoRegESP!$A$2,MATCH(FB$29,ParoRegESP!$A$2:$A$500)+$A39-1,1)-1)</f>
        <v>-3.0922579436417741E-2</v>
      </c>
      <c r="FC39" s="9">
        <f ca="1">IF(OR(FC12="",FC$28&lt;$A39),"",FC12/OFFSET(ParoRegESP!$A$2,MATCH(FC$29,ParoRegESP!$A$2:$A$500)+$A39-1,1)-1)</f>
        <v>-3.1951108459190469E-2</v>
      </c>
      <c r="FD39" s="9">
        <f ca="1">IF(OR(FD12="",FD$28&lt;$A39),"",FD12/OFFSET(ParoRegESP!$A$2,MATCH(FD$29,ParoRegESP!$A$2:$A$500)+$A39-1,1)-1)</f>
        <v>-3.5934143259121476E-2</v>
      </c>
      <c r="FE39" s="9">
        <f ca="1">IF(OR(FE12="",FE$28&lt;$A39),"",FE12/OFFSET(ParoRegESP!$A$2,MATCH(FE$29,ParoRegESP!$A$2:$A$500)+$A39-1,1)-1)</f>
        <v>-3.6586031898378613E-2</v>
      </c>
      <c r="FF39" s="9">
        <f ca="1">IF(OR(FF12="",FF$28&lt;$A39),"",FF12/OFFSET(ParoRegESP!$A$2,MATCH(FF$29,ParoRegESP!$A$2:$A$500)+$A39-1,1)-1)</f>
        <v>-6.5300799088371275E-2</v>
      </c>
      <c r="FG39" s="9">
        <f ca="1">IF(OR(FG12="",FG$28&lt;$A39),"",FG12/OFFSET(ParoRegESP!$A$2,MATCH(FG$29,ParoRegESP!$A$2:$A$500)+$A39-1,1)-1)</f>
        <v>-4.9577525414905566E-2</v>
      </c>
      <c r="FH39" s="9">
        <f ca="1">IF(OR(FH12="",FH$28&lt;$A39),"",FH12/OFFSET(ParoRegESP!$A$2,MATCH(FH$29,ParoRegESP!$A$2:$A$500)+$A39-1,1)-1)</f>
        <v>-2.2361172428350673E-2</v>
      </c>
      <c r="FI39" s="9">
        <f ca="1">IF(OR(FI12="",FI$28&lt;$A39),"",FI12/OFFSET(ParoRegESP!$A$2,MATCH(FI$29,ParoRegESP!$A$2:$A$500)+$A39-1,1)-1)</f>
        <v>3.1626366631730685E-2</v>
      </c>
      <c r="FJ39" s="9">
        <f ca="1">IF(OR(FJ12="",FJ$28&lt;$A39),"",FJ12/OFFSET(ParoRegESP!$A$2,MATCH(FJ$29,ParoRegESP!$A$2:$A$500)+$A39-1,1)-1)</f>
        <v>5.0973453220411358E-2</v>
      </c>
      <c r="FK39" s="9">
        <f ca="1">IF(OR(FK12="",FK$28&lt;$A39),"",FK12/OFFSET(ParoRegESP!$A$2,MATCH(FK$29,ParoRegESP!$A$2:$A$500)+$A39-1,1)-1)</f>
        <v>2.6096538768777267E-2</v>
      </c>
      <c r="FL39" s="9">
        <f ca="1">IF(OR(FL12="",FL$28&lt;$A39),"",FL12/OFFSET(ParoRegESP!$A$2,MATCH(FL$29,ParoRegESP!$A$2:$A$500)+$A39-1,1)-1)</f>
        <v>-3.3044174868762655E-3</v>
      </c>
      <c r="FM39" s="9">
        <f ca="1">IF(OR(FM12="",FM$28&lt;$A39),"",FM12/OFFSET(ParoRegESP!$A$2,MATCH(FM$29,ParoRegESP!$A$2:$A$500)+$A39-1,1)-1)</f>
        <v>-1.1581959144294607E-2</v>
      </c>
      <c r="FN39" s="9">
        <f ca="1">IF(OR(FN12="",FN$28&lt;$A39),"",FN12/OFFSET(ParoRegESP!$A$2,MATCH(FN$29,ParoRegESP!$A$2:$A$500)+$A39-1,1)-1)</f>
        <v>-5.0010049663002931E-3</v>
      </c>
      <c r="FO39" s="9">
        <f ca="1">IF(OR(FO12="",FO$28&lt;$A39),"",FO12/OFFSET(ParoRegESP!$A$2,MATCH(FO$29,ParoRegESP!$A$2:$A$500)+$A39-1,1)-1)</f>
        <v>-1.4580972785351087E-2</v>
      </c>
      <c r="FP39" s="9">
        <f ca="1">IF(OR(FP12="",FP$28&lt;$A39),"",FP12/OFFSET(ParoRegESP!$A$2,MATCH(FP$29,ParoRegESP!$A$2:$A$500)+$A39-1,1)-1)</f>
        <v>-2.6488160510727221E-2</v>
      </c>
      <c r="FQ39" s="9">
        <f ca="1">IF(OR(FQ12="",FQ$28&lt;$A39),"",FQ12/OFFSET(ParoRegESP!$A$2,MATCH(FQ$29,ParoRegESP!$A$2:$A$500)+$A39-1,1)-1)</f>
        <v>-2.0156625913967829E-2</v>
      </c>
      <c r="FR39" s="9">
        <f ca="1">IF(OR(FR12="",FR$28&lt;$A39),"",FR12/OFFSET(ParoRegESP!$A$2,MATCH(FR$29,ParoRegESP!$A$2:$A$500)+$A39-1,1)-1)</f>
        <v>-2.7379056528950008E-3</v>
      </c>
      <c r="FS39" s="9">
        <f ca="1">IF(OR(FS12="",FS$28&lt;$A39),"",FS12/OFFSET(ParoRegESP!$A$2,MATCH(FS$29,ParoRegESP!$A$2:$A$500)+$A39-1,1)-1)</f>
        <v>1.9386235284456044E-2</v>
      </c>
      <c r="FT39" s="9">
        <f ca="1">IF(OR(FT12="",FT$28&lt;$A39),"",FT12/OFFSET(ParoRegESP!$A$2,MATCH(FT$29,ParoRegESP!$A$2:$A$500)+$A39-1,1)-1)</f>
        <v>2.4150582692897826E-2</v>
      </c>
      <c r="FU39" s="9">
        <f ca="1">IF(OR(FU12="",FU$28&lt;$A39),"",FU12/OFFSET(ParoRegESP!$A$2,MATCH(FU$29,ParoRegESP!$A$2:$A$500)+$A39-1,1)-1)</f>
        <v>2.8664242615202618E-2</v>
      </c>
      <c r="FV39" s="9">
        <f ca="1">IF(OR(FV12="",FV$28&lt;$A39),"",FV12/OFFSET(ParoRegESP!$A$2,MATCH(FV$29,ParoRegESP!$A$2:$A$500)+$A39-1,1)-1)</f>
        <v>3.1268709850710064E-2</v>
      </c>
      <c r="FW39" s="9">
        <f ca="1">IF(OR(FW12="",FW$28&lt;$A39),"",FW12/OFFSET(ParoRegESP!$A$2,MATCH(FW$29,ParoRegESP!$A$2:$A$500)+$A39-1,1)-1)</f>
        <v>-3.5738869142092344E-3</v>
      </c>
      <c r="FX39" s="9">
        <f ca="1">IF(OR(FX12="",FX$28&lt;$A39),"",FX12/OFFSET(ParoRegESP!$A$2,MATCH(FX$29,ParoRegESP!$A$2:$A$500)+$A39-1,1)-1)</f>
        <v>-3.5288673020062888E-2</v>
      </c>
      <c r="FY39" s="9">
        <f ca="1">IF(OR(FY12="",FY$28&lt;$A39),"",FY12/OFFSET(ParoRegESP!$A$2,MATCH(FY$29,ParoRegESP!$A$2:$A$500)+$A39-1,1)-1)</f>
        <v>-4.4831738446302838E-2</v>
      </c>
      <c r="FZ39" s="9">
        <f ca="1">IF(OR(FZ12="",FZ$28&lt;$A39),"",FZ12/OFFSET(ParoRegESP!$A$2,MATCH(FZ$29,ParoRegESP!$A$2:$A$500)+$A39-1,1)-1)</f>
        <v>-4.0973702262845579E-2</v>
      </c>
      <c r="GA39" s="9">
        <f ca="1">IF(OR(GA12="",GA$28&lt;$A39),"",GA12/OFFSET(ParoRegESP!$A$2,MATCH(GA$29,ParoRegESP!$A$2:$A$500)+$A39-1,1)-1)</f>
        <v>-3.178360870127106E-2</v>
      </c>
      <c r="GB39" s="9">
        <f ca="1">IF(OR(GB12="",GB$28&lt;$A39),"",GB12/OFFSET(ParoRegESP!$A$2,MATCH(GB$29,ParoRegESP!$A$2:$A$500)+$A39-1,1)-1)</f>
        <v>-4.402048205785436E-2</v>
      </c>
      <c r="GC39" s="9">
        <f ca="1">IF(OR(GC12="",GC$28&lt;$A39),"",GC12/OFFSET(ParoRegESP!$A$2,MATCH(GC$29,ParoRegESP!$A$2:$A$500)+$A39-1,1)-1)</f>
        <v>-4.0958753058107367E-2</v>
      </c>
      <c r="GD39" s="9">
        <f ca="1">IF(OR(GD12="",GD$28&lt;$A39),"",GD12/OFFSET(ParoRegESP!$A$2,MATCH(GD$29,ParoRegESP!$A$2:$A$500)+$A39-1,1)-1)</f>
        <v>-3.4164035068411036E-2</v>
      </c>
      <c r="GE39" s="9">
        <f ca="1">IF(OR(GE12="",GE$28&lt;$A39),"",GE12/OFFSET(ParoRegESP!$A$2,MATCH(GE$29,ParoRegESP!$A$2:$A$500)+$A39-1,1)-1)</f>
        <v>-0.12624642767941774</v>
      </c>
      <c r="GF39" s="9">
        <f ca="1">IF(OR(GF12="",GF$28&lt;$A39),"",GF12/OFFSET(ParoRegESP!$A$2,MATCH(GF$29,ParoRegESP!$A$2:$A$500)+$A39-1,1)-1)</f>
        <v>-0.17687550172228639</v>
      </c>
      <c r="GG39" s="9">
        <f ca="1">IF(OR(GG12="",GG$28&lt;$A39),"",GG12/OFFSET(ParoRegESP!$A$2,MATCH(GG$29,ParoRegESP!$A$2:$A$500)+$A39-1,1)-1)</f>
        <v>-0.19290482048880742</v>
      </c>
      <c r="GH39" s="9">
        <f ca="1">IF(OR(GH12="",GH$28&lt;$A39),"",GH12/OFFSET(ParoRegESP!$A$2,MATCH(GH$29,ParoRegESP!$A$2:$A$500)+$A39-1,1)-1)</f>
        <v>-0.20679976654626897</v>
      </c>
      <c r="GI39" s="9">
        <f ca="1">IF(OR(GI12="",GI$28&lt;$A39),"",GI12/OFFSET(ParoRegESP!$A$2,MATCH(GI$29,ParoRegESP!$A$2:$A$500)+$A39-1,1)-1)</f>
        <v>-0.21748804006181333</v>
      </c>
      <c r="GJ39" s="9">
        <f ca="1">IF(OR(GJ12="",GJ$28&lt;$A39),"",GJ12/OFFSET(ParoRegESP!$A$2,MATCH(GJ$29,ParoRegESP!$A$2:$A$500)+$A39-1,1)-1)</f>
        <v>-0.17930100750414402</v>
      </c>
      <c r="GK39" s="9">
        <f ca="1">IF(OR(GK12="",GK$28&lt;$A39),"",GK12/OFFSET(ParoRegESP!$A$2,MATCH(GK$29,ParoRegESP!$A$2:$A$500)+$A39-1,1)-1)</f>
        <v>-0.18214116906573619</v>
      </c>
      <c r="GL39" s="9">
        <f ca="1">IF(OR(GL12="",GL$28&lt;$A39),"",GL12/OFFSET(ParoRegESP!$A$2,MATCH(GL$29,ParoRegESP!$A$2:$A$500)+$A39-1,1)-1)</f>
        <v>-0.16533640231123703</v>
      </c>
      <c r="GM39" s="9">
        <f ca="1">IF(OR(GM12="",GM$28&lt;$A39),"",GM12/OFFSET(ParoRegESP!$A$2,MATCH(GM$29,ParoRegESP!$A$2:$A$500)+$A39-1,1)-1)</f>
        <v>-0.17123923677735042</v>
      </c>
      <c r="GN39" s="9">
        <f ca="1">IF(OR(GN12="",GN$28&lt;$A39),"",GN12/OFFSET(ParoRegESP!$A$2,MATCH(GN$29,ParoRegESP!$A$2:$A$500)+$A39-1,1)-1)</f>
        <v>-0.21268833953207378</v>
      </c>
      <c r="GO39" s="9">
        <f ca="1">IF(OR(GO12="",GO$28&lt;$A39),"",GO12/OFFSET(ParoRegESP!$A$2,MATCH(GO$29,ParoRegESP!$A$2:$A$500)+$A39-1,1)-1)</f>
        <v>-1.1200625333395831E-2</v>
      </c>
      <c r="GP39" s="9" t="str">
        <f ca="1">IF(OR(GP12="",GP$28&lt;$A39),"",GP12/OFFSET(ParoRegESP!$A$2,MATCH(GP$29,ParoRegESP!$A$2:$A$500)+$A39-1,1)-1)</f>
        <v/>
      </c>
      <c r="GQ39" s="9" t="str">
        <f ca="1">IF(OR(GQ12="",GQ$28&lt;$A39),"",GQ12/OFFSET(ParoRegESP!$A$2,MATCH(GQ$29,ParoRegESP!$A$2:$A$500)+$A39-1,1)-1)</f>
        <v/>
      </c>
      <c r="GR39" s="9" t="str">
        <f ca="1">IF(OR(GR12="",GR$28&lt;$A39),"",GR12/OFFSET(ParoRegESP!$A$2,MATCH(GR$29,ParoRegESP!$A$2:$A$500)+$A39-1,1)-1)</f>
        <v/>
      </c>
      <c r="GS39" s="9" t="str">
        <f ca="1">IF(OR(GS12="",GS$28&lt;$A39),"",GS12/OFFSET(ParoRegESP!$A$2,MATCH(GS$29,ParoRegESP!$A$2:$A$500)+$A39-1,1)-1)</f>
        <v/>
      </c>
      <c r="GT39" s="9" t="str">
        <f ca="1">IF(OR(GT12="",GT$28&lt;$A39),"",GT12/OFFSET(ParoRegESP!$A$2,MATCH(GT$29,ParoRegESP!$A$2:$A$500)+$A39-1,1)-1)</f>
        <v/>
      </c>
      <c r="GU39" s="9" t="str">
        <f ca="1">IF(OR(GU12="",GU$28&lt;$A39),"",GU12/OFFSET(ParoRegESP!$A$2,MATCH(GU$29,ParoRegESP!$A$2:$A$500)+$A39-1,1)-1)</f>
        <v/>
      </c>
      <c r="GV39" s="9" t="str">
        <f ca="1">IF(OR(GV12="",GV$28&lt;$A39),"",GV12/OFFSET(ParoRegESP!$A$2,MATCH(GV$29,ParoRegESP!$A$2:$A$500)+$A39-1,1)-1)</f>
        <v/>
      </c>
      <c r="GW39" s="9" t="str">
        <f ca="1">IF(OR(GW12="",GW$28&lt;$A39),"",GW12/OFFSET(ParoRegESP!$A$2,MATCH(GW$29,ParoRegESP!$A$2:$A$500)+$A39-1,1)-1)</f>
        <v/>
      </c>
      <c r="GX39" s="9" t="str">
        <f ca="1">IF(OR(GX12="",GX$28&lt;$A39),"",GX12/OFFSET(ParoRegESP!$A$2,MATCH(GX$29,ParoRegESP!$A$2:$A$500)+$A39-1,1)-1)</f>
        <v/>
      </c>
      <c r="GY39" s="9" t="str">
        <f ca="1">IF(OR(GY12="",GY$28&lt;$A39),"",GY12/OFFSET(ParoRegESP!$A$2,MATCH(GY$29,ParoRegESP!$A$2:$A$500)+$A39-1,1)-1)</f>
        <v/>
      </c>
      <c r="GZ39" s="9" t="str">
        <f ca="1">IF(OR(GZ12="",GZ$28&lt;$A39),"",GZ12/OFFSET(ParoRegESP!$A$2,MATCH(GZ$29,ParoRegESP!$A$2:$A$500)+$A39-1,1)-1)</f>
        <v/>
      </c>
      <c r="HA39" s="9" t="str">
        <f ca="1">IF(OR(HA12="",HA$28&lt;$A39),"",HA12/OFFSET(ParoRegESP!$A$2,MATCH(HA$29,ParoRegESP!$A$2:$A$500)+$A39-1,1)-1)</f>
        <v/>
      </c>
      <c r="HB39" s="9" t="str">
        <f ca="1">IF(OR(HB12="",HB$28&lt;$A39),"",HB12/OFFSET(ParoRegESP!$A$2,MATCH(HB$29,ParoRegESP!$A$2:$A$500)+$A39-1,1)-1)</f>
        <v/>
      </c>
      <c r="HC39" s="9" t="str">
        <f ca="1">IF(OR(HC12="",HC$28&lt;$A39),"",HC12/OFFSET(ParoRegESP!$A$2,MATCH(HC$29,ParoRegESP!$A$2:$A$500)+$A39-1,1)-1)</f>
        <v/>
      </c>
      <c r="HD39" s="9" t="str">
        <f ca="1">IF(OR(HD12="",HD$28&lt;$A39),"",HD12/OFFSET(ParoRegESP!$A$2,MATCH(HD$29,ParoRegESP!$A$2:$A$500)+$A39-1,1)-1)</f>
        <v/>
      </c>
      <c r="HE39" s="9" t="str">
        <f ca="1">IF(OR(HE12="",HE$28&lt;$A39),"",HE12/OFFSET(ParoRegESP!$A$2,MATCH(HE$29,ParoRegESP!$A$2:$A$500)+$A39-1,1)-1)</f>
        <v/>
      </c>
      <c r="HF39" s="9" t="str">
        <f ca="1">IF(OR(HF12="",HF$28&lt;$A39),"",HF12/OFFSET(ParoRegESP!$A$2,MATCH(HF$29,ParoRegESP!$A$2:$A$500)+$A39-1,1)-1)</f>
        <v/>
      </c>
      <c r="HG39" s="9" t="str">
        <f ca="1">IF(OR(HG12="",HG$28&lt;$A39),"",HG12/OFFSET(ParoRegESP!$A$2,MATCH(HG$29,ParoRegESP!$A$2:$A$500)+$A39-1,1)-1)</f>
        <v/>
      </c>
      <c r="HH39" s="9" t="str">
        <f ca="1">IF(OR(HH12="",HH$28&lt;$A39),"",HH12/OFFSET(ParoRegESP!$A$2,MATCH(HH$29,ParoRegESP!$A$2:$A$500)+$A39-1,1)-1)</f>
        <v/>
      </c>
      <c r="HI39" s="9" t="str">
        <f ca="1">IF(OR(HI12="",HI$28&lt;$A39),"",HI12/OFFSET(ParoRegESP!$A$2,MATCH(HI$29,ParoRegESP!$A$2:$A$500)+$A39-1,1)-1)</f>
        <v/>
      </c>
      <c r="HJ39" s="9" t="str">
        <f ca="1">IF(OR(HJ12="",HJ$28&lt;$A39),"",HJ12/OFFSET(ParoRegESP!$A$2,MATCH(HJ$29,ParoRegESP!$A$2:$A$500)+$A39-1,1)-1)</f>
        <v/>
      </c>
      <c r="HK39" s="9" t="str">
        <f ca="1">IF(OR(HK12="",HK$28&lt;$A39),"",HK12/OFFSET(ParoRegESP!$A$2,MATCH(HK$29,ParoRegESP!$A$2:$A$500)+$A39-1,1)-1)</f>
        <v/>
      </c>
      <c r="HL39" s="9" t="str">
        <f ca="1">IF(OR(HL12="",HL$28&lt;$A39),"",HL12/OFFSET(ParoRegESP!$A$2,MATCH(HL$29,ParoRegESP!$A$2:$A$500)+$A39-1,1)-1)</f>
        <v/>
      </c>
      <c r="HM39" s="9" t="str">
        <f ca="1">IF(OR(HM12="",HM$28&lt;$A39),"",HM12/OFFSET(ParoRegESP!$A$2,MATCH(HM$29,ParoRegESP!$A$2:$A$500)+$A39-1,1)-1)</f>
        <v/>
      </c>
      <c r="HN39" s="9" t="str">
        <f ca="1">IF(OR(HN12="",HN$28&lt;$A39),"",HN12/OFFSET(ParoRegESP!$A$2,MATCH(HN$29,ParoRegESP!$A$2:$A$500)+$A39-1,1)-1)</f>
        <v/>
      </c>
      <c r="HO39" s="9" t="str">
        <f ca="1">IF(OR(HO12="",HO$28&lt;$A39),"",HO12/OFFSET(ParoRegESP!$A$2,MATCH(HO$29,ParoRegESP!$A$2:$A$500)+$A39-1,1)-1)</f>
        <v/>
      </c>
      <c r="HP39" s="9" t="str">
        <f ca="1">IF(OR(HP12="",HP$28&lt;$A39),"",HP12/OFFSET(ParoRegESP!$A$2,MATCH(HP$29,ParoRegESP!$A$2:$A$500)+$A39-1,1)-1)</f>
        <v/>
      </c>
      <c r="HQ39" s="9" t="str">
        <f ca="1">IF(OR(HQ12="",HQ$28&lt;$A39),"",HQ12/OFFSET(ParoRegESP!$A$2,MATCH(HQ$29,ParoRegESP!$A$2:$A$500)+$A39-1,1)-1)</f>
        <v/>
      </c>
      <c r="HR39" s="9" t="str">
        <f ca="1">IF(OR(HR12="",HR$28&lt;$A39),"",HR12/OFFSET(ParoRegESP!$A$2,MATCH(HR$29,ParoRegESP!$A$2:$A$500)+$A39-1,1)-1)</f>
        <v/>
      </c>
      <c r="HS39" s="9" t="str">
        <f ca="1">IF(OR(HS12="",HS$28&lt;$A39),"",HS12/OFFSET(ParoRegESP!$A$2,MATCH(HS$29,ParoRegESP!$A$2:$A$500)+$A39-1,1)-1)</f>
        <v/>
      </c>
      <c r="HT39" s="9" t="str">
        <f ca="1">IF(OR(HT12="",HT$28&lt;$A39),"",HT12/OFFSET(ParoRegESP!$A$2,MATCH(HT$29,ParoRegESP!$A$2:$A$500)+$A39-1,1)-1)</f>
        <v/>
      </c>
      <c r="HU39" s="9" t="str">
        <f ca="1">IF(OR(HU12="",HU$28&lt;$A39),"",HU12/OFFSET(ParoRegESP!$A$2,MATCH(HU$29,ParoRegESP!$A$2:$A$500)+$A39-1,1)-1)</f>
        <v/>
      </c>
      <c r="HV39" s="9" t="str">
        <f ca="1">IF(OR(HV12="",HV$28&lt;$A39),"",HV12/OFFSET(ParoRegESP!$A$2,MATCH(HV$29,ParoRegESP!$A$2:$A$500)+$A39-1,1)-1)</f>
        <v/>
      </c>
      <c r="HW39" s="9" t="str">
        <f ca="1">IF(OR(HW12="",HW$28&lt;$A39),"",HW12/OFFSET(ParoRegESP!$A$2,MATCH(HW$29,ParoRegESP!$A$2:$A$500)+$A39-1,1)-1)</f>
        <v/>
      </c>
      <c r="HX39" s="9" t="str">
        <f ca="1">IF(OR(HX12="",HX$28&lt;$A39),"",HX12/OFFSET(ParoRegESP!$A$2,MATCH(HX$29,ParoRegESP!$A$2:$A$500)+$A39-1,1)-1)</f>
        <v/>
      </c>
      <c r="HY39" s="9" t="str">
        <f ca="1">IF(OR(HY12="",HY$28&lt;$A39),"",HY12/OFFSET(ParoRegESP!$A$2,MATCH(HY$29,ParoRegESP!$A$2:$A$500)+$A39-1,1)-1)</f>
        <v/>
      </c>
      <c r="HZ39" s="9" t="str">
        <f ca="1">IF(OR(HZ12="",HZ$28&lt;$A39),"",HZ12/OFFSET(ParoRegESP!$A$2,MATCH(HZ$29,ParoRegESP!$A$2:$A$500)+$A39-1,1)-1)</f>
        <v/>
      </c>
      <c r="IA39" s="9" t="str">
        <f ca="1">IF(OR(IA12="",IA$28&lt;$A39),"",IA12/OFFSET(ParoRegESP!$A$2,MATCH(IA$29,ParoRegESP!$A$2:$A$500)+$A39-1,1)-1)</f>
        <v/>
      </c>
      <c r="IB39" s="9" t="str">
        <f ca="1">IF(OR(IB12="",IB$28&lt;$A39),"",IB12/OFFSET(ParoRegESP!$A$2,MATCH(IB$29,ParoRegESP!$A$2:$A$500)+$A39-1,1)-1)</f>
        <v/>
      </c>
      <c r="IC39" s="9" t="str">
        <f ca="1">IF(OR(IC12="",IC$28&lt;$A39),"",IC12/OFFSET(ParoRegESP!$A$2,MATCH(IC$29,ParoRegESP!$A$2:$A$500)+$A39-1,1)-1)</f>
        <v/>
      </c>
      <c r="ID39" s="9" t="str">
        <f ca="1">IF(OR(ID12="",ID$28&lt;$A39),"",ID12/OFFSET(ParoRegESP!$A$2,MATCH(ID$29,ParoRegESP!$A$2:$A$500)+$A39-1,1)-1)</f>
        <v/>
      </c>
      <c r="IE39" s="9" t="str">
        <f ca="1">IF(OR(IE12="",IE$28&lt;$A39),"",IE12/OFFSET(ParoRegESP!$A$2,MATCH(IE$29,ParoRegESP!$A$2:$A$500)+$A39-1,1)-1)</f>
        <v/>
      </c>
      <c r="IF39" s="9" t="str">
        <f ca="1">IF(OR(IF12="",IF$28&lt;$A39),"",IF12/OFFSET(ParoRegESP!$A$2,MATCH(IF$29,ParoRegESP!$A$2:$A$500)+$A39-1,1)-1)</f>
        <v/>
      </c>
      <c r="IG39" s="9" t="str">
        <f ca="1">IF(OR(IG12="",IG$28&lt;$A39),"",IG12/OFFSET(ParoRegESP!$A$2,MATCH(IG$29,ParoRegESP!$A$2:$A$500)+$A39-1,1)-1)</f>
        <v/>
      </c>
      <c r="IH39" s="9" t="str">
        <f ca="1">IF(OR(IH12="",IH$28&lt;$A39),"",IH12/OFFSET(ParoRegESP!$A$2,MATCH(IH$29,ParoRegESP!$A$2:$A$500)+$A39-1,1)-1)</f>
        <v/>
      </c>
      <c r="II39" s="9" t="str">
        <f ca="1">IF(OR(II12="",II$28&lt;$A39),"",II12/OFFSET(ParoRegESP!$A$2,MATCH(II$29,ParoRegESP!$A$2:$A$500)+$A39-1,1)-1)</f>
        <v/>
      </c>
      <c r="IJ39" s="9" t="str">
        <f ca="1">IF(OR(IJ12="",IJ$28&lt;$A39),"",IJ12/OFFSET(ParoRegESP!$A$2,MATCH(IJ$29,ParoRegESP!$A$2:$A$500)+$A39-1,1)-1)</f>
        <v/>
      </c>
      <c r="IK39" s="9" t="str">
        <f ca="1">IF(OR(IK12="",IK$28&lt;$A39),"",IK12/OFFSET(ParoRegESP!$A$2,MATCH(IK$29,ParoRegESP!$A$2:$A$500)+$A39-1,1)-1)</f>
        <v/>
      </c>
      <c r="IL39" s="9" t="str">
        <f ca="1">IF(OR(IL12="",IL$28&lt;$A39),"",IL12/OFFSET(ParoRegESP!$A$2,MATCH(IL$29,ParoRegESP!$A$2:$A$500)+$A39-1,1)-1)</f>
        <v/>
      </c>
      <c r="IM39" s="9" t="str">
        <f ca="1">IF(OR(IM12="",IM$28&lt;$A39),"",IM12/OFFSET(ParoRegESP!$A$2,MATCH(IM$29,ParoRegESP!$A$2:$A$500)+$A39-1,1)-1)</f>
        <v/>
      </c>
      <c r="IN39" s="9" t="str">
        <f ca="1">IF(OR(IN12="",IN$28&lt;$A39),"",IN12/OFFSET(ParoRegESP!$A$2,MATCH(IN$29,ParoRegESP!$A$2:$A$500)+$A39-1,1)-1)</f>
        <v/>
      </c>
      <c r="IO39" s="9" t="str">
        <f ca="1">IF(OR(IO12="",IO$28&lt;$A39),"",IO12/OFFSET(ParoRegESP!$A$2,MATCH(IO$29,ParoRegESP!$A$2:$A$500)+$A39-1,1)-1)</f>
        <v/>
      </c>
      <c r="IP39" s="9" t="str">
        <f ca="1">IF(OR(IP12="",IP$28&lt;$A39),"",IP12/OFFSET(ParoRegESP!$A$2,MATCH(IP$29,ParoRegESP!$A$2:$A$500)+$A39-1,1)-1)</f>
        <v/>
      </c>
      <c r="IQ39" s="9" t="str">
        <f ca="1">IF(OR(IQ12="",IQ$28&lt;$A39),"",IQ12/OFFSET(ParoRegESP!$A$2,MATCH(IQ$29,ParoRegESP!$A$2:$A$500)+$A39-1,1)-1)</f>
        <v/>
      </c>
      <c r="IR39" s="9" t="str">
        <f ca="1">IF(OR(IR12="",IR$28&lt;$A39),"",IR12/OFFSET(ParoRegESP!$A$2,MATCH(IR$29,ParoRegESP!$A$2:$A$500)+$A39-1,1)-1)</f>
        <v/>
      </c>
      <c r="IS39" s="9" t="str">
        <f ca="1">IF(OR(IS12="",IS$28&lt;$A39),"",IS12/OFFSET(ParoRegESP!$A$2,MATCH(IS$29,ParoRegESP!$A$2:$A$500)+$A39-1,1)-1)</f>
        <v/>
      </c>
      <c r="IT39" s="9" t="str">
        <f ca="1">IF(OR(IT12="",IT$28&lt;$A39),"",IT12/OFFSET(ParoRegESP!$A$2,MATCH(IT$29,ParoRegESP!$A$2:$A$500)+$A39-1,1)-1)</f>
        <v/>
      </c>
      <c r="IU39" s="9" t="str">
        <f ca="1">IF(OR(IU12="",IU$28&lt;$A39),"",IU12/OFFSET(ParoRegESP!$A$2,MATCH(IU$29,ParoRegESP!$A$2:$A$500)+$A39-1,1)-1)</f>
        <v/>
      </c>
      <c r="IV39" s="9" t="str">
        <f ca="1">IF(OR(IV12="",IV$28&lt;$A39),"",IV12/OFFSET(ParoRegESP!$A$2,MATCH(IV$29,ParoRegESP!$A$2:$A$500)+$A39-1,1)-1)</f>
        <v/>
      </c>
      <c r="IW39" s="9" t="str">
        <f ca="1">IF(OR(IW12="",IW$28&lt;$A39),"",IW12/OFFSET(ParoRegESP!$A$2,MATCH(IW$29,ParoRegESP!$A$2:$A$500)+$A39-1,1)-1)</f>
        <v/>
      </c>
      <c r="IX39" s="9" t="str">
        <f ca="1">IF(OR(IX12="",IX$28&lt;$A39),"",IX12/OFFSET(ParoRegESP!$A$2,MATCH(IX$29,ParoRegESP!$A$2:$A$500)+$A39-1,1)-1)</f>
        <v/>
      </c>
      <c r="IY39" s="9" t="str">
        <f ca="1">IF(OR(IY12="",IY$28&lt;$A39),"",IY12/OFFSET(ParoRegESP!$A$2,MATCH(IY$29,ParoRegESP!$A$2:$A$500)+$A39-1,1)-1)</f>
        <v/>
      </c>
      <c r="IZ39" s="9" t="str">
        <f ca="1">IF(OR(IZ12="",IZ$28&lt;$A39),"",IZ12/OFFSET(ParoRegESP!$A$2,MATCH(IZ$29,ParoRegESP!$A$2:$A$500)+$A39-1,1)-1)</f>
        <v/>
      </c>
      <c r="JA39" s="9" t="str">
        <f ca="1">IF(OR(JA12="",JA$28&lt;$A39),"",JA12/OFFSET(ParoRegESP!$A$2,MATCH(JA$29,ParoRegESP!$A$2:$A$500)+$A39-1,1)-1)</f>
        <v/>
      </c>
      <c r="JB39" s="9" t="str">
        <f ca="1">IF(OR(JB12="",JB$28&lt;$A39),"",JB12/OFFSET(ParoRegESP!$A$2,MATCH(JB$29,ParoRegESP!$A$2:$A$500)+$A39-1,1)-1)</f>
        <v/>
      </c>
      <c r="JC39" s="9" t="str">
        <f ca="1">IF(OR(JC12="",JC$28&lt;$A39),"",JC12/OFFSET(ParoRegESP!$A$2,MATCH(JC$29,ParoRegESP!$A$2:$A$500)+$A39-1,1)-1)</f>
        <v/>
      </c>
      <c r="JD39" s="9" t="str">
        <f ca="1">IF(OR(JD12="",JD$28&lt;$A39),"",JD12/OFFSET(ParoRegESP!$A$2,MATCH(JD$29,ParoRegESP!$A$2:$A$500)+$A39-1,1)-1)</f>
        <v/>
      </c>
      <c r="JE39" s="9" t="str">
        <f ca="1">IF(OR(JE12="",JE$28&lt;$A39),"",JE12/OFFSET(ParoRegESP!$A$2,MATCH(JE$29,ParoRegESP!$A$2:$A$500)+$A39-1,1)-1)</f>
        <v/>
      </c>
      <c r="JF39" s="9" t="str">
        <f ca="1">IF(OR(JF12="",JF$28&lt;$A39),"",JF12/OFFSET(ParoRegESP!$A$2,MATCH(JF$29,ParoRegESP!$A$2:$A$500)+$A39-1,1)-1)</f>
        <v/>
      </c>
      <c r="JG39" s="9" t="str">
        <f ca="1">IF(OR(JG12="",JG$28&lt;$A39),"",JG12/OFFSET(ParoRegESP!$A$2,MATCH(JG$29,ParoRegESP!$A$2:$A$500)+$A39-1,1)-1)</f>
        <v/>
      </c>
      <c r="JH39" s="9" t="str">
        <f ca="1">IF(OR(JH12="",JH$28&lt;$A39),"",JH12/OFFSET(ParoRegESP!$A$2,MATCH(JH$29,ParoRegESP!$A$2:$A$500)+$A39-1,1)-1)</f>
        <v/>
      </c>
      <c r="JI39" s="13">
        <f t="shared" ca="1" si="13"/>
        <v>-8.1489639107007669E-2</v>
      </c>
      <c r="JJ39" s="13">
        <f t="shared" ca="1" si="14"/>
        <v>-4.0973702262845579E-2</v>
      </c>
      <c r="JK39" s="14">
        <f t="shared" ca="1" si="15"/>
        <v>7.5898160814764151E-3</v>
      </c>
      <c r="JL39" s="17">
        <f t="shared" ca="1" si="18"/>
        <v>8.7119550512364419E-2</v>
      </c>
      <c r="JM39" s="15" t="str">
        <f t="shared" ca="1" si="16"/>
        <v>[ -25,57% ; 9,27% ]</v>
      </c>
      <c r="JN39" s="17">
        <f t="shared" ca="1" si="17"/>
        <v>0.11151302465582646</v>
      </c>
      <c r="LY39" s="1"/>
    </row>
    <row r="40" spans="1:337" x14ac:dyDescent="0.25">
      <c r="A40" s="4">
        <v>11</v>
      </c>
      <c r="B40" s="9">
        <f ca="1">IF(OR(B13="",B$28&lt;$A40),"",B13/OFFSET(ParoRegESP!$A$2,MATCH(B$29,ParoRegESP!$A$2:$A$500)+$A40-1,1)-1)</f>
        <v>6.1224500220641742E-2</v>
      </c>
      <c r="C40" s="9">
        <f ca="1">IF(OR(C13="",C$28&lt;$A40),"",C13/OFFSET(ParoRegESP!$A$2,MATCH(C$29,ParoRegESP!$A$2:$A$500)+$A40-1,1)-1)</f>
        <v>6.6209004660560344E-2</v>
      </c>
      <c r="D40" s="9">
        <f ca="1">IF(OR(D13="",D$28&lt;$A40),"",D13/OFFSET(ParoRegESP!$A$2,MATCH(D$29,ParoRegESP!$A$2:$A$500)+$A40-1,1)-1)</f>
        <v>4.3238949521744008E-2</v>
      </c>
      <c r="E40" s="9">
        <f ca="1">IF(OR(E13="",E$28&lt;$A40),"",E13/OFFSET(ParoRegESP!$A$2,MATCH(E$29,ParoRegESP!$A$2:$A$500)+$A40-1,1)-1)</f>
        <v>4.3798766014114143E-2</v>
      </c>
      <c r="F40" s="9">
        <f ca="1">IF(OR(F13="",F$28&lt;$A40),"",F13/OFFSET(ParoRegESP!$A$2,MATCH(F$29,ParoRegESP!$A$2:$A$500)+$A40-1,1)-1)</f>
        <v>4.0707159230450207E-2</v>
      </c>
      <c r="G40" s="9">
        <f ca="1">IF(OR(G13="",G$28&lt;$A40),"",G13/OFFSET(ParoRegESP!$A$2,MATCH(G$29,ParoRegESP!$A$2:$A$500)+$A40-1,1)-1)</f>
        <v>4.5911663374834877E-2</v>
      </c>
      <c r="H40" s="9">
        <f ca="1">IF(OR(H13="",H$28&lt;$A40),"",H13/OFFSET(ParoRegESP!$A$2,MATCH(H$29,ParoRegESP!$A$2:$A$500)+$A40-1,1)-1)</f>
        <v>6.220308147189324E-2</v>
      </c>
      <c r="I40" s="9">
        <f ca="1">IF(OR(I13="",I$28&lt;$A40),"",I13/OFFSET(ParoRegESP!$A$2,MATCH(I$29,ParoRegESP!$A$2:$A$500)+$A40-1,1)-1)</f>
        <v>5.6118537229337573E-2</v>
      </c>
      <c r="J40" s="9">
        <f ca="1">IF(OR(J13="",J$28&lt;$A40),"",J13/OFFSET(ParoRegESP!$A$2,MATCH(J$29,ParoRegESP!$A$2:$A$500)+$A40-1,1)-1)</f>
        <v>3.6162155012543051E-2</v>
      </c>
      <c r="K40" s="9">
        <f ca="1">IF(OR(K13="",K$28&lt;$A40),"",K13/OFFSET(ParoRegESP!$A$2,MATCH(K$29,ParoRegESP!$A$2:$A$500)+$A40-1,1)-1)</f>
        <v>2.1301508534487423E-2</v>
      </c>
      <c r="L40" s="9">
        <f ca="1">IF(OR(L13="",L$28&lt;$A40),"",L13/OFFSET(ParoRegESP!$A$2,MATCH(L$29,ParoRegESP!$A$2:$A$500)+$A40-1,1)-1)</f>
        <v>2.3383804014091458E-2</v>
      </c>
      <c r="M40" s="9">
        <f ca="1">IF(OR(M13="",M$28&lt;$A40),"",M13/OFFSET(ParoRegESP!$A$2,MATCH(M$29,ParoRegESP!$A$2:$A$500)+$A40-1,1)-1)</f>
        <v>3.7487745489619417E-3</v>
      </c>
      <c r="N40" s="9">
        <f ca="1">IF(OR(N13="",N$28&lt;$A40),"",N13/OFFSET(ParoRegESP!$A$2,MATCH(N$29,ParoRegESP!$A$2:$A$500)+$A40-1,1)-1)</f>
        <v>-1.1798111109528775E-2</v>
      </c>
      <c r="O40" s="9">
        <f ca="1">IF(OR(O13="",O$28&lt;$A40),"",O13/OFFSET(ParoRegESP!$A$2,MATCH(O$29,ParoRegESP!$A$2:$A$500)+$A40-1,1)-1)</f>
        <v>-2.0045057937351896E-2</v>
      </c>
      <c r="P40" s="9">
        <f ca="1">IF(OR(P13="",P$28&lt;$A40),"",P13/OFFSET(ParoRegESP!$A$2,MATCH(P$29,ParoRegESP!$A$2:$A$500)+$A40-1,1)-1)</f>
        <v>-3.3733607301957069E-2</v>
      </c>
      <c r="Q40" s="9">
        <f ca="1">IF(OR(Q13="",Q$28&lt;$A40),"",Q13/OFFSET(ParoRegESP!$A$2,MATCH(Q$29,ParoRegESP!$A$2:$A$500)+$A40-1,1)-1)</f>
        <v>-1.6062464361838558E-2</v>
      </c>
      <c r="R40" s="9">
        <f ca="1">IF(OR(R13="",R$28&lt;$A40),"",R13/OFFSET(ParoRegESP!$A$2,MATCH(R$29,ParoRegESP!$A$2:$A$500)+$A40-1,1)-1)</f>
        <v>-1.11099892026153E-2</v>
      </c>
      <c r="S40" s="9">
        <f ca="1">IF(OR(S13="",S$28&lt;$A40),"",S13/OFFSET(ParoRegESP!$A$2,MATCH(S$29,ParoRegESP!$A$2:$A$500)+$A40-1,1)-1)</f>
        <v>-2.1499067620617596E-2</v>
      </c>
      <c r="T40" s="9">
        <f ca="1">IF(OR(T13="",T$28&lt;$A40),"",T13/OFFSET(ParoRegESP!$A$2,MATCH(T$29,ParoRegESP!$A$2:$A$500)+$A40-1,1)-1)</f>
        <v>-2.2387840807929105E-2</v>
      </c>
      <c r="U40" s="9">
        <f ca="1">IF(OR(U13="",U$28&lt;$A40),"",U13/OFFSET(ParoRegESP!$A$2,MATCH(U$29,ParoRegESP!$A$2:$A$500)+$A40-1,1)-1)</f>
        <v>6.6122643026031991E-3</v>
      </c>
      <c r="V40" s="9">
        <f ca="1">IF(OR(V13="",V$28&lt;$A40),"",V13/OFFSET(ParoRegESP!$A$2,MATCH(V$29,ParoRegESP!$A$2:$A$500)+$A40-1,1)-1)</f>
        <v>2.0146079100722414E-2</v>
      </c>
      <c r="W40" s="9">
        <f ca="1">IF(OR(W13="",W$28&lt;$A40),"",W13/OFFSET(ParoRegESP!$A$2,MATCH(W$29,ParoRegESP!$A$2:$A$500)+$A40-1,1)-1)</f>
        <v>1.1816843761847773E-2</v>
      </c>
      <c r="X40" s="9">
        <f ca="1">IF(OR(X13="",X$28&lt;$A40),"",X13/OFFSET(ParoRegESP!$A$2,MATCH(X$29,ParoRegESP!$A$2:$A$500)+$A40-1,1)-1)</f>
        <v>2.3024751405817723E-2</v>
      </c>
      <c r="Y40" s="9">
        <f ca="1">IF(OR(Y13="",Y$28&lt;$A40),"",Y13/OFFSET(ParoRegESP!$A$2,MATCH(Y$29,ParoRegESP!$A$2:$A$500)+$A40-1,1)-1)</f>
        <v>2.795102790247106E-2</v>
      </c>
      <c r="Z40" s="9">
        <f ca="1">IF(OR(Z13="",Z$28&lt;$A40),"",Z13/OFFSET(ParoRegESP!$A$2,MATCH(Z$29,ParoRegESP!$A$2:$A$500)+$A40-1,1)-1)</f>
        <v>3.3592285216494266E-2</v>
      </c>
      <c r="AA40" s="9">
        <f ca="1">IF(OR(AA13="",AA$28&lt;$A40),"",AA13/OFFSET(ParoRegESP!$A$2,MATCH(AA$29,ParoRegESP!$A$2:$A$500)+$A40-1,1)-1)</f>
        <v>4.0829511726627299E-2</v>
      </c>
      <c r="AB40" s="9">
        <f ca="1">IF(OR(AB13="",AB$28&lt;$A40),"",AB13/OFFSET(ParoRegESP!$A$2,MATCH(AB$29,ParoRegESP!$A$2:$A$500)+$A40-1,1)-1)</f>
        <v>4.2082831571365276E-2</v>
      </c>
      <c r="AC40" s="9">
        <f ca="1">IF(OR(AC13="",AC$28&lt;$A40),"",AC13/OFFSET(ParoRegESP!$A$2,MATCH(AC$29,ParoRegESP!$A$2:$A$500)+$A40-1,1)-1)</f>
        <v>4.9309343566548147E-2</v>
      </c>
      <c r="AD40" s="9">
        <f ca="1">IF(OR(AD13="",AD$28&lt;$A40),"",AD13/OFFSET(ParoRegESP!$A$2,MATCH(AD$29,ParoRegESP!$A$2:$A$500)+$A40-1,1)-1)</f>
        <v>2.6620041880217604E-2</v>
      </c>
      <c r="AE40" s="9">
        <f ca="1">IF(OR(AE13="",AE$28&lt;$A40),"",AE13/OFFSET(ParoRegESP!$A$2,MATCH(AE$29,ParoRegESP!$A$2:$A$500)+$A40-1,1)-1)</f>
        <v>1.7007282831006387E-2</v>
      </c>
      <c r="AF40" s="9">
        <f ca="1">IF(OR(AF13="",AF$28&lt;$A40),"",AF13/OFFSET(ParoRegESP!$A$2,MATCH(AF$29,ParoRegESP!$A$2:$A$500)+$A40-1,1)-1)</f>
        <v>8.6532712746965057E-3</v>
      </c>
      <c r="AG40" s="9">
        <f ca="1">IF(OR(AG13="",AG$28&lt;$A40),"",AG13/OFFSET(ParoRegESP!$A$2,MATCH(AG$29,ParoRegESP!$A$2:$A$500)+$A40-1,1)-1)</f>
        <v>-3.521910410383855E-3</v>
      </c>
      <c r="AH40" s="9">
        <f ca="1">IF(OR(AH13="",AH$28&lt;$A40),"",AH13/OFFSET(ParoRegESP!$A$2,MATCH(AH$29,ParoRegESP!$A$2:$A$500)+$A40-1,1)-1)</f>
        <v>-1.682997027665778E-2</v>
      </c>
      <c r="AI40" s="9">
        <f ca="1">IF(OR(AI13="",AI$28&lt;$A40),"",AI13/OFFSET(ParoRegESP!$A$2,MATCH(AI$29,ParoRegESP!$A$2:$A$500)+$A40-1,1)-1)</f>
        <v>-3.5436521265822862E-2</v>
      </c>
      <c r="AJ40" s="9">
        <f ca="1">IF(OR(AJ13="",AJ$28&lt;$A40),"",AJ13/OFFSET(ParoRegESP!$A$2,MATCH(AJ$29,ParoRegESP!$A$2:$A$500)+$A40-1,1)-1)</f>
        <v>-4.7506254154161542E-2</v>
      </c>
      <c r="AK40" s="9">
        <f ca="1">IF(OR(AK13="",AK$28&lt;$A40),"",AK13/OFFSET(ParoRegESP!$A$2,MATCH(AK$29,ParoRegESP!$A$2:$A$500)+$A40-1,1)-1)</f>
        <v>-5.761814130807219E-2</v>
      </c>
      <c r="AL40" s="9">
        <f ca="1">IF(OR(AL13="",AL$28&lt;$A40),"",AL13/OFFSET(ParoRegESP!$A$2,MATCH(AL$29,ParoRegESP!$A$2:$A$500)+$A40-1,1)-1)</f>
        <v>-6.6335568629284247E-2</v>
      </c>
      <c r="AM40" s="9">
        <f ca="1">IF(OR(AM13="",AM$28&lt;$A40),"",AM13/OFFSET(ParoRegESP!$A$2,MATCH(AM$29,ParoRegESP!$A$2:$A$500)+$A40-1,1)-1)</f>
        <v>-8.7213149744180041E-2</v>
      </c>
      <c r="AN40" s="9">
        <f ca="1">IF(OR(AN13="",AN$28&lt;$A40),"",AN13/OFFSET(ParoRegESP!$A$2,MATCH(AN$29,ParoRegESP!$A$2:$A$500)+$A40-1,1)-1)</f>
        <v>-0.11366726240957192</v>
      </c>
      <c r="AO40" s="9">
        <f ca="1">IF(OR(AO13="",AO$28&lt;$A40),"",AO13/OFFSET(ParoRegESP!$A$2,MATCH(AO$29,ParoRegESP!$A$2:$A$500)+$A40-1,1)-1)</f>
        <v>-0.12240179770344406</v>
      </c>
      <c r="AP40" s="9">
        <f ca="1">IF(OR(AP13="",AP$28&lt;$A40),"",AP13/OFFSET(ParoRegESP!$A$2,MATCH(AP$29,ParoRegESP!$A$2:$A$500)+$A40-1,1)-1)</f>
        <v>-0.11709334308344133</v>
      </c>
      <c r="AQ40" s="9">
        <f ca="1">IF(OR(AQ13="",AQ$28&lt;$A40),"",AQ13/OFFSET(ParoRegESP!$A$2,MATCH(AQ$29,ParoRegESP!$A$2:$A$500)+$A40-1,1)-1)</f>
        <v>-0.13435443212840759</v>
      </c>
      <c r="AR40" s="9">
        <f ca="1">IF(OR(AR13="",AR$28&lt;$A40),"",AR13/OFFSET(ParoRegESP!$A$2,MATCH(AR$29,ParoRegESP!$A$2:$A$500)+$A40-1,1)-1)</f>
        <v>-0.15259372801850479</v>
      </c>
      <c r="AS40" s="9">
        <f ca="1">IF(OR(AS13="",AS$28&lt;$A40),"",AS13/OFFSET(ParoRegESP!$A$2,MATCH(AS$29,ParoRegESP!$A$2:$A$500)+$A40-1,1)-1)</f>
        <v>-0.17241704888104414</v>
      </c>
      <c r="AT40" s="9">
        <f ca="1">IF(OR(AT13="",AT$28&lt;$A40),"",AT13/OFFSET(ParoRegESP!$A$2,MATCH(AT$29,ParoRegESP!$A$2:$A$500)+$A40-1,1)-1)</f>
        <v>-0.17420060699069484</v>
      </c>
      <c r="AU40" s="9">
        <f ca="1">IF(OR(AU13="",AU$28&lt;$A40),"",AU13/OFFSET(ParoRegESP!$A$2,MATCH(AU$29,ParoRegESP!$A$2:$A$500)+$A40-1,1)-1)</f>
        <v>-0.19766651168485516</v>
      </c>
      <c r="AV40" s="9">
        <f ca="1">IF(OR(AV13="",AV$28&lt;$A40),"",AV13/OFFSET(ParoRegESP!$A$2,MATCH(AV$29,ParoRegESP!$A$2:$A$500)+$A40-1,1)-1)</f>
        <v>-0.23049378066213178</v>
      </c>
      <c r="AW40" s="9">
        <f ca="1">IF(OR(AW13="",AW$28&lt;$A40),"",AW13/OFFSET(ParoRegESP!$A$2,MATCH(AW$29,ParoRegESP!$A$2:$A$500)+$A40-1,1)-1)</f>
        <v>-0.2691275565555814</v>
      </c>
      <c r="AX40" s="9">
        <f ca="1">IF(OR(AX13="",AX$28&lt;$A40),"",AX13/OFFSET(ParoRegESP!$A$2,MATCH(AX$29,ParoRegESP!$A$2:$A$500)+$A40-1,1)-1)</f>
        <v>-0.28765280348086386</v>
      </c>
      <c r="AY40" s="9">
        <f ca="1">IF(OR(AY13="",AY$28&lt;$A40),"",AY13/OFFSET(ParoRegESP!$A$2,MATCH(AY$29,ParoRegESP!$A$2:$A$500)+$A40-1,1)-1)</f>
        <v>-0.29616075106680251</v>
      </c>
      <c r="AZ40" s="9">
        <f ca="1">IF(OR(AZ13="",AZ$28&lt;$A40),"",AZ13/OFFSET(ParoRegESP!$A$2,MATCH(AZ$29,ParoRegESP!$A$2:$A$500)+$A40-1,1)-1)</f>
        <v>-0.26977934561794747</v>
      </c>
      <c r="BA40" s="9">
        <f ca="1">IF(OR(BA13="",BA$28&lt;$A40),"",BA13/OFFSET(ParoRegESP!$A$2,MATCH(BA$29,ParoRegESP!$A$2:$A$500)+$A40-1,1)-1)</f>
        <v>-0.30985024997171018</v>
      </c>
      <c r="BB40" s="9">
        <f ca="1">IF(OR(BB13="",BB$28&lt;$A40),"",BB13/OFFSET(ParoRegESP!$A$2,MATCH(BB$29,ParoRegESP!$A$2:$A$500)+$A40-1,1)-1)</f>
        <v>-0.23515132236035718</v>
      </c>
      <c r="BC40" s="9">
        <f ca="1">IF(OR(BC13="",BC$28&lt;$A40),"",BC13/OFFSET(ParoRegESP!$A$2,MATCH(BC$29,ParoRegESP!$A$2:$A$500)+$A40-1,1)-1)</f>
        <v>-0.16882742376145887</v>
      </c>
      <c r="BD40" s="9">
        <f ca="1">IF(OR(BD13="",BD$28&lt;$A40),"",BD13/OFFSET(ParoRegESP!$A$2,MATCH(BD$29,ParoRegESP!$A$2:$A$500)+$A40-1,1)-1)</f>
        <v>-0.20839818936364429</v>
      </c>
      <c r="BE40" s="9">
        <f ca="1">IF(OR(BE13="",BE$28&lt;$A40),"",BE13/OFFSET(ParoRegESP!$A$2,MATCH(BE$29,ParoRegESP!$A$2:$A$500)+$A40-1,1)-1)</f>
        <v>-0.16067976666013206</v>
      </c>
      <c r="BF40" s="9">
        <f ca="1">IF(OR(BF13="",BF$28&lt;$A40),"",BF13/OFFSET(ParoRegESP!$A$2,MATCH(BF$29,ParoRegESP!$A$2:$A$500)+$A40-1,1)-1)</f>
        <v>-8.275294991119464E-2</v>
      </c>
      <c r="BG40" s="9">
        <f ca="1">IF(OR(BG13="",BG$28&lt;$A40),"",BG13/OFFSET(ParoRegESP!$A$2,MATCH(BG$29,ParoRegESP!$A$2:$A$500)+$A40-1,1)-1)</f>
        <v>-4.9796744454561837E-2</v>
      </c>
      <c r="BH40" s="9">
        <f ca="1">IF(OR(BH13="",BH$28&lt;$A40),"",BH13/OFFSET(ParoRegESP!$A$2,MATCH(BH$29,ParoRegESP!$A$2:$A$500)+$A40-1,1)-1)</f>
        <v>3.1519648721070048E-2</v>
      </c>
      <c r="BI40" s="9">
        <f ca="1">IF(OR(BI13="",BI$28&lt;$A40),"",BI13/OFFSET(ParoRegESP!$A$2,MATCH(BI$29,ParoRegESP!$A$2:$A$500)+$A40-1,1)-1)</f>
        <v>0.12677974449772167</v>
      </c>
      <c r="BJ40" s="9">
        <f ca="1">IF(OR(BJ13="",BJ$28&lt;$A40),"",BJ13/OFFSET(ParoRegESP!$A$2,MATCH(BJ$29,ParoRegESP!$A$2:$A$500)+$A40-1,1)-1)</f>
        <v>0.19166926782348104</v>
      </c>
      <c r="BK40" s="9">
        <f ca="1">IF(OR(BK13="",BK$28&lt;$A40),"",BK13/OFFSET(ParoRegESP!$A$2,MATCH(BK$29,ParoRegESP!$A$2:$A$500)+$A40-1,1)-1)</f>
        <v>0.21852210945668138</v>
      </c>
      <c r="BL40" s="9">
        <f ca="1">IF(OR(BL13="",BL$28&lt;$A40),"",BL13/OFFSET(ParoRegESP!$A$2,MATCH(BL$29,ParoRegESP!$A$2:$A$500)+$A40-1,1)-1)</f>
        <v>0.2689990588849891</v>
      </c>
      <c r="BM40" s="9">
        <f ca="1">IF(OR(BM13="",BM$28&lt;$A40),"",BM13/OFFSET(ParoRegESP!$A$2,MATCH(BM$29,ParoRegESP!$A$2:$A$500)+$A40-1,1)-1)</f>
        <v>0.2984537479135827</v>
      </c>
      <c r="BN40" s="9">
        <f ca="1">IF(OR(BN13="",BN$28&lt;$A40),"",BN13/OFFSET(ParoRegESP!$A$2,MATCH(BN$29,ParoRegESP!$A$2:$A$500)+$A40-1,1)-1)</f>
        <v>0.23645548145308881</v>
      </c>
      <c r="BO40" s="9">
        <f ca="1">IF(OR(BO13="",BO$28&lt;$A40),"",BO13/OFFSET(ParoRegESP!$A$2,MATCH(BO$29,ParoRegESP!$A$2:$A$500)+$A40-1,1)-1)</f>
        <v>0.16796912252864815</v>
      </c>
      <c r="BP40" s="9">
        <f ca="1">IF(OR(BP13="",BP$28&lt;$A40),"",BP13/OFFSET(ParoRegESP!$A$2,MATCH(BP$29,ParoRegESP!$A$2:$A$500)+$A40-1,1)-1)</f>
        <v>8.7238476975605384E-2</v>
      </c>
      <c r="BQ40" s="9">
        <f ca="1">IF(OR(BQ13="",BQ$28&lt;$A40),"",BQ13/OFFSET(ParoRegESP!$A$2,MATCH(BQ$29,ParoRegESP!$A$2:$A$500)+$A40-1,1)-1)</f>
        <v>1.0705809854316684E-4</v>
      </c>
      <c r="BR40" s="9">
        <f ca="1">IF(OR(BR13="",BR$28&lt;$A40),"",BR13/OFFSET(ParoRegESP!$A$2,MATCH(BR$29,ParoRegESP!$A$2:$A$500)+$A40-1,1)-1)</f>
        <v>4.4172953035224172E-2</v>
      </c>
      <c r="BS40" s="9">
        <f ca="1">IF(OR(BS13="",BS$28&lt;$A40),"",BS13/OFFSET(ParoRegESP!$A$2,MATCH(BS$29,ParoRegESP!$A$2:$A$500)+$A40-1,1)-1)</f>
        <v>0.1024660897652685</v>
      </c>
      <c r="BT40" s="9">
        <f ca="1">IF(OR(BT13="",BT$28&lt;$A40),"",BT13/OFFSET(ParoRegESP!$A$2,MATCH(BT$29,ParoRegESP!$A$2:$A$500)+$A40-1,1)-1)</f>
        <v>6.7944528144181504E-2</v>
      </c>
      <c r="BU40" s="9">
        <f ca="1">IF(OR(BU13="",BU$28&lt;$A40),"",BU13/OFFSET(ParoRegESP!$A$2,MATCH(BU$29,ParoRegESP!$A$2:$A$500)+$A40-1,1)-1)</f>
        <v>9.6091215634410698E-3</v>
      </c>
      <c r="BV40" s="9">
        <f ca="1">IF(OR(BV13="",BV$28&lt;$A40),"",BV13/OFFSET(ParoRegESP!$A$2,MATCH(BV$29,ParoRegESP!$A$2:$A$500)+$A40-1,1)-1)</f>
        <v>4.5564272693277674E-2</v>
      </c>
      <c r="BW40" s="9">
        <f ca="1">IF(OR(BW13="",BW$28&lt;$A40),"",BW13/OFFSET(ParoRegESP!$A$2,MATCH(BW$29,ParoRegESP!$A$2:$A$500)+$A40-1,1)-1)</f>
        <v>8.2881535997751943E-2</v>
      </c>
      <c r="BX40" s="9">
        <f ca="1">IF(OR(BX13="",BX$28&lt;$A40),"",BX13/OFFSET(ParoRegESP!$A$2,MATCH(BX$29,ParoRegESP!$A$2:$A$500)+$A40-1,1)-1)</f>
        <v>9.6538457598213556E-2</v>
      </c>
      <c r="BY40" s="9">
        <f ca="1">IF(OR(BY13="",BY$28&lt;$A40),"",BY13/OFFSET(ParoRegESP!$A$2,MATCH(BY$29,ParoRegESP!$A$2:$A$500)+$A40-1,1)-1)</f>
        <v>9.3492421957785954E-2</v>
      </c>
      <c r="BZ40" s="9">
        <f ca="1">IF(OR(BZ13="",BZ$28&lt;$A40),"",BZ13/OFFSET(ParoRegESP!$A$2,MATCH(BZ$29,ParoRegESP!$A$2:$A$500)+$A40-1,1)-1)</f>
        <v>7.741961771986916E-2</v>
      </c>
      <c r="CA40" s="9">
        <f ca="1">IF(OR(CA13="",CA$28&lt;$A40),"",CA13/OFFSET(ParoRegESP!$A$2,MATCH(CA$29,ParoRegESP!$A$2:$A$500)+$A40-1,1)-1)</f>
        <v>3.9460087756449491E-2</v>
      </c>
      <c r="CB40" s="9">
        <f ca="1">IF(OR(CB13="",CB$28&lt;$A40),"",CB13/OFFSET(ParoRegESP!$A$2,MATCH(CB$29,ParoRegESP!$A$2:$A$500)+$A40-1,1)-1)</f>
        <v>-1.7556878653041008E-2</v>
      </c>
      <c r="CC40" s="9">
        <f ca="1">IF(OR(CC13="",CC$28&lt;$A40),"",CC13/OFFSET(ParoRegESP!$A$2,MATCH(CC$29,ParoRegESP!$A$2:$A$500)+$A40-1,1)-1)</f>
        <v>-5.4751009389057415E-2</v>
      </c>
      <c r="CD40" s="9">
        <f ca="1">IF(OR(CD13="",CD$28&lt;$A40),"",CD13/OFFSET(ParoRegESP!$A$2,MATCH(CD$29,ParoRegESP!$A$2:$A$500)+$A40-1,1)-1)</f>
        <v>8.4790611115124204E-3</v>
      </c>
      <c r="CE40" s="9">
        <f ca="1">IF(OR(CE13="",CE$28&lt;$A40),"",CE13/OFFSET(ParoRegESP!$A$2,MATCH(CE$29,ParoRegESP!$A$2:$A$500)+$A40-1,1)-1)</f>
        <v>3.5130541889720091E-2</v>
      </c>
      <c r="CF40" s="9">
        <f ca="1">IF(OR(CF13="",CF$28&lt;$A40),"",CF13/OFFSET(ParoRegESP!$A$2,MATCH(CF$29,ParoRegESP!$A$2:$A$500)+$A40-1,1)-1)</f>
        <v>1.7540727365060516E-2</v>
      </c>
      <c r="CG40" s="9">
        <f ca="1">IF(OR(CG13="",CG$28&lt;$A40),"",CG13/OFFSET(ParoRegESP!$A$2,MATCH(CG$29,ParoRegESP!$A$2:$A$500)+$A40-1,1)-1)</f>
        <v>-3.312884861125287E-2</v>
      </c>
      <c r="CH40" s="9">
        <f ca="1">IF(OR(CH13="",CH$28&lt;$A40),"",CH13/OFFSET(ParoRegESP!$A$2,MATCH(CH$29,ParoRegESP!$A$2:$A$500)+$A40-1,1)-1)</f>
        <v>-9.7166632724430158E-2</v>
      </c>
      <c r="CI40" s="9">
        <f ca="1">IF(OR(CI13="",CI$28&lt;$A40),"",CI13/OFFSET(ParoRegESP!$A$2,MATCH(CI$29,ParoRegESP!$A$2:$A$500)+$A40-1,1)-1)</f>
        <v>-1.6436296622170277E-2</v>
      </c>
      <c r="CJ40" s="9">
        <f ca="1">IF(OR(CJ13="",CJ$28&lt;$A40),"",CJ13/OFFSET(ParoRegESP!$A$2,MATCH(CJ$29,ParoRegESP!$A$2:$A$500)+$A40-1,1)-1)</f>
        <v>-9.5148934527065077E-3</v>
      </c>
      <c r="CK40" s="9">
        <f ca="1">IF(OR(CK13="",CK$28&lt;$A40),"",CK13/OFFSET(ParoRegESP!$A$2,MATCH(CK$29,ParoRegESP!$A$2:$A$500)+$A40-1,1)-1)</f>
        <v>-1.722816339120159E-2</v>
      </c>
      <c r="CL40" s="9">
        <f ca="1">IF(OR(CL13="",CL$28&lt;$A40),"",CL13/OFFSET(ParoRegESP!$A$2,MATCH(CL$29,ParoRegESP!$A$2:$A$500)+$A40-1,1)-1)</f>
        <v>-5.7410396154159771E-2</v>
      </c>
      <c r="CM40" s="9">
        <f ca="1">IF(OR(CM13="",CM$28&lt;$A40),"",CM13/OFFSET(ParoRegESP!$A$2,MATCH(CM$29,ParoRegESP!$A$2:$A$500)+$A40-1,1)-1)</f>
        <v>-7.2041541802547071E-2</v>
      </c>
      <c r="CN40" s="9">
        <f ca="1">IF(OR(CN13="",CN$28&lt;$A40),"",CN13/OFFSET(ParoRegESP!$A$2,MATCH(CN$29,ParoRegESP!$A$2:$A$500)+$A40-1,1)-1)</f>
        <v>-8.5243480963457907E-2</v>
      </c>
      <c r="CO40" s="9">
        <f ca="1">IF(OR(CO13="",CO$28&lt;$A40),"",CO13/OFFSET(ParoRegESP!$A$2,MATCH(CO$29,ParoRegESP!$A$2:$A$500)+$A40-1,1)-1)</f>
        <v>-9.0985585151465376E-2</v>
      </c>
      <c r="CP40" s="9">
        <f ca="1">IF(OR(CP13="",CP$28&lt;$A40),"",CP13/OFFSET(ParoRegESP!$A$2,MATCH(CP$29,ParoRegESP!$A$2:$A$500)+$A40-1,1)-1)</f>
        <v>-7.973557707394674E-2</v>
      </c>
      <c r="CQ40" s="9">
        <f ca="1">IF(OR(CQ13="",CQ$28&lt;$A40),"",CQ13/OFFSET(ParoRegESP!$A$2,MATCH(CQ$29,ParoRegESP!$A$2:$A$500)+$A40-1,1)-1)</f>
        <v>-7.0214661460129557E-3</v>
      </c>
      <c r="CR40" s="9">
        <f ca="1">IF(OR(CR13="",CR$28&lt;$A40),"",CR13/OFFSET(ParoRegESP!$A$2,MATCH(CR$29,ParoRegESP!$A$2:$A$500)+$A40-1,1)-1)</f>
        <v>1.4778045752226854E-2</v>
      </c>
      <c r="CS40" s="9">
        <f ca="1">IF(OR(CS13="",CS$28&lt;$A40),"",CS13/OFFSET(ParoRegESP!$A$2,MATCH(CS$29,ParoRegESP!$A$2:$A$500)+$A40-1,1)-1)</f>
        <v>-8.6370153231040137E-3</v>
      </c>
      <c r="CT40" s="9">
        <f ca="1">IF(OR(CT13="",CT$28&lt;$A40),"",CT13/OFFSET(ParoRegESP!$A$2,MATCH(CT$29,ParoRegESP!$A$2:$A$500)+$A40-1,1)-1)</f>
        <v>-4.3243779740309463E-2</v>
      </c>
      <c r="CU40" s="9">
        <f ca="1">IF(OR(CU13="",CU$28&lt;$A40),"",CU13/OFFSET(ParoRegESP!$A$2,MATCH(CU$29,ParoRegESP!$A$2:$A$500)+$A40-1,1)-1)</f>
        <v>2.0303493221557778E-2</v>
      </c>
      <c r="CV40" s="9">
        <f ca="1">IF(OR(CV13="",CV$28&lt;$A40),"",CV13/OFFSET(ParoRegESP!$A$2,MATCH(CV$29,ParoRegESP!$A$2:$A$500)+$A40-1,1)-1)</f>
        <v>5.1235339213840714E-2</v>
      </c>
      <c r="CW40" s="9">
        <f ca="1">IF(OR(CW13="",CW$28&lt;$A40),"",CW13/OFFSET(ParoRegESP!$A$2,MATCH(CW$29,ParoRegESP!$A$2:$A$500)+$A40-1,1)-1)</f>
        <v>4.0574061125624672E-2</v>
      </c>
      <c r="CX40" s="9">
        <f ca="1">IF(OR(CX13="",CX$28&lt;$A40),"",CX13/OFFSET(ParoRegESP!$A$2,MATCH(CX$29,ParoRegESP!$A$2:$A$500)+$A40-1,1)-1)</f>
        <v>5.4384159108584296E-2</v>
      </c>
      <c r="CY40" s="9">
        <f ca="1">IF(OR(CY13="",CY$28&lt;$A40),"",CY13/OFFSET(ParoRegESP!$A$2,MATCH(CY$29,ParoRegESP!$A$2:$A$500)+$A40-1,1)-1)</f>
        <v>6.4700255421054509E-2</v>
      </c>
      <c r="CZ40" s="9">
        <f ca="1">IF(OR(CZ13="",CZ$28&lt;$A40),"",CZ13/OFFSET(ParoRegESP!$A$2,MATCH(CZ$29,ParoRegESP!$A$2:$A$500)+$A40-1,1)-1)</f>
        <v>3.5930427459105685E-2</v>
      </c>
      <c r="DA40" s="9">
        <f ca="1">IF(OR(DA13="",DA$28&lt;$A40),"",DA13/OFFSET(ParoRegESP!$A$2,MATCH(DA$29,ParoRegESP!$A$2:$A$500)+$A40-1,1)-1)</f>
        <v>5.6680510048470412E-2</v>
      </c>
      <c r="DB40" s="9">
        <f ca="1">IF(OR(DB13="",DB$28&lt;$A40),"",DB13/OFFSET(ParoRegESP!$A$2,MATCH(DB$29,ParoRegESP!$A$2:$A$500)+$A40-1,1)-1)</f>
        <v>4.1568304848399906E-2</v>
      </c>
      <c r="DC40" s="9">
        <f ca="1">IF(OR(DC13="",DC$28&lt;$A40),"",DC13/OFFSET(ParoRegESP!$A$2,MATCH(DC$29,ParoRegESP!$A$2:$A$500)+$A40-1,1)-1)</f>
        <v>6.4040715662532222E-2</v>
      </c>
      <c r="DD40" s="9">
        <f ca="1">IF(OR(DD13="",DD$28&lt;$A40),"",DD13/OFFSET(ParoRegESP!$A$2,MATCH(DD$29,ParoRegESP!$A$2:$A$500)+$A40-1,1)-1)</f>
        <v>9.3963220555993487E-2</v>
      </c>
      <c r="DE40" s="9">
        <f ca="1">IF(OR(DE13="",DE$28&lt;$A40),"",DE13/OFFSET(ParoRegESP!$A$2,MATCH(DE$29,ParoRegESP!$A$2:$A$500)+$A40-1,1)-1)</f>
        <v>7.7394399721740559E-2</v>
      </c>
      <c r="DF40" s="9">
        <f ca="1">IF(OR(DF13="",DF$28&lt;$A40),"",DF13/OFFSET(ParoRegESP!$A$2,MATCH(DF$29,ParoRegESP!$A$2:$A$500)+$A40-1,1)-1)</f>
        <v>3.2311283547951319E-2</v>
      </c>
      <c r="DG40" s="9">
        <f ca="1">IF(OR(DG13="",DG$28&lt;$A40),"",DG13/OFFSET(ParoRegESP!$A$2,MATCH(DG$29,ParoRegESP!$A$2:$A$500)+$A40-1,1)-1)</f>
        <v>5.7496628602942801E-2</v>
      </c>
      <c r="DH40" s="9">
        <f ca="1">IF(OR(DH13="",DH$28&lt;$A40),"",DH13/OFFSET(ParoRegESP!$A$2,MATCH(DH$29,ParoRegESP!$A$2:$A$500)+$A40-1,1)-1)</f>
        <v>5.8353246416954496E-2</v>
      </c>
      <c r="DI40" s="9">
        <f ca="1">IF(OR(DI13="",DI$28&lt;$A40),"",DI13/OFFSET(ParoRegESP!$A$2,MATCH(DI$29,ParoRegESP!$A$2:$A$500)+$A40-1,1)-1)</f>
        <v>6.9482965908360894E-2</v>
      </c>
      <c r="DJ40" s="9">
        <f ca="1">IF(OR(DJ13="",DJ$28&lt;$A40),"",DJ13/OFFSET(ParoRegESP!$A$2,MATCH(DJ$29,ParoRegESP!$A$2:$A$500)+$A40-1,1)-1)</f>
        <v>6.7191657903004964E-2</v>
      </c>
      <c r="DK40" s="9">
        <f ca="1">IF(OR(DK13="",DK$28&lt;$A40),"",DK13/OFFSET(ParoRegESP!$A$2,MATCH(DK$29,ParoRegESP!$A$2:$A$500)+$A40-1,1)-1)</f>
        <v>7.0626959122858546E-2</v>
      </c>
      <c r="DL40" s="9">
        <f ca="1">IF(OR(DL13="",DL$28&lt;$A40),"",DL13/OFFSET(ParoRegESP!$A$2,MATCH(DL$29,ParoRegESP!$A$2:$A$500)+$A40-1,1)-1)</f>
        <v>4.5016866526991661E-2</v>
      </c>
      <c r="DM40" s="9">
        <f ca="1">IF(OR(DM13="",DM$28&lt;$A40),"",DM13/OFFSET(ParoRegESP!$A$2,MATCH(DM$29,ParoRegESP!$A$2:$A$500)+$A40-1,1)-1)</f>
        <v>4.452672307271599E-2</v>
      </c>
      <c r="DN40" s="9">
        <f ca="1">IF(OR(DN13="",DN$28&lt;$A40),"",DN13/OFFSET(ParoRegESP!$A$2,MATCH(DN$29,ParoRegESP!$A$2:$A$500)+$A40-1,1)-1)</f>
        <v>3.6124176168484956E-2</v>
      </c>
      <c r="DO40" s="9">
        <f ca="1">IF(OR(DO13="",DO$28&lt;$A40),"",DO13/OFFSET(ParoRegESP!$A$2,MATCH(DO$29,ParoRegESP!$A$2:$A$500)+$A40-1,1)-1)</f>
        <v>4.0484643195842107E-2</v>
      </c>
      <c r="DP40" s="9">
        <f ca="1">IF(OR(DP13="",DP$28&lt;$A40),"",DP13/OFFSET(ParoRegESP!$A$2,MATCH(DP$29,ParoRegESP!$A$2:$A$500)+$A40-1,1)-1)</f>
        <v>5.0547002217167236E-2</v>
      </c>
      <c r="DQ40" s="9">
        <f ca="1">IF(OR(DQ13="",DQ$28&lt;$A40),"",DQ13/OFFSET(ParoRegESP!$A$2,MATCH(DQ$29,ParoRegESP!$A$2:$A$500)+$A40-1,1)-1)</f>
        <v>1.1316246596915658E-2</v>
      </c>
      <c r="DR40" s="9">
        <f ca="1">IF(OR(DR13="",DR$28&lt;$A40),"",DR13/OFFSET(ParoRegESP!$A$2,MATCH(DR$29,ParoRegESP!$A$2:$A$500)+$A40-1,1)-1)</f>
        <v>-4.1423697352859778E-2</v>
      </c>
      <c r="DS40" s="9">
        <f ca="1">IF(OR(DS13="",DS$28&lt;$A40),"",DS13/OFFSET(ParoRegESP!$A$2,MATCH(DS$29,ParoRegESP!$A$2:$A$500)+$A40-1,1)-1)</f>
        <v>-1.2304185913255217E-2</v>
      </c>
      <c r="DT40" s="9">
        <f ca="1">IF(OR(DT13="",DT$28&lt;$A40),"",DT13/OFFSET(ParoRegESP!$A$2,MATCH(DT$29,ParoRegESP!$A$2:$A$500)+$A40-1,1)-1)</f>
        <v>-1.4881947062527101E-2</v>
      </c>
      <c r="DU40" s="9">
        <f ca="1">IF(OR(DU13="",DU$28&lt;$A40),"",DU13/OFFSET(ParoRegESP!$A$2,MATCH(DU$29,ParoRegESP!$A$2:$A$500)+$A40-1,1)-1)</f>
        <v>1.5802512325017393E-2</v>
      </c>
      <c r="DV40" s="9">
        <f ca="1">IF(OR(DV13="",DV$28&lt;$A40),"",DV13/OFFSET(ParoRegESP!$A$2,MATCH(DV$29,ParoRegESP!$A$2:$A$500)+$A40-1,1)-1)</f>
        <v>-1.3164668429946125E-2</v>
      </c>
      <c r="DW40" s="9">
        <f ca="1">IF(OR(DW13="",DW$28&lt;$A40),"",DW13/OFFSET(ParoRegESP!$A$2,MATCH(DW$29,ParoRegESP!$A$2:$A$500)+$A40-1,1)-1)</f>
        <v>3.7739528840581293E-3</v>
      </c>
      <c r="DX40" s="9">
        <f ca="1">IF(OR(DX13="",DX$28&lt;$A40),"",DX13/OFFSET(ParoRegESP!$A$2,MATCH(DX$29,ParoRegESP!$A$2:$A$500)+$A40-1,1)-1)</f>
        <v>8.69847687735259E-3</v>
      </c>
      <c r="DY40" s="9">
        <f ca="1">IF(OR(DY13="",DY$28&lt;$A40),"",DY13/OFFSET(ParoRegESP!$A$2,MATCH(DY$29,ParoRegESP!$A$2:$A$500)+$A40-1,1)-1)</f>
        <v>6.3196075637587779E-2</v>
      </c>
      <c r="DZ40" s="9">
        <f ca="1">IF(OR(DZ13="",DZ$28&lt;$A40),"",DZ13/OFFSET(ParoRegESP!$A$2,MATCH(DZ$29,ParoRegESP!$A$2:$A$500)+$A40-1,1)-1)</f>
        <v>5.8776364449645291E-2</v>
      </c>
      <c r="EA40" s="9">
        <f ca="1">IF(OR(EA13="",EA$28&lt;$A40),"",EA13/OFFSET(ParoRegESP!$A$2,MATCH(EA$29,ParoRegESP!$A$2:$A$500)+$A40-1,1)-1)</f>
        <v>6.075014714796656E-2</v>
      </c>
      <c r="EB40" s="9">
        <f ca="1">IF(OR(EB13="",EB$28&lt;$A40),"",EB13/OFFSET(ParoRegESP!$A$2,MATCH(EB$29,ParoRegESP!$A$2:$A$500)+$A40-1,1)-1)</f>
        <v>5.4200155755854906E-2</v>
      </c>
      <c r="EC40" s="9">
        <f ca="1">IF(OR(EC13="",EC$28&lt;$A40),"",EC13/OFFSET(ParoRegESP!$A$2,MATCH(EC$29,ParoRegESP!$A$2:$A$500)+$A40-1,1)-1)</f>
        <v>2.2669701724699287E-2</v>
      </c>
      <c r="ED40" s="9">
        <f ca="1">IF(OR(ED13="",ED$28&lt;$A40),"",ED13/OFFSET(ParoRegESP!$A$2,MATCH(ED$29,ParoRegESP!$A$2:$A$500)+$A40-1,1)-1)</f>
        <v>1.680679542072161E-2</v>
      </c>
      <c r="EE40" s="9">
        <f ca="1">IF(OR(EE13="",EE$28&lt;$A40),"",EE13/OFFSET(ParoRegESP!$A$2,MATCH(EE$29,ParoRegESP!$A$2:$A$500)+$A40-1,1)-1)</f>
        <v>8.8366152980543511E-3</v>
      </c>
      <c r="EF40" s="9">
        <f ca="1">IF(OR(EF13="",EF$28&lt;$A40),"",EF13/OFFSET(ParoRegESP!$A$2,MATCH(EF$29,ParoRegESP!$A$2:$A$500)+$A40-1,1)-1)</f>
        <v>-1.0529109695397554E-2</v>
      </c>
      <c r="EG40" s="9">
        <f ca="1">IF(OR(EG13="",EG$28&lt;$A40),"",EG13/OFFSET(ParoRegESP!$A$2,MATCH(EG$29,ParoRegESP!$A$2:$A$500)+$A40-1,1)-1)</f>
        <v>-1.364561897894645E-2</v>
      </c>
      <c r="EH40" s="9">
        <f ca="1">IF(OR(EH13="",EH$28&lt;$A40),"",EH13/OFFSET(ParoRegESP!$A$2,MATCH(EH$29,ParoRegESP!$A$2:$A$500)+$A40-1,1)-1)</f>
        <v>-1.9646614825820419E-2</v>
      </c>
      <c r="EI40" s="9">
        <f ca="1">IF(OR(EI13="",EI$28&lt;$A40),"",EI13/OFFSET(ParoRegESP!$A$2,MATCH(EI$29,ParoRegESP!$A$2:$A$500)+$A40-1,1)-1)</f>
        <v>-1.2130575225310691E-2</v>
      </c>
      <c r="EJ40" s="9">
        <f ca="1">IF(OR(EJ13="",EJ$28&lt;$A40),"",EJ13/OFFSET(ParoRegESP!$A$2,MATCH(EJ$29,ParoRegESP!$A$2:$A$500)+$A40-1,1)-1)</f>
        <v>3.0706851999672047E-2</v>
      </c>
      <c r="EK40" s="9">
        <f ca="1">IF(OR(EK13="",EK$28&lt;$A40),"",EK13/OFFSET(ParoRegESP!$A$2,MATCH(EK$29,ParoRegESP!$A$2:$A$500)+$A40-1,1)-1)</f>
        <v>9.9631012349306047E-3</v>
      </c>
      <c r="EL40" s="9">
        <f ca="1">IF(OR(EL13="",EL$28&lt;$A40),"",EL13/OFFSET(ParoRegESP!$A$2,MATCH(EL$29,ParoRegESP!$A$2:$A$500)+$A40-1,1)-1)</f>
        <v>3.9981620653130046E-2</v>
      </c>
      <c r="EM40" s="9">
        <f ca="1">IF(OR(EM13="",EM$28&lt;$A40),"",EM13/OFFSET(ParoRegESP!$A$2,MATCH(EM$29,ParoRegESP!$A$2:$A$500)+$A40-1,1)-1)</f>
        <v>5.434309116546121E-2</v>
      </c>
      <c r="EN40" s="9">
        <f ca="1">IF(OR(EN13="",EN$28&lt;$A40),"",EN13/OFFSET(ParoRegESP!$A$2,MATCH(EN$29,ParoRegESP!$A$2:$A$500)+$A40-1,1)-1)</f>
        <v>5.7512433593608359E-2</v>
      </c>
      <c r="EO40" s="9">
        <f ca="1">IF(OR(EO13="",EO$28&lt;$A40),"",EO13/OFFSET(ParoRegESP!$A$2,MATCH(EO$29,ParoRegESP!$A$2:$A$500)+$A40-1,1)-1)</f>
        <v>2.5233295937332922E-2</v>
      </c>
      <c r="EP40" s="9">
        <f ca="1">IF(OR(EP13="",EP$28&lt;$A40),"",EP13/OFFSET(ParoRegESP!$A$2,MATCH(EP$29,ParoRegESP!$A$2:$A$500)+$A40-1,1)-1)</f>
        <v>2.3081656521808602E-2</v>
      </c>
      <c r="EQ40" s="9">
        <f ca="1">IF(OR(EQ13="",EQ$28&lt;$A40),"",EQ13/OFFSET(ParoRegESP!$A$2,MATCH(EQ$29,ParoRegESP!$A$2:$A$500)+$A40-1,1)-1)</f>
        <v>9.3219778349662441E-4</v>
      </c>
      <c r="ER40" s="9">
        <f ca="1">IF(OR(ER13="",ER$28&lt;$A40),"",ER13/OFFSET(ParoRegESP!$A$2,MATCH(ER$29,ParoRegESP!$A$2:$A$500)+$A40-1,1)-1)</f>
        <v>1.2073623541716705E-2</v>
      </c>
      <c r="ES40" s="9">
        <f ca="1">IF(OR(ES13="",ES$28&lt;$A40),"",ES13/OFFSET(ParoRegESP!$A$2,MATCH(ES$29,ParoRegESP!$A$2:$A$500)+$A40-1,1)-1)</f>
        <v>5.8126718676783096E-3</v>
      </c>
      <c r="ET40" s="9">
        <f ca="1">IF(OR(ET13="",ET$28&lt;$A40),"",ET13/OFFSET(ParoRegESP!$A$2,MATCH(ET$29,ParoRegESP!$A$2:$A$500)+$A40-1,1)-1)</f>
        <v>3.739738961012895E-2</v>
      </c>
      <c r="EU40" s="9">
        <f ca="1">IF(OR(EU13="",EU$28&lt;$A40),"",EU13/OFFSET(ParoRegESP!$A$2,MATCH(EU$29,ParoRegESP!$A$2:$A$500)+$A40-1,1)-1)</f>
        <v>4.1389042104760465E-2</v>
      </c>
      <c r="EV40" s="9">
        <f ca="1">IF(OR(EV13="",EV$28&lt;$A40),"",EV13/OFFSET(ParoRegESP!$A$2,MATCH(EV$29,ParoRegESP!$A$2:$A$500)+$A40-1,1)-1)</f>
        <v>1.1225718570228027E-2</v>
      </c>
      <c r="EW40" s="9">
        <f ca="1">IF(OR(EW13="",EW$28&lt;$A40),"",EW13/OFFSET(ParoRegESP!$A$2,MATCH(EW$29,ParoRegESP!$A$2:$A$500)+$A40-1,1)-1)</f>
        <v>1.4372122058530445E-2</v>
      </c>
      <c r="EX40" s="9">
        <f ca="1">IF(OR(EX13="",EX$28&lt;$A40),"",EX13/OFFSET(ParoRegESP!$A$2,MATCH(EX$29,ParoRegESP!$A$2:$A$500)+$A40-1,1)-1)</f>
        <v>1.5404007826412824E-2</v>
      </c>
      <c r="EY40" s="9">
        <f ca="1">IF(OR(EY13="",EY$28&lt;$A40),"",EY13/OFFSET(ParoRegESP!$A$2,MATCH(EY$29,ParoRegESP!$A$2:$A$500)+$A40-1,1)-1)</f>
        <v>1.2384792265988986E-2</v>
      </c>
      <c r="EZ40" s="9">
        <f ca="1">IF(OR(EZ13="",EZ$28&lt;$A40),"",EZ13/OFFSET(ParoRegESP!$A$2,MATCH(EZ$29,ParoRegESP!$A$2:$A$500)+$A40-1,1)-1)</f>
        <v>-1.8629769419317266E-2</v>
      </c>
      <c r="FA40" s="9">
        <f ca="1">IF(OR(FA13="",FA$28&lt;$A40),"",FA13/OFFSET(ParoRegESP!$A$2,MATCH(FA$29,ParoRegESP!$A$2:$A$500)+$A40-1,1)-1)</f>
        <v>2.3363343084493948E-2</v>
      </c>
      <c r="FB40" s="9">
        <f ca="1">IF(OR(FB13="",FB$28&lt;$A40),"",FB13/OFFSET(ParoRegESP!$A$2,MATCH(FB$29,ParoRegESP!$A$2:$A$500)+$A40-1,1)-1)</f>
        <v>-2.9540267418242672E-2</v>
      </c>
      <c r="FC40" s="9">
        <f ca="1">IF(OR(FC13="",FC$28&lt;$A40),"",FC13/OFFSET(ParoRegESP!$A$2,MATCH(FC$29,ParoRegESP!$A$2:$A$500)+$A40-1,1)-1)</f>
        <v>-3.1545511689487493E-2</v>
      </c>
      <c r="FD40" s="9">
        <f ca="1">IF(OR(FD13="",FD$28&lt;$A40),"",FD13/OFFSET(ParoRegESP!$A$2,MATCH(FD$29,ParoRegESP!$A$2:$A$500)+$A40-1,1)-1)</f>
        <v>-3.1689780492524466E-2</v>
      </c>
      <c r="FE40" s="9">
        <f ca="1">IF(OR(FE13="",FE$28&lt;$A40),"",FE13/OFFSET(ParoRegESP!$A$2,MATCH(FE$29,ParoRegESP!$A$2:$A$500)+$A40-1,1)-1)</f>
        <v>-3.349604276789242E-2</v>
      </c>
      <c r="FF40" s="9">
        <f ca="1">IF(OR(FF13="",FF$28&lt;$A40),"",FF13/OFFSET(ParoRegESP!$A$2,MATCH(FF$29,ParoRegESP!$A$2:$A$500)+$A40-1,1)-1)</f>
        <v>-6.4375172215674681E-2</v>
      </c>
      <c r="FG40" s="9">
        <f ca="1">IF(OR(FG13="",FG$28&lt;$A40),"",FG13/OFFSET(ParoRegESP!$A$2,MATCH(FG$29,ParoRegESP!$A$2:$A$500)+$A40-1,1)-1)</f>
        <v>-5.5310575070497636E-2</v>
      </c>
      <c r="FH40" s="9">
        <f ca="1">IF(OR(FH13="",FH$28&lt;$A40),"",FH13/OFFSET(ParoRegESP!$A$2,MATCH(FH$29,ParoRegESP!$A$2:$A$500)+$A40-1,1)-1)</f>
        <v>-3.1732990676210493E-2</v>
      </c>
      <c r="FI40" s="9">
        <f ca="1">IF(OR(FI13="",FI$28&lt;$A40),"",FI13/OFFSET(ParoRegESP!$A$2,MATCH(FI$29,ParoRegESP!$A$2:$A$500)+$A40-1,1)-1)</f>
        <v>3.3280013703640865E-2</v>
      </c>
      <c r="FJ40" s="9">
        <f ca="1">IF(OR(FJ13="",FJ$28&lt;$A40),"",FJ13/OFFSET(ParoRegESP!$A$2,MATCH(FJ$29,ParoRegESP!$A$2:$A$500)+$A40-1,1)-1)</f>
        <v>5.1933351252518412E-2</v>
      </c>
      <c r="FK40" s="9">
        <f ca="1">IF(OR(FK13="",FK$28&lt;$A40),"",FK13/OFFSET(ParoRegESP!$A$2,MATCH(FK$29,ParoRegESP!$A$2:$A$500)+$A40-1,1)-1)</f>
        <v>2.3024589741476476E-2</v>
      </c>
      <c r="FL40" s="9">
        <f ca="1">IF(OR(FL13="",FL$28&lt;$A40),"",FL13/OFFSET(ParoRegESP!$A$2,MATCH(FL$29,ParoRegESP!$A$2:$A$500)+$A40-1,1)-1)</f>
        <v>9.7289993418159249E-4</v>
      </c>
      <c r="FM40" s="9">
        <f ca="1">IF(OR(FM13="",FM$28&lt;$A40),"",FM13/OFFSET(ParoRegESP!$A$2,MATCH(FM$29,ParoRegESP!$A$2:$A$500)+$A40-1,1)-1)</f>
        <v>-5.1177598272329483E-3</v>
      </c>
      <c r="FN40" s="9">
        <f ca="1">IF(OR(FN13="",FN$28&lt;$A40),"",FN13/OFFSET(ParoRegESP!$A$2,MATCH(FN$29,ParoRegESP!$A$2:$A$500)+$A40-1,1)-1)</f>
        <v>5.6114742438184706E-4</v>
      </c>
      <c r="FO40" s="9">
        <f ca="1">IF(OR(FO13="",FO$28&lt;$A40),"",FO13/OFFSET(ParoRegESP!$A$2,MATCH(FO$29,ParoRegESP!$A$2:$A$500)+$A40-1,1)-1)</f>
        <v>-1.8069226594084387E-2</v>
      </c>
      <c r="FP40" s="9">
        <f ca="1">IF(OR(FP13="",FP$28&lt;$A40),"",FP13/OFFSET(ParoRegESP!$A$2,MATCH(FP$29,ParoRegESP!$A$2:$A$500)+$A40-1,1)-1)</f>
        <v>-3.1375452728213404E-2</v>
      </c>
      <c r="FQ40" s="9">
        <f ca="1">IF(OR(FQ13="",FQ$28&lt;$A40),"",FQ13/OFFSET(ParoRegESP!$A$2,MATCH(FQ$29,ParoRegESP!$A$2:$A$500)+$A40-1,1)-1)</f>
        <v>-1.9173878017069712E-2</v>
      </c>
      <c r="FR40" s="9">
        <f ca="1">IF(OR(FR13="",FR$28&lt;$A40),"",FR13/OFFSET(ParoRegESP!$A$2,MATCH(FR$29,ParoRegESP!$A$2:$A$500)+$A40-1,1)-1)</f>
        <v>-3.6054535419032252E-3</v>
      </c>
      <c r="FS40" s="9">
        <f ca="1">IF(OR(FS13="",FS$28&lt;$A40),"",FS13/OFFSET(ParoRegESP!$A$2,MATCH(FS$29,ParoRegESP!$A$2:$A$500)+$A40-1,1)-1)</f>
        <v>2.2917137984979075E-2</v>
      </c>
      <c r="FT40" s="9">
        <f ca="1">IF(OR(FT13="",FT$28&lt;$A40),"",FT13/OFFSET(ParoRegESP!$A$2,MATCH(FT$29,ParoRegESP!$A$2:$A$500)+$A40-1,1)-1)</f>
        <v>2.5052527375928113E-2</v>
      </c>
      <c r="FU40" s="9">
        <f ca="1">IF(OR(FU13="",FU$28&lt;$A40),"",FU13/OFFSET(ParoRegESP!$A$2,MATCH(FU$29,ParoRegESP!$A$2:$A$500)+$A40-1,1)-1)</f>
        <v>2.4121686145457844E-2</v>
      </c>
      <c r="FV40" s="9">
        <f ca="1">IF(OR(FV13="",FV$28&lt;$A40),"",FV13/OFFSET(ParoRegESP!$A$2,MATCH(FV$29,ParoRegESP!$A$2:$A$500)+$A40-1,1)-1)</f>
        <v>2.5992359475212723E-2</v>
      </c>
      <c r="FW40" s="9">
        <f ca="1">IF(OR(FW13="",FW$28&lt;$A40),"",FW13/OFFSET(ParoRegESP!$A$2,MATCH(FW$29,ParoRegESP!$A$2:$A$500)+$A40-1,1)-1)</f>
        <v>-8.2822673436695471E-3</v>
      </c>
      <c r="FX40" s="9">
        <f ca="1">IF(OR(FX13="",FX$28&lt;$A40),"",FX13/OFFSET(ParoRegESP!$A$2,MATCH(FX$29,ParoRegESP!$A$2:$A$500)+$A40-1,1)-1)</f>
        <v>-3.0990940009647971E-2</v>
      </c>
      <c r="FY40" s="9">
        <f ca="1">IF(OR(FY13="",FY$28&lt;$A40),"",FY13/OFFSET(ParoRegESP!$A$2,MATCH(FY$29,ParoRegESP!$A$2:$A$500)+$A40-1,1)-1)</f>
        <v>-5.3216954059652655E-2</v>
      </c>
      <c r="FZ40" s="9">
        <f ca="1">IF(OR(FZ13="",FZ$28&lt;$A40),"",FZ13/OFFSET(ParoRegESP!$A$2,MATCH(FZ$29,ParoRegESP!$A$2:$A$500)+$A40-1,1)-1)</f>
        <v>-4.296079921402729E-2</v>
      </c>
      <c r="GA40" s="9">
        <f ca="1">IF(OR(GA13="",GA$28&lt;$A40),"",GA13/OFFSET(ParoRegESP!$A$2,MATCH(GA$29,ParoRegESP!$A$2:$A$500)+$A40-1,1)-1)</f>
        <v>-3.6073081723625888E-2</v>
      </c>
      <c r="GB40" s="9">
        <f ca="1">IF(OR(GB13="",GB$28&lt;$A40),"",GB13/OFFSET(ParoRegESP!$A$2,MATCH(GB$29,ParoRegESP!$A$2:$A$500)+$A40-1,1)-1)</f>
        <v>-4.4219372469764595E-2</v>
      </c>
      <c r="GC40" s="9">
        <f ca="1">IF(OR(GC13="",GC$28&lt;$A40),"",GC13/OFFSET(ParoRegESP!$A$2,MATCH(GC$29,ParoRegESP!$A$2:$A$500)+$A40-1,1)-1)</f>
        <v>-3.5282003631630587E-2</v>
      </c>
      <c r="GD40" s="9">
        <f ca="1">IF(OR(GD13="",GD$28&lt;$A40),"",GD13/OFFSET(ParoRegESP!$A$2,MATCH(GD$29,ParoRegESP!$A$2:$A$500)+$A40-1,1)-1)</f>
        <v>-0.12624150710922533</v>
      </c>
      <c r="GE40" s="9">
        <f ca="1">IF(OR(GE13="",GE$28&lt;$A40),"",GE13/OFFSET(ParoRegESP!$A$2,MATCH(GE$29,ParoRegESP!$A$2:$A$500)+$A40-1,1)-1)</f>
        <v>-0.2080871010798111</v>
      </c>
      <c r="GF40" s="9">
        <f ca="1">IF(OR(GF13="",GF$28&lt;$A40),"",GF13/OFFSET(ParoRegESP!$A$2,MATCH(GF$29,ParoRegESP!$A$2:$A$500)+$A40-1,1)-1)</f>
        <v>-0.2041506186999007</v>
      </c>
      <c r="GG40" s="9">
        <f ca="1">IF(OR(GG13="",GG$28&lt;$A40),"",GG13/OFFSET(ParoRegESP!$A$2,MATCH(GG$29,ParoRegESP!$A$2:$A$500)+$A40-1,1)-1)</f>
        <v>-0.20911386152920819</v>
      </c>
      <c r="GH40" s="9">
        <f ca="1">IF(OR(GH13="",GH$28&lt;$A40),"",GH13/OFFSET(ParoRegESP!$A$2,MATCH(GH$29,ParoRegESP!$A$2:$A$500)+$A40-1,1)-1)</f>
        <v>-0.1896030713263992</v>
      </c>
      <c r="GI40" s="9">
        <f ca="1">IF(OR(GI13="",GI$28&lt;$A40),"",GI13/OFFSET(ParoRegESP!$A$2,MATCH(GI$29,ParoRegESP!$A$2:$A$500)+$A40-1,1)-1)</f>
        <v>-0.21170674312001181</v>
      </c>
      <c r="GJ40" s="9">
        <f ca="1">IF(OR(GJ13="",GJ$28&lt;$A40),"",GJ13/OFFSET(ParoRegESP!$A$2,MATCH(GJ$29,ParoRegESP!$A$2:$A$500)+$A40-1,1)-1)</f>
        <v>-0.16380432674329082</v>
      </c>
      <c r="GK40" s="9">
        <f ca="1">IF(OR(GK13="",GK$28&lt;$A40),"",GK13/OFFSET(ParoRegESP!$A$2,MATCH(GK$29,ParoRegESP!$A$2:$A$500)+$A40-1,1)-1)</f>
        <v>-0.17390702014409454</v>
      </c>
      <c r="GL40" s="9">
        <f ca="1">IF(OR(GL13="",GL$28&lt;$A40),"",GL13/OFFSET(ParoRegESP!$A$2,MATCH(GL$29,ParoRegESP!$A$2:$A$500)+$A40-1,1)-1)</f>
        <v>-0.16480524244006078</v>
      </c>
      <c r="GM40" s="9">
        <f ca="1">IF(OR(GM13="",GM$28&lt;$A40),"",GM13/OFFSET(ParoRegESP!$A$2,MATCH(GM$29,ParoRegESP!$A$2:$A$500)+$A40-1,1)-1)</f>
        <v>-0.18178336553248942</v>
      </c>
      <c r="GN40" s="9">
        <f ca="1">IF(OR(GN13="",GN$28&lt;$A40),"",GN13/OFFSET(ParoRegESP!$A$2,MATCH(GN$29,ParoRegESP!$A$2:$A$500)+$A40-1,1)-1)</f>
        <v>-0.20619806578919542</v>
      </c>
      <c r="GO40" s="9" t="str">
        <f ca="1">IF(OR(GO13="",GO$28&lt;$A40),"",GO13/OFFSET(ParoRegESP!$A$2,MATCH(GO$29,ParoRegESP!$A$2:$A$500)+$A40-1,1)-1)</f>
        <v/>
      </c>
      <c r="GP40" s="9" t="str">
        <f ca="1">IF(OR(GP13="",GP$28&lt;$A40),"",GP13/OFFSET(ParoRegESP!$A$2,MATCH(GP$29,ParoRegESP!$A$2:$A$500)+$A40-1,1)-1)</f>
        <v/>
      </c>
      <c r="GQ40" s="9" t="str">
        <f ca="1">IF(OR(GQ13="",GQ$28&lt;$A40),"",GQ13/OFFSET(ParoRegESP!$A$2,MATCH(GQ$29,ParoRegESP!$A$2:$A$500)+$A40-1,1)-1)</f>
        <v/>
      </c>
      <c r="GR40" s="9" t="str">
        <f ca="1">IF(OR(GR13="",GR$28&lt;$A40),"",GR13/OFFSET(ParoRegESP!$A$2,MATCH(GR$29,ParoRegESP!$A$2:$A$500)+$A40-1,1)-1)</f>
        <v/>
      </c>
      <c r="GS40" s="9" t="str">
        <f ca="1">IF(OR(GS13="",GS$28&lt;$A40),"",GS13/OFFSET(ParoRegESP!$A$2,MATCH(GS$29,ParoRegESP!$A$2:$A$500)+$A40-1,1)-1)</f>
        <v/>
      </c>
      <c r="GT40" s="9" t="str">
        <f ca="1">IF(OR(GT13="",GT$28&lt;$A40),"",GT13/OFFSET(ParoRegESP!$A$2,MATCH(GT$29,ParoRegESP!$A$2:$A$500)+$A40-1,1)-1)</f>
        <v/>
      </c>
      <c r="GU40" s="9" t="str">
        <f ca="1">IF(OR(GU13="",GU$28&lt;$A40),"",GU13/OFFSET(ParoRegESP!$A$2,MATCH(GU$29,ParoRegESP!$A$2:$A$500)+$A40-1,1)-1)</f>
        <v/>
      </c>
      <c r="GV40" s="9" t="str">
        <f ca="1">IF(OR(GV13="",GV$28&lt;$A40),"",GV13/OFFSET(ParoRegESP!$A$2,MATCH(GV$29,ParoRegESP!$A$2:$A$500)+$A40-1,1)-1)</f>
        <v/>
      </c>
      <c r="GW40" s="9" t="str">
        <f ca="1">IF(OR(GW13="",GW$28&lt;$A40),"",GW13/OFFSET(ParoRegESP!$A$2,MATCH(GW$29,ParoRegESP!$A$2:$A$500)+$A40-1,1)-1)</f>
        <v/>
      </c>
      <c r="GX40" s="9" t="str">
        <f ca="1">IF(OR(GX13="",GX$28&lt;$A40),"",GX13/OFFSET(ParoRegESP!$A$2,MATCH(GX$29,ParoRegESP!$A$2:$A$500)+$A40-1,1)-1)</f>
        <v/>
      </c>
      <c r="GY40" s="9" t="str">
        <f ca="1">IF(OR(GY13="",GY$28&lt;$A40),"",GY13/OFFSET(ParoRegESP!$A$2,MATCH(GY$29,ParoRegESP!$A$2:$A$500)+$A40-1,1)-1)</f>
        <v/>
      </c>
      <c r="GZ40" s="9" t="str">
        <f ca="1">IF(OR(GZ13="",GZ$28&lt;$A40),"",GZ13/OFFSET(ParoRegESP!$A$2,MATCH(GZ$29,ParoRegESP!$A$2:$A$500)+$A40-1,1)-1)</f>
        <v/>
      </c>
      <c r="HA40" s="9" t="str">
        <f ca="1">IF(OR(HA13="",HA$28&lt;$A40),"",HA13/OFFSET(ParoRegESP!$A$2,MATCH(HA$29,ParoRegESP!$A$2:$A$500)+$A40-1,1)-1)</f>
        <v/>
      </c>
      <c r="HB40" s="9" t="str">
        <f ca="1">IF(OR(HB13="",HB$28&lt;$A40),"",HB13/OFFSET(ParoRegESP!$A$2,MATCH(HB$29,ParoRegESP!$A$2:$A$500)+$A40-1,1)-1)</f>
        <v/>
      </c>
      <c r="HC40" s="9" t="str">
        <f ca="1">IF(OR(HC13="",HC$28&lt;$A40),"",HC13/OFFSET(ParoRegESP!$A$2,MATCH(HC$29,ParoRegESP!$A$2:$A$500)+$A40-1,1)-1)</f>
        <v/>
      </c>
      <c r="HD40" s="9" t="str">
        <f ca="1">IF(OR(HD13="",HD$28&lt;$A40),"",HD13/OFFSET(ParoRegESP!$A$2,MATCH(HD$29,ParoRegESP!$A$2:$A$500)+$A40-1,1)-1)</f>
        <v/>
      </c>
      <c r="HE40" s="9" t="str">
        <f ca="1">IF(OR(HE13="",HE$28&lt;$A40),"",HE13/OFFSET(ParoRegESP!$A$2,MATCH(HE$29,ParoRegESP!$A$2:$A$500)+$A40-1,1)-1)</f>
        <v/>
      </c>
      <c r="HF40" s="9" t="str">
        <f ca="1">IF(OR(HF13="",HF$28&lt;$A40),"",HF13/OFFSET(ParoRegESP!$A$2,MATCH(HF$29,ParoRegESP!$A$2:$A$500)+$A40-1,1)-1)</f>
        <v/>
      </c>
      <c r="HG40" s="9" t="str">
        <f ca="1">IF(OR(HG13="",HG$28&lt;$A40),"",HG13/OFFSET(ParoRegESP!$A$2,MATCH(HG$29,ParoRegESP!$A$2:$A$500)+$A40-1,1)-1)</f>
        <v/>
      </c>
      <c r="HH40" s="9" t="str">
        <f ca="1">IF(OR(HH13="",HH$28&lt;$A40),"",HH13/OFFSET(ParoRegESP!$A$2,MATCH(HH$29,ParoRegESP!$A$2:$A$500)+$A40-1,1)-1)</f>
        <v/>
      </c>
      <c r="HI40" s="9" t="str">
        <f ca="1">IF(OR(HI13="",HI$28&lt;$A40),"",HI13/OFFSET(ParoRegESP!$A$2,MATCH(HI$29,ParoRegESP!$A$2:$A$500)+$A40-1,1)-1)</f>
        <v/>
      </c>
      <c r="HJ40" s="9" t="str">
        <f ca="1">IF(OR(HJ13="",HJ$28&lt;$A40),"",HJ13/OFFSET(ParoRegESP!$A$2,MATCH(HJ$29,ParoRegESP!$A$2:$A$500)+$A40-1,1)-1)</f>
        <v/>
      </c>
      <c r="HK40" s="9" t="str">
        <f ca="1">IF(OR(HK13="",HK$28&lt;$A40),"",HK13/OFFSET(ParoRegESP!$A$2,MATCH(HK$29,ParoRegESP!$A$2:$A$500)+$A40-1,1)-1)</f>
        <v/>
      </c>
      <c r="HL40" s="9" t="str">
        <f ca="1">IF(OR(HL13="",HL$28&lt;$A40),"",HL13/OFFSET(ParoRegESP!$A$2,MATCH(HL$29,ParoRegESP!$A$2:$A$500)+$A40-1,1)-1)</f>
        <v/>
      </c>
      <c r="HM40" s="9" t="str">
        <f ca="1">IF(OR(HM13="",HM$28&lt;$A40),"",HM13/OFFSET(ParoRegESP!$A$2,MATCH(HM$29,ParoRegESP!$A$2:$A$500)+$A40-1,1)-1)</f>
        <v/>
      </c>
      <c r="HN40" s="9" t="str">
        <f ca="1">IF(OR(HN13="",HN$28&lt;$A40),"",HN13/OFFSET(ParoRegESP!$A$2,MATCH(HN$29,ParoRegESP!$A$2:$A$500)+$A40-1,1)-1)</f>
        <v/>
      </c>
      <c r="HO40" s="9" t="str">
        <f ca="1">IF(OR(HO13="",HO$28&lt;$A40),"",HO13/OFFSET(ParoRegESP!$A$2,MATCH(HO$29,ParoRegESP!$A$2:$A$500)+$A40-1,1)-1)</f>
        <v/>
      </c>
      <c r="HP40" s="9" t="str">
        <f ca="1">IF(OR(HP13="",HP$28&lt;$A40),"",HP13/OFFSET(ParoRegESP!$A$2,MATCH(HP$29,ParoRegESP!$A$2:$A$500)+$A40-1,1)-1)</f>
        <v/>
      </c>
      <c r="HQ40" s="9" t="str">
        <f ca="1">IF(OR(HQ13="",HQ$28&lt;$A40),"",HQ13/OFFSET(ParoRegESP!$A$2,MATCH(HQ$29,ParoRegESP!$A$2:$A$500)+$A40-1,1)-1)</f>
        <v/>
      </c>
      <c r="HR40" s="9" t="str">
        <f ca="1">IF(OR(HR13="",HR$28&lt;$A40),"",HR13/OFFSET(ParoRegESP!$A$2,MATCH(HR$29,ParoRegESP!$A$2:$A$500)+$A40-1,1)-1)</f>
        <v/>
      </c>
      <c r="HS40" s="9" t="str">
        <f ca="1">IF(OR(HS13="",HS$28&lt;$A40),"",HS13/OFFSET(ParoRegESP!$A$2,MATCH(HS$29,ParoRegESP!$A$2:$A$500)+$A40-1,1)-1)</f>
        <v/>
      </c>
      <c r="HT40" s="9" t="str">
        <f ca="1">IF(OR(HT13="",HT$28&lt;$A40),"",HT13/OFFSET(ParoRegESP!$A$2,MATCH(HT$29,ParoRegESP!$A$2:$A$500)+$A40-1,1)-1)</f>
        <v/>
      </c>
      <c r="HU40" s="9" t="str">
        <f ca="1">IF(OR(HU13="",HU$28&lt;$A40),"",HU13/OFFSET(ParoRegESP!$A$2,MATCH(HU$29,ParoRegESP!$A$2:$A$500)+$A40-1,1)-1)</f>
        <v/>
      </c>
      <c r="HV40" s="9" t="str">
        <f ca="1">IF(OR(HV13="",HV$28&lt;$A40),"",HV13/OFFSET(ParoRegESP!$A$2,MATCH(HV$29,ParoRegESP!$A$2:$A$500)+$A40-1,1)-1)</f>
        <v/>
      </c>
      <c r="HW40" s="9" t="str">
        <f ca="1">IF(OR(HW13="",HW$28&lt;$A40),"",HW13/OFFSET(ParoRegESP!$A$2,MATCH(HW$29,ParoRegESP!$A$2:$A$500)+$A40-1,1)-1)</f>
        <v/>
      </c>
      <c r="HX40" s="9" t="str">
        <f ca="1">IF(OR(HX13="",HX$28&lt;$A40),"",HX13/OFFSET(ParoRegESP!$A$2,MATCH(HX$29,ParoRegESP!$A$2:$A$500)+$A40-1,1)-1)</f>
        <v/>
      </c>
      <c r="HY40" s="9" t="str">
        <f ca="1">IF(OR(HY13="",HY$28&lt;$A40),"",HY13/OFFSET(ParoRegESP!$A$2,MATCH(HY$29,ParoRegESP!$A$2:$A$500)+$A40-1,1)-1)</f>
        <v/>
      </c>
      <c r="HZ40" s="9" t="str">
        <f ca="1">IF(OR(HZ13="",HZ$28&lt;$A40),"",HZ13/OFFSET(ParoRegESP!$A$2,MATCH(HZ$29,ParoRegESP!$A$2:$A$500)+$A40-1,1)-1)</f>
        <v/>
      </c>
      <c r="IA40" s="9" t="str">
        <f ca="1">IF(OR(IA13="",IA$28&lt;$A40),"",IA13/OFFSET(ParoRegESP!$A$2,MATCH(IA$29,ParoRegESP!$A$2:$A$500)+$A40-1,1)-1)</f>
        <v/>
      </c>
      <c r="IB40" s="9" t="str">
        <f ca="1">IF(OR(IB13="",IB$28&lt;$A40),"",IB13/OFFSET(ParoRegESP!$A$2,MATCH(IB$29,ParoRegESP!$A$2:$A$500)+$A40-1,1)-1)</f>
        <v/>
      </c>
      <c r="IC40" s="9" t="str">
        <f ca="1">IF(OR(IC13="",IC$28&lt;$A40),"",IC13/OFFSET(ParoRegESP!$A$2,MATCH(IC$29,ParoRegESP!$A$2:$A$500)+$A40-1,1)-1)</f>
        <v/>
      </c>
      <c r="ID40" s="9" t="str">
        <f ca="1">IF(OR(ID13="",ID$28&lt;$A40),"",ID13/OFFSET(ParoRegESP!$A$2,MATCH(ID$29,ParoRegESP!$A$2:$A$500)+$A40-1,1)-1)</f>
        <v/>
      </c>
      <c r="IE40" s="9" t="str">
        <f ca="1">IF(OR(IE13="",IE$28&lt;$A40),"",IE13/OFFSET(ParoRegESP!$A$2,MATCH(IE$29,ParoRegESP!$A$2:$A$500)+$A40-1,1)-1)</f>
        <v/>
      </c>
      <c r="IF40" s="9" t="str">
        <f ca="1">IF(OR(IF13="",IF$28&lt;$A40),"",IF13/OFFSET(ParoRegESP!$A$2,MATCH(IF$29,ParoRegESP!$A$2:$A$500)+$A40-1,1)-1)</f>
        <v/>
      </c>
      <c r="IG40" s="9" t="str">
        <f ca="1">IF(OR(IG13="",IG$28&lt;$A40),"",IG13/OFFSET(ParoRegESP!$A$2,MATCH(IG$29,ParoRegESP!$A$2:$A$500)+$A40-1,1)-1)</f>
        <v/>
      </c>
      <c r="IH40" s="9" t="str">
        <f ca="1">IF(OR(IH13="",IH$28&lt;$A40),"",IH13/OFFSET(ParoRegESP!$A$2,MATCH(IH$29,ParoRegESP!$A$2:$A$500)+$A40-1,1)-1)</f>
        <v/>
      </c>
      <c r="II40" s="9" t="str">
        <f ca="1">IF(OR(II13="",II$28&lt;$A40),"",II13/OFFSET(ParoRegESP!$A$2,MATCH(II$29,ParoRegESP!$A$2:$A$500)+$A40-1,1)-1)</f>
        <v/>
      </c>
      <c r="IJ40" s="9" t="str">
        <f ca="1">IF(OR(IJ13="",IJ$28&lt;$A40),"",IJ13/OFFSET(ParoRegESP!$A$2,MATCH(IJ$29,ParoRegESP!$A$2:$A$500)+$A40-1,1)-1)</f>
        <v/>
      </c>
      <c r="IK40" s="9" t="str">
        <f ca="1">IF(OR(IK13="",IK$28&lt;$A40),"",IK13/OFFSET(ParoRegESP!$A$2,MATCH(IK$29,ParoRegESP!$A$2:$A$500)+$A40-1,1)-1)</f>
        <v/>
      </c>
      <c r="IL40" s="9" t="str">
        <f ca="1">IF(OR(IL13="",IL$28&lt;$A40),"",IL13/OFFSET(ParoRegESP!$A$2,MATCH(IL$29,ParoRegESP!$A$2:$A$500)+$A40-1,1)-1)</f>
        <v/>
      </c>
      <c r="IM40" s="9" t="str">
        <f ca="1">IF(OR(IM13="",IM$28&lt;$A40),"",IM13/OFFSET(ParoRegESP!$A$2,MATCH(IM$29,ParoRegESP!$A$2:$A$500)+$A40-1,1)-1)</f>
        <v/>
      </c>
      <c r="IN40" s="9" t="str">
        <f ca="1">IF(OR(IN13="",IN$28&lt;$A40),"",IN13/OFFSET(ParoRegESP!$A$2,MATCH(IN$29,ParoRegESP!$A$2:$A$500)+$A40-1,1)-1)</f>
        <v/>
      </c>
      <c r="IO40" s="9" t="str">
        <f ca="1">IF(OR(IO13="",IO$28&lt;$A40),"",IO13/OFFSET(ParoRegESP!$A$2,MATCH(IO$29,ParoRegESP!$A$2:$A$500)+$A40-1,1)-1)</f>
        <v/>
      </c>
      <c r="IP40" s="9" t="str">
        <f ca="1">IF(OR(IP13="",IP$28&lt;$A40),"",IP13/OFFSET(ParoRegESP!$A$2,MATCH(IP$29,ParoRegESP!$A$2:$A$500)+$A40-1,1)-1)</f>
        <v/>
      </c>
      <c r="IQ40" s="9" t="str">
        <f ca="1">IF(OR(IQ13="",IQ$28&lt;$A40),"",IQ13/OFFSET(ParoRegESP!$A$2,MATCH(IQ$29,ParoRegESP!$A$2:$A$500)+$A40-1,1)-1)</f>
        <v/>
      </c>
      <c r="IR40" s="9" t="str">
        <f ca="1">IF(OR(IR13="",IR$28&lt;$A40),"",IR13/OFFSET(ParoRegESP!$A$2,MATCH(IR$29,ParoRegESP!$A$2:$A$500)+$A40-1,1)-1)</f>
        <v/>
      </c>
      <c r="IS40" s="9" t="str">
        <f ca="1">IF(OR(IS13="",IS$28&lt;$A40),"",IS13/OFFSET(ParoRegESP!$A$2,MATCH(IS$29,ParoRegESP!$A$2:$A$500)+$A40-1,1)-1)</f>
        <v/>
      </c>
      <c r="IT40" s="9" t="str">
        <f ca="1">IF(OR(IT13="",IT$28&lt;$A40),"",IT13/OFFSET(ParoRegESP!$A$2,MATCH(IT$29,ParoRegESP!$A$2:$A$500)+$A40-1,1)-1)</f>
        <v/>
      </c>
      <c r="IU40" s="9" t="str">
        <f ca="1">IF(OR(IU13="",IU$28&lt;$A40),"",IU13/OFFSET(ParoRegESP!$A$2,MATCH(IU$29,ParoRegESP!$A$2:$A$500)+$A40-1,1)-1)</f>
        <v/>
      </c>
      <c r="IV40" s="9" t="str">
        <f ca="1">IF(OR(IV13="",IV$28&lt;$A40),"",IV13/OFFSET(ParoRegESP!$A$2,MATCH(IV$29,ParoRegESP!$A$2:$A$500)+$A40-1,1)-1)</f>
        <v/>
      </c>
      <c r="IW40" s="9" t="str">
        <f ca="1">IF(OR(IW13="",IW$28&lt;$A40),"",IW13/OFFSET(ParoRegESP!$A$2,MATCH(IW$29,ParoRegESP!$A$2:$A$500)+$A40-1,1)-1)</f>
        <v/>
      </c>
      <c r="IX40" s="9" t="str">
        <f ca="1">IF(OR(IX13="",IX$28&lt;$A40),"",IX13/OFFSET(ParoRegESP!$A$2,MATCH(IX$29,ParoRegESP!$A$2:$A$500)+$A40-1,1)-1)</f>
        <v/>
      </c>
      <c r="IY40" s="9" t="str">
        <f ca="1">IF(OR(IY13="",IY$28&lt;$A40),"",IY13/OFFSET(ParoRegESP!$A$2,MATCH(IY$29,ParoRegESP!$A$2:$A$500)+$A40-1,1)-1)</f>
        <v/>
      </c>
      <c r="IZ40" s="9" t="str">
        <f ca="1">IF(OR(IZ13="",IZ$28&lt;$A40),"",IZ13/OFFSET(ParoRegESP!$A$2,MATCH(IZ$29,ParoRegESP!$A$2:$A$500)+$A40-1,1)-1)</f>
        <v/>
      </c>
      <c r="JA40" s="9" t="str">
        <f ca="1">IF(OR(JA13="",JA$28&lt;$A40),"",JA13/OFFSET(ParoRegESP!$A$2,MATCH(JA$29,ParoRegESP!$A$2:$A$500)+$A40-1,1)-1)</f>
        <v/>
      </c>
      <c r="JB40" s="9" t="str">
        <f ca="1">IF(OR(JB13="",JB$28&lt;$A40),"",JB13/OFFSET(ParoRegESP!$A$2,MATCH(JB$29,ParoRegESP!$A$2:$A$500)+$A40-1,1)-1)</f>
        <v/>
      </c>
      <c r="JC40" s="9" t="str">
        <f ca="1">IF(OR(JC13="",JC$28&lt;$A40),"",JC13/OFFSET(ParoRegESP!$A$2,MATCH(JC$29,ParoRegESP!$A$2:$A$500)+$A40-1,1)-1)</f>
        <v/>
      </c>
      <c r="JD40" s="9" t="str">
        <f ca="1">IF(OR(JD13="",JD$28&lt;$A40),"",JD13/OFFSET(ParoRegESP!$A$2,MATCH(JD$29,ParoRegESP!$A$2:$A$500)+$A40-1,1)-1)</f>
        <v/>
      </c>
      <c r="JE40" s="9" t="str">
        <f ca="1">IF(OR(JE13="",JE$28&lt;$A40),"",JE13/OFFSET(ParoRegESP!$A$2,MATCH(JE$29,ParoRegESP!$A$2:$A$500)+$A40-1,1)-1)</f>
        <v/>
      </c>
      <c r="JF40" s="9" t="str">
        <f ca="1">IF(OR(JF13="",JF$28&lt;$A40),"",JF13/OFFSET(ParoRegESP!$A$2,MATCH(JF$29,ParoRegESP!$A$2:$A$500)+$A40-1,1)-1)</f>
        <v/>
      </c>
      <c r="JG40" s="9" t="str">
        <f ca="1">IF(OR(JG13="",JG$28&lt;$A40),"",JG13/OFFSET(ParoRegESP!$A$2,MATCH(JG$29,ParoRegESP!$A$2:$A$500)+$A40-1,1)-1)</f>
        <v/>
      </c>
      <c r="JH40" s="9" t="str">
        <f ca="1">IF(OR(JH13="",JH$28&lt;$A40),"",JH13/OFFSET(ParoRegESP!$A$2,MATCH(JH$29,ParoRegESP!$A$2:$A$500)+$A40-1,1)-1)</f>
        <v/>
      </c>
      <c r="JI40" s="13">
        <f t="shared" ca="1" si="13"/>
        <v>-9.2296748439295875E-2</v>
      </c>
      <c r="JJ40" s="13">
        <f t="shared" ca="1" si="14"/>
        <v>-4.8718163264708625E-2</v>
      </c>
      <c r="JK40" s="14">
        <f t="shared" ca="1" si="15"/>
        <v>8.0734140392173127E-3</v>
      </c>
      <c r="JL40" s="17">
        <f t="shared" ca="1" si="18"/>
        <v>8.9852178822871692E-2</v>
      </c>
      <c r="JM40" s="15" t="str">
        <f t="shared" ca="1" si="16"/>
        <v>[ -27,20% ; 8,74% ]</v>
      </c>
      <c r="JN40" s="17">
        <f t="shared" ca="1" si="17"/>
        <v>0.11501078889327576</v>
      </c>
      <c r="LY40" s="1"/>
    </row>
    <row r="41" spans="1:337" x14ac:dyDescent="0.25">
      <c r="A41" s="4">
        <v>12</v>
      </c>
      <c r="B41" s="9">
        <f ca="1">IF(OR(B14="",B$28&lt;$A41),"",B14/OFFSET(ParoRegESP!$A$2,MATCH(B$29,ParoRegESP!$A$2:$A$500)+$A41-1,1)-1)</f>
        <v>7.3875832306334432E-2</v>
      </c>
      <c r="C41" s="9">
        <f ca="1">IF(OR(C14="",C$28&lt;$A41),"",C14/OFFSET(ParoRegESP!$A$2,MATCH(C$29,ParoRegESP!$A$2:$A$500)+$A41-1,1)-1)</f>
        <v>6.4408595235390775E-2</v>
      </c>
      <c r="D41" s="9">
        <f ca="1">IF(OR(D14="",D$28&lt;$A41),"",D14/OFFSET(ParoRegESP!$A$2,MATCH(D$29,ParoRegESP!$A$2:$A$500)+$A41-1,1)-1)</f>
        <v>4.6549596563340234E-2</v>
      </c>
      <c r="E41" s="9">
        <f ca="1">IF(OR(E14="",E$28&lt;$A41),"",E14/OFFSET(ParoRegESP!$A$2,MATCH(E$29,ParoRegESP!$A$2:$A$500)+$A41-1,1)-1)</f>
        <v>3.6350905870689898E-2</v>
      </c>
      <c r="F41" s="9">
        <f ca="1">IF(OR(F14="",F$28&lt;$A41),"",F14/OFFSET(ParoRegESP!$A$2,MATCH(F$29,ParoRegESP!$A$2:$A$500)+$A41-1,1)-1)</f>
        <v>4.6665328161849651E-2</v>
      </c>
      <c r="G41" s="9">
        <f ca="1">IF(OR(G14="",G$28&lt;$A41),"",G14/OFFSET(ParoRegESP!$A$2,MATCH(G$29,ParoRegESP!$A$2:$A$500)+$A41-1,1)-1)</f>
        <v>6.1350219114795657E-2</v>
      </c>
      <c r="H41" s="9">
        <f ca="1">IF(OR(H14="",H$28&lt;$A41),"",H14/OFFSET(ParoRegESP!$A$2,MATCH(H$29,ParoRegESP!$A$2:$A$500)+$A41-1,1)-1)</f>
        <v>5.9480750081923883E-2</v>
      </c>
      <c r="I41" s="9">
        <f ca="1">IF(OR(I14="",I$28&lt;$A41),"",I14/OFFSET(ParoRegESP!$A$2,MATCH(I$29,ParoRegESP!$A$2:$A$500)+$A41-1,1)-1)</f>
        <v>3.2729429570417912E-2</v>
      </c>
      <c r="J41" s="9">
        <f ca="1">IF(OR(J14="",J$28&lt;$A41),"",J14/OFFSET(ParoRegESP!$A$2,MATCH(J$29,ParoRegESP!$A$2:$A$500)+$A41-1,1)-1)</f>
        <v>3.5835543345746457E-2</v>
      </c>
      <c r="K41" s="9">
        <f ca="1">IF(OR(K14="",K$28&lt;$A41),"",K14/OFFSET(ParoRegESP!$A$2,MATCH(K$29,ParoRegESP!$A$2:$A$500)+$A41-1,1)-1)</f>
        <v>2.7842773986267E-2</v>
      </c>
      <c r="L41" s="9">
        <f ca="1">IF(OR(L14="",L$28&lt;$A41),"",L14/OFFSET(ParoRegESP!$A$2,MATCH(L$29,ParoRegESP!$A$2:$A$500)+$A41-1,1)-1)</f>
        <v>2.423351234187332E-2</v>
      </c>
      <c r="M41" s="9">
        <f ca="1">IF(OR(M14="",M$28&lt;$A41),"",M14/OFFSET(ParoRegESP!$A$2,MATCH(M$29,ParoRegESP!$A$2:$A$500)+$A41-1,1)-1)</f>
        <v>3.7593370123911729E-3</v>
      </c>
      <c r="N41" s="9">
        <f ca="1">IF(OR(N14="",N$28&lt;$A41),"",N14/OFFSET(ParoRegESP!$A$2,MATCH(N$29,ParoRegESP!$A$2:$A$500)+$A41-1,1)-1)</f>
        <v>-1.4329830588298953E-2</v>
      </c>
      <c r="O41" s="9">
        <f ca="1">IF(OR(O14="",O$28&lt;$A41),"",O14/OFFSET(ParoRegESP!$A$2,MATCH(O$29,ParoRegESP!$A$2:$A$500)+$A41-1,1)-1)</f>
        <v>-2.7452442661461074E-2</v>
      </c>
      <c r="P41" s="9">
        <f ca="1">IF(OR(P14="",P$28&lt;$A41),"",P14/OFFSET(ParoRegESP!$A$2,MATCH(P$29,ParoRegESP!$A$2:$A$500)+$A41-1,1)-1)</f>
        <v>-3.6190989778854932E-2</v>
      </c>
      <c r="Q41" s="9">
        <f ca="1">IF(OR(Q14="",Q$28&lt;$A41),"",Q14/OFFSET(ParoRegESP!$A$2,MATCH(Q$29,ParoRegESP!$A$2:$A$500)+$A41-1,1)-1)</f>
        <v>-2.4036905947320553E-2</v>
      </c>
      <c r="R41" s="9">
        <f ca="1">IF(OR(R14="",R$28&lt;$A41),"",R14/OFFSET(ParoRegESP!$A$2,MATCH(R$29,ParoRegESP!$A$2:$A$500)+$A41-1,1)-1)</f>
        <v>7.1446280920417493E-4</v>
      </c>
      <c r="S41" s="9">
        <f ca="1">IF(OR(S14="",S$28&lt;$A41),"",S14/OFFSET(ParoRegESP!$A$2,MATCH(S$29,ParoRegESP!$A$2:$A$500)+$A41-1,1)-1)</f>
        <v>-2.1517359553741011E-2</v>
      </c>
      <c r="T41" s="9">
        <f ca="1">IF(OR(T14="",T$28&lt;$A41),"",T14/OFFSET(ParoRegESP!$A$2,MATCH(T$29,ParoRegESP!$A$2:$A$500)+$A41-1,1)-1)</f>
        <v>-2.1043814363660429E-2</v>
      </c>
      <c r="U41" s="9">
        <f ca="1">IF(OR(U14="",U$28&lt;$A41),"",U14/OFFSET(ParoRegESP!$A$2,MATCH(U$29,ParoRegESP!$A$2:$A$500)+$A41-1,1)-1)</f>
        <v>1.4156933077424938E-3</v>
      </c>
      <c r="V41" s="9">
        <f ca="1">IF(OR(V14="",V$28&lt;$A41),"",V14/OFFSET(ParoRegESP!$A$2,MATCH(V$29,ParoRegESP!$A$2:$A$500)+$A41-1,1)-1)</f>
        <v>2.1016758328692875E-2</v>
      </c>
      <c r="W41" s="9">
        <f ca="1">IF(OR(W14="",W$28&lt;$A41),"",W14/OFFSET(ParoRegESP!$A$2,MATCH(W$29,ParoRegESP!$A$2:$A$500)+$A41-1,1)-1)</f>
        <v>2.499910402526262E-2</v>
      </c>
      <c r="X41" s="9">
        <f ca="1">IF(OR(X14="",X$28&lt;$A41),"",X14/OFFSET(ParoRegESP!$A$2,MATCH(X$29,ParoRegESP!$A$2:$A$500)+$A41-1,1)-1)</f>
        <v>3.1472402027470814E-2</v>
      </c>
      <c r="Y41" s="9">
        <f ca="1">IF(OR(Y14="",Y$28&lt;$A41),"",Y14/OFFSET(ParoRegESP!$A$2,MATCH(Y$29,ParoRegESP!$A$2:$A$500)+$A41-1,1)-1)</f>
        <v>3.4454669887401312E-2</v>
      </c>
      <c r="Z41" s="9">
        <f ca="1">IF(OR(Z14="",Z$28&lt;$A41),"",Z14/OFFSET(ParoRegESP!$A$2,MATCH(Z$29,ParoRegESP!$A$2:$A$500)+$A41-1,1)-1)</f>
        <v>3.8222198744247482E-2</v>
      </c>
      <c r="AA41" s="9">
        <f ca="1">IF(OR(AA14="",AA$28&lt;$A41),"",AA14/OFFSET(ParoRegESP!$A$2,MATCH(AA$29,ParoRegESP!$A$2:$A$500)+$A41-1,1)-1)</f>
        <v>4.1483782454667661E-2</v>
      </c>
      <c r="AB41" s="9">
        <f ca="1">IF(OR(AB14="",AB$28&lt;$A41),"",AB14/OFFSET(ParoRegESP!$A$2,MATCH(AB$29,ParoRegESP!$A$2:$A$500)+$A41-1,1)-1)</f>
        <v>4.5751903797230264E-2</v>
      </c>
      <c r="AC41" s="9">
        <f ca="1">IF(OR(AC14="",AC$28&lt;$A41),"",AC14/OFFSET(ParoRegESP!$A$2,MATCH(AC$29,ParoRegESP!$A$2:$A$500)+$A41-1,1)-1)</f>
        <v>4.3612911754507211E-2</v>
      </c>
      <c r="AD41" s="9">
        <f ca="1">IF(OR(AD14="",AD$28&lt;$A41),"",AD14/OFFSET(ParoRegESP!$A$2,MATCH(AD$29,ParoRegESP!$A$2:$A$500)+$A41-1,1)-1)</f>
        <v>1.6836370752314034E-2</v>
      </c>
      <c r="AE41" s="9">
        <f ca="1">IF(OR(AE14="",AE$28&lt;$A41),"",AE14/OFFSET(ParoRegESP!$A$2,MATCH(AE$29,ParoRegESP!$A$2:$A$500)+$A41-1,1)-1)</f>
        <v>9.1086710964207729E-3</v>
      </c>
      <c r="AF41" s="9">
        <f ca="1">IF(OR(AF14="",AF$28&lt;$A41),"",AF14/OFFSET(ParoRegESP!$A$2,MATCH(AF$29,ParoRegESP!$A$2:$A$500)+$A41-1,1)-1)</f>
        <v>-7.4559893015061496E-3</v>
      </c>
      <c r="AG41" s="9">
        <f ca="1">IF(OR(AG14="",AG$28&lt;$A41),"",AG14/OFFSET(ParoRegESP!$A$2,MATCH(AG$29,ParoRegESP!$A$2:$A$500)+$A41-1,1)-1)</f>
        <v>-1.2247644558127879E-2</v>
      </c>
      <c r="AH41" s="9">
        <f ca="1">IF(OR(AH14="",AH$28&lt;$A41),"",AH14/OFFSET(ParoRegESP!$A$2,MATCH(AH$29,ParoRegESP!$A$2:$A$500)+$A41-1,1)-1)</f>
        <v>-3.0473400096564185E-2</v>
      </c>
      <c r="AI41" s="9">
        <f ca="1">IF(OR(AI14="",AI$28&lt;$A41),"",AI14/OFFSET(ParoRegESP!$A$2,MATCH(AI$29,ParoRegESP!$A$2:$A$500)+$A41-1,1)-1)</f>
        <v>-2.9365418102205498E-2</v>
      </c>
      <c r="AJ41" s="9">
        <f ca="1">IF(OR(AJ14="",AJ$28&lt;$A41),"",AJ14/OFFSET(ParoRegESP!$A$2,MATCH(AJ$29,ParoRegESP!$A$2:$A$500)+$A41-1,1)-1)</f>
        <v>-4.3685626209037709E-2</v>
      </c>
      <c r="AK41" s="9">
        <f ca="1">IF(OR(AK14="",AK$28&lt;$A41),"",AK14/OFFSET(ParoRegESP!$A$2,MATCH(AK$29,ParoRegESP!$A$2:$A$500)+$A41-1,1)-1)</f>
        <v>-6.0325122979372314E-2</v>
      </c>
      <c r="AL41" s="9">
        <f ca="1">IF(OR(AL14="",AL$28&lt;$A41),"",AL14/OFFSET(ParoRegESP!$A$2,MATCH(AL$29,ParoRegESP!$A$2:$A$500)+$A41-1,1)-1)</f>
        <v>-8.0813973766057812E-2</v>
      </c>
      <c r="AM41" s="9">
        <f ca="1">IF(OR(AM14="",AM$28&lt;$A41),"",AM14/OFFSET(ParoRegESP!$A$2,MATCH(AM$29,ParoRegESP!$A$2:$A$500)+$A41-1,1)-1)</f>
        <v>-0.11581555687683331</v>
      </c>
      <c r="AN41" s="9">
        <f ca="1">IF(OR(AN14="",AN$28&lt;$A41),"",AN14/OFFSET(ParoRegESP!$A$2,MATCH(AN$29,ParoRegESP!$A$2:$A$500)+$A41-1,1)-1)</f>
        <v>-0.13599412320616411</v>
      </c>
      <c r="AO41" s="9">
        <f ca="1">IF(OR(AO14="",AO$28&lt;$A41),"",AO14/OFFSET(ParoRegESP!$A$2,MATCH(AO$29,ParoRegESP!$A$2:$A$500)+$A41-1,1)-1)</f>
        <v>-0.12997742240064369</v>
      </c>
      <c r="AP41" s="9">
        <f ca="1">IF(OR(AP14="",AP$28&lt;$A41),"",AP14/OFFSET(ParoRegESP!$A$2,MATCH(AP$29,ParoRegESP!$A$2:$A$500)+$A41-1,1)-1)</f>
        <v>-0.15242710126723658</v>
      </c>
      <c r="AQ41" s="9">
        <f ca="1">IF(OR(AQ14="",AQ$28&lt;$A41),"",AQ14/OFFSET(ParoRegESP!$A$2,MATCH(AQ$29,ParoRegESP!$A$2:$A$500)+$A41-1,1)-1)</f>
        <v>-0.16623925908283321</v>
      </c>
      <c r="AR41" s="9">
        <f ca="1">IF(OR(AR14="",AR$28&lt;$A41),"",AR14/OFFSET(ParoRegESP!$A$2,MATCH(AR$29,ParoRegESP!$A$2:$A$500)+$A41-1,1)-1)</f>
        <v>-0.17787604002636437</v>
      </c>
      <c r="AS41" s="9">
        <f ca="1">IF(OR(AS14="",AS$28&lt;$A41),"",AS14/OFFSET(ParoRegESP!$A$2,MATCH(AS$29,ParoRegESP!$A$2:$A$500)+$A41-1,1)-1)</f>
        <v>-0.18826611587514697</v>
      </c>
      <c r="AT41" s="9">
        <f ca="1">IF(OR(AT14="",AT$28&lt;$A41),"",AT14/OFFSET(ParoRegESP!$A$2,MATCH(AT$29,ParoRegESP!$A$2:$A$500)+$A41-1,1)-1)</f>
        <v>-0.19268509389737543</v>
      </c>
      <c r="AU41" s="9">
        <f ca="1">IF(OR(AU14="",AU$28&lt;$A41),"",AU14/OFFSET(ParoRegESP!$A$2,MATCH(AU$29,ParoRegESP!$A$2:$A$500)+$A41-1,1)-1)</f>
        <v>-0.22805634857734192</v>
      </c>
      <c r="AV41" s="9">
        <f ca="1">IF(OR(AV14="",AV$28&lt;$A41),"",AV14/OFFSET(ParoRegESP!$A$2,MATCH(AV$29,ParoRegESP!$A$2:$A$500)+$A41-1,1)-1)</f>
        <v>-0.27008736159728142</v>
      </c>
      <c r="AW41" s="9">
        <f ca="1">IF(OR(AW14="",AW$28&lt;$A41),"",AW14/OFFSET(ParoRegESP!$A$2,MATCH(AW$29,ParoRegESP!$A$2:$A$500)+$A41-1,1)-1)</f>
        <v>-0.29656433896728174</v>
      </c>
      <c r="AX41" s="9">
        <f ca="1">IF(OR(AX14="",AX$28&lt;$A41),"",AX14/OFFSET(ParoRegESP!$A$2,MATCH(AX$29,ParoRegESP!$A$2:$A$500)+$A41-1,1)-1)</f>
        <v>-0.31512784742307554</v>
      </c>
      <c r="AY41" s="9">
        <f ca="1">IF(OR(AY14="",AY$28&lt;$A41),"",AY14/OFFSET(ParoRegESP!$A$2,MATCH(AY$29,ParoRegESP!$A$2:$A$500)+$A41-1,1)-1)</f>
        <v>-0.31538383315811913</v>
      </c>
      <c r="AZ41" s="9">
        <f ca="1">IF(OR(AZ14="",AZ$28&lt;$A41),"",AZ14/OFFSET(ParoRegESP!$A$2,MATCH(AZ$29,ParoRegESP!$A$2:$A$500)+$A41-1,1)-1)</f>
        <v>-0.2983673388044511</v>
      </c>
      <c r="BA41" s="9">
        <f ca="1">IF(OR(BA14="",BA$28&lt;$A41),"",BA14/OFFSET(ParoRegESP!$A$2,MATCH(BA$29,ParoRegESP!$A$2:$A$500)+$A41-1,1)-1)</f>
        <v>-0.33967573770374648</v>
      </c>
      <c r="BB41" s="9">
        <f ca="1">IF(OR(BB14="",BB$28&lt;$A41),"",BB14/OFFSET(ParoRegESP!$A$2,MATCH(BB$29,ParoRegESP!$A$2:$A$500)+$A41-1,1)-1)</f>
        <v>-0.2473970716865167</v>
      </c>
      <c r="BC41" s="9">
        <f ca="1">IF(OR(BC14="",BC$28&lt;$A41),"",BC14/OFFSET(ParoRegESP!$A$2,MATCH(BC$29,ParoRegESP!$A$2:$A$500)+$A41-1,1)-1)</f>
        <v>-0.16170128560995378</v>
      </c>
      <c r="BD41" s="9">
        <f ca="1">IF(OR(BD14="",BD$28&lt;$A41),"",BD14/OFFSET(ParoRegESP!$A$2,MATCH(BD$29,ParoRegESP!$A$2:$A$500)+$A41-1,1)-1)</f>
        <v>-0.19613378431140616</v>
      </c>
      <c r="BE41" s="9">
        <f ca="1">IF(OR(BE14="",BE$28&lt;$A41),"",BE14/OFFSET(ParoRegESP!$A$2,MATCH(BE$29,ParoRegESP!$A$2:$A$500)+$A41-1,1)-1)</f>
        <v>-0.14525141292965704</v>
      </c>
      <c r="BF41" s="9">
        <f ca="1">IF(OR(BF14="",BF$28&lt;$A41),"",BF14/OFFSET(ParoRegESP!$A$2,MATCH(BF$29,ParoRegESP!$A$2:$A$500)+$A41-1,1)-1)</f>
        <v>-7.7005527911685689E-2</v>
      </c>
      <c r="BG41" s="9">
        <f ca="1">IF(OR(BG14="",BG$28&lt;$A41),"",BG14/OFFSET(ParoRegESP!$A$2,MATCH(BG$29,ParoRegESP!$A$2:$A$500)+$A41-1,1)-1)</f>
        <v>-4.6243334218339593E-2</v>
      </c>
      <c r="BH41" s="9">
        <f ca="1">IF(OR(BH14="",BH$28&lt;$A41),"",BH14/OFFSET(ParoRegESP!$A$2,MATCH(BH$29,ParoRegESP!$A$2:$A$500)+$A41-1,1)-1)</f>
        <v>4.0951687750250043E-2</v>
      </c>
      <c r="BI41" s="9">
        <f ca="1">IF(OR(BI14="",BI$28&lt;$A41),"",BI14/OFFSET(ParoRegESP!$A$2,MATCH(BI$29,ParoRegESP!$A$2:$A$500)+$A41-1,1)-1)</f>
        <v>0.15526023324643634</v>
      </c>
      <c r="BJ41" s="9">
        <f ca="1">IF(OR(BJ14="",BJ$28&lt;$A41),"",BJ14/OFFSET(ParoRegESP!$A$2,MATCH(BJ$29,ParoRegESP!$A$2:$A$500)+$A41-1,1)-1)</f>
        <v>0.216142767377282</v>
      </c>
      <c r="BK41" s="9">
        <f ca="1">IF(OR(BK14="",BK$28&lt;$A41),"",BK14/OFFSET(ParoRegESP!$A$2,MATCH(BK$29,ParoRegESP!$A$2:$A$500)+$A41-1,1)-1)</f>
        <v>0.23028273516802833</v>
      </c>
      <c r="BL41" s="9">
        <f ca="1">IF(OR(BL14="",BL$28&lt;$A41),"",BL14/OFFSET(ParoRegESP!$A$2,MATCH(BL$29,ParoRegESP!$A$2:$A$500)+$A41-1,1)-1)</f>
        <v>0.28429186775360638</v>
      </c>
      <c r="BM41" s="9">
        <f ca="1">IF(OR(BM14="",BM$28&lt;$A41),"",BM14/OFFSET(ParoRegESP!$A$2,MATCH(BM$29,ParoRegESP!$A$2:$A$500)+$A41-1,1)-1)</f>
        <v>0.32139340294246099</v>
      </c>
      <c r="BN41" s="9">
        <f ca="1">IF(OR(BN14="",BN$28&lt;$A41),"",BN14/OFFSET(ParoRegESP!$A$2,MATCH(BN$29,ParoRegESP!$A$2:$A$500)+$A41-1,1)-1)</f>
        <v>0.26713015668685158</v>
      </c>
      <c r="BO41" s="9">
        <f ca="1">IF(OR(BO14="",BO$28&lt;$A41),"",BO14/OFFSET(ParoRegESP!$A$2,MATCH(BO$29,ParoRegESP!$A$2:$A$500)+$A41-1,1)-1)</f>
        <v>0.18562431150004133</v>
      </c>
      <c r="BP41" s="9">
        <f ca="1">IF(OR(BP14="",BP$28&lt;$A41),"",BP14/OFFSET(ParoRegESP!$A$2,MATCH(BP$29,ParoRegESP!$A$2:$A$500)+$A41-1,1)-1)</f>
        <v>0.10821080797626981</v>
      </c>
      <c r="BQ41" s="9">
        <f ca="1">IF(OR(BQ14="",BQ$28&lt;$A41),"",BQ14/OFFSET(ParoRegESP!$A$2,MATCH(BQ$29,ParoRegESP!$A$2:$A$500)+$A41-1,1)-1)</f>
        <v>1.7298111040709552E-2</v>
      </c>
      <c r="BR41" s="9">
        <f ca="1">IF(OR(BR14="",BR$28&lt;$A41),"",BR14/OFFSET(ParoRegESP!$A$2,MATCH(BR$29,ParoRegESP!$A$2:$A$500)+$A41-1,1)-1)</f>
        <v>5.0291833379231488E-2</v>
      </c>
      <c r="BS41" s="9">
        <f ca="1">IF(OR(BS14="",BS$28&lt;$A41),"",BS14/OFFSET(ParoRegESP!$A$2,MATCH(BS$29,ParoRegESP!$A$2:$A$500)+$A41-1,1)-1)</f>
        <v>0.1040829864547983</v>
      </c>
      <c r="BT41" s="9">
        <f ca="1">IF(OR(BT14="",BT$28&lt;$A41),"",BT14/OFFSET(ParoRegESP!$A$2,MATCH(BT$29,ParoRegESP!$A$2:$A$500)+$A41-1,1)-1)</f>
        <v>7.8341794892909045E-2</v>
      </c>
      <c r="BU41" s="9">
        <f ca="1">IF(OR(BU14="",BU$28&lt;$A41),"",BU14/OFFSET(ParoRegESP!$A$2,MATCH(BU$29,ParoRegESP!$A$2:$A$500)+$A41-1,1)-1)</f>
        <v>2.5600693379014938E-2</v>
      </c>
      <c r="BV41" s="9">
        <f ca="1">IF(OR(BV14="",BV$28&lt;$A41),"",BV14/OFFSET(ParoRegESP!$A$2,MATCH(BV$29,ParoRegESP!$A$2:$A$500)+$A41-1,1)-1)</f>
        <v>6.1981909250385492E-2</v>
      </c>
      <c r="BW41" s="9">
        <f ca="1">IF(OR(BW14="",BW$28&lt;$A41),"",BW14/OFFSET(ParoRegESP!$A$2,MATCH(BW$29,ParoRegESP!$A$2:$A$500)+$A41-1,1)-1)</f>
        <v>7.1171248424228173E-2</v>
      </c>
      <c r="BX41" s="9">
        <f ca="1">IF(OR(BX14="",BX$28&lt;$A41),"",BX14/OFFSET(ParoRegESP!$A$2,MATCH(BX$29,ParoRegESP!$A$2:$A$500)+$A41-1,1)-1)</f>
        <v>9.2248991874346542E-2</v>
      </c>
      <c r="BY41" s="9">
        <f ca="1">IF(OR(BY14="",BY$28&lt;$A41),"",BY14/OFFSET(ParoRegESP!$A$2,MATCH(BY$29,ParoRegESP!$A$2:$A$500)+$A41-1,1)-1)</f>
        <v>9.0822752272992746E-2</v>
      </c>
      <c r="BZ41" s="9">
        <f ca="1">IF(OR(BZ14="",BZ$28&lt;$A41),"",BZ14/OFFSET(ParoRegESP!$A$2,MATCH(BZ$29,ParoRegESP!$A$2:$A$500)+$A41-1,1)-1)</f>
        <v>9.3605403824298605E-2</v>
      </c>
      <c r="CA41" s="9">
        <f ca="1">IF(OR(CA14="",CA$28&lt;$A41),"",CA14/OFFSET(ParoRegESP!$A$2,MATCH(CA$29,ParoRegESP!$A$2:$A$500)+$A41-1,1)-1)</f>
        <v>4.6575634664637766E-2</v>
      </c>
      <c r="CB41" s="9">
        <f ca="1">IF(OR(CB14="",CB$28&lt;$A41),"",CB14/OFFSET(ParoRegESP!$A$2,MATCH(CB$29,ParoRegESP!$A$2:$A$500)+$A41-1,1)-1)</f>
        <v>-1.6152383645492763E-2</v>
      </c>
      <c r="CC41" s="9">
        <f ca="1">IF(OR(CC14="",CC$28&lt;$A41),"",CC14/OFFSET(ParoRegESP!$A$2,MATCH(CC$29,ParoRegESP!$A$2:$A$500)+$A41-1,1)-1)</f>
        <v>-5.7015645972899209E-2</v>
      </c>
      <c r="CD41" s="9">
        <f ca="1">IF(OR(CD14="",CD$28&lt;$A41),"",CD14/OFFSET(ParoRegESP!$A$2,MATCH(CD$29,ParoRegESP!$A$2:$A$500)+$A41-1,1)-1)</f>
        <v>-7.0566352095369211E-4</v>
      </c>
      <c r="CE41" s="9">
        <f ca="1">IF(OR(CE14="",CE$28&lt;$A41),"",CE14/OFFSET(ParoRegESP!$A$2,MATCH(CE$29,ParoRegESP!$A$2:$A$500)+$A41-1,1)-1)</f>
        <v>1.8000681111667527E-2</v>
      </c>
      <c r="CF41" s="9">
        <f ca="1">IF(OR(CF14="",CF$28&lt;$A41),"",CF14/OFFSET(ParoRegESP!$A$2,MATCH(CF$29,ParoRegESP!$A$2:$A$500)+$A41-1,1)-1)</f>
        <v>2.4515241642868446E-3</v>
      </c>
      <c r="CG41" s="9">
        <f ca="1">IF(OR(CG14="",CG$28&lt;$A41),"",CG14/OFFSET(ParoRegESP!$A$2,MATCH(CG$29,ParoRegESP!$A$2:$A$500)+$A41-1,1)-1)</f>
        <v>-3.5447458132169318E-2</v>
      </c>
      <c r="CH41" s="9">
        <f ca="1">IF(OR(CH14="",CH$28&lt;$A41),"",CH14/OFFSET(ParoRegESP!$A$2,MATCH(CH$29,ParoRegESP!$A$2:$A$500)+$A41-1,1)-1)</f>
        <v>-9.1648960591547923E-2</v>
      </c>
      <c r="CI41" s="9">
        <f ca="1">IF(OR(CI14="",CI$28&lt;$A41),"",CI14/OFFSET(ParoRegESP!$A$2,MATCH(CI$29,ParoRegESP!$A$2:$A$500)+$A41-1,1)-1)</f>
        <v>-3.2948478928338631E-2</v>
      </c>
      <c r="CJ41" s="9">
        <f ca="1">IF(OR(CJ14="",CJ$28&lt;$A41),"",CJ14/OFFSET(ParoRegESP!$A$2,MATCH(CJ$29,ParoRegESP!$A$2:$A$500)+$A41-1,1)-1)</f>
        <v>-2.337068199908432E-2</v>
      </c>
      <c r="CK41" s="9">
        <f ca="1">IF(OR(CK14="",CK$28&lt;$A41),"",CK14/OFFSET(ParoRegESP!$A$2,MATCH(CK$29,ParoRegESP!$A$2:$A$500)+$A41-1,1)-1)</f>
        <v>-2.317431410746118E-2</v>
      </c>
      <c r="CL41" s="9">
        <f ca="1">IF(OR(CL14="",CL$28&lt;$A41),"",CL14/OFFSET(ParoRegESP!$A$2,MATCH(CL$29,ParoRegESP!$A$2:$A$500)+$A41-1,1)-1)</f>
        <v>-6.3484052009243896E-2</v>
      </c>
      <c r="CM41" s="9">
        <f ca="1">IF(OR(CM14="",CM$28&lt;$A41),"",CM14/OFFSET(ParoRegESP!$A$2,MATCH(CM$29,ParoRegESP!$A$2:$A$500)+$A41-1,1)-1)</f>
        <v>-8.0723663699620807E-2</v>
      </c>
      <c r="CN41" s="9">
        <f ca="1">IF(OR(CN14="",CN$28&lt;$A41),"",CN14/OFFSET(ParoRegESP!$A$2,MATCH(CN$29,ParoRegESP!$A$2:$A$500)+$A41-1,1)-1)</f>
        <v>-7.8655358047262758E-2</v>
      </c>
      <c r="CO41" s="9">
        <f ca="1">IF(OR(CO14="",CO$28&lt;$A41),"",CO14/OFFSET(ParoRegESP!$A$2,MATCH(CO$29,ParoRegESP!$A$2:$A$500)+$A41-1,1)-1)</f>
        <v>-9.3149077768248545E-2</v>
      </c>
      <c r="CP41" s="9">
        <f ca="1">IF(OR(CP14="",CP$28&lt;$A41),"",CP14/OFFSET(ParoRegESP!$A$2,MATCH(CP$29,ParoRegESP!$A$2:$A$500)+$A41-1,1)-1)</f>
        <v>-7.6459097008395149E-2</v>
      </c>
      <c r="CQ41" s="9">
        <f ca="1">IF(OR(CQ14="",CQ$28&lt;$A41),"",CQ14/OFFSET(ParoRegESP!$A$2,MATCH(CQ$29,ParoRegESP!$A$2:$A$500)+$A41-1,1)-1)</f>
        <v>-1.0636537256829115E-2</v>
      </c>
      <c r="CR41" s="9">
        <f ca="1">IF(OR(CR14="",CR$28&lt;$A41),"",CR14/OFFSET(ParoRegESP!$A$2,MATCH(CR$29,ParoRegESP!$A$2:$A$500)+$A41-1,1)-1)</f>
        <v>1.0180721269407833E-2</v>
      </c>
      <c r="CS41" s="9">
        <f ca="1">IF(OR(CS14="",CS$28&lt;$A41),"",CS14/OFFSET(ParoRegESP!$A$2,MATCH(CS$29,ParoRegESP!$A$2:$A$500)+$A41-1,1)-1)</f>
        <v>-6.9773311771101909E-3</v>
      </c>
      <c r="CT41" s="9">
        <f ca="1">IF(OR(CT14="",CT$28&lt;$A41),"",CT14/OFFSET(ParoRegESP!$A$2,MATCH(CT$29,ParoRegESP!$A$2:$A$500)+$A41-1,1)-1)</f>
        <v>-2.5486699370156463E-2</v>
      </c>
      <c r="CU41" s="9">
        <f ca="1">IF(OR(CU14="",CU$28&lt;$A41),"",CU14/OFFSET(ParoRegESP!$A$2,MATCH(CU$29,ParoRegESP!$A$2:$A$500)+$A41-1,1)-1)</f>
        <v>2.7536980985413573E-2</v>
      </c>
      <c r="CV41" s="9">
        <f ca="1">IF(OR(CV14="",CV$28&lt;$A41),"",CV14/OFFSET(ParoRegESP!$A$2,MATCH(CV$29,ParoRegESP!$A$2:$A$500)+$A41-1,1)-1)</f>
        <v>5.7853210617136552E-2</v>
      </c>
      <c r="CW41" s="9">
        <f ca="1">IF(OR(CW14="",CW$28&lt;$A41),"",CW14/OFFSET(ParoRegESP!$A$2,MATCH(CW$29,ParoRegESP!$A$2:$A$500)+$A41-1,1)-1)</f>
        <v>4.8004753742371342E-2</v>
      </c>
      <c r="CX41" s="9">
        <f ca="1">IF(OR(CX14="",CX$28&lt;$A41),"",CX14/OFFSET(ParoRegESP!$A$2,MATCH(CX$29,ParoRegESP!$A$2:$A$500)+$A41-1,1)-1)</f>
        <v>6.2566680859510448E-2</v>
      </c>
      <c r="CY41" s="9">
        <f ca="1">IF(OR(CY14="",CY$28&lt;$A41),"",CY14/OFFSET(ParoRegESP!$A$2,MATCH(CY$29,ParoRegESP!$A$2:$A$500)+$A41-1,1)-1)</f>
        <v>7.8426414350220686E-2</v>
      </c>
      <c r="CZ41" s="9">
        <f ca="1">IF(OR(CZ14="",CZ$28&lt;$A41),"",CZ14/OFFSET(ParoRegESP!$A$2,MATCH(CZ$29,ParoRegESP!$A$2:$A$500)+$A41-1,1)-1)</f>
        <v>4.5873878768045717E-2</v>
      </c>
      <c r="DA41" s="9">
        <f ca="1">IF(OR(DA14="",DA$28&lt;$A41),"",DA14/OFFSET(ParoRegESP!$A$2,MATCH(DA$29,ParoRegESP!$A$2:$A$500)+$A41-1,1)-1)</f>
        <v>6.6767147842343499E-2</v>
      </c>
      <c r="DB41" s="9">
        <f ca="1">IF(OR(DB14="",DB$28&lt;$A41),"",DB14/OFFSET(ParoRegESP!$A$2,MATCH(DB$29,ParoRegESP!$A$2:$A$500)+$A41-1,1)-1)</f>
        <v>5.4420165394257092E-2</v>
      </c>
      <c r="DC41" s="9">
        <f ca="1">IF(OR(DC14="",DC$28&lt;$A41),"",DC14/OFFSET(ParoRegESP!$A$2,MATCH(DC$29,ParoRegESP!$A$2:$A$500)+$A41-1,1)-1)</f>
        <v>6.8787735692686702E-2</v>
      </c>
      <c r="DD41" s="9">
        <f ca="1">IF(OR(DD14="",DD$28&lt;$A41),"",DD14/OFFSET(ParoRegESP!$A$2,MATCH(DD$29,ParoRegESP!$A$2:$A$500)+$A41-1,1)-1)</f>
        <v>9.2045658204980674E-2</v>
      </c>
      <c r="DE41" s="9">
        <f ca="1">IF(OR(DE14="",DE$28&lt;$A41),"",DE14/OFFSET(ParoRegESP!$A$2,MATCH(DE$29,ParoRegESP!$A$2:$A$500)+$A41-1,1)-1)</f>
        <v>9.3035776250695257E-2</v>
      </c>
      <c r="DF41" s="9">
        <f ca="1">IF(OR(DF14="",DF$28&lt;$A41),"",DF14/OFFSET(ParoRegESP!$A$2,MATCH(DF$29,ParoRegESP!$A$2:$A$500)+$A41-1,1)-1)</f>
        <v>4.8481274703986665E-2</v>
      </c>
      <c r="DG41" s="9">
        <f ca="1">IF(OR(DG14="",DG$28&lt;$A41),"",DG14/OFFSET(ParoRegESP!$A$2,MATCH(DG$29,ParoRegESP!$A$2:$A$500)+$A41-1,1)-1)</f>
        <v>5.4431387911332507E-2</v>
      </c>
      <c r="DH41" s="9">
        <f ca="1">IF(OR(DH14="",DH$28&lt;$A41),"",DH14/OFFSET(ParoRegESP!$A$2,MATCH(DH$29,ParoRegESP!$A$2:$A$500)+$A41-1,1)-1)</f>
        <v>6.4292460912507288E-2</v>
      </c>
      <c r="DI41" s="9">
        <f ca="1">IF(OR(DI14="",DI$28&lt;$A41),"",DI14/OFFSET(ParoRegESP!$A$2,MATCH(DI$29,ParoRegESP!$A$2:$A$500)+$A41-1,1)-1)</f>
        <v>7.0146477449478439E-2</v>
      </c>
      <c r="DJ41" s="9">
        <f ca="1">IF(OR(DJ14="",DJ$28&lt;$A41),"",DJ14/OFFSET(ParoRegESP!$A$2,MATCH(DJ$29,ParoRegESP!$A$2:$A$500)+$A41-1,1)-1)</f>
        <v>8.3047968275493211E-2</v>
      </c>
      <c r="DK41" s="9">
        <f ca="1">IF(OR(DK14="",DK$28&lt;$A41),"",DK14/OFFSET(ParoRegESP!$A$2,MATCH(DK$29,ParoRegESP!$A$2:$A$500)+$A41-1,1)-1)</f>
        <v>8.0260577986016157E-2</v>
      </c>
      <c r="DL41" s="9">
        <f ca="1">IF(OR(DL14="",DL$28&lt;$A41),"",DL14/OFFSET(ParoRegESP!$A$2,MATCH(DL$29,ParoRegESP!$A$2:$A$500)+$A41-1,1)-1)</f>
        <v>5.0535397602527565E-2</v>
      </c>
      <c r="DM41" s="9">
        <f ca="1">IF(OR(DM14="",DM$28&lt;$A41),"",DM14/OFFSET(ParoRegESP!$A$2,MATCH(DM$29,ParoRegESP!$A$2:$A$500)+$A41-1,1)-1)</f>
        <v>3.735704105123272E-2</v>
      </c>
      <c r="DN41" s="9">
        <f ca="1">IF(OR(DN14="",DN$28&lt;$A41),"",DN14/OFFSET(ParoRegESP!$A$2,MATCH(DN$29,ParoRegESP!$A$2:$A$500)+$A41-1,1)-1)</f>
        <v>3.4716799816502553E-2</v>
      </c>
      <c r="DO41" s="9">
        <f ca="1">IF(OR(DO14="",DO$28&lt;$A41),"",DO14/OFFSET(ParoRegESP!$A$2,MATCH(DO$29,ParoRegESP!$A$2:$A$500)+$A41-1,1)-1)</f>
        <v>4.1744313909001685E-2</v>
      </c>
      <c r="DP41" s="9">
        <f ca="1">IF(OR(DP14="",DP$28&lt;$A41),"",DP14/OFFSET(ParoRegESP!$A$2,MATCH(DP$29,ParoRegESP!$A$2:$A$500)+$A41-1,1)-1)</f>
        <v>5.3699022559206444E-2</v>
      </c>
      <c r="DQ41" s="9">
        <f ca="1">IF(OR(DQ14="",DQ$28&lt;$A41),"",DQ14/OFFSET(ParoRegESP!$A$2,MATCH(DQ$29,ParoRegESP!$A$2:$A$500)+$A41-1,1)-1)</f>
        <v>2.1770920172644148E-2</v>
      </c>
      <c r="DR41" s="9">
        <f ca="1">IF(OR(DR14="",DR$28&lt;$A41),"",DR14/OFFSET(ParoRegESP!$A$2,MATCH(DR$29,ParoRegESP!$A$2:$A$500)+$A41-1,1)-1)</f>
        <v>-2.8841141208323928E-2</v>
      </c>
      <c r="DS41" s="9">
        <f ca="1">IF(OR(DS14="",DS$28&lt;$A41),"",DS14/OFFSET(ParoRegESP!$A$2,MATCH(DS$29,ParoRegESP!$A$2:$A$500)+$A41-1,1)-1)</f>
        <v>-7.2828573150495179E-3</v>
      </c>
      <c r="DT41" s="9">
        <f ca="1">IF(OR(DT14="",DT$28&lt;$A41),"",DT14/OFFSET(ParoRegESP!$A$2,MATCH(DT$29,ParoRegESP!$A$2:$A$500)+$A41-1,1)-1)</f>
        <v>-1.0239239703329406E-2</v>
      </c>
      <c r="DU41" s="9">
        <f ca="1">IF(OR(DU14="",DU$28&lt;$A41),"",DU14/OFFSET(ParoRegESP!$A$2,MATCH(DU$29,ParoRegESP!$A$2:$A$500)+$A41-1,1)-1)</f>
        <v>2.2156171197445396E-2</v>
      </c>
      <c r="DV41" s="9">
        <f ca="1">IF(OR(DV14="",DV$28&lt;$A41),"",DV14/OFFSET(ParoRegESP!$A$2,MATCH(DV$29,ParoRegESP!$A$2:$A$500)+$A41-1,1)-1)</f>
        <v>-6.2027087175334783E-3</v>
      </c>
      <c r="DW41" s="9">
        <f ca="1">IF(OR(DW14="",DW$28&lt;$A41),"",DW14/OFFSET(ParoRegESP!$A$2,MATCH(DW$29,ParoRegESP!$A$2:$A$500)+$A41-1,1)-1)</f>
        <v>6.8369973489179614E-3</v>
      </c>
      <c r="DX41" s="9">
        <f ca="1">IF(OR(DX14="",DX$28&lt;$A41),"",DX14/OFFSET(ParoRegESP!$A$2,MATCH(DX$29,ParoRegESP!$A$2:$A$500)+$A41-1,1)-1)</f>
        <v>7.5012041175328559E-3</v>
      </c>
      <c r="DY41" s="9">
        <f ca="1">IF(OR(DY14="",DY$28&lt;$A41),"",DY14/OFFSET(ParoRegESP!$A$2,MATCH(DY$29,ParoRegESP!$A$2:$A$500)+$A41-1,1)-1)</f>
        <v>7.1274540603800007E-2</v>
      </c>
      <c r="DZ41" s="9">
        <f ca="1">IF(OR(DZ14="",DZ$28&lt;$A41),"",DZ14/OFFSET(ParoRegESP!$A$2,MATCH(DZ$29,ParoRegESP!$A$2:$A$500)+$A41-1,1)-1)</f>
        <v>5.5513325069052932E-2</v>
      </c>
      <c r="EA41" s="9">
        <f ca="1">IF(OR(EA14="",EA$28&lt;$A41),"",EA14/OFFSET(ParoRegESP!$A$2,MATCH(EA$29,ParoRegESP!$A$2:$A$500)+$A41-1,1)-1)</f>
        <v>5.8163954509840465E-2</v>
      </c>
      <c r="EB41" s="9">
        <f ca="1">IF(OR(EB14="",EB$28&lt;$A41),"",EB14/OFFSET(ParoRegESP!$A$2,MATCH(EB$29,ParoRegESP!$A$2:$A$500)+$A41-1,1)-1)</f>
        <v>5.4464501548830313E-2</v>
      </c>
      <c r="EC41" s="9">
        <f ca="1">IF(OR(EC14="",EC$28&lt;$A41),"",EC14/OFFSET(ParoRegESP!$A$2,MATCH(EC$29,ParoRegESP!$A$2:$A$500)+$A41-1,1)-1)</f>
        <v>3.4047622361861096E-2</v>
      </c>
      <c r="ED41" s="9">
        <f ca="1">IF(OR(ED14="",ED$28&lt;$A41),"",ED14/OFFSET(ParoRegESP!$A$2,MATCH(ED$29,ParoRegESP!$A$2:$A$500)+$A41-1,1)-1)</f>
        <v>2.2276261114670737E-2</v>
      </c>
      <c r="EE41" s="9">
        <f ca="1">IF(OR(EE14="",EE$28&lt;$A41),"",EE14/OFFSET(ParoRegESP!$A$2,MATCH(EE$29,ParoRegESP!$A$2:$A$500)+$A41-1,1)-1)</f>
        <v>1.5977961952074127E-2</v>
      </c>
      <c r="EF41" s="9">
        <f ca="1">IF(OR(EF14="",EF$28&lt;$A41),"",EF14/OFFSET(ParoRegESP!$A$2,MATCH(EF$29,ParoRegESP!$A$2:$A$500)+$A41-1,1)-1)</f>
        <v>-1.2601138973489245E-2</v>
      </c>
      <c r="EG41" s="9">
        <f ca="1">IF(OR(EG14="",EG$28&lt;$A41),"",EG14/OFFSET(ParoRegESP!$A$2,MATCH(EG$29,ParoRegESP!$A$2:$A$500)+$A41-1,1)-1)</f>
        <v>-8.6014614354938956E-3</v>
      </c>
      <c r="EH41" s="9">
        <f ca="1">IF(OR(EH14="",EH$28&lt;$A41),"",EH14/OFFSET(ParoRegESP!$A$2,MATCH(EH$29,ParoRegESP!$A$2:$A$500)+$A41-1,1)-1)</f>
        <v>-2.3033477904896626E-2</v>
      </c>
      <c r="EI41" s="9">
        <f ca="1">IF(OR(EI14="",EI$28&lt;$A41),"",EI14/OFFSET(ParoRegESP!$A$2,MATCH(EI$29,ParoRegESP!$A$2:$A$500)+$A41-1,1)-1)</f>
        <v>-9.5651187822292094E-3</v>
      </c>
      <c r="EJ41" s="9">
        <f ca="1">IF(OR(EJ14="",EJ$28&lt;$A41),"",EJ14/OFFSET(ParoRegESP!$A$2,MATCH(EJ$29,ParoRegESP!$A$2:$A$500)+$A41-1,1)-1)</f>
        <v>3.7335452326483054E-2</v>
      </c>
      <c r="EK41" s="9">
        <f ca="1">IF(OR(EK14="",EK$28&lt;$A41),"",EK14/OFFSET(ParoRegESP!$A$2,MATCH(EK$29,ParoRegESP!$A$2:$A$500)+$A41-1,1)-1)</f>
        <v>1.6611682312241305E-2</v>
      </c>
      <c r="EL41" s="9">
        <f ca="1">IF(OR(EL14="",EL$28&lt;$A41),"",EL14/OFFSET(ParoRegESP!$A$2,MATCH(EL$29,ParoRegESP!$A$2:$A$500)+$A41-1,1)-1)</f>
        <v>4.0837429747259124E-2</v>
      </c>
      <c r="EM41" s="9">
        <f ca="1">IF(OR(EM14="",EM$28&lt;$A41),"",EM14/OFFSET(ParoRegESP!$A$2,MATCH(EM$29,ParoRegESP!$A$2:$A$500)+$A41-1,1)-1)</f>
        <v>5.2523192723832546E-2</v>
      </c>
      <c r="EN41" s="9">
        <f ca="1">IF(OR(EN14="",EN$28&lt;$A41),"",EN14/OFFSET(ParoRegESP!$A$2,MATCH(EN$29,ParoRegESP!$A$2:$A$500)+$A41-1,1)-1)</f>
        <v>6.6567156244554893E-2</v>
      </c>
      <c r="EO41" s="9">
        <f ca="1">IF(OR(EO14="",EO$28&lt;$A41),"",EO14/OFFSET(ParoRegESP!$A$2,MATCH(EO$29,ParoRegESP!$A$2:$A$500)+$A41-1,1)-1)</f>
        <v>2.2290550004093745E-2</v>
      </c>
      <c r="EP41" s="9">
        <f ca="1">IF(OR(EP14="",EP$28&lt;$A41),"",EP14/OFFSET(ParoRegESP!$A$2,MATCH(EP$29,ParoRegESP!$A$2:$A$500)+$A41-1,1)-1)</f>
        <v>3.0754892168428416E-2</v>
      </c>
      <c r="EQ41" s="9">
        <f ca="1">IF(OR(EQ14="",EQ$28&lt;$A41),"",EQ14/OFFSET(ParoRegESP!$A$2,MATCH(EQ$29,ParoRegESP!$A$2:$A$500)+$A41-1,1)-1)</f>
        <v>6.0453231925947648E-3</v>
      </c>
      <c r="ER41" s="9">
        <f ca="1">IF(OR(ER14="",ER$28&lt;$A41),"",ER14/OFFSET(ParoRegESP!$A$2,MATCH(ER$29,ParoRegESP!$A$2:$A$500)+$A41-1,1)-1)</f>
        <v>1.8207057609166188E-2</v>
      </c>
      <c r="ES41" s="9">
        <f ca="1">IF(OR(ES14="",ES$28&lt;$A41),"",ES14/OFFSET(ParoRegESP!$A$2,MATCH(ES$29,ParoRegESP!$A$2:$A$500)+$A41-1,1)-1)</f>
        <v>8.0812643828773734E-3</v>
      </c>
      <c r="ET41" s="9">
        <f ca="1">IF(OR(ET14="",ET$28&lt;$A41),"",ET14/OFFSET(ParoRegESP!$A$2,MATCH(ET$29,ParoRegESP!$A$2:$A$500)+$A41-1,1)-1)</f>
        <v>5.1541803719202139E-2</v>
      </c>
      <c r="EU41" s="9">
        <f ca="1">IF(OR(EU14="",EU$28&lt;$A41),"",EU14/OFFSET(ParoRegESP!$A$2,MATCH(EU$29,ParoRegESP!$A$2:$A$500)+$A41-1,1)-1)</f>
        <v>4.5299164238384426E-2</v>
      </c>
      <c r="EV41" s="9">
        <f ca="1">IF(OR(EV14="",EV$28&lt;$A41),"",EV14/OFFSET(ParoRegESP!$A$2,MATCH(EV$29,ParoRegESP!$A$2:$A$500)+$A41-1,1)-1)</f>
        <v>7.5001939935992468E-3</v>
      </c>
      <c r="EW41" s="9">
        <f ca="1">IF(OR(EW14="",EW$28&lt;$A41),"",EW14/OFFSET(ParoRegESP!$A$2,MATCH(EW$29,ParoRegESP!$A$2:$A$500)+$A41-1,1)-1)</f>
        <v>2.6050753358235479E-3</v>
      </c>
      <c r="EX41" s="9">
        <f ca="1">IF(OR(EX14="",EX$28&lt;$A41),"",EX14/OFFSET(ParoRegESP!$A$2,MATCH(EX$29,ParoRegESP!$A$2:$A$500)+$A41-1,1)-1)</f>
        <v>6.7783248690449494E-3</v>
      </c>
      <c r="EY41" s="9">
        <f ca="1">IF(OR(EY14="",EY$28&lt;$A41),"",EY14/OFFSET(ParoRegESP!$A$2,MATCH(EY$29,ParoRegESP!$A$2:$A$500)+$A41-1,1)-1)</f>
        <v>1.067396909037388E-2</v>
      </c>
      <c r="EZ41" s="9">
        <f ca="1">IF(OR(EZ14="",EZ$28&lt;$A41),"",EZ14/OFFSET(ParoRegESP!$A$2,MATCH(EZ$29,ParoRegESP!$A$2:$A$500)+$A41-1,1)-1)</f>
        <v>-1.6735700687452559E-2</v>
      </c>
      <c r="FA41" s="9">
        <f ca="1">IF(OR(FA14="",FA$28&lt;$A41),"",FA14/OFFSET(ParoRegESP!$A$2,MATCH(FA$29,ParoRegESP!$A$2:$A$500)+$A41-1,1)-1)</f>
        <v>2.7794531421097224E-2</v>
      </c>
      <c r="FB41" s="9">
        <f ca="1">IF(OR(FB14="",FB$28&lt;$A41),"",FB14/OFFSET(ParoRegESP!$A$2,MATCH(FB$29,ParoRegESP!$A$2:$A$500)+$A41-1,1)-1)</f>
        <v>-2.410117015697355E-2</v>
      </c>
      <c r="FC41" s="9">
        <f ca="1">IF(OR(FC14="",FC$28&lt;$A41),"",FC14/OFFSET(ParoRegESP!$A$2,MATCH(FC$29,ParoRegESP!$A$2:$A$500)+$A41-1,1)-1)</f>
        <v>-2.9223357441342634E-2</v>
      </c>
      <c r="FD41" s="9">
        <f ca="1">IF(OR(FD14="",FD$28&lt;$A41),"",FD14/OFFSET(ParoRegESP!$A$2,MATCH(FD$29,ParoRegESP!$A$2:$A$500)+$A41-1,1)-1)</f>
        <v>-2.8397005575569345E-2</v>
      </c>
      <c r="FE41" s="9">
        <f ca="1">IF(OR(FE14="",FE$28&lt;$A41),"",FE14/OFFSET(ParoRegESP!$A$2,MATCH(FE$29,ParoRegESP!$A$2:$A$500)+$A41-1,1)-1)</f>
        <v>-3.1392314173562696E-2</v>
      </c>
      <c r="FF41" s="9">
        <f ca="1">IF(OR(FF14="",FF$28&lt;$A41),"",FF14/OFFSET(ParoRegESP!$A$2,MATCH(FF$29,ParoRegESP!$A$2:$A$500)+$A41-1,1)-1)</f>
        <v>-7.2399272850394492E-2</v>
      </c>
      <c r="FG41" s="9">
        <f ca="1">IF(OR(FG14="",FG$28&lt;$A41),"",FG14/OFFSET(ParoRegESP!$A$2,MATCH(FG$29,ParoRegESP!$A$2:$A$500)+$A41-1,1)-1)</f>
        <v>-6.5377429506042195E-2</v>
      </c>
      <c r="FH41" s="9">
        <f ca="1">IF(OR(FH14="",FH$28&lt;$A41),"",FH14/OFFSET(ParoRegESP!$A$2,MATCH(FH$29,ParoRegESP!$A$2:$A$500)+$A41-1,1)-1)</f>
        <v>-3.4591166196637047E-2</v>
      </c>
      <c r="FI41" s="9">
        <f ca="1">IF(OR(FI14="",FI$28&lt;$A41),"",FI14/OFFSET(ParoRegESP!$A$2,MATCH(FI$29,ParoRegESP!$A$2:$A$500)+$A41-1,1)-1)</f>
        <v>3.1452797161398927E-2</v>
      </c>
      <c r="FJ41" s="9">
        <f ca="1">IF(OR(FJ14="",FJ$28&lt;$A41),"",FJ14/OFFSET(ParoRegESP!$A$2,MATCH(FJ$29,ParoRegESP!$A$2:$A$500)+$A41-1,1)-1)</f>
        <v>5.1973758271167458E-2</v>
      </c>
      <c r="FK41" s="9">
        <f ca="1">IF(OR(FK14="",FK$28&lt;$A41),"",FK14/OFFSET(ParoRegESP!$A$2,MATCH(FK$29,ParoRegESP!$A$2:$A$500)+$A41-1,1)-1)</f>
        <v>2.5036655942898056E-2</v>
      </c>
      <c r="FL41" s="9">
        <f ca="1">IF(OR(FL14="",FL$28&lt;$A41),"",FL14/OFFSET(ParoRegESP!$A$2,MATCH(FL$29,ParoRegESP!$A$2:$A$500)+$A41-1,1)-1)</f>
        <v>7.791311310621607E-3</v>
      </c>
      <c r="FM41" s="9">
        <f ca="1">IF(OR(FM14="",FM$28&lt;$A41),"",FM14/OFFSET(ParoRegESP!$A$2,MATCH(FM$29,ParoRegESP!$A$2:$A$500)+$A41-1,1)-1)</f>
        <v>-1.2286985639150538E-3</v>
      </c>
      <c r="FN41" s="9">
        <f ca="1">IF(OR(FN14="",FN$28&lt;$A41),"",FN14/OFFSET(ParoRegESP!$A$2,MATCH(FN$29,ParoRegESP!$A$2:$A$500)+$A41-1,1)-1)</f>
        <v>1.6167877806250175E-3</v>
      </c>
      <c r="FO41" s="9">
        <f ca="1">IF(OR(FO14="",FO$28&lt;$A41),"",FO14/OFFSET(ParoRegESP!$A$2,MATCH(FO$29,ParoRegESP!$A$2:$A$500)+$A41-1,1)-1)</f>
        <v>-1.9164567085287243E-2</v>
      </c>
      <c r="FP41" s="9">
        <f ca="1">IF(OR(FP14="",FP$28&lt;$A41),"",FP14/OFFSET(ParoRegESP!$A$2,MATCH(FP$29,ParoRegESP!$A$2:$A$500)+$A41-1,1)-1)</f>
        <v>-3.355688310863536E-2</v>
      </c>
      <c r="FQ41" s="9">
        <f ca="1">IF(OR(FQ14="",FQ$28&lt;$A41),"",FQ14/OFFSET(ParoRegESP!$A$2,MATCH(FQ$29,ParoRegESP!$A$2:$A$500)+$A41-1,1)-1)</f>
        <v>-1.9592476591971719E-2</v>
      </c>
      <c r="FR41" s="9">
        <f ca="1">IF(OR(FR14="",FR$28&lt;$A41),"",FR14/OFFSET(ParoRegESP!$A$2,MATCH(FR$29,ParoRegESP!$A$2:$A$500)+$A41-1,1)-1)</f>
        <v>-1.9347603784790612E-3</v>
      </c>
      <c r="FS41" s="9">
        <f ca="1">IF(OR(FS14="",FS$28&lt;$A41),"",FS14/OFFSET(ParoRegESP!$A$2,MATCH(FS$29,ParoRegESP!$A$2:$A$500)+$A41-1,1)-1)</f>
        <v>2.113856361676314E-2</v>
      </c>
      <c r="FT41" s="9">
        <f ca="1">IF(OR(FT14="",FT$28&lt;$A41),"",FT14/OFFSET(ParoRegESP!$A$2,MATCH(FT$29,ParoRegESP!$A$2:$A$500)+$A41-1,1)-1)</f>
        <v>1.5370680013641946E-2</v>
      </c>
      <c r="FU41" s="9">
        <f ca="1">IF(OR(FU14="",FU$28&lt;$A41),"",FU14/OFFSET(ParoRegESP!$A$2,MATCH(FU$29,ParoRegESP!$A$2:$A$500)+$A41-1,1)-1)</f>
        <v>1.6731293799440605E-2</v>
      </c>
      <c r="FV41" s="9">
        <f ca="1">IF(OR(FV14="",FV$28&lt;$A41),"",FV14/OFFSET(ParoRegESP!$A$2,MATCH(FV$29,ParoRegESP!$A$2:$A$500)+$A41-1,1)-1)</f>
        <v>1.8699691383706307E-2</v>
      </c>
      <c r="FW41" s="9">
        <f ca="1">IF(OR(FW14="",FW$28&lt;$A41),"",FW14/OFFSET(ParoRegESP!$A$2,MATCH(FW$29,ParoRegESP!$A$2:$A$500)+$A41-1,1)-1)</f>
        <v>-3.1442023307114431E-3</v>
      </c>
      <c r="FX41" s="9">
        <f ca="1">IF(OR(FX14="",FX$28&lt;$A41),"",FX14/OFFSET(ParoRegESP!$A$2,MATCH(FX$29,ParoRegESP!$A$2:$A$500)+$A41-1,1)-1)</f>
        <v>-4.0313414108323342E-2</v>
      </c>
      <c r="FY41" s="9">
        <f ca="1">IF(OR(FY14="",FY$28&lt;$A41),"",FY14/OFFSET(ParoRegESP!$A$2,MATCH(FY$29,ParoRegESP!$A$2:$A$500)+$A41-1,1)-1)</f>
        <v>-5.6881855418708827E-2</v>
      </c>
      <c r="FZ41" s="9">
        <f ca="1">IF(OR(FZ14="",FZ$28&lt;$A41),"",FZ14/OFFSET(ParoRegESP!$A$2,MATCH(FZ$29,ParoRegESP!$A$2:$A$500)+$A41-1,1)-1)</f>
        <v>-4.5792214651769414E-2</v>
      </c>
      <c r="GA41" s="9">
        <f ca="1">IF(OR(GA14="",GA$28&lt;$A41),"",GA14/OFFSET(ParoRegESP!$A$2,MATCH(GA$29,ParoRegESP!$A$2:$A$500)+$A41-1,1)-1)</f>
        <v>-3.5156096897721589E-2</v>
      </c>
      <c r="GB41" s="9">
        <f ca="1">IF(OR(GB14="",GB$28&lt;$A41),"",GB14/OFFSET(ParoRegESP!$A$2,MATCH(GB$29,ParoRegESP!$A$2:$A$500)+$A41-1,1)-1)</f>
        <v>-3.9212105911365591E-2</v>
      </c>
      <c r="GC41" s="9">
        <f ca="1">IF(OR(GC14="",GC$28&lt;$A41),"",GC14/OFFSET(ParoRegESP!$A$2,MATCH(GC$29,ParoRegESP!$A$2:$A$500)+$A41-1,1)-1)</f>
        <v>-0.12566458633843902</v>
      </c>
      <c r="GD41" s="9">
        <f ca="1">IF(OR(GD14="",GD$28&lt;$A41),"",GD14/OFFSET(ParoRegESP!$A$2,MATCH(GD$29,ParoRegESP!$A$2:$A$500)+$A41-1,1)-1)</f>
        <v>-0.20976226611917048</v>
      </c>
      <c r="GE41" s="9">
        <f ca="1">IF(OR(GE14="",GE$28&lt;$A41),"",GE14/OFFSET(ParoRegESP!$A$2,MATCH(GE$29,ParoRegESP!$A$2:$A$500)+$A41-1,1)-1)</f>
        <v>-0.23495760512115238</v>
      </c>
      <c r="GF41" s="9">
        <f ca="1">IF(OR(GF14="",GF$28&lt;$A41),"",GF14/OFFSET(ParoRegESP!$A$2,MATCH(GF$29,ParoRegESP!$A$2:$A$500)+$A41-1,1)-1)</f>
        <v>-0.22570731845369252</v>
      </c>
      <c r="GG41" s="9">
        <f ca="1">IF(OR(GG14="",GG$28&lt;$A41),"",GG14/OFFSET(ParoRegESP!$A$2,MATCH(GG$29,ParoRegESP!$A$2:$A$500)+$A41-1,1)-1)</f>
        <v>-0.19199276448684599</v>
      </c>
      <c r="GH41" s="9">
        <f ca="1">IF(OR(GH14="",GH$28&lt;$A41),"",GH14/OFFSET(ParoRegESP!$A$2,MATCH(GH$29,ParoRegESP!$A$2:$A$500)+$A41-1,1)-1)</f>
        <v>-0.18596005496567902</v>
      </c>
      <c r="GI41" s="9">
        <f ca="1">IF(OR(GI14="",GI$28&lt;$A41),"",GI14/OFFSET(ParoRegESP!$A$2,MATCH(GI$29,ParoRegESP!$A$2:$A$500)+$A41-1,1)-1)</f>
        <v>-0.19936578867431631</v>
      </c>
      <c r="GJ41" s="9">
        <f ca="1">IF(OR(GJ14="",GJ$28&lt;$A41),"",GJ14/OFFSET(ParoRegESP!$A$2,MATCH(GJ$29,ParoRegESP!$A$2:$A$500)+$A41-1,1)-1)</f>
        <v>-0.15684126572261869</v>
      </c>
      <c r="GK41" s="9">
        <f ca="1">IF(OR(GK14="",GK$28&lt;$A41),"",GK14/OFFSET(ParoRegESP!$A$2,MATCH(GK$29,ParoRegESP!$A$2:$A$500)+$A41-1,1)-1)</f>
        <v>-0.17050243449539304</v>
      </c>
      <c r="GL41" s="9">
        <f ca="1">IF(OR(GL14="",GL$28&lt;$A41),"",GL14/OFFSET(ParoRegESP!$A$2,MATCH(GL$29,ParoRegESP!$A$2:$A$500)+$A41-1,1)-1)</f>
        <v>-0.18382097510868389</v>
      </c>
      <c r="GM41" s="9">
        <f ca="1">IF(OR(GM14="",GM$28&lt;$A41),"",GM14/OFFSET(ParoRegESP!$A$2,MATCH(GM$29,ParoRegESP!$A$2:$A$500)+$A41-1,1)-1)</f>
        <v>-0.1809723585591877</v>
      </c>
      <c r="GN41" s="9" t="str">
        <f ca="1">IF(OR(GN14="",GN$28&lt;$A41),"",GN14/OFFSET(ParoRegESP!$A$2,MATCH(GN$29,ParoRegESP!$A$2:$A$500)+$A41-1,1)-1)</f>
        <v/>
      </c>
      <c r="GO41" s="9" t="str">
        <f ca="1">IF(OR(GO14="",GO$28&lt;$A41),"",GO14/OFFSET(ParoRegESP!$A$2,MATCH(GO$29,ParoRegESP!$A$2:$A$500)+$A41-1,1)-1)</f>
        <v/>
      </c>
      <c r="GP41" s="9" t="str">
        <f ca="1">IF(OR(GP14="",GP$28&lt;$A41),"",GP14/OFFSET(ParoRegESP!$A$2,MATCH(GP$29,ParoRegESP!$A$2:$A$500)+$A41-1,1)-1)</f>
        <v/>
      </c>
      <c r="GQ41" s="9" t="str">
        <f ca="1">IF(OR(GQ14="",GQ$28&lt;$A41),"",GQ14/OFFSET(ParoRegESP!$A$2,MATCH(GQ$29,ParoRegESP!$A$2:$A$500)+$A41-1,1)-1)</f>
        <v/>
      </c>
      <c r="GR41" s="9" t="str">
        <f ca="1">IF(OR(GR14="",GR$28&lt;$A41),"",GR14/OFFSET(ParoRegESP!$A$2,MATCH(GR$29,ParoRegESP!$A$2:$A$500)+$A41-1,1)-1)</f>
        <v/>
      </c>
      <c r="GS41" s="9" t="str">
        <f ca="1">IF(OR(GS14="",GS$28&lt;$A41),"",GS14/OFFSET(ParoRegESP!$A$2,MATCH(GS$29,ParoRegESP!$A$2:$A$500)+$A41-1,1)-1)</f>
        <v/>
      </c>
      <c r="GT41" s="9" t="str">
        <f ca="1">IF(OR(GT14="",GT$28&lt;$A41),"",GT14/OFFSET(ParoRegESP!$A$2,MATCH(GT$29,ParoRegESP!$A$2:$A$500)+$A41-1,1)-1)</f>
        <v/>
      </c>
      <c r="GU41" s="9" t="str">
        <f ca="1">IF(OR(GU14="",GU$28&lt;$A41),"",GU14/OFFSET(ParoRegESP!$A$2,MATCH(GU$29,ParoRegESP!$A$2:$A$500)+$A41-1,1)-1)</f>
        <v/>
      </c>
      <c r="GV41" s="9" t="str">
        <f ca="1">IF(OR(GV14="",GV$28&lt;$A41),"",GV14/OFFSET(ParoRegESP!$A$2,MATCH(GV$29,ParoRegESP!$A$2:$A$500)+$A41-1,1)-1)</f>
        <v/>
      </c>
      <c r="GW41" s="9" t="str">
        <f ca="1">IF(OR(GW14="",GW$28&lt;$A41),"",GW14/OFFSET(ParoRegESP!$A$2,MATCH(GW$29,ParoRegESP!$A$2:$A$500)+$A41-1,1)-1)</f>
        <v/>
      </c>
      <c r="GX41" s="9" t="str">
        <f ca="1">IF(OR(GX14="",GX$28&lt;$A41),"",GX14/OFFSET(ParoRegESP!$A$2,MATCH(GX$29,ParoRegESP!$A$2:$A$500)+$A41-1,1)-1)</f>
        <v/>
      </c>
      <c r="GY41" s="9" t="str">
        <f ca="1">IF(OR(GY14="",GY$28&lt;$A41),"",GY14/OFFSET(ParoRegESP!$A$2,MATCH(GY$29,ParoRegESP!$A$2:$A$500)+$A41-1,1)-1)</f>
        <v/>
      </c>
      <c r="GZ41" s="9" t="str">
        <f ca="1">IF(OR(GZ14="",GZ$28&lt;$A41),"",GZ14/OFFSET(ParoRegESP!$A$2,MATCH(GZ$29,ParoRegESP!$A$2:$A$500)+$A41-1,1)-1)</f>
        <v/>
      </c>
      <c r="HA41" s="9" t="str">
        <f ca="1">IF(OR(HA14="",HA$28&lt;$A41),"",HA14/OFFSET(ParoRegESP!$A$2,MATCH(HA$29,ParoRegESP!$A$2:$A$500)+$A41-1,1)-1)</f>
        <v/>
      </c>
      <c r="HB41" s="9" t="str">
        <f ca="1">IF(OR(HB14="",HB$28&lt;$A41),"",HB14/OFFSET(ParoRegESP!$A$2,MATCH(HB$29,ParoRegESP!$A$2:$A$500)+$A41-1,1)-1)</f>
        <v/>
      </c>
      <c r="HC41" s="9" t="str">
        <f ca="1">IF(OR(HC14="",HC$28&lt;$A41),"",HC14/OFFSET(ParoRegESP!$A$2,MATCH(HC$29,ParoRegESP!$A$2:$A$500)+$A41-1,1)-1)</f>
        <v/>
      </c>
      <c r="HD41" s="9" t="str">
        <f ca="1">IF(OR(HD14="",HD$28&lt;$A41),"",HD14/OFFSET(ParoRegESP!$A$2,MATCH(HD$29,ParoRegESP!$A$2:$A$500)+$A41-1,1)-1)</f>
        <v/>
      </c>
      <c r="HE41" s="9" t="str">
        <f ca="1">IF(OR(HE14="",HE$28&lt;$A41),"",HE14/OFFSET(ParoRegESP!$A$2,MATCH(HE$29,ParoRegESP!$A$2:$A$500)+$A41-1,1)-1)</f>
        <v/>
      </c>
      <c r="HF41" s="9" t="str">
        <f ca="1">IF(OR(HF14="",HF$28&lt;$A41),"",HF14/OFFSET(ParoRegESP!$A$2,MATCH(HF$29,ParoRegESP!$A$2:$A$500)+$A41-1,1)-1)</f>
        <v/>
      </c>
      <c r="HG41" s="9" t="str">
        <f ca="1">IF(OR(HG14="",HG$28&lt;$A41),"",HG14/OFFSET(ParoRegESP!$A$2,MATCH(HG$29,ParoRegESP!$A$2:$A$500)+$A41-1,1)-1)</f>
        <v/>
      </c>
      <c r="HH41" s="9" t="str">
        <f ca="1">IF(OR(HH14="",HH$28&lt;$A41),"",HH14/OFFSET(ParoRegESP!$A$2,MATCH(HH$29,ParoRegESP!$A$2:$A$500)+$A41-1,1)-1)</f>
        <v/>
      </c>
      <c r="HI41" s="9" t="str">
        <f ca="1">IF(OR(HI14="",HI$28&lt;$A41),"",HI14/OFFSET(ParoRegESP!$A$2,MATCH(HI$29,ParoRegESP!$A$2:$A$500)+$A41-1,1)-1)</f>
        <v/>
      </c>
      <c r="HJ41" s="9" t="str">
        <f ca="1">IF(OR(HJ14="",HJ$28&lt;$A41),"",HJ14/OFFSET(ParoRegESP!$A$2,MATCH(HJ$29,ParoRegESP!$A$2:$A$500)+$A41-1,1)-1)</f>
        <v/>
      </c>
      <c r="HK41" s="9" t="str">
        <f ca="1">IF(OR(HK14="",HK$28&lt;$A41),"",HK14/OFFSET(ParoRegESP!$A$2,MATCH(HK$29,ParoRegESP!$A$2:$A$500)+$A41-1,1)-1)</f>
        <v/>
      </c>
      <c r="HL41" s="9" t="str">
        <f ca="1">IF(OR(HL14="",HL$28&lt;$A41),"",HL14/OFFSET(ParoRegESP!$A$2,MATCH(HL$29,ParoRegESP!$A$2:$A$500)+$A41-1,1)-1)</f>
        <v/>
      </c>
      <c r="HM41" s="9" t="str">
        <f ca="1">IF(OR(HM14="",HM$28&lt;$A41),"",HM14/OFFSET(ParoRegESP!$A$2,MATCH(HM$29,ParoRegESP!$A$2:$A$500)+$A41-1,1)-1)</f>
        <v/>
      </c>
      <c r="HN41" s="9" t="str">
        <f ca="1">IF(OR(HN14="",HN$28&lt;$A41),"",HN14/OFFSET(ParoRegESP!$A$2,MATCH(HN$29,ParoRegESP!$A$2:$A$500)+$A41-1,1)-1)</f>
        <v/>
      </c>
      <c r="HO41" s="9" t="str">
        <f ca="1">IF(OR(HO14="",HO$28&lt;$A41),"",HO14/OFFSET(ParoRegESP!$A$2,MATCH(HO$29,ParoRegESP!$A$2:$A$500)+$A41-1,1)-1)</f>
        <v/>
      </c>
      <c r="HP41" s="9" t="str">
        <f ca="1">IF(OR(HP14="",HP$28&lt;$A41),"",HP14/OFFSET(ParoRegESP!$A$2,MATCH(HP$29,ParoRegESP!$A$2:$A$500)+$A41-1,1)-1)</f>
        <v/>
      </c>
      <c r="HQ41" s="9" t="str">
        <f ca="1">IF(OR(HQ14="",HQ$28&lt;$A41),"",HQ14/OFFSET(ParoRegESP!$A$2,MATCH(HQ$29,ParoRegESP!$A$2:$A$500)+$A41-1,1)-1)</f>
        <v/>
      </c>
      <c r="HR41" s="9" t="str">
        <f ca="1">IF(OR(HR14="",HR$28&lt;$A41),"",HR14/OFFSET(ParoRegESP!$A$2,MATCH(HR$29,ParoRegESP!$A$2:$A$500)+$A41-1,1)-1)</f>
        <v/>
      </c>
      <c r="HS41" s="9" t="str">
        <f ca="1">IF(OR(HS14="",HS$28&lt;$A41),"",HS14/OFFSET(ParoRegESP!$A$2,MATCH(HS$29,ParoRegESP!$A$2:$A$500)+$A41-1,1)-1)</f>
        <v/>
      </c>
      <c r="HT41" s="9" t="str">
        <f ca="1">IF(OR(HT14="",HT$28&lt;$A41),"",HT14/OFFSET(ParoRegESP!$A$2,MATCH(HT$29,ParoRegESP!$A$2:$A$500)+$A41-1,1)-1)</f>
        <v/>
      </c>
      <c r="HU41" s="9" t="str">
        <f ca="1">IF(OR(HU14="",HU$28&lt;$A41),"",HU14/OFFSET(ParoRegESP!$A$2,MATCH(HU$29,ParoRegESP!$A$2:$A$500)+$A41-1,1)-1)</f>
        <v/>
      </c>
      <c r="HV41" s="9" t="str">
        <f ca="1">IF(OR(HV14="",HV$28&lt;$A41),"",HV14/OFFSET(ParoRegESP!$A$2,MATCH(HV$29,ParoRegESP!$A$2:$A$500)+$A41-1,1)-1)</f>
        <v/>
      </c>
      <c r="HW41" s="9" t="str">
        <f ca="1">IF(OR(HW14="",HW$28&lt;$A41),"",HW14/OFFSET(ParoRegESP!$A$2,MATCH(HW$29,ParoRegESP!$A$2:$A$500)+$A41-1,1)-1)</f>
        <v/>
      </c>
      <c r="HX41" s="9" t="str">
        <f ca="1">IF(OR(HX14="",HX$28&lt;$A41),"",HX14/OFFSET(ParoRegESP!$A$2,MATCH(HX$29,ParoRegESP!$A$2:$A$500)+$A41-1,1)-1)</f>
        <v/>
      </c>
      <c r="HY41" s="9" t="str">
        <f ca="1">IF(OR(HY14="",HY$28&lt;$A41),"",HY14/OFFSET(ParoRegESP!$A$2,MATCH(HY$29,ParoRegESP!$A$2:$A$500)+$A41-1,1)-1)</f>
        <v/>
      </c>
      <c r="HZ41" s="9" t="str">
        <f ca="1">IF(OR(HZ14="",HZ$28&lt;$A41),"",HZ14/OFFSET(ParoRegESP!$A$2,MATCH(HZ$29,ParoRegESP!$A$2:$A$500)+$A41-1,1)-1)</f>
        <v/>
      </c>
      <c r="IA41" s="9" t="str">
        <f ca="1">IF(OR(IA14="",IA$28&lt;$A41),"",IA14/OFFSET(ParoRegESP!$A$2,MATCH(IA$29,ParoRegESP!$A$2:$A$500)+$A41-1,1)-1)</f>
        <v/>
      </c>
      <c r="IB41" s="9" t="str">
        <f ca="1">IF(OR(IB14="",IB$28&lt;$A41),"",IB14/OFFSET(ParoRegESP!$A$2,MATCH(IB$29,ParoRegESP!$A$2:$A$500)+$A41-1,1)-1)</f>
        <v/>
      </c>
      <c r="IC41" s="9" t="str">
        <f ca="1">IF(OR(IC14="",IC$28&lt;$A41),"",IC14/OFFSET(ParoRegESP!$A$2,MATCH(IC$29,ParoRegESP!$A$2:$A$500)+$A41-1,1)-1)</f>
        <v/>
      </c>
      <c r="ID41" s="9" t="str">
        <f ca="1">IF(OR(ID14="",ID$28&lt;$A41),"",ID14/OFFSET(ParoRegESP!$A$2,MATCH(ID$29,ParoRegESP!$A$2:$A$500)+$A41-1,1)-1)</f>
        <v/>
      </c>
      <c r="IE41" s="9" t="str">
        <f ca="1">IF(OR(IE14="",IE$28&lt;$A41),"",IE14/OFFSET(ParoRegESP!$A$2,MATCH(IE$29,ParoRegESP!$A$2:$A$500)+$A41-1,1)-1)</f>
        <v/>
      </c>
      <c r="IF41" s="9" t="str">
        <f ca="1">IF(OR(IF14="",IF$28&lt;$A41),"",IF14/OFFSET(ParoRegESP!$A$2,MATCH(IF$29,ParoRegESP!$A$2:$A$500)+$A41-1,1)-1)</f>
        <v/>
      </c>
      <c r="IG41" s="9" t="str">
        <f ca="1">IF(OR(IG14="",IG$28&lt;$A41),"",IG14/OFFSET(ParoRegESP!$A$2,MATCH(IG$29,ParoRegESP!$A$2:$A$500)+$A41-1,1)-1)</f>
        <v/>
      </c>
      <c r="IH41" s="9" t="str">
        <f ca="1">IF(OR(IH14="",IH$28&lt;$A41),"",IH14/OFFSET(ParoRegESP!$A$2,MATCH(IH$29,ParoRegESP!$A$2:$A$500)+$A41-1,1)-1)</f>
        <v/>
      </c>
      <c r="II41" s="9" t="str">
        <f ca="1">IF(OR(II14="",II$28&lt;$A41),"",II14/OFFSET(ParoRegESP!$A$2,MATCH(II$29,ParoRegESP!$A$2:$A$500)+$A41-1,1)-1)</f>
        <v/>
      </c>
      <c r="IJ41" s="9" t="str">
        <f ca="1">IF(OR(IJ14="",IJ$28&lt;$A41),"",IJ14/OFFSET(ParoRegESP!$A$2,MATCH(IJ$29,ParoRegESP!$A$2:$A$500)+$A41-1,1)-1)</f>
        <v/>
      </c>
      <c r="IK41" s="9" t="str">
        <f ca="1">IF(OR(IK14="",IK$28&lt;$A41),"",IK14/OFFSET(ParoRegESP!$A$2,MATCH(IK$29,ParoRegESP!$A$2:$A$500)+$A41-1,1)-1)</f>
        <v/>
      </c>
      <c r="IL41" s="9" t="str">
        <f ca="1">IF(OR(IL14="",IL$28&lt;$A41),"",IL14/OFFSET(ParoRegESP!$A$2,MATCH(IL$29,ParoRegESP!$A$2:$A$500)+$A41-1,1)-1)</f>
        <v/>
      </c>
      <c r="IM41" s="9" t="str">
        <f ca="1">IF(OR(IM14="",IM$28&lt;$A41),"",IM14/OFFSET(ParoRegESP!$A$2,MATCH(IM$29,ParoRegESP!$A$2:$A$500)+$A41-1,1)-1)</f>
        <v/>
      </c>
      <c r="IN41" s="9" t="str">
        <f ca="1">IF(OR(IN14="",IN$28&lt;$A41),"",IN14/OFFSET(ParoRegESP!$A$2,MATCH(IN$29,ParoRegESP!$A$2:$A$500)+$A41-1,1)-1)</f>
        <v/>
      </c>
      <c r="IO41" s="9" t="str">
        <f ca="1">IF(OR(IO14="",IO$28&lt;$A41),"",IO14/OFFSET(ParoRegESP!$A$2,MATCH(IO$29,ParoRegESP!$A$2:$A$500)+$A41-1,1)-1)</f>
        <v/>
      </c>
      <c r="IP41" s="9" t="str">
        <f ca="1">IF(OR(IP14="",IP$28&lt;$A41),"",IP14/OFFSET(ParoRegESP!$A$2,MATCH(IP$29,ParoRegESP!$A$2:$A$500)+$A41-1,1)-1)</f>
        <v/>
      </c>
      <c r="IQ41" s="9" t="str">
        <f ca="1">IF(OR(IQ14="",IQ$28&lt;$A41),"",IQ14/OFFSET(ParoRegESP!$A$2,MATCH(IQ$29,ParoRegESP!$A$2:$A$500)+$A41-1,1)-1)</f>
        <v/>
      </c>
      <c r="IR41" s="9" t="str">
        <f ca="1">IF(OR(IR14="",IR$28&lt;$A41),"",IR14/OFFSET(ParoRegESP!$A$2,MATCH(IR$29,ParoRegESP!$A$2:$A$500)+$A41-1,1)-1)</f>
        <v/>
      </c>
      <c r="IS41" s="9" t="str">
        <f ca="1">IF(OR(IS14="",IS$28&lt;$A41),"",IS14/OFFSET(ParoRegESP!$A$2,MATCH(IS$29,ParoRegESP!$A$2:$A$500)+$A41-1,1)-1)</f>
        <v/>
      </c>
      <c r="IT41" s="9" t="str">
        <f ca="1">IF(OR(IT14="",IT$28&lt;$A41),"",IT14/OFFSET(ParoRegESP!$A$2,MATCH(IT$29,ParoRegESP!$A$2:$A$500)+$A41-1,1)-1)</f>
        <v/>
      </c>
      <c r="IU41" s="9" t="str">
        <f ca="1">IF(OR(IU14="",IU$28&lt;$A41),"",IU14/OFFSET(ParoRegESP!$A$2,MATCH(IU$29,ParoRegESP!$A$2:$A$500)+$A41-1,1)-1)</f>
        <v/>
      </c>
      <c r="IV41" s="9" t="str">
        <f ca="1">IF(OR(IV14="",IV$28&lt;$A41),"",IV14/OFFSET(ParoRegESP!$A$2,MATCH(IV$29,ParoRegESP!$A$2:$A$500)+$A41-1,1)-1)</f>
        <v/>
      </c>
      <c r="IW41" s="9" t="str">
        <f ca="1">IF(OR(IW14="",IW$28&lt;$A41),"",IW14/OFFSET(ParoRegESP!$A$2,MATCH(IW$29,ParoRegESP!$A$2:$A$500)+$A41-1,1)-1)</f>
        <v/>
      </c>
      <c r="IX41" s="9" t="str">
        <f ca="1">IF(OR(IX14="",IX$28&lt;$A41),"",IX14/OFFSET(ParoRegESP!$A$2,MATCH(IX$29,ParoRegESP!$A$2:$A$500)+$A41-1,1)-1)</f>
        <v/>
      </c>
      <c r="IY41" s="9" t="str">
        <f ca="1">IF(OR(IY14="",IY$28&lt;$A41),"",IY14/OFFSET(ParoRegESP!$A$2,MATCH(IY$29,ParoRegESP!$A$2:$A$500)+$A41-1,1)-1)</f>
        <v/>
      </c>
      <c r="IZ41" s="9" t="str">
        <f ca="1">IF(OR(IZ14="",IZ$28&lt;$A41),"",IZ14/OFFSET(ParoRegESP!$A$2,MATCH(IZ$29,ParoRegESP!$A$2:$A$500)+$A41-1,1)-1)</f>
        <v/>
      </c>
      <c r="JA41" s="9" t="str">
        <f ca="1">IF(OR(JA14="",JA$28&lt;$A41),"",JA14/OFFSET(ParoRegESP!$A$2,MATCH(JA$29,ParoRegESP!$A$2:$A$500)+$A41-1,1)-1)</f>
        <v/>
      </c>
      <c r="JB41" s="9" t="str">
        <f ca="1">IF(OR(JB14="",JB$28&lt;$A41),"",JB14/OFFSET(ParoRegESP!$A$2,MATCH(JB$29,ParoRegESP!$A$2:$A$500)+$A41-1,1)-1)</f>
        <v/>
      </c>
      <c r="JC41" s="9" t="str">
        <f ca="1">IF(OR(JC14="",JC$28&lt;$A41),"",JC14/OFFSET(ParoRegESP!$A$2,MATCH(JC$29,ParoRegESP!$A$2:$A$500)+$A41-1,1)-1)</f>
        <v/>
      </c>
      <c r="JD41" s="9" t="str">
        <f ca="1">IF(OR(JD14="",JD$28&lt;$A41),"",JD14/OFFSET(ParoRegESP!$A$2,MATCH(JD$29,ParoRegESP!$A$2:$A$500)+$A41-1,1)-1)</f>
        <v/>
      </c>
      <c r="JE41" s="9" t="str">
        <f ca="1">IF(OR(JE14="",JE$28&lt;$A41),"",JE14/OFFSET(ParoRegESP!$A$2,MATCH(JE$29,ParoRegESP!$A$2:$A$500)+$A41-1,1)-1)</f>
        <v/>
      </c>
      <c r="JF41" s="9" t="str">
        <f ca="1">IF(OR(JF14="",JF$28&lt;$A41),"",JF14/OFFSET(ParoRegESP!$A$2,MATCH(JF$29,ParoRegESP!$A$2:$A$500)+$A41-1,1)-1)</f>
        <v/>
      </c>
      <c r="JG41" s="9" t="str">
        <f ca="1">IF(OR(JG14="",JG$28&lt;$A41),"",JG14/OFFSET(ParoRegESP!$A$2,MATCH(JG$29,ParoRegESP!$A$2:$A$500)+$A41-1,1)-1)</f>
        <v/>
      </c>
      <c r="JH41" s="9" t="str">
        <f ca="1">IF(OR(JH14="",JH$28&lt;$A41),"",JH14/OFFSET(ParoRegESP!$A$2,MATCH(JH$29,ParoRegESP!$A$2:$A$500)+$A41-1,1)-1)</f>
        <v/>
      </c>
      <c r="JI41" s="13">
        <f t="shared" ca="1" si="13"/>
        <v>-9.7201491979159921E-2</v>
      </c>
      <c r="JJ41" s="13">
        <f t="shared" ca="1" si="14"/>
        <v>-5.6881855418708827E-2</v>
      </c>
      <c r="JK41" s="14">
        <f t="shared" ca="1" si="15"/>
        <v>8.3250241260317583E-3</v>
      </c>
      <c r="JL41" s="17">
        <f t="shared" ca="1" si="18"/>
        <v>9.1241570164217134E-2</v>
      </c>
      <c r="JM41" s="15" t="str">
        <f t="shared" ca="1" si="16"/>
        <v>[ -27,97% ; 8,53% ]</v>
      </c>
      <c r="JN41" s="17">
        <f t="shared" ca="1" si="17"/>
        <v>0.11678920981019793</v>
      </c>
      <c r="LY41" s="1"/>
    </row>
    <row r="42" spans="1:337" x14ac:dyDescent="0.25">
      <c r="A42" s="5"/>
      <c r="LY42" s="1"/>
    </row>
    <row r="43" spans="1:337" hidden="1" x14ac:dyDescent="0.25">
      <c r="A43" s="5"/>
      <c r="LY43" s="1"/>
    </row>
    <row r="44" spans="1:337" hidden="1" x14ac:dyDescent="0.25">
      <c r="A44" s="5"/>
      <c r="LY44" s="1"/>
    </row>
    <row r="45" spans="1:337" hidden="1" x14ac:dyDescent="0.25">
      <c r="A45" s="5"/>
      <c r="LY45" s="1"/>
    </row>
    <row r="46" spans="1:337" hidden="1" x14ac:dyDescent="0.25">
      <c r="A46" s="5"/>
      <c r="LY46" s="1"/>
    </row>
    <row r="47" spans="1:337" hidden="1" x14ac:dyDescent="0.25">
      <c r="A47" s="5"/>
      <c r="LY47" s="1"/>
    </row>
    <row r="48" spans="1:337" hidden="1" x14ac:dyDescent="0.25">
      <c r="A48" s="5"/>
      <c r="LY48" s="1"/>
    </row>
    <row r="49" spans="1:337" hidden="1" x14ac:dyDescent="0.25">
      <c r="A49" s="5"/>
      <c r="LY49" s="1"/>
    </row>
    <row r="50" spans="1:337" hidden="1" x14ac:dyDescent="0.25">
      <c r="A50" s="5"/>
      <c r="LY50" s="1"/>
    </row>
    <row r="51" spans="1:337" hidden="1" x14ac:dyDescent="0.25">
      <c r="A51" s="5"/>
      <c r="LY51" s="1"/>
    </row>
    <row r="52" spans="1:337" hidden="1" x14ac:dyDescent="0.25">
      <c r="A52" s="5"/>
      <c r="LY52" s="1"/>
    </row>
    <row r="53" spans="1:337" hidden="1" x14ac:dyDescent="0.25">
      <c r="A53" s="5"/>
      <c r="LY53" s="1"/>
    </row>
    <row r="54" spans="1:337" hidden="1" x14ac:dyDescent="0.25">
      <c r="A54" s="5"/>
      <c r="LY54" s="1"/>
    </row>
    <row r="55" spans="1:337" x14ac:dyDescent="0.25">
      <c r="A55" s="5"/>
      <c r="CL55" s="20"/>
      <c r="CM55" s="20"/>
      <c r="JL55" s="16"/>
      <c r="LY55" s="1"/>
    </row>
    <row r="56" spans="1:337" ht="15.75" x14ac:dyDescent="0.25">
      <c r="A56" s="3" t="s">
        <v>1</v>
      </c>
      <c r="B56" s="7">
        <v>37986</v>
      </c>
      <c r="C56" s="7">
        <v>38017</v>
      </c>
      <c r="D56" s="7">
        <v>38046</v>
      </c>
      <c r="E56" s="7">
        <v>38077</v>
      </c>
      <c r="F56" s="7">
        <v>38107</v>
      </c>
      <c r="G56" s="7">
        <v>38138</v>
      </c>
      <c r="H56" s="7">
        <v>38168</v>
      </c>
      <c r="I56" s="7">
        <v>38199</v>
      </c>
      <c r="J56" s="7">
        <v>38230</v>
      </c>
      <c r="K56" s="7">
        <v>38260</v>
      </c>
      <c r="L56" s="7">
        <v>38291</v>
      </c>
      <c r="M56" s="7">
        <v>38321</v>
      </c>
      <c r="N56" s="7">
        <v>38352</v>
      </c>
      <c r="O56" s="7">
        <v>38383</v>
      </c>
      <c r="P56" s="7">
        <v>38411</v>
      </c>
      <c r="Q56" s="7">
        <v>38442</v>
      </c>
      <c r="R56" s="7">
        <v>38472</v>
      </c>
      <c r="S56" s="7">
        <v>38503</v>
      </c>
      <c r="T56" s="7">
        <v>38533</v>
      </c>
      <c r="U56" s="7">
        <v>38564</v>
      </c>
      <c r="V56" s="7">
        <v>38595</v>
      </c>
      <c r="W56" s="7">
        <v>38625</v>
      </c>
      <c r="X56" s="7">
        <v>38656</v>
      </c>
      <c r="Y56" s="7">
        <v>38686</v>
      </c>
      <c r="Z56" s="7">
        <v>38717</v>
      </c>
      <c r="AA56" s="7">
        <v>38748</v>
      </c>
      <c r="AB56" s="7">
        <v>38776</v>
      </c>
      <c r="AC56" s="7">
        <v>38807</v>
      </c>
      <c r="AD56" s="7">
        <v>38837</v>
      </c>
      <c r="AE56" s="7">
        <v>38868</v>
      </c>
      <c r="AF56" s="7">
        <v>38898</v>
      </c>
      <c r="AG56" s="7">
        <v>38929</v>
      </c>
      <c r="AH56" s="7">
        <v>38960</v>
      </c>
      <c r="AI56" s="7">
        <v>38990</v>
      </c>
      <c r="AJ56" s="7">
        <v>39021</v>
      </c>
      <c r="AK56" s="7">
        <v>39051</v>
      </c>
      <c r="AL56" s="7">
        <v>39082</v>
      </c>
      <c r="AM56" s="7">
        <v>39113</v>
      </c>
      <c r="AN56" s="7">
        <v>39141</v>
      </c>
      <c r="AO56" s="7">
        <v>39172</v>
      </c>
      <c r="AP56" s="7">
        <v>39202</v>
      </c>
      <c r="AQ56" s="7">
        <v>39233</v>
      </c>
      <c r="AR56" s="7">
        <v>39263</v>
      </c>
      <c r="AS56" s="7">
        <v>39294</v>
      </c>
      <c r="AT56" s="7">
        <v>39325</v>
      </c>
      <c r="AU56" s="7">
        <v>39355</v>
      </c>
      <c r="AV56" s="7">
        <v>39386</v>
      </c>
      <c r="AW56" s="7">
        <v>39416</v>
      </c>
      <c r="AX56" s="7">
        <v>39447</v>
      </c>
      <c r="AY56" s="7">
        <v>39478</v>
      </c>
      <c r="AZ56" s="7">
        <v>39507</v>
      </c>
      <c r="BA56" s="7">
        <v>39538</v>
      </c>
      <c r="BB56" s="7">
        <v>39568</v>
      </c>
      <c r="BC56" s="7">
        <v>39599</v>
      </c>
      <c r="BD56" s="7">
        <v>39629</v>
      </c>
      <c r="BE56" s="7">
        <v>39660</v>
      </c>
      <c r="BF56" s="7">
        <v>39691</v>
      </c>
      <c r="BG56" s="7">
        <v>39721</v>
      </c>
      <c r="BH56" s="7">
        <v>39752</v>
      </c>
      <c r="BI56" s="7">
        <v>39782</v>
      </c>
      <c r="BJ56" s="7">
        <v>39813</v>
      </c>
      <c r="BK56" s="7">
        <v>39844</v>
      </c>
      <c r="BL56" s="7">
        <v>39872</v>
      </c>
      <c r="BM56" s="7">
        <v>39903</v>
      </c>
      <c r="BN56" s="7">
        <v>39933</v>
      </c>
      <c r="BO56" s="7">
        <v>39964</v>
      </c>
      <c r="BP56" s="7">
        <v>39994</v>
      </c>
      <c r="BQ56" s="7">
        <v>40025</v>
      </c>
      <c r="BR56" s="7">
        <v>40056</v>
      </c>
      <c r="BS56" s="7">
        <v>40086</v>
      </c>
      <c r="BT56" s="7">
        <v>40117</v>
      </c>
      <c r="BU56" s="7">
        <v>40147</v>
      </c>
      <c r="BV56" s="7">
        <v>40178</v>
      </c>
      <c r="BW56" s="7">
        <v>40209</v>
      </c>
      <c r="BX56" s="7">
        <v>40237</v>
      </c>
      <c r="BY56" s="7">
        <v>40268</v>
      </c>
      <c r="BZ56" s="7">
        <v>40298</v>
      </c>
      <c r="CA56" s="7">
        <v>40329</v>
      </c>
      <c r="CB56" s="7">
        <v>40359</v>
      </c>
      <c r="CC56" s="7">
        <v>40390</v>
      </c>
      <c r="CD56" s="7">
        <v>40421</v>
      </c>
      <c r="CE56" s="7">
        <v>40451</v>
      </c>
      <c r="CF56" s="7">
        <v>40482</v>
      </c>
      <c r="CG56" s="7">
        <v>40512</v>
      </c>
      <c r="CH56" s="7">
        <v>40543</v>
      </c>
      <c r="CI56" s="7">
        <v>40574</v>
      </c>
      <c r="CJ56" s="7">
        <v>40602</v>
      </c>
      <c r="CK56" s="7">
        <v>40633</v>
      </c>
      <c r="CL56" s="7">
        <v>40663</v>
      </c>
      <c r="CM56" s="7">
        <v>40694</v>
      </c>
      <c r="CN56" s="7">
        <v>40724</v>
      </c>
      <c r="CO56" s="7">
        <v>40755</v>
      </c>
      <c r="CP56" s="7">
        <v>40786</v>
      </c>
      <c r="CQ56" s="7">
        <v>40816</v>
      </c>
      <c r="CR56" s="7">
        <v>40847</v>
      </c>
      <c r="CS56" s="7">
        <v>40877</v>
      </c>
      <c r="CT56" s="7">
        <v>40908</v>
      </c>
      <c r="CU56" s="7">
        <v>40939</v>
      </c>
      <c r="CV56" s="7">
        <v>40968</v>
      </c>
      <c r="CW56" s="7">
        <v>40999</v>
      </c>
      <c r="CX56" s="7">
        <v>41029</v>
      </c>
      <c r="CY56" s="7">
        <v>41060</v>
      </c>
      <c r="CZ56" s="7">
        <v>41090</v>
      </c>
      <c r="DA56" s="7">
        <v>41121</v>
      </c>
      <c r="DB56" s="7">
        <v>41152</v>
      </c>
      <c r="DC56" s="7">
        <v>41182</v>
      </c>
      <c r="DD56" s="7">
        <v>41213</v>
      </c>
      <c r="DE56" s="7">
        <v>41243</v>
      </c>
      <c r="DF56" s="7">
        <v>41274</v>
      </c>
      <c r="DG56" s="7">
        <v>41305</v>
      </c>
      <c r="DH56" s="7">
        <v>41333</v>
      </c>
      <c r="DI56" s="7">
        <v>41364</v>
      </c>
      <c r="DJ56" s="7">
        <v>41394</v>
      </c>
      <c r="DK56" s="7">
        <v>41425</v>
      </c>
      <c r="DL56" s="7">
        <v>41455</v>
      </c>
      <c r="DM56" s="7">
        <v>41486</v>
      </c>
      <c r="DN56" s="7">
        <v>41517</v>
      </c>
      <c r="DO56" s="7">
        <v>41547</v>
      </c>
      <c r="DP56" s="7">
        <v>41578</v>
      </c>
      <c r="DQ56" s="7">
        <v>41608</v>
      </c>
      <c r="DR56" s="7">
        <v>41639</v>
      </c>
      <c r="DS56" s="7">
        <v>41670</v>
      </c>
      <c r="DT56" s="7">
        <v>41698</v>
      </c>
      <c r="DU56" s="7">
        <v>41729</v>
      </c>
      <c r="DV56" s="7">
        <v>41759</v>
      </c>
      <c r="DW56" s="7">
        <v>41790</v>
      </c>
      <c r="DX56" s="7">
        <v>41820</v>
      </c>
      <c r="DY56" s="7">
        <v>41851</v>
      </c>
      <c r="DZ56" s="7">
        <v>41882</v>
      </c>
      <c r="EA56" s="7">
        <v>41912</v>
      </c>
      <c r="EB56" s="7">
        <v>41943</v>
      </c>
      <c r="EC56" s="7">
        <v>41973</v>
      </c>
      <c r="ED56" s="7">
        <v>42004</v>
      </c>
      <c r="EE56" s="7">
        <v>42035</v>
      </c>
      <c r="EF56" s="7">
        <v>42063</v>
      </c>
      <c r="EG56" s="7">
        <v>42094</v>
      </c>
      <c r="EH56" s="7">
        <v>42124</v>
      </c>
      <c r="EI56" s="7">
        <v>42155</v>
      </c>
      <c r="EJ56" s="7">
        <v>42185</v>
      </c>
      <c r="EK56" s="7">
        <v>42216</v>
      </c>
      <c r="EL56" s="7">
        <v>42247</v>
      </c>
      <c r="EM56" s="7">
        <v>42277</v>
      </c>
      <c r="EN56" s="7">
        <v>42308</v>
      </c>
      <c r="EO56" s="7">
        <v>42338</v>
      </c>
      <c r="EP56" s="7">
        <v>42369</v>
      </c>
      <c r="EQ56" s="7">
        <v>42400</v>
      </c>
      <c r="ER56" s="7">
        <v>42429</v>
      </c>
      <c r="ES56" s="7">
        <v>42460</v>
      </c>
      <c r="ET56" s="7">
        <v>42490</v>
      </c>
      <c r="EU56" s="7">
        <v>42521</v>
      </c>
      <c r="EV56" s="7">
        <v>42551</v>
      </c>
      <c r="EW56" s="7">
        <v>42582</v>
      </c>
      <c r="EX56" s="7">
        <v>42613</v>
      </c>
      <c r="EY56" s="7">
        <v>42643</v>
      </c>
      <c r="EZ56" s="7">
        <v>42674</v>
      </c>
      <c r="FA56" s="7">
        <v>42704</v>
      </c>
      <c r="FB56" s="7">
        <v>42735</v>
      </c>
      <c r="FC56" s="7">
        <v>42766</v>
      </c>
      <c r="FD56" s="7">
        <v>42794</v>
      </c>
      <c r="FE56" s="7">
        <v>42825</v>
      </c>
      <c r="FF56" s="7">
        <v>42855</v>
      </c>
      <c r="FG56" s="7">
        <v>42886</v>
      </c>
      <c r="FH56" s="7">
        <v>42916</v>
      </c>
      <c r="FI56" s="7">
        <v>42947</v>
      </c>
      <c r="FJ56" s="7">
        <v>42978</v>
      </c>
      <c r="FK56" s="7">
        <v>43008</v>
      </c>
      <c r="FL56" s="7">
        <v>43039</v>
      </c>
      <c r="FM56" s="7">
        <v>43069</v>
      </c>
      <c r="FN56" s="7">
        <v>43100</v>
      </c>
      <c r="FO56" s="7">
        <v>43131</v>
      </c>
      <c r="FP56" s="7">
        <v>43159</v>
      </c>
      <c r="FQ56" s="7">
        <v>43190</v>
      </c>
      <c r="FR56" s="7">
        <v>43220</v>
      </c>
      <c r="FS56" s="7">
        <v>43251</v>
      </c>
      <c r="FT56" s="7">
        <v>43281</v>
      </c>
      <c r="FU56" s="7">
        <v>43312</v>
      </c>
      <c r="FV56" s="7">
        <v>43343</v>
      </c>
      <c r="FW56" s="7">
        <v>43373</v>
      </c>
      <c r="FX56" s="7">
        <v>43404</v>
      </c>
      <c r="FY56" s="7">
        <v>43434</v>
      </c>
      <c r="FZ56" s="7">
        <v>43465</v>
      </c>
      <c r="GA56" s="7">
        <v>43496</v>
      </c>
      <c r="GB56" s="7">
        <v>43524</v>
      </c>
      <c r="GC56" s="7">
        <v>43555</v>
      </c>
      <c r="GD56" s="7">
        <v>43585</v>
      </c>
      <c r="GE56" s="7">
        <v>43616</v>
      </c>
      <c r="GF56" s="7">
        <v>43646</v>
      </c>
      <c r="GG56" s="7">
        <v>43677</v>
      </c>
      <c r="GH56" s="7">
        <v>43708</v>
      </c>
      <c r="GI56" s="7">
        <v>43738</v>
      </c>
      <c r="GJ56" s="7">
        <v>43769</v>
      </c>
      <c r="GK56" s="7">
        <v>43799</v>
      </c>
      <c r="GL56" s="7">
        <v>43830</v>
      </c>
      <c r="GM56" s="7">
        <v>43861</v>
      </c>
      <c r="GN56" s="7">
        <v>43890</v>
      </c>
      <c r="GO56" s="7">
        <v>43921</v>
      </c>
      <c r="GP56" s="7">
        <v>43951</v>
      </c>
      <c r="GQ56" s="7">
        <v>43982</v>
      </c>
      <c r="GR56" s="7">
        <v>44012</v>
      </c>
      <c r="GS56" s="7">
        <v>44043</v>
      </c>
      <c r="GT56" s="7">
        <v>44074</v>
      </c>
      <c r="GU56" s="7">
        <v>44104</v>
      </c>
      <c r="GV56" s="7">
        <v>44135</v>
      </c>
      <c r="GW56" s="7">
        <v>44165</v>
      </c>
      <c r="GX56" s="7">
        <v>44196</v>
      </c>
      <c r="GY56" s="7">
        <v>44227</v>
      </c>
      <c r="GZ56" s="7">
        <v>44255</v>
      </c>
      <c r="HA56" s="7">
        <v>44286</v>
      </c>
      <c r="HB56" s="7">
        <v>44316</v>
      </c>
      <c r="HC56" s="7">
        <v>44347</v>
      </c>
      <c r="HD56" s="7">
        <v>44377</v>
      </c>
      <c r="HE56" s="7">
        <v>44408</v>
      </c>
      <c r="HF56" s="7">
        <v>44439</v>
      </c>
      <c r="HG56" s="7">
        <v>44469</v>
      </c>
      <c r="HH56" s="7">
        <v>44500</v>
      </c>
      <c r="HI56" s="7">
        <v>44530</v>
      </c>
      <c r="HJ56" s="7">
        <v>44561</v>
      </c>
      <c r="HK56" s="7">
        <v>44592</v>
      </c>
      <c r="HL56" s="7">
        <v>44620</v>
      </c>
      <c r="HM56" s="7">
        <v>44651</v>
      </c>
      <c r="HN56" s="7">
        <v>44681</v>
      </c>
      <c r="HO56" s="7">
        <v>44712</v>
      </c>
      <c r="HP56" s="7">
        <v>44742</v>
      </c>
      <c r="HQ56" s="7">
        <v>44773</v>
      </c>
      <c r="HR56" s="7">
        <v>44804</v>
      </c>
      <c r="HS56" s="7">
        <v>44834</v>
      </c>
      <c r="HT56" s="7">
        <v>44865</v>
      </c>
      <c r="HU56" s="7">
        <v>44895</v>
      </c>
      <c r="HV56" s="7">
        <v>44926</v>
      </c>
      <c r="HW56" s="7">
        <v>44957</v>
      </c>
      <c r="HX56" s="7">
        <v>44985</v>
      </c>
      <c r="HY56" s="7">
        <v>45016</v>
      </c>
      <c r="HZ56" s="7">
        <v>45046</v>
      </c>
      <c r="IA56" s="7">
        <v>45077</v>
      </c>
      <c r="IB56" s="7">
        <v>45107</v>
      </c>
      <c r="IC56" s="7">
        <v>45138</v>
      </c>
      <c r="ID56" s="7">
        <v>45169</v>
      </c>
      <c r="IE56" s="7">
        <v>45199</v>
      </c>
      <c r="IF56" s="7">
        <v>45230</v>
      </c>
      <c r="IG56" s="7">
        <v>45260</v>
      </c>
      <c r="IH56" s="7">
        <v>45291</v>
      </c>
      <c r="II56" s="7">
        <v>45322</v>
      </c>
      <c r="IJ56" s="7">
        <v>45351</v>
      </c>
      <c r="IK56" s="7">
        <v>45382</v>
      </c>
      <c r="IL56" s="7">
        <v>45412</v>
      </c>
      <c r="IM56" s="7">
        <v>45443</v>
      </c>
      <c r="IN56" s="7">
        <v>45473</v>
      </c>
      <c r="IO56" s="7">
        <v>45504</v>
      </c>
      <c r="IP56" s="7">
        <v>45535</v>
      </c>
      <c r="IQ56" s="7">
        <v>45565</v>
      </c>
      <c r="IR56" s="7">
        <v>45596</v>
      </c>
      <c r="IS56" s="7">
        <v>45626</v>
      </c>
      <c r="IT56" s="7">
        <v>45657</v>
      </c>
      <c r="IU56" s="7">
        <v>45688</v>
      </c>
      <c r="IV56" s="7">
        <v>45716</v>
      </c>
      <c r="IW56" s="7">
        <v>45747</v>
      </c>
      <c r="IX56" s="7">
        <v>45777</v>
      </c>
      <c r="IY56" s="7">
        <v>45808</v>
      </c>
      <c r="IZ56" s="7">
        <v>45838</v>
      </c>
      <c r="JA56" s="7">
        <v>45869</v>
      </c>
      <c r="JB56" s="7">
        <v>45900</v>
      </c>
      <c r="JC56" s="7">
        <v>45930</v>
      </c>
      <c r="JD56" s="7">
        <v>45961</v>
      </c>
      <c r="JE56" s="7">
        <v>45991</v>
      </c>
      <c r="JF56" s="7">
        <v>46022</v>
      </c>
      <c r="JG56" s="7">
        <v>46053</v>
      </c>
      <c r="JH56" s="7">
        <v>46081</v>
      </c>
      <c r="JI56" s="10" t="s">
        <v>2</v>
      </c>
      <c r="JJ56" s="11" t="s">
        <v>3</v>
      </c>
      <c r="JK56" s="10" t="s">
        <v>4</v>
      </c>
      <c r="JL56" s="12" t="s">
        <v>5</v>
      </c>
      <c r="JM56" s="10" t="s">
        <v>6</v>
      </c>
      <c r="JN56" s="19">
        <f>JN29</f>
        <v>1.28</v>
      </c>
      <c r="LY56" s="1"/>
    </row>
    <row r="57" spans="1:337" x14ac:dyDescent="0.25">
      <c r="A57" s="4">
        <v>1</v>
      </c>
      <c r="B57" s="9">
        <f t="shared" ref="B57:BM57" ca="1" si="19">IF(B30="","",ABS(B30))</f>
        <v>1.964145929001182E-3</v>
      </c>
      <c r="C57" s="9">
        <f t="shared" ca="1" si="19"/>
        <v>1.5690796202184609E-2</v>
      </c>
      <c r="D57" s="9">
        <f t="shared" ca="1" si="19"/>
        <v>7.99830328707829E-3</v>
      </c>
      <c r="E57" s="9">
        <f t="shared" ca="1" si="19"/>
        <v>1.2000393878221383E-2</v>
      </c>
      <c r="F57" s="9">
        <f t="shared" ca="1" si="19"/>
        <v>1.4317667138075141E-3</v>
      </c>
      <c r="G57" s="9">
        <f t="shared" ca="1" si="19"/>
        <v>8.3046751064652646E-4</v>
      </c>
      <c r="H57" s="9">
        <f t="shared" ca="1" si="19"/>
        <v>1.4514203454545793E-2</v>
      </c>
      <c r="I57" s="9">
        <f t="shared" ca="1" si="19"/>
        <v>3.3220629261083712E-3</v>
      </c>
      <c r="J57" s="9">
        <f t="shared" ca="1" si="19"/>
        <v>8.7234371668873933E-3</v>
      </c>
      <c r="K57" s="9">
        <f t="shared" ca="1" si="19"/>
        <v>1.7754567595840376E-2</v>
      </c>
      <c r="L57" s="9">
        <f t="shared" ca="1" si="19"/>
        <v>9.7707113656624323E-3</v>
      </c>
      <c r="M57" s="9">
        <f t="shared" ca="1" si="19"/>
        <v>1.4178654812377234E-2</v>
      </c>
      <c r="N57" s="9">
        <f t="shared" ca="1" si="19"/>
        <v>1.3590155853910879E-3</v>
      </c>
      <c r="O57" s="9">
        <f t="shared" ca="1" si="19"/>
        <v>3.4282711150843692E-3</v>
      </c>
      <c r="P57" s="9">
        <f t="shared" ca="1" si="19"/>
        <v>8.5550979946094063E-3</v>
      </c>
      <c r="Q57" s="9">
        <f t="shared" ca="1" si="19"/>
        <v>3.7587247234899257E-3</v>
      </c>
      <c r="R57" s="9">
        <f t="shared" ca="1" si="19"/>
        <v>1.2430801185105311E-2</v>
      </c>
      <c r="S57" s="9">
        <f t="shared" ca="1" si="19"/>
        <v>9.4642988091031555E-5</v>
      </c>
      <c r="T57" s="9">
        <f t="shared" ca="1" si="19"/>
        <v>2.1466889488539698E-2</v>
      </c>
      <c r="U57" s="9">
        <f t="shared" ca="1" si="19"/>
        <v>1.1634546420593916E-2</v>
      </c>
      <c r="V57" s="9">
        <f t="shared" ca="1" si="19"/>
        <v>5.4585556519977096E-3</v>
      </c>
      <c r="W57" s="9">
        <f t="shared" ca="1" si="19"/>
        <v>3.0971317393064801E-3</v>
      </c>
      <c r="X57" s="9">
        <f t="shared" ca="1" si="19"/>
        <v>1.9001905096864835E-3</v>
      </c>
      <c r="Y57" s="9">
        <f t="shared" ca="1" si="19"/>
        <v>7.950818918069924E-4</v>
      </c>
      <c r="Z57" s="9">
        <f t="shared" ca="1" si="19"/>
        <v>2.3507508319152715E-3</v>
      </c>
      <c r="AA57" s="9">
        <f t="shared" ca="1" si="19"/>
        <v>2.5822836330435806E-4</v>
      </c>
      <c r="AB57" s="9">
        <f t="shared" ca="1" si="19"/>
        <v>6.0008630939909491E-3</v>
      </c>
      <c r="AC57" s="9">
        <f t="shared" ca="1" si="19"/>
        <v>1.1518322010199089E-2</v>
      </c>
      <c r="AD57" s="9">
        <f t="shared" ca="1" si="19"/>
        <v>6.721309054441571E-3</v>
      </c>
      <c r="AE57" s="9">
        <f t="shared" ca="1" si="19"/>
        <v>5.4673248984258294E-3</v>
      </c>
      <c r="AF57" s="9">
        <f t="shared" ca="1" si="19"/>
        <v>3.0691928187355222E-3</v>
      </c>
      <c r="AG57" s="9">
        <f t="shared" ca="1" si="19"/>
        <v>2.1550879863583283E-3</v>
      </c>
      <c r="AH57" s="9">
        <f t="shared" ca="1" si="19"/>
        <v>1.0662701980854949E-2</v>
      </c>
      <c r="AI57" s="9">
        <f t="shared" ca="1" si="19"/>
        <v>1.1887324624983764E-2</v>
      </c>
      <c r="AJ57" s="9">
        <f t="shared" ca="1" si="19"/>
        <v>9.3310311850764993E-3</v>
      </c>
      <c r="AK57" s="9">
        <f t="shared" ca="1" si="19"/>
        <v>5.8907609623466417E-3</v>
      </c>
      <c r="AL57" s="9">
        <f t="shared" ca="1" si="19"/>
        <v>2.0587037063872771E-3</v>
      </c>
      <c r="AM57" s="9">
        <f t="shared" ca="1" si="19"/>
        <v>1.3959385543702574E-3</v>
      </c>
      <c r="AN57" s="9">
        <f t="shared" ca="1" si="19"/>
        <v>8.8218079981730035E-3</v>
      </c>
      <c r="AO57" s="9">
        <f t="shared" ca="1" si="19"/>
        <v>1.1167917313918307E-2</v>
      </c>
      <c r="AP57" s="9">
        <f t="shared" ca="1" si="19"/>
        <v>1.2230672618641636E-2</v>
      </c>
      <c r="AQ57" s="9">
        <f t="shared" ca="1" si="19"/>
        <v>1.8935778612777177E-2</v>
      </c>
      <c r="AR57" s="9">
        <f t="shared" ca="1" si="19"/>
        <v>1.0554381467145491E-2</v>
      </c>
      <c r="AS57" s="9">
        <f t="shared" ca="1" si="19"/>
        <v>1.5510181517938704E-2</v>
      </c>
      <c r="AT57" s="9">
        <f t="shared" ca="1" si="19"/>
        <v>4.4876164164757704E-3</v>
      </c>
      <c r="AU57" s="9">
        <f t="shared" ca="1" si="19"/>
        <v>4.1590362355730104E-3</v>
      </c>
      <c r="AV57" s="9">
        <f t="shared" ca="1" si="19"/>
        <v>1.7266529698181099E-3</v>
      </c>
      <c r="AW57" s="9">
        <f t="shared" ca="1" si="19"/>
        <v>1.3735894859003506E-2</v>
      </c>
      <c r="AX57" s="9">
        <f t="shared" ca="1" si="19"/>
        <v>3.1417731098934532E-2</v>
      </c>
      <c r="AY57" s="9">
        <f t="shared" ca="1" si="19"/>
        <v>2.7572267349016744E-2</v>
      </c>
      <c r="AZ57" s="9">
        <f t="shared" ca="1" si="19"/>
        <v>2.91312653068454E-3</v>
      </c>
      <c r="BA57" s="9">
        <f t="shared" ca="1" si="19"/>
        <v>3.0526273409062221E-2</v>
      </c>
      <c r="BB57" s="9">
        <f t="shared" ca="1" si="19"/>
        <v>2.5152172085600721E-2</v>
      </c>
      <c r="BC57" s="9">
        <f t="shared" ca="1" si="19"/>
        <v>1.3021696363329061E-2</v>
      </c>
      <c r="BD57" s="9">
        <f t="shared" ca="1" si="19"/>
        <v>6.6673459015553771E-3</v>
      </c>
      <c r="BE57" s="9">
        <f t="shared" ca="1" si="19"/>
        <v>1.4497689040400163E-2</v>
      </c>
      <c r="BF57" s="9">
        <f t="shared" ca="1" si="19"/>
        <v>1.9299497592013215E-2</v>
      </c>
      <c r="BG57" s="9">
        <f t="shared" ca="1" si="19"/>
        <v>3.2283561010163608E-2</v>
      </c>
      <c r="BH57" s="9">
        <f t="shared" ca="1" si="19"/>
        <v>2.4041059298685385E-2</v>
      </c>
      <c r="BI57" s="9">
        <f t="shared" ca="1" si="19"/>
        <v>4.8585098331133114E-3</v>
      </c>
      <c r="BJ57" s="9">
        <f t="shared" ca="1" si="19"/>
        <v>1.2930628762142238E-3</v>
      </c>
      <c r="BK57" s="9">
        <f t="shared" ca="1" si="19"/>
        <v>1.027503961951437E-2</v>
      </c>
      <c r="BL57" s="9">
        <f t="shared" ca="1" si="19"/>
        <v>4.6353329000888843E-3</v>
      </c>
      <c r="BM57" s="9">
        <f t="shared" ca="1" si="19"/>
        <v>1.2792967012040135E-2</v>
      </c>
      <c r="BN57" s="9">
        <f t="shared" ref="BN57:DY57" ca="1" si="20">IF(BN30="","",ABS(BN30))</f>
        <v>2.1357644457458802E-2</v>
      </c>
      <c r="BO57" s="9">
        <f t="shared" ca="1" si="20"/>
        <v>3.2344957843817967E-2</v>
      </c>
      <c r="BP57" s="9">
        <f t="shared" ca="1" si="20"/>
        <v>2.0831354593563223E-2</v>
      </c>
      <c r="BQ57" s="9">
        <f t="shared" ca="1" si="20"/>
        <v>1.6544291366125119E-3</v>
      </c>
      <c r="BR57" s="9">
        <f t="shared" ca="1" si="20"/>
        <v>7.80737293708611E-3</v>
      </c>
      <c r="BS57" s="9">
        <f t="shared" ca="1" si="20"/>
        <v>6.6641826227678003E-3</v>
      </c>
      <c r="BT57" s="9">
        <f t="shared" ca="1" si="20"/>
        <v>1.3504318831224937E-2</v>
      </c>
      <c r="BU57" s="9">
        <f t="shared" ca="1" si="20"/>
        <v>1.6941449623220084E-3</v>
      </c>
      <c r="BV57" s="9">
        <f t="shared" ca="1" si="20"/>
        <v>4.0975255588662218E-3</v>
      </c>
      <c r="BW57" s="9">
        <f t="shared" ca="1" si="20"/>
        <v>6.792086371816719E-3</v>
      </c>
      <c r="BX57" s="9">
        <f t="shared" ca="1" si="20"/>
        <v>6.9939453274991958E-4</v>
      </c>
      <c r="BY57" s="9">
        <f t="shared" ca="1" si="20"/>
        <v>7.6853817171294025E-3</v>
      </c>
      <c r="BZ57" s="9">
        <f t="shared" ca="1" si="20"/>
        <v>8.8756256035005254E-3</v>
      </c>
      <c r="CA57" s="9">
        <f t="shared" ca="1" si="20"/>
        <v>1.1877623726840092E-2</v>
      </c>
      <c r="CB57" s="9">
        <f t="shared" ca="1" si="20"/>
        <v>9.5765564087662014E-3</v>
      </c>
      <c r="CC57" s="9">
        <f t="shared" ca="1" si="20"/>
        <v>1.0450607577267235E-2</v>
      </c>
      <c r="CD57" s="9">
        <f t="shared" ca="1" si="20"/>
        <v>4.8528026956484727E-3</v>
      </c>
      <c r="CE57" s="9">
        <f t="shared" ca="1" si="20"/>
        <v>2.4425768947982096E-3</v>
      </c>
      <c r="CF57" s="9">
        <f t="shared" ca="1" si="20"/>
        <v>8.4195073990940283E-3</v>
      </c>
      <c r="CG57" s="9">
        <f t="shared" ca="1" si="20"/>
        <v>7.8569170156763679E-3</v>
      </c>
      <c r="CH57" s="9">
        <f t="shared" ca="1" si="20"/>
        <v>1.2871573828259542E-2</v>
      </c>
      <c r="CI57" s="9">
        <f t="shared" ca="1" si="20"/>
        <v>5.4780526805141561E-3</v>
      </c>
      <c r="CJ57" s="9">
        <f t="shared" ca="1" si="20"/>
        <v>7.6687072736590922E-3</v>
      </c>
      <c r="CK57" s="9">
        <f t="shared" ca="1" si="20"/>
        <v>1.0094117431907801E-2</v>
      </c>
      <c r="CL57" s="9">
        <f t="shared" ca="1" si="20"/>
        <v>8.8479847008748891E-4</v>
      </c>
      <c r="CM57" s="9">
        <f t="shared" ca="1" si="20"/>
        <v>1.987059984979167E-3</v>
      </c>
      <c r="CN57" s="9">
        <f t="shared" ca="1" si="20"/>
        <v>3.1651424074963241E-4</v>
      </c>
      <c r="CO57" s="9">
        <f t="shared" ca="1" si="20"/>
        <v>2.0145447967431229E-3</v>
      </c>
      <c r="CP57" s="9">
        <f t="shared" ca="1" si="20"/>
        <v>1.4892297804832921E-2</v>
      </c>
      <c r="CQ57" s="9">
        <f t="shared" ca="1" si="20"/>
        <v>1.0100853968658341E-2</v>
      </c>
      <c r="CR57" s="9">
        <f t="shared" ca="1" si="20"/>
        <v>7.2606806387363054E-3</v>
      </c>
      <c r="CS57" s="9">
        <f t="shared" ca="1" si="20"/>
        <v>7.7553523363571575E-3</v>
      </c>
      <c r="CT57" s="9">
        <f t="shared" ca="1" si="20"/>
        <v>1.4801616082259272E-2</v>
      </c>
      <c r="CU57" s="9">
        <f t="shared" ca="1" si="20"/>
        <v>5.436844445054545E-3</v>
      </c>
      <c r="CV57" s="9">
        <f t="shared" ca="1" si="20"/>
        <v>1.3833625963611818E-3</v>
      </c>
      <c r="CW57" s="9">
        <f t="shared" ca="1" si="20"/>
        <v>3.9045833710119604E-3</v>
      </c>
      <c r="CX57" s="9">
        <f t="shared" ca="1" si="20"/>
        <v>3.7877497236984414E-3</v>
      </c>
      <c r="CY57" s="9">
        <f t="shared" ca="1" si="20"/>
        <v>1.6181420804160185E-2</v>
      </c>
      <c r="CZ57" s="9">
        <f t="shared" ca="1" si="20"/>
        <v>2.7670460698676624E-3</v>
      </c>
      <c r="DA57" s="9">
        <f t="shared" ca="1" si="20"/>
        <v>5.638186064896189E-3</v>
      </c>
      <c r="DB57" s="9">
        <f t="shared" ca="1" si="20"/>
        <v>4.701457995715641E-3</v>
      </c>
      <c r="DC57" s="9">
        <f t="shared" ca="1" si="20"/>
        <v>3.851015836071281E-3</v>
      </c>
      <c r="DD57" s="9">
        <f t="shared" ca="1" si="20"/>
        <v>6.6428967865839184E-4</v>
      </c>
      <c r="DE57" s="9">
        <f t="shared" ca="1" si="20"/>
        <v>1.8035178659713491E-2</v>
      </c>
      <c r="DF57" s="9">
        <f t="shared" ca="1" si="20"/>
        <v>6.2921251358982744E-5</v>
      </c>
      <c r="DG57" s="9">
        <f t="shared" ca="1" si="20"/>
        <v>8.6523553241457662E-5</v>
      </c>
      <c r="DH57" s="9">
        <f t="shared" ca="1" si="20"/>
        <v>2.6618983132085106E-3</v>
      </c>
      <c r="DI57" s="9">
        <f t="shared" ca="1" si="20"/>
        <v>1.0196962987778502E-3</v>
      </c>
      <c r="DJ57" s="9">
        <f t="shared" ca="1" si="20"/>
        <v>3.1802790871331421E-3</v>
      </c>
      <c r="DK57" s="9">
        <f t="shared" ca="1" si="20"/>
        <v>6.5628126743539905E-3</v>
      </c>
      <c r="DL57" s="9">
        <f t="shared" ca="1" si="20"/>
        <v>7.5906849641005358E-4</v>
      </c>
      <c r="DM57" s="9">
        <f t="shared" ca="1" si="20"/>
        <v>3.674748573422093E-3</v>
      </c>
      <c r="DN57" s="9">
        <f t="shared" ca="1" si="20"/>
        <v>1.4782406644813229E-3</v>
      </c>
      <c r="DO57" s="9">
        <f t="shared" ca="1" si="20"/>
        <v>2.1873445193127949E-3</v>
      </c>
      <c r="DP57" s="9">
        <f t="shared" ca="1" si="20"/>
        <v>9.0358897409552608E-3</v>
      </c>
      <c r="DQ57" s="9">
        <f t="shared" ca="1" si="20"/>
        <v>1.2813543093901369E-2</v>
      </c>
      <c r="DR57" s="9">
        <f t="shared" ca="1" si="20"/>
        <v>7.3118319609813964E-3</v>
      </c>
      <c r="DS57" s="9">
        <f t="shared" ca="1" si="20"/>
        <v>5.536391194479684E-3</v>
      </c>
      <c r="DT57" s="9">
        <f t="shared" ca="1" si="20"/>
        <v>6.3489926583515377E-3</v>
      </c>
      <c r="DU57" s="9">
        <f t="shared" ca="1" si="20"/>
        <v>5.51199076256359E-3</v>
      </c>
      <c r="DV57" s="9">
        <f t="shared" ca="1" si="20"/>
        <v>1.8694123152744879E-3</v>
      </c>
      <c r="DW57" s="9">
        <f t="shared" ca="1" si="20"/>
        <v>2.8852223226997209E-3</v>
      </c>
      <c r="DX57" s="9">
        <f t="shared" ca="1" si="20"/>
        <v>1.1070769802502545E-2</v>
      </c>
      <c r="DY57" s="9">
        <f t="shared" ca="1" si="20"/>
        <v>1.5998797611749271E-3</v>
      </c>
      <c r="DZ57" s="9">
        <f t="shared" ref="DZ57:GK57" ca="1" si="21">IF(DZ30="","",ABS(DZ30))</f>
        <v>4.4518681118743686E-4</v>
      </c>
      <c r="EA57" s="9">
        <f t="shared" ca="1" si="21"/>
        <v>2.3939270811079716E-4</v>
      </c>
      <c r="EB57" s="9">
        <f t="shared" ca="1" si="21"/>
        <v>9.4953006504336912E-3</v>
      </c>
      <c r="EC57" s="9">
        <f t="shared" ca="1" si="21"/>
        <v>2.001446355026637E-5</v>
      </c>
      <c r="ED57" s="9">
        <f t="shared" ca="1" si="21"/>
        <v>6.035567224544458E-3</v>
      </c>
      <c r="EE57" s="9">
        <f t="shared" ca="1" si="21"/>
        <v>3.5433384486189823E-3</v>
      </c>
      <c r="EF57" s="9">
        <f t="shared" ca="1" si="21"/>
        <v>2.3536504215284637E-3</v>
      </c>
      <c r="EG57" s="9">
        <f t="shared" ca="1" si="21"/>
        <v>1.2446155352139332E-3</v>
      </c>
      <c r="EH57" s="9">
        <f t="shared" ca="1" si="21"/>
        <v>3.7957314099288375E-3</v>
      </c>
      <c r="EI57" s="9">
        <f t="shared" ca="1" si="21"/>
        <v>9.4597607632888048E-3</v>
      </c>
      <c r="EJ57" s="9">
        <f t="shared" ca="1" si="21"/>
        <v>5.815138882353299E-3</v>
      </c>
      <c r="EK57" s="9">
        <f t="shared" ca="1" si="21"/>
        <v>7.0698539923743642E-3</v>
      </c>
      <c r="EL57" s="9">
        <f t="shared" ca="1" si="21"/>
        <v>2.9961735797109368E-3</v>
      </c>
      <c r="EM57" s="9">
        <f t="shared" ca="1" si="21"/>
        <v>1.9227458979057532E-3</v>
      </c>
      <c r="EN57" s="9">
        <f t="shared" ca="1" si="21"/>
        <v>9.1091970635339692E-3</v>
      </c>
      <c r="EO57" s="9">
        <f t="shared" ca="1" si="21"/>
        <v>1.5093035735136429E-3</v>
      </c>
      <c r="EP57" s="9">
        <f t="shared" ca="1" si="21"/>
        <v>6.6709806536413563E-3</v>
      </c>
      <c r="EQ57" s="9">
        <f t="shared" ca="1" si="21"/>
        <v>3.3407838584520455E-3</v>
      </c>
      <c r="ER57" s="9">
        <f t="shared" ca="1" si="21"/>
        <v>3.1287923351919211E-4</v>
      </c>
      <c r="ES57" s="9">
        <f t="shared" ca="1" si="21"/>
        <v>4.884430513161564E-3</v>
      </c>
      <c r="ET57" s="9">
        <f t="shared" ca="1" si="21"/>
        <v>5.2977867411896362E-4</v>
      </c>
      <c r="EU57" s="9">
        <f t="shared" ca="1" si="21"/>
        <v>6.9420695337940597E-3</v>
      </c>
      <c r="EV57" s="9">
        <f t="shared" ca="1" si="21"/>
        <v>3.0459453724851482E-3</v>
      </c>
      <c r="EW57" s="9">
        <f t="shared" ca="1" si="21"/>
        <v>3.0695443803030464E-3</v>
      </c>
      <c r="EX57" s="9">
        <f t="shared" ca="1" si="21"/>
        <v>1.9578020044965783E-3</v>
      </c>
      <c r="EY57" s="9">
        <f t="shared" ca="1" si="21"/>
        <v>5.43668712952039E-3</v>
      </c>
      <c r="EZ57" s="9">
        <f t="shared" ca="1" si="21"/>
        <v>1.1667573863507807E-2</v>
      </c>
      <c r="FA57" s="9">
        <f t="shared" ca="1" si="21"/>
        <v>9.3201628718164731E-3</v>
      </c>
      <c r="FB57" s="9">
        <f t="shared" ca="1" si="21"/>
        <v>3.7521664572119917E-3</v>
      </c>
      <c r="FC57" s="9">
        <f t="shared" ca="1" si="21"/>
        <v>2.7139995840919084E-5</v>
      </c>
      <c r="FD57" s="9">
        <f t="shared" ca="1" si="21"/>
        <v>6.9235925377997276E-5</v>
      </c>
      <c r="FE57" s="9">
        <f t="shared" ca="1" si="21"/>
        <v>8.2225145210859107E-3</v>
      </c>
      <c r="FF57" s="9">
        <f t="shared" ca="1" si="21"/>
        <v>3.3204241385880184E-3</v>
      </c>
      <c r="FG57" s="9">
        <f t="shared" ca="1" si="21"/>
        <v>9.2646650877371561E-3</v>
      </c>
      <c r="FH57" s="9">
        <f t="shared" ca="1" si="21"/>
        <v>1.3008860696941071E-2</v>
      </c>
      <c r="FI57" s="9">
        <f t="shared" ca="1" si="21"/>
        <v>6.635817377848241E-3</v>
      </c>
      <c r="FJ57" s="9">
        <f t="shared" ca="1" si="21"/>
        <v>4.6851661211559925E-3</v>
      </c>
      <c r="FK57" s="9">
        <f t="shared" ca="1" si="21"/>
        <v>4.6809607049111968E-3</v>
      </c>
      <c r="FL57" s="9">
        <f t="shared" ca="1" si="21"/>
        <v>3.8167634764150193E-3</v>
      </c>
      <c r="FM57" s="9">
        <f t="shared" ca="1" si="21"/>
        <v>1.6707875046920728E-3</v>
      </c>
      <c r="FN57" s="9">
        <f t="shared" ca="1" si="21"/>
        <v>2.4756891753794363E-3</v>
      </c>
      <c r="FO57" s="9">
        <f t="shared" ca="1" si="21"/>
        <v>1.8076476049511125E-3</v>
      </c>
      <c r="FP57" s="9">
        <f t="shared" ca="1" si="21"/>
        <v>1.6001746342328982E-3</v>
      </c>
      <c r="FQ57" s="9">
        <f t="shared" ca="1" si="21"/>
        <v>8.8800635290442465E-4</v>
      </c>
      <c r="FR57" s="9">
        <f t="shared" ca="1" si="21"/>
        <v>5.5782350197915997E-3</v>
      </c>
      <c r="FS57" s="9">
        <f t="shared" ca="1" si="21"/>
        <v>2.3990618156013443E-3</v>
      </c>
      <c r="FT57" s="9">
        <f t="shared" ca="1" si="21"/>
        <v>4.5095269752852829E-3</v>
      </c>
      <c r="FU57" s="9">
        <f t="shared" ca="1" si="21"/>
        <v>1.8033540385348212E-3</v>
      </c>
      <c r="FV57" s="9">
        <f t="shared" ca="1" si="21"/>
        <v>6.7371782425691418E-3</v>
      </c>
      <c r="FW57" s="9">
        <f t="shared" ca="1" si="21"/>
        <v>3.5664592740227707E-3</v>
      </c>
      <c r="FX57" s="9">
        <f t="shared" ca="1" si="21"/>
        <v>2.8745067596249729E-3</v>
      </c>
      <c r="FY57" s="9">
        <f t="shared" ca="1" si="21"/>
        <v>3.3714847921983981E-3</v>
      </c>
      <c r="FZ57" s="9">
        <f t="shared" ca="1" si="21"/>
        <v>2.5108814029504156E-3</v>
      </c>
      <c r="GA57" s="9">
        <f t="shared" ca="1" si="21"/>
        <v>6.6752892789390117E-4</v>
      </c>
      <c r="GB57" s="9">
        <f t="shared" ca="1" si="21"/>
        <v>9.786609831767823E-4</v>
      </c>
      <c r="GC57" s="9">
        <f t="shared" ca="1" si="21"/>
        <v>4.5941901422379416E-3</v>
      </c>
      <c r="GD57" s="9">
        <f t="shared" ca="1" si="21"/>
        <v>3.3942543422471605E-4</v>
      </c>
      <c r="GE57" s="9">
        <f t="shared" ca="1" si="21"/>
        <v>8.9995787387968651E-3</v>
      </c>
      <c r="GF57" s="9">
        <f t="shared" ca="1" si="21"/>
        <v>7.5080125652545737E-3</v>
      </c>
      <c r="GG57" s="9">
        <f t="shared" ca="1" si="21"/>
        <v>1.4907983053391582E-4</v>
      </c>
      <c r="GH57" s="9">
        <f t="shared" ca="1" si="21"/>
        <v>7.844094530751855E-3</v>
      </c>
      <c r="GI57" s="9">
        <f t="shared" ca="1" si="21"/>
        <v>1.1404078381328842E-2</v>
      </c>
      <c r="GJ57" s="9">
        <f t="shared" ca="1" si="21"/>
        <v>4.1771120858100641E-3</v>
      </c>
      <c r="GK57" s="9">
        <f t="shared" ca="1" si="21"/>
        <v>2.2984663265046557E-3</v>
      </c>
      <c r="GL57" s="9">
        <f t="shared" ref="GL57:IW57" ca="1" si="22">IF(GL30="","",ABS(GL30))</f>
        <v>3.5139900241731858E-4</v>
      </c>
      <c r="GM57" s="9">
        <f t="shared" ca="1" si="22"/>
        <v>8.6965757490278239E-3</v>
      </c>
      <c r="GN57" s="9">
        <f t="shared" ca="1" si="22"/>
        <v>9.5087221557051405E-2</v>
      </c>
      <c r="GO57" s="9">
        <f t="shared" ca="1" si="22"/>
        <v>7.8842780922762756E-2</v>
      </c>
      <c r="GP57" s="9">
        <f t="shared" ca="1" si="22"/>
        <v>3.0179664613071422E-2</v>
      </c>
      <c r="GQ57" s="9">
        <f t="shared" ca="1" si="22"/>
        <v>1.839830966938738E-4</v>
      </c>
      <c r="GR57" s="9">
        <f t="shared" ca="1" si="22"/>
        <v>3.6795403255119208E-2</v>
      </c>
      <c r="GS57" s="9">
        <f t="shared" ca="1" si="22"/>
        <v>1.8474362137243183E-2</v>
      </c>
      <c r="GT57" s="9">
        <f t="shared" ca="1" si="22"/>
        <v>2.3600823909286195E-2</v>
      </c>
      <c r="GU57" s="9">
        <f t="shared" ca="1" si="22"/>
        <v>1.5817463144738309E-3</v>
      </c>
      <c r="GV57" s="9">
        <f t="shared" ca="1" si="22"/>
        <v>4.6487952376181862E-3</v>
      </c>
      <c r="GW57" s="9">
        <f t="shared" ca="1" si="22"/>
        <v>1.7315344602856109E-2</v>
      </c>
      <c r="GX57" s="9">
        <f t="shared" ca="1" si="22"/>
        <v>1.2563061378426443E-2</v>
      </c>
      <c r="GY57" s="9" t="str">
        <f t="shared" ca="1" si="22"/>
        <v/>
      </c>
      <c r="GZ57" s="9" t="str">
        <f t="shared" ca="1" si="22"/>
        <v/>
      </c>
      <c r="HA57" s="9" t="str">
        <f t="shared" ca="1" si="22"/>
        <v/>
      </c>
      <c r="HB57" s="9" t="str">
        <f t="shared" ca="1" si="22"/>
        <v/>
      </c>
      <c r="HC57" s="9" t="str">
        <f t="shared" ca="1" si="22"/>
        <v/>
      </c>
      <c r="HD57" s="9" t="str">
        <f t="shared" ca="1" si="22"/>
        <v/>
      </c>
      <c r="HE57" s="9" t="str">
        <f t="shared" ca="1" si="22"/>
        <v/>
      </c>
      <c r="HF57" s="9" t="str">
        <f t="shared" ca="1" si="22"/>
        <v/>
      </c>
      <c r="HG57" s="9" t="str">
        <f t="shared" ca="1" si="22"/>
        <v/>
      </c>
      <c r="HH57" s="9" t="str">
        <f t="shared" ca="1" si="22"/>
        <v/>
      </c>
      <c r="HI57" s="9" t="str">
        <f t="shared" ca="1" si="22"/>
        <v/>
      </c>
      <c r="HJ57" s="9" t="str">
        <f t="shared" ca="1" si="22"/>
        <v/>
      </c>
      <c r="HK57" s="9" t="str">
        <f t="shared" ca="1" si="22"/>
        <v/>
      </c>
      <c r="HL57" s="9" t="str">
        <f t="shared" ca="1" si="22"/>
        <v/>
      </c>
      <c r="HM57" s="9" t="str">
        <f t="shared" ca="1" si="22"/>
        <v/>
      </c>
      <c r="HN57" s="9" t="str">
        <f t="shared" ca="1" si="22"/>
        <v/>
      </c>
      <c r="HO57" s="9" t="str">
        <f t="shared" ca="1" si="22"/>
        <v/>
      </c>
      <c r="HP57" s="9" t="str">
        <f t="shared" ca="1" si="22"/>
        <v/>
      </c>
      <c r="HQ57" s="9" t="str">
        <f t="shared" ca="1" si="22"/>
        <v/>
      </c>
      <c r="HR57" s="9" t="str">
        <f t="shared" ca="1" si="22"/>
        <v/>
      </c>
      <c r="HS57" s="9" t="str">
        <f t="shared" ca="1" si="22"/>
        <v/>
      </c>
      <c r="HT57" s="9" t="str">
        <f t="shared" ca="1" si="22"/>
        <v/>
      </c>
      <c r="HU57" s="9" t="str">
        <f t="shared" ca="1" si="22"/>
        <v/>
      </c>
      <c r="HV57" s="9" t="str">
        <f t="shared" ca="1" si="22"/>
        <v/>
      </c>
      <c r="HW57" s="9" t="str">
        <f t="shared" ca="1" si="22"/>
        <v/>
      </c>
      <c r="HX57" s="9" t="str">
        <f t="shared" ca="1" si="22"/>
        <v/>
      </c>
      <c r="HY57" s="9" t="str">
        <f t="shared" ca="1" si="22"/>
        <v/>
      </c>
      <c r="HZ57" s="9" t="str">
        <f t="shared" ca="1" si="22"/>
        <v/>
      </c>
      <c r="IA57" s="9" t="str">
        <f t="shared" ca="1" si="22"/>
        <v/>
      </c>
      <c r="IB57" s="9" t="str">
        <f t="shared" ca="1" si="22"/>
        <v/>
      </c>
      <c r="IC57" s="9" t="str">
        <f t="shared" ca="1" si="22"/>
        <v/>
      </c>
      <c r="ID57" s="9" t="str">
        <f t="shared" ca="1" si="22"/>
        <v/>
      </c>
      <c r="IE57" s="9" t="str">
        <f t="shared" ca="1" si="22"/>
        <v/>
      </c>
      <c r="IF57" s="9" t="str">
        <f t="shared" ca="1" si="22"/>
        <v/>
      </c>
      <c r="IG57" s="9" t="str">
        <f t="shared" ca="1" si="22"/>
        <v/>
      </c>
      <c r="IH57" s="9" t="str">
        <f t="shared" ca="1" si="22"/>
        <v/>
      </c>
      <c r="II57" s="9" t="str">
        <f t="shared" ca="1" si="22"/>
        <v/>
      </c>
      <c r="IJ57" s="9" t="str">
        <f t="shared" ca="1" si="22"/>
        <v/>
      </c>
      <c r="IK57" s="9" t="str">
        <f t="shared" ca="1" si="22"/>
        <v/>
      </c>
      <c r="IL57" s="9" t="str">
        <f t="shared" ca="1" si="22"/>
        <v/>
      </c>
      <c r="IM57" s="9" t="str">
        <f t="shared" ca="1" si="22"/>
        <v/>
      </c>
      <c r="IN57" s="9" t="str">
        <f t="shared" ca="1" si="22"/>
        <v/>
      </c>
      <c r="IO57" s="9" t="str">
        <f t="shared" ca="1" si="22"/>
        <v/>
      </c>
      <c r="IP57" s="9" t="str">
        <f t="shared" ca="1" si="22"/>
        <v/>
      </c>
      <c r="IQ57" s="9" t="str">
        <f t="shared" ca="1" si="22"/>
        <v/>
      </c>
      <c r="IR57" s="9" t="str">
        <f t="shared" ca="1" si="22"/>
        <v/>
      </c>
      <c r="IS57" s="9" t="str">
        <f t="shared" ca="1" si="22"/>
        <v/>
      </c>
      <c r="IT57" s="9" t="str">
        <f t="shared" ca="1" si="22"/>
        <v/>
      </c>
      <c r="IU57" s="9" t="str">
        <f t="shared" ca="1" si="22"/>
        <v/>
      </c>
      <c r="IV57" s="9" t="str">
        <f t="shared" ca="1" si="22"/>
        <v/>
      </c>
      <c r="IW57" s="9" t="str">
        <f t="shared" ca="1" si="22"/>
        <v/>
      </c>
      <c r="IX57" s="9" t="str">
        <f t="shared" ref="IX57:JH57" ca="1" si="23">IF(IX30="","",ABS(IX30))</f>
        <v/>
      </c>
      <c r="IY57" s="9" t="str">
        <f t="shared" ca="1" si="23"/>
        <v/>
      </c>
      <c r="IZ57" s="9" t="str">
        <f t="shared" ca="1" si="23"/>
        <v/>
      </c>
      <c r="JA57" s="9" t="str">
        <f t="shared" ca="1" si="23"/>
        <v/>
      </c>
      <c r="JB57" s="9" t="str">
        <f t="shared" ca="1" si="23"/>
        <v/>
      </c>
      <c r="JC57" s="9" t="str">
        <f t="shared" ca="1" si="23"/>
        <v/>
      </c>
      <c r="JD57" s="9" t="str">
        <f t="shared" ca="1" si="23"/>
        <v/>
      </c>
      <c r="JE57" s="9" t="str">
        <f t="shared" ca="1" si="23"/>
        <v/>
      </c>
      <c r="JF57" s="9" t="str">
        <f t="shared" ca="1" si="23"/>
        <v/>
      </c>
      <c r="JG57" s="9" t="str">
        <f t="shared" ca="1" si="23"/>
        <v/>
      </c>
      <c r="JH57" s="9" t="str">
        <f t="shared" ca="1" si="23"/>
        <v/>
      </c>
      <c r="JI57" s="13">
        <f t="shared" ref="JI57:JI68" ca="1" si="24">AVERAGE(OFFSET($B57,0,Inicio-1,1,Amplitud))</f>
        <v>1.2103531894001325E-2</v>
      </c>
      <c r="JJ57" s="13">
        <f t="shared" ref="JJ57:JJ68" ca="1" si="25">MEDIAN(OFFSET($B57,0,Inicio-1,1,Amplitud))</f>
        <v>4.5518585587616123E-3</v>
      </c>
      <c r="JK57" s="14">
        <f t="shared" ref="JK57:JK68" ca="1" si="26">VARP(OFFSET($B57,0,Inicio-1,1,Amplitud))</f>
        <v>4.2697355860233678E-4</v>
      </c>
      <c r="JL57" s="17">
        <f ca="1">SQRT(JK57)</f>
        <v>2.0663338515407834E-2</v>
      </c>
      <c r="JM57" s="15" t="str">
        <f t="shared" ref="JM57:JM68" ca="1" si="27">CONCATENATE("[ ",TEXT(JI57-2*JL57,"0,00%")," ; ",TEXT(JI57+2*JL57,"0,00%")," ]")</f>
        <v>[ -2,92% ; 5,34% ]</v>
      </c>
      <c r="JN57" s="17">
        <f t="shared" ref="JN57:JN68" ca="1" si="28">JL57*JN$29</f>
        <v>2.6449073299722028E-2</v>
      </c>
      <c r="LY57" s="1"/>
    </row>
    <row r="58" spans="1:337" x14ac:dyDescent="0.25">
      <c r="A58" s="4">
        <v>2</v>
      </c>
      <c r="B58" s="9">
        <f t="shared" ref="B58:BM58" ca="1" si="29">IF(B31="","",ABS(B31))</f>
        <v>1.754185958289689E-2</v>
      </c>
      <c r="C58" s="9">
        <f t="shared" ca="1" si="29"/>
        <v>1.6652705831112113E-2</v>
      </c>
      <c r="D58" s="9">
        <f t="shared" ca="1" si="29"/>
        <v>8.2289307726428618E-3</v>
      </c>
      <c r="E58" s="9">
        <f t="shared" ca="1" si="29"/>
        <v>1.5859507516126081E-3</v>
      </c>
      <c r="F58" s="9">
        <f t="shared" ca="1" si="29"/>
        <v>1.838697586179272E-3</v>
      </c>
      <c r="G58" s="9">
        <f t="shared" ca="1" si="29"/>
        <v>1.4925755436226762E-2</v>
      </c>
      <c r="H58" s="9">
        <f t="shared" ca="1" si="29"/>
        <v>9.002127122298198E-3</v>
      </c>
      <c r="I58" s="9">
        <f t="shared" ca="1" si="29"/>
        <v>9.6003194464016062E-3</v>
      </c>
      <c r="J58" s="9">
        <f t="shared" ca="1" si="29"/>
        <v>2.2740883850666194E-2</v>
      </c>
      <c r="K58" s="9">
        <f t="shared" ca="1" si="29"/>
        <v>1.6771870831879143E-2</v>
      </c>
      <c r="L58" s="9">
        <f t="shared" ca="1" si="29"/>
        <v>2.1557002634876588E-2</v>
      </c>
      <c r="M58" s="9">
        <f t="shared" ca="1" si="29"/>
        <v>1.2259927180806596E-2</v>
      </c>
      <c r="N58" s="9">
        <f t="shared" ca="1" si="29"/>
        <v>6.0046325639888654E-3</v>
      </c>
      <c r="O58" s="9">
        <f t="shared" ca="1" si="29"/>
        <v>4.5397833303133517E-3</v>
      </c>
      <c r="P58" s="9">
        <f t="shared" ca="1" si="29"/>
        <v>9.2250870230082826E-3</v>
      </c>
      <c r="Q58" s="9">
        <f t="shared" ca="1" si="29"/>
        <v>1.0524159362544028E-2</v>
      </c>
      <c r="R58" s="9">
        <f t="shared" ca="1" si="29"/>
        <v>9.2102590310207955E-3</v>
      </c>
      <c r="S58" s="9">
        <f t="shared" ca="1" si="29"/>
        <v>2.0911648402945016E-2</v>
      </c>
      <c r="T58" s="9">
        <f t="shared" ca="1" si="29"/>
        <v>2.4194673756127716E-2</v>
      </c>
      <c r="U58" s="9">
        <f t="shared" ca="1" si="29"/>
        <v>4.0103467176436647E-3</v>
      </c>
      <c r="V58" s="9">
        <f t="shared" ca="1" si="29"/>
        <v>8.3094910554222245E-3</v>
      </c>
      <c r="W58" s="9">
        <f t="shared" ca="1" si="29"/>
        <v>4.4786213974501443E-3</v>
      </c>
      <c r="X58" s="9">
        <f t="shared" ca="1" si="29"/>
        <v>2.3127722105504844E-3</v>
      </c>
      <c r="Y58" s="9">
        <f t="shared" ca="1" si="29"/>
        <v>1.4228392793218525E-3</v>
      </c>
      <c r="Z58" s="9">
        <f t="shared" ca="1" si="29"/>
        <v>1.4415780098602227E-3</v>
      </c>
      <c r="AA58" s="9">
        <f t="shared" ca="1" si="29"/>
        <v>5.8205921007675743E-3</v>
      </c>
      <c r="AB58" s="9">
        <f t="shared" ca="1" si="29"/>
        <v>6.3766219011649472E-3</v>
      </c>
      <c r="AC58" s="9">
        <f t="shared" ca="1" si="29"/>
        <v>1.39433045065398E-2</v>
      </c>
      <c r="AD58" s="9">
        <f t="shared" ca="1" si="29"/>
        <v>9.0279111914413068E-3</v>
      </c>
      <c r="AE58" s="9">
        <f t="shared" ca="1" si="29"/>
        <v>6.8810889029058409E-4</v>
      </c>
      <c r="AF58" s="9">
        <f t="shared" ca="1" si="29"/>
        <v>3.5791186737653691E-3</v>
      </c>
      <c r="AG58" s="9">
        <f t="shared" ca="1" si="29"/>
        <v>1.0633881521993294E-2</v>
      </c>
      <c r="AH58" s="9">
        <f t="shared" ca="1" si="29"/>
        <v>1.788705808163904E-2</v>
      </c>
      <c r="AI58" s="9">
        <f t="shared" ca="1" si="29"/>
        <v>1.7778575838682809E-2</v>
      </c>
      <c r="AJ58" s="9">
        <f t="shared" ca="1" si="29"/>
        <v>1.2148559057227004E-2</v>
      </c>
      <c r="AK58" s="9">
        <f t="shared" ca="1" si="29"/>
        <v>5.5837230959161488E-3</v>
      </c>
      <c r="AL58" s="9">
        <f t="shared" ca="1" si="29"/>
        <v>2.88350850073682E-3</v>
      </c>
      <c r="AM58" s="9">
        <f t="shared" ca="1" si="29"/>
        <v>8.8766229132259955E-3</v>
      </c>
      <c r="AN58" s="9">
        <f t="shared" ca="1" si="29"/>
        <v>1.8146004002780214E-2</v>
      </c>
      <c r="AO58" s="9">
        <f t="shared" ca="1" si="29"/>
        <v>2.265934839210082E-2</v>
      </c>
      <c r="AP58" s="9">
        <f t="shared" ca="1" si="29"/>
        <v>2.91050505165108E-2</v>
      </c>
      <c r="AQ58" s="9">
        <f t="shared" ca="1" si="29"/>
        <v>2.7590789324488885E-2</v>
      </c>
      <c r="AR58" s="9">
        <f t="shared" ca="1" si="29"/>
        <v>2.358161020616556E-2</v>
      </c>
      <c r="AS58" s="9">
        <f t="shared" ca="1" si="29"/>
        <v>1.029760036038041E-2</v>
      </c>
      <c r="AT58" s="9">
        <f t="shared" ca="1" si="29"/>
        <v>8.6442047247399234E-3</v>
      </c>
      <c r="AU58" s="9">
        <f t="shared" ca="1" si="29"/>
        <v>2.0287531912461798E-3</v>
      </c>
      <c r="AV58" s="9">
        <f t="shared" ca="1" si="29"/>
        <v>1.5048699480314842E-2</v>
      </c>
      <c r="AW58" s="9">
        <f t="shared" ca="1" si="29"/>
        <v>4.3075346600488285E-2</v>
      </c>
      <c r="AX58" s="9">
        <f t="shared" ca="1" si="29"/>
        <v>5.510143487021979E-2</v>
      </c>
      <c r="AY58" s="9">
        <f t="shared" ca="1" si="29"/>
        <v>3.1962309359949925E-2</v>
      </c>
      <c r="AZ58" s="9">
        <f t="shared" ca="1" si="29"/>
        <v>2.8193209755977389E-2</v>
      </c>
      <c r="BA58" s="9">
        <f t="shared" ca="1" si="29"/>
        <v>6.274652523795865E-2</v>
      </c>
      <c r="BB58" s="9">
        <f t="shared" ca="1" si="29"/>
        <v>4.2359340443260063E-2</v>
      </c>
      <c r="BC58" s="9">
        <f t="shared" ca="1" si="29"/>
        <v>5.2880512569233318E-3</v>
      </c>
      <c r="BD58" s="9">
        <f t="shared" ca="1" si="29"/>
        <v>1.6582914494631673E-2</v>
      </c>
      <c r="BE58" s="9">
        <f t="shared" ca="1" si="29"/>
        <v>2.8868920271990395E-2</v>
      </c>
      <c r="BF58" s="9">
        <f t="shared" ca="1" si="29"/>
        <v>5.408376321883257E-2</v>
      </c>
      <c r="BG58" s="9">
        <f t="shared" ca="1" si="29"/>
        <v>5.079376762831278E-2</v>
      </c>
      <c r="BH58" s="9">
        <f t="shared" ca="1" si="29"/>
        <v>3.37018365087699E-2</v>
      </c>
      <c r="BI58" s="9">
        <f t="shared" ca="1" si="29"/>
        <v>1.4216380853568356E-2</v>
      </c>
      <c r="BJ58" s="9">
        <f t="shared" ca="1" si="29"/>
        <v>6.7680378016731213E-3</v>
      </c>
      <c r="BK58" s="9">
        <f t="shared" ca="1" si="29"/>
        <v>1.7261331743944175E-2</v>
      </c>
      <c r="BL58" s="9">
        <f t="shared" ca="1" si="29"/>
        <v>6.2503637085538077E-3</v>
      </c>
      <c r="BM58" s="9">
        <f t="shared" ca="1" si="29"/>
        <v>3.8517381062533662E-2</v>
      </c>
      <c r="BN58" s="9">
        <f t="shared" ref="BN58:DY58" ca="1" si="30">IF(BN31="","",ABS(BN31))</f>
        <v>6.4247720148672638E-2</v>
      </c>
      <c r="BO58" s="9">
        <f t="shared" ca="1" si="30"/>
        <v>6.1756379024446417E-2</v>
      </c>
      <c r="BP58" s="9">
        <f t="shared" ca="1" si="30"/>
        <v>2.8196298682219512E-2</v>
      </c>
      <c r="BQ58" s="9">
        <f t="shared" ca="1" si="30"/>
        <v>1.3224780411066894E-2</v>
      </c>
      <c r="BR58" s="9">
        <f t="shared" ca="1" si="30"/>
        <v>3.2629209503343137E-3</v>
      </c>
      <c r="BS58" s="9">
        <f t="shared" ca="1" si="30"/>
        <v>2.3563293742896674E-2</v>
      </c>
      <c r="BT58" s="9">
        <f t="shared" ca="1" si="30"/>
        <v>1.7907087242810649E-2</v>
      </c>
      <c r="BU58" s="9">
        <f t="shared" ca="1" si="30"/>
        <v>9.9670511098226555E-4</v>
      </c>
      <c r="BV58" s="9">
        <f t="shared" ca="1" si="30"/>
        <v>4.5326176265679807E-3</v>
      </c>
      <c r="BW58" s="9">
        <f t="shared" ca="1" si="30"/>
        <v>9.4773457255767912E-3</v>
      </c>
      <c r="BX58" s="9">
        <f t="shared" ca="1" si="30"/>
        <v>7.471654640603953E-3</v>
      </c>
      <c r="BY58" s="9">
        <f t="shared" ca="1" si="30"/>
        <v>2.2601704857743155E-2</v>
      </c>
      <c r="BZ58" s="9">
        <f t="shared" ca="1" si="30"/>
        <v>2.6056852362867478E-2</v>
      </c>
      <c r="CA58" s="9">
        <f t="shared" ca="1" si="30"/>
        <v>2.9556306204855831E-2</v>
      </c>
      <c r="CB58" s="9">
        <f t="shared" ca="1" si="30"/>
        <v>3.857943700603883E-3</v>
      </c>
      <c r="CC58" s="9">
        <f t="shared" ca="1" si="30"/>
        <v>2.3695460569474025E-2</v>
      </c>
      <c r="CD58" s="9">
        <f t="shared" ca="1" si="30"/>
        <v>4.3603891635192182E-3</v>
      </c>
      <c r="CE58" s="9">
        <f t="shared" ca="1" si="30"/>
        <v>1.5261858802444461E-2</v>
      </c>
      <c r="CF58" s="9">
        <f t="shared" ca="1" si="30"/>
        <v>2.1174336622072021E-2</v>
      </c>
      <c r="CG58" s="9">
        <f t="shared" ca="1" si="30"/>
        <v>1.8338708243221813E-3</v>
      </c>
      <c r="CH58" s="9">
        <f t="shared" ca="1" si="30"/>
        <v>2.5624795694489499E-2</v>
      </c>
      <c r="CI58" s="9">
        <f t="shared" ca="1" si="30"/>
        <v>1.6605932385602373E-2</v>
      </c>
      <c r="CJ58" s="9">
        <f t="shared" ca="1" si="30"/>
        <v>2.5685832401407538E-3</v>
      </c>
      <c r="CK58" s="9">
        <f t="shared" ca="1" si="30"/>
        <v>1.8667495153803504E-2</v>
      </c>
      <c r="CL58" s="9">
        <f t="shared" ca="1" si="30"/>
        <v>3.4993823500040211E-3</v>
      </c>
      <c r="CM58" s="9">
        <f t="shared" ca="1" si="30"/>
        <v>4.8524051171363602E-3</v>
      </c>
      <c r="CN58" s="9">
        <f t="shared" ca="1" si="30"/>
        <v>2.9042912251155961E-3</v>
      </c>
      <c r="CO58" s="9">
        <f t="shared" ca="1" si="30"/>
        <v>2.0854644622279483E-2</v>
      </c>
      <c r="CP58" s="9">
        <f t="shared" ca="1" si="30"/>
        <v>3.0171065299936517E-2</v>
      </c>
      <c r="CQ58" s="9">
        <f t="shared" ca="1" si="30"/>
        <v>4.9778393225445861E-3</v>
      </c>
      <c r="CR58" s="9">
        <f t="shared" ca="1" si="30"/>
        <v>1.9755900576337915E-2</v>
      </c>
      <c r="CS58" s="9">
        <f t="shared" ca="1" si="30"/>
        <v>1.8565941095216587E-4</v>
      </c>
      <c r="CT58" s="9">
        <f t="shared" ca="1" si="30"/>
        <v>2.6760368094568499E-2</v>
      </c>
      <c r="CU58" s="9">
        <f t="shared" ca="1" si="30"/>
        <v>1.1585993324772281E-2</v>
      </c>
      <c r="CV58" s="9">
        <f t="shared" ca="1" si="30"/>
        <v>5.2949143200532456E-3</v>
      </c>
      <c r="CW58" s="9">
        <f t="shared" ca="1" si="30"/>
        <v>9.282942765291291E-3</v>
      </c>
      <c r="CX58" s="9">
        <f t="shared" ca="1" si="30"/>
        <v>1.2790218951172605E-2</v>
      </c>
      <c r="CY58" s="9">
        <f t="shared" ca="1" si="30"/>
        <v>2.0185720063214507E-2</v>
      </c>
      <c r="CZ58" s="9">
        <f t="shared" ca="1" si="30"/>
        <v>1.1066690355797659E-3</v>
      </c>
      <c r="DA58" s="9">
        <f t="shared" ca="1" si="30"/>
        <v>6.1234870368476191E-3</v>
      </c>
      <c r="DB58" s="9">
        <f t="shared" ca="1" si="30"/>
        <v>7.5884460430639677E-3</v>
      </c>
      <c r="DC58" s="9">
        <f t="shared" ca="1" si="30"/>
        <v>6.0125123249782364E-3</v>
      </c>
      <c r="DD58" s="9">
        <f t="shared" ca="1" si="30"/>
        <v>1.8944308123474585E-2</v>
      </c>
      <c r="DE58" s="9">
        <f t="shared" ca="1" si="30"/>
        <v>2.3724911881573219E-2</v>
      </c>
      <c r="DF58" s="9">
        <f t="shared" ca="1" si="30"/>
        <v>3.0065710855309291E-4</v>
      </c>
      <c r="DG58" s="9">
        <f t="shared" ca="1" si="30"/>
        <v>1.5142174291682409E-3</v>
      </c>
      <c r="DH58" s="9">
        <f t="shared" ca="1" si="30"/>
        <v>5.6477921184705515E-4</v>
      </c>
      <c r="DI58" s="9">
        <f t="shared" ca="1" si="30"/>
        <v>3.5470179674981228E-3</v>
      </c>
      <c r="DJ58" s="9">
        <f t="shared" ca="1" si="30"/>
        <v>6.6739947996152793E-3</v>
      </c>
      <c r="DK58" s="9">
        <f t="shared" ca="1" si="30"/>
        <v>1.2252591498308929E-2</v>
      </c>
      <c r="DL58" s="9">
        <f t="shared" ca="1" si="30"/>
        <v>3.0783764037483063E-3</v>
      </c>
      <c r="DM58" s="9">
        <f t="shared" ca="1" si="30"/>
        <v>5.883176833128223E-3</v>
      </c>
      <c r="DN58" s="9">
        <f t="shared" ca="1" si="30"/>
        <v>7.9815946067873789E-4</v>
      </c>
      <c r="DO58" s="9">
        <f t="shared" ca="1" si="30"/>
        <v>4.8729379354299773E-3</v>
      </c>
      <c r="DP58" s="9">
        <f t="shared" ca="1" si="30"/>
        <v>2.5111411996055377E-2</v>
      </c>
      <c r="DQ58" s="9">
        <f t="shared" ca="1" si="30"/>
        <v>8.517349772608096E-3</v>
      </c>
      <c r="DR58" s="9">
        <f t="shared" ca="1" si="30"/>
        <v>5.7532236426156569E-3</v>
      </c>
      <c r="DS58" s="9">
        <f t="shared" ca="1" si="30"/>
        <v>9.7708193052081782E-4</v>
      </c>
      <c r="DT58" s="9">
        <f t="shared" ca="1" si="30"/>
        <v>4.6166467757555729E-3</v>
      </c>
      <c r="DU58" s="9">
        <f t="shared" ca="1" si="30"/>
        <v>5.2110125219602121E-3</v>
      </c>
      <c r="DV58" s="9">
        <f t="shared" ca="1" si="30"/>
        <v>3.7395810295067777E-3</v>
      </c>
      <c r="DW58" s="9">
        <f t="shared" ca="1" si="30"/>
        <v>1.5390467497307991E-2</v>
      </c>
      <c r="DX58" s="9">
        <f t="shared" ca="1" si="30"/>
        <v>1.4269681918811838E-2</v>
      </c>
      <c r="DY58" s="9">
        <f t="shared" ca="1" si="30"/>
        <v>3.8470008817585999E-3</v>
      </c>
      <c r="DZ58" s="9">
        <f t="shared" ref="DZ58:GK58" ca="1" si="31">IF(DZ31="","",ABS(DZ31))</f>
        <v>8.9253956145540769E-4</v>
      </c>
      <c r="EA58" s="9">
        <f t="shared" ca="1" si="31"/>
        <v>7.4755606915881678E-3</v>
      </c>
      <c r="EB58" s="9">
        <f t="shared" ca="1" si="31"/>
        <v>1.3313253939602809E-2</v>
      </c>
      <c r="EC58" s="9">
        <f t="shared" ca="1" si="31"/>
        <v>4.6049986129284015E-3</v>
      </c>
      <c r="ED58" s="9">
        <f t="shared" ca="1" si="31"/>
        <v>8.8315078286886894E-3</v>
      </c>
      <c r="EE58" s="9">
        <f t="shared" ca="1" si="31"/>
        <v>7.128417580637425E-3</v>
      </c>
      <c r="EF58" s="9">
        <f t="shared" ca="1" si="31"/>
        <v>7.9353652808351605E-3</v>
      </c>
      <c r="EG58" s="9">
        <f t="shared" ca="1" si="31"/>
        <v>1.9675555983501569E-3</v>
      </c>
      <c r="EH58" s="9">
        <f t="shared" ca="1" si="31"/>
        <v>1.2515169297034556E-2</v>
      </c>
      <c r="EI58" s="9">
        <f t="shared" ca="1" si="31"/>
        <v>8.5390067932278324E-3</v>
      </c>
      <c r="EJ58" s="9">
        <f t="shared" ca="1" si="31"/>
        <v>5.1108383252342904E-3</v>
      </c>
      <c r="EK58" s="9">
        <f t="shared" ca="1" si="31"/>
        <v>1.1126871036172159E-2</v>
      </c>
      <c r="EL58" s="9">
        <f t="shared" ca="1" si="31"/>
        <v>5.425373645525422E-3</v>
      </c>
      <c r="EM58" s="9">
        <f t="shared" ca="1" si="31"/>
        <v>5.8321290976837137E-3</v>
      </c>
      <c r="EN58" s="9">
        <f t="shared" ca="1" si="31"/>
        <v>1.2753556126126497E-2</v>
      </c>
      <c r="EO58" s="9">
        <f t="shared" ca="1" si="31"/>
        <v>5.4317811546167327E-3</v>
      </c>
      <c r="EP58" s="9">
        <f t="shared" ca="1" si="31"/>
        <v>8.5316749233270706E-3</v>
      </c>
      <c r="EQ58" s="9">
        <f t="shared" ca="1" si="31"/>
        <v>5.6860909044857966E-3</v>
      </c>
      <c r="ER58" s="9">
        <f t="shared" ca="1" si="31"/>
        <v>3.5948318066840734E-3</v>
      </c>
      <c r="ES58" s="9">
        <f t="shared" ca="1" si="31"/>
        <v>6.258892988589615E-3</v>
      </c>
      <c r="ET58" s="9">
        <f t="shared" ca="1" si="31"/>
        <v>5.3600704389586973E-3</v>
      </c>
      <c r="EU58" s="9">
        <f t="shared" ca="1" si="31"/>
        <v>1.2158854221439475E-2</v>
      </c>
      <c r="EV58" s="9">
        <f t="shared" ca="1" si="31"/>
        <v>7.4536125092461436E-4</v>
      </c>
      <c r="EW58" s="9">
        <f t="shared" ca="1" si="31"/>
        <v>6.3049796565309846E-3</v>
      </c>
      <c r="EX58" s="9">
        <f t="shared" ca="1" si="31"/>
        <v>3.9476676741974082E-3</v>
      </c>
      <c r="EY58" s="9">
        <f t="shared" ca="1" si="31"/>
        <v>1.5914132164616124E-3</v>
      </c>
      <c r="EZ58" s="9">
        <f t="shared" ca="1" si="31"/>
        <v>6.6561756420481233E-3</v>
      </c>
      <c r="FA58" s="9">
        <f t="shared" ca="1" si="31"/>
        <v>1.6850739039966367E-2</v>
      </c>
      <c r="FB58" s="9">
        <f t="shared" ca="1" si="31"/>
        <v>3.1119858222694585E-3</v>
      </c>
      <c r="FC58" s="9">
        <f t="shared" ca="1" si="31"/>
        <v>9.8173799304057674E-4</v>
      </c>
      <c r="FD58" s="9">
        <f t="shared" ca="1" si="31"/>
        <v>6.4146879685076374E-3</v>
      </c>
      <c r="FE58" s="9">
        <f t="shared" ca="1" si="31"/>
        <v>5.6710159267381322E-3</v>
      </c>
      <c r="FF58" s="9">
        <f t="shared" ca="1" si="31"/>
        <v>1.416398761024118E-2</v>
      </c>
      <c r="FG58" s="9">
        <f t="shared" ca="1" si="31"/>
        <v>2.7938832575601813E-2</v>
      </c>
      <c r="FH58" s="9">
        <f t="shared" ca="1" si="31"/>
        <v>2.1794425192758982E-2</v>
      </c>
      <c r="FI58" s="9">
        <f t="shared" ca="1" si="31"/>
        <v>2.9444694671708627E-3</v>
      </c>
      <c r="FJ58" s="9">
        <f t="shared" ca="1" si="31"/>
        <v>1.3015922687777293E-2</v>
      </c>
      <c r="FK58" s="9">
        <f t="shared" ca="1" si="31"/>
        <v>9.5923626059837286E-3</v>
      </c>
      <c r="FL58" s="9">
        <f t="shared" ca="1" si="31"/>
        <v>2.4743420634341096E-3</v>
      </c>
      <c r="FM58" s="9">
        <f t="shared" ca="1" si="31"/>
        <v>3.5729654441802872E-3</v>
      </c>
      <c r="FN58" s="9">
        <f t="shared" ca="1" si="31"/>
        <v>5.9747574047970264E-3</v>
      </c>
      <c r="FO58" s="9">
        <f t="shared" ca="1" si="31"/>
        <v>2.8168357176738823E-4</v>
      </c>
      <c r="FP58" s="9">
        <f t="shared" ca="1" si="31"/>
        <v>4.9024203582780368E-3</v>
      </c>
      <c r="FQ58" s="9">
        <f t="shared" ca="1" si="31"/>
        <v>1.1158868424155144E-2</v>
      </c>
      <c r="FR58" s="9">
        <f t="shared" ca="1" si="31"/>
        <v>7.9594901095750847E-3</v>
      </c>
      <c r="FS58" s="9">
        <f t="shared" ca="1" si="31"/>
        <v>3.8697935570952691E-3</v>
      </c>
      <c r="FT58" s="9">
        <f t="shared" ca="1" si="31"/>
        <v>7.6802699709712652E-3</v>
      </c>
      <c r="FU58" s="9">
        <f t="shared" ca="1" si="31"/>
        <v>5.6057820483554899E-3</v>
      </c>
      <c r="FV58" s="9">
        <f t="shared" ca="1" si="31"/>
        <v>1.3635875378829487E-2</v>
      </c>
      <c r="FW58" s="9">
        <f t="shared" ca="1" si="31"/>
        <v>9.3911693987109857E-3</v>
      </c>
      <c r="FX58" s="9">
        <f t="shared" ca="1" si="31"/>
        <v>7.7959504592173268E-4</v>
      </c>
      <c r="FY58" s="9">
        <f t="shared" ca="1" si="31"/>
        <v>5.9955745462813015E-3</v>
      </c>
      <c r="FZ58" s="9">
        <f t="shared" ca="1" si="31"/>
        <v>1.7954669448847493E-3</v>
      </c>
      <c r="GA58" s="9">
        <f t="shared" ca="1" si="31"/>
        <v>8.6577362210404907E-4</v>
      </c>
      <c r="GB58" s="9">
        <f t="shared" ca="1" si="31"/>
        <v>2.6135979001651322E-4</v>
      </c>
      <c r="GC58" s="9">
        <f t="shared" ca="1" si="31"/>
        <v>1.585890495195752E-3</v>
      </c>
      <c r="GD58" s="9">
        <f t="shared" ca="1" si="31"/>
        <v>7.0914014969273298E-3</v>
      </c>
      <c r="GE58" s="9">
        <f t="shared" ca="1" si="31"/>
        <v>1.958223109841517E-2</v>
      </c>
      <c r="GF58" s="9">
        <f t="shared" ca="1" si="31"/>
        <v>9.4993919501080715E-3</v>
      </c>
      <c r="GG58" s="9">
        <f t="shared" ca="1" si="31"/>
        <v>1.0443611528700547E-2</v>
      </c>
      <c r="GH58" s="9">
        <f t="shared" ca="1" si="31"/>
        <v>1.1032342282686347E-3</v>
      </c>
      <c r="GI58" s="9">
        <f t="shared" ca="1" si="31"/>
        <v>1.251050510964713E-2</v>
      </c>
      <c r="GJ58" s="9">
        <f t="shared" ca="1" si="31"/>
        <v>7.9948768376305601E-3</v>
      </c>
      <c r="GK58" s="9">
        <f t="shared" ca="1" si="31"/>
        <v>2.4782497879902721E-3</v>
      </c>
      <c r="GL58" s="9">
        <f t="shared" ref="GL58:IW58" ca="1" si="32">IF(GL31="","",ABS(GL31))</f>
        <v>1.0225586120594432E-2</v>
      </c>
      <c r="GM58" s="9">
        <f t="shared" ca="1" si="32"/>
        <v>8.5001890217925036E-2</v>
      </c>
      <c r="GN58" s="9">
        <f t="shared" ca="1" si="32"/>
        <v>0.18341590784025696</v>
      </c>
      <c r="GO58" s="9">
        <f t="shared" ca="1" si="32"/>
        <v>9.7503072123131251E-2</v>
      </c>
      <c r="GP58" s="9">
        <f t="shared" ca="1" si="32"/>
        <v>6.1003931211816687E-2</v>
      </c>
      <c r="GQ58" s="9">
        <f t="shared" ca="1" si="32"/>
        <v>4.5017796576474201E-2</v>
      </c>
      <c r="GR58" s="9">
        <f t="shared" ca="1" si="32"/>
        <v>5.6997870583371135E-2</v>
      </c>
      <c r="GS58" s="9">
        <f t="shared" ca="1" si="32"/>
        <v>5.4126493057793157E-2</v>
      </c>
      <c r="GT58" s="9">
        <f t="shared" ca="1" si="32"/>
        <v>3.5798094998957586E-2</v>
      </c>
      <c r="GU58" s="9">
        <f t="shared" ca="1" si="32"/>
        <v>2.9297644429249203E-3</v>
      </c>
      <c r="GV58" s="9">
        <f t="shared" ca="1" si="32"/>
        <v>3.0085379803120538E-2</v>
      </c>
      <c r="GW58" s="9">
        <f t="shared" ca="1" si="32"/>
        <v>1.3209107701817713E-2</v>
      </c>
      <c r="GX58" s="9" t="str">
        <f t="shared" ca="1" si="32"/>
        <v/>
      </c>
      <c r="GY58" s="9" t="str">
        <f t="shared" ca="1" si="32"/>
        <v/>
      </c>
      <c r="GZ58" s="9" t="str">
        <f t="shared" ca="1" si="32"/>
        <v/>
      </c>
      <c r="HA58" s="9" t="str">
        <f t="shared" ca="1" si="32"/>
        <v/>
      </c>
      <c r="HB58" s="9" t="str">
        <f t="shared" ca="1" si="32"/>
        <v/>
      </c>
      <c r="HC58" s="9" t="str">
        <f t="shared" ca="1" si="32"/>
        <v/>
      </c>
      <c r="HD58" s="9" t="str">
        <f t="shared" ca="1" si="32"/>
        <v/>
      </c>
      <c r="HE58" s="9" t="str">
        <f t="shared" ca="1" si="32"/>
        <v/>
      </c>
      <c r="HF58" s="9" t="str">
        <f t="shared" ca="1" si="32"/>
        <v/>
      </c>
      <c r="HG58" s="9" t="str">
        <f t="shared" ca="1" si="32"/>
        <v/>
      </c>
      <c r="HH58" s="9" t="str">
        <f t="shared" ca="1" si="32"/>
        <v/>
      </c>
      <c r="HI58" s="9" t="str">
        <f t="shared" ca="1" si="32"/>
        <v/>
      </c>
      <c r="HJ58" s="9" t="str">
        <f t="shared" ca="1" si="32"/>
        <v/>
      </c>
      <c r="HK58" s="9" t="str">
        <f t="shared" ca="1" si="32"/>
        <v/>
      </c>
      <c r="HL58" s="9" t="str">
        <f t="shared" ca="1" si="32"/>
        <v/>
      </c>
      <c r="HM58" s="9" t="str">
        <f t="shared" ca="1" si="32"/>
        <v/>
      </c>
      <c r="HN58" s="9" t="str">
        <f t="shared" ca="1" si="32"/>
        <v/>
      </c>
      <c r="HO58" s="9" t="str">
        <f t="shared" ca="1" si="32"/>
        <v/>
      </c>
      <c r="HP58" s="9" t="str">
        <f t="shared" ca="1" si="32"/>
        <v/>
      </c>
      <c r="HQ58" s="9" t="str">
        <f t="shared" ca="1" si="32"/>
        <v/>
      </c>
      <c r="HR58" s="9" t="str">
        <f t="shared" ca="1" si="32"/>
        <v/>
      </c>
      <c r="HS58" s="9" t="str">
        <f t="shared" ca="1" si="32"/>
        <v/>
      </c>
      <c r="HT58" s="9" t="str">
        <f t="shared" ca="1" si="32"/>
        <v/>
      </c>
      <c r="HU58" s="9" t="str">
        <f t="shared" ca="1" si="32"/>
        <v/>
      </c>
      <c r="HV58" s="9" t="str">
        <f t="shared" ca="1" si="32"/>
        <v/>
      </c>
      <c r="HW58" s="9" t="str">
        <f t="shared" ca="1" si="32"/>
        <v/>
      </c>
      <c r="HX58" s="9" t="str">
        <f t="shared" ca="1" si="32"/>
        <v/>
      </c>
      <c r="HY58" s="9" t="str">
        <f t="shared" ca="1" si="32"/>
        <v/>
      </c>
      <c r="HZ58" s="9" t="str">
        <f t="shared" ca="1" si="32"/>
        <v/>
      </c>
      <c r="IA58" s="9" t="str">
        <f t="shared" ca="1" si="32"/>
        <v/>
      </c>
      <c r="IB58" s="9" t="str">
        <f t="shared" ca="1" si="32"/>
        <v/>
      </c>
      <c r="IC58" s="9" t="str">
        <f t="shared" ca="1" si="32"/>
        <v/>
      </c>
      <c r="ID58" s="9" t="str">
        <f t="shared" ca="1" si="32"/>
        <v/>
      </c>
      <c r="IE58" s="9" t="str">
        <f t="shared" ca="1" si="32"/>
        <v/>
      </c>
      <c r="IF58" s="9" t="str">
        <f t="shared" ca="1" si="32"/>
        <v/>
      </c>
      <c r="IG58" s="9" t="str">
        <f t="shared" ca="1" si="32"/>
        <v/>
      </c>
      <c r="IH58" s="9" t="str">
        <f t="shared" ca="1" si="32"/>
        <v/>
      </c>
      <c r="II58" s="9" t="str">
        <f t="shared" ca="1" si="32"/>
        <v/>
      </c>
      <c r="IJ58" s="9" t="str">
        <f t="shared" ca="1" si="32"/>
        <v/>
      </c>
      <c r="IK58" s="9" t="str">
        <f t="shared" ca="1" si="32"/>
        <v/>
      </c>
      <c r="IL58" s="9" t="str">
        <f t="shared" ca="1" si="32"/>
        <v/>
      </c>
      <c r="IM58" s="9" t="str">
        <f t="shared" ca="1" si="32"/>
        <v/>
      </c>
      <c r="IN58" s="9" t="str">
        <f t="shared" ca="1" si="32"/>
        <v/>
      </c>
      <c r="IO58" s="9" t="str">
        <f t="shared" ca="1" si="32"/>
        <v/>
      </c>
      <c r="IP58" s="9" t="str">
        <f t="shared" ca="1" si="32"/>
        <v/>
      </c>
      <c r="IQ58" s="9" t="str">
        <f t="shared" ca="1" si="32"/>
        <v/>
      </c>
      <c r="IR58" s="9" t="str">
        <f t="shared" ca="1" si="32"/>
        <v/>
      </c>
      <c r="IS58" s="9" t="str">
        <f t="shared" ca="1" si="32"/>
        <v/>
      </c>
      <c r="IT58" s="9" t="str">
        <f t="shared" ca="1" si="32"/>
        <v/>
      </c>
      <c r="IU58" s="9" t="str">
        <f t="shared" ca="1" si="32"/>
        <v/>
      </c>
      <c r="IV58" s="9" t="str">
        <f t="shared" ca="1" si="32"/>
        <v/>
      </c>
      <c r="IW58" s="9" t="str">
        <f t="shared" ca="1" si="32"/>
        <v/>
      </c>
      <c r="IX58" s="9" t="str">
        <f t="shared" ref="IX58:JH58" ca="1" si="33">IF(IX31="","",ABS(IX31))</f>
        <v/>
      </c>
      <c r="IY58" s="9" t="str">
        <f t="shared" ca="1" si="33"/>
        <v/>
      </c>
      <c r="IZ58" s="9" t="str">
        <f t="shared" ca="1" si="33"/>
        <v/>
      </c>
      <c r="JA58" s="9" t="str">
        <f t="shared" ca="1" si="33"/>
        <v/>
      </c>
      <c r="JB58" s="9" t="str">
        <f t="shared" ca="1" si="33"/>
        <v/>
      </c>
      <c r="JC58" s="9" t="str">
        <f t="shared" ca="1" si="33"/>
        <v/>
      </c>
      <c r="JD58" s="9" t="str">
        <f t="shared" ca="1" si="33"/>
        <v/>
      </c>
      <c r="JE58" s="9" t="str">
        <f t="shared" ca="1" si="33"/>
        <v/>
      </c>
      <c r="JF58" s="9" t="str">
        <f t="shared" ca="1" si="33"/>
        <v/>
      </c>
      <c r="JG58" s="9" t="str">
        <f t="shared" ca="1" si="33"/>
        <v/>
      </c>
      <c r="JH58" s="9" t="str">
        <f t="shared" ca="1" si="33"/>
        <v/>
      </c>
      <c r="JI58" s="13">
        <f t="shared" ca="1" si="24"/>
        <v>2.4745554728726308E-2</v>
      </c>
      <c r="JJ58" s="13">
        <f t="shared" ca="1" si="25"/>
        <v>9.4993919501080715E-3</v>
      </c>
      <c r="JK58" s="14">
        <f t="shared" ca="1" si="26"/>
        <v>1.3951027918532861E-3</v>
      </c>
      <c r="JL58" s="17">
        <f t="shared" ref="JL58:JL68" ca="1" si="34">SQRT(JK58)</f>
        <v>3.7351074842008045E-2</v>
      </c>
      <c r="JM58" s="15" t="str">
        <f t="shared" ca="1" si="27"/>
        <v>[ -5,00% ; 9,94% ]</v>
      </c>
      <c r="JN58" s="17">
        <f t="shared" ca="1" si="28"/>
        <v>4.7809375797770295E-2</v>
      </c>
      <c r="LY58" s="1"/>
    </row>
    <row r="59" spans="1:337" x14ac:dyDescent="0.25">
      <c r="A59" s="4">
        <v>3</v>
      </c>
      <c r="B59" s="9">
        <f t="shared" ref="B59:BM59" ca="1" si="35">IF(B32="","",ABS(B32))</f>
        <v>2.7175901349020037E-2</v>
      </c>
      <c r="C59" s="9">
        <f t="shared" ca="1" si="35"/>
        <v>2.762569663670611E-3</v>
      </c>
      <c r="D59" s="9">
        <f t="shared" ca="1" si="35"/>
        <v>8.7288477078040216E-4</v>
      </c>
      <c r="E59" s="9">
        <f t="shared" ca="1" si="35"/>
        <v>3.1363998161433315E-3</v>
      </c>
      <c r="F59" s="9">
        <f t="shared" ca="1" si="35"/>
        <v>1.4217423106599458E-2</v>
      </c>
      <c r="G59" s="9">
        <f t="shared" ca="1" si="35"/>
        <v>8.7317914155753407E-3</v>
      </c>
      <c r="H59" s="9">
        <f t="shared" ca="1" si="35"/>
        <v>1.6860635368440402E-2</v>
      </c>
      <c r="I59" s="9">
        <f t="shared" ca="1" si="35"/>
        <v>2.3857272777557004E-2</v>
      </c>
      <c r="J59" s="9">
        <f t="shared" ca="1" si="35"/>
        <v>2.3535129661323761E-2</v>
      </c>
      <c r="K59" s="9">
        <f t="shared" ca="1" si="35"/>
        <v>2.7669202276806359E-2</v>
      </c>
      <c r="L59" s="9">
        <f t="shared" ca="1" si="35"/>
        <v>2.0394069041037133E-2</v>
      </c>
      <c r="M59" s="9">
        <f t="shared" ca="1" si="35"/>
        <v>1.6151623199370357E-2</v>
      </c>
      <c r="N59" s="9">
        <f t="shared" ca="1" si="35"/>
        <v>3.3696333132511302E-3</v>
      </c>
      <c r="O59" s="9">
        <f t="shared" ca="1" si="35"/>
        <v>8.3894072202961301E-4</v>
      </c>
      <c r="P59" s="9">
        <f t="shared" ca="1" si="35"/>
        <v>2.0076475294574792E-3</v>
      </c>
      <c r="Q59" s="9">
        <f t="shared" ca="1" si="35"/>
        <v>4.6003883897767217E-3</v>
      </c>
      <c r="R59" s="9">
        <f t="shared" ca="1" si="35"/>
        <v>1.022165145118159E-2</v>
      </c>
      <c r="S59" s="9">
        <f t="shared" ca="1" si="35"/>
        <v>2.2669299737527959E-2</v>
      </c>
      <c r="T59" s="9">
        <f t="shared" ca="1" si="35"/>
        <v>1.7977719837932393E-2</v>
      </c>
      <c r="U59" s="9">
        <f t="shared" ca="1" si="35"/>
        <v>2.1873660663983552E-3</v>
      </c>
      <c r="V59" s="9">
        <f t="shared" ca="1" si="35"/>
        <v>9.629265425559419E-3</v>
      </c>
      <c r="W59" s="9">
        <f t="shared" ca="1" si="35"/>
        <v>5.2001330106414834E-3</v>
      </c>
      <c r="X59" s="9">
        <f t="shared" ca="1" si="35"/>
        <v>7.3185075135318023E-4</v>
      </c>
      <c r="Y59" s="9">
        <f t="shared" ca="1" si="35"/>
        <v>7.3486709970094211E-5</v>
      </c>
      <c r="Z59" s="9">
        <f t="shared" ca="1" si="35"/>
        <v>7.4648306051682267E-3</v>
      </c>
      <c r="AA59" s="9">
        <f t="shared" ca="1" si="35"/>
        <v>7.0659057303763539E-3</v>
      </c>
      <c r="AB59" s="9">
        <f t="shared" ca="1" si="35"/>
        <v>1.0237813263355378E-2</v>
      </c>
      <c r="AC59" s="9">
        <f t="shared" ca="1" si="35"/>
        <v>1.8104486108524664E-2</v>
      </c>
      <c r="AD59" s="9">
        <f t="shared" ca="1" si="35"/>
        <v>3.9250127334795604E-3</v>
      </c>
      <c r="AE59" s="9">
        <f t="shared" ca="1" si="35"/>
        <v>5.5704416287072345E-4</v>
      </c>
      <c r="AF59" s="9">
        <f t="shared" ca="1" si="35"/>
        <v>8.609427021695204E-3</v>
      </c>
      <c r="AG59" s="9">
        <f t="shared" ca="1" si="35"/>
        <v>1.8573524854282653E-2</v>
      </c>
      <c r="AH59" s="9">
        <f t="shared" ca="1" si="35"/>
        <v>2.385815008468728E-2</v>
      </c>
      <c r="AI59" s="9">
        <f t="shared" ca="1" si="35"/>
        <v>2.2453400797854073E-2</v>
      </c>
      <c r="AJ59" s="9">
        <f t="shared" ca="1" si="35"/>
        <v>1.2556129673448213E-2</v>
      </c>
      <c r="AK59" s="9">
        <f t="shared" ca="1" si="35"/>
        <v>6.7924415966007512E-3</v>
      </c>
      <c r="AL59" s="9">
        <f t="shared" ca="1" si="35"/>
        <v>6.9973841215074106E-3</v>
      </c>
      <c r="AM59" s="9">
        <f t="shared" ca="1" si="35"/>
        <v>1.8508853266493985E-2</v>
      </c>
      <c r="AN59" s="9">
        <f t="shared" ca="1" si="35"/>
        <v>2.8829765872137258E-2</v>
      </c>
      <c r="AO59" s="9">
        <f t="shared" ca="1" si="35"/>
        <v>4.0266375593594028E-2</v>
      </c>
      <c r="AP59" s="9">
        <f t="shared" ca="1" si="35"/>
        <v>3.7562149878094364E-2</v>
      </c>
      <c r="AQ59" s="9">
        <f t="shared" ca="1" si="35"/>
        <v>4.1568053851387732E-2</v>
      </c>
      <c r="AR59" s="9">
        <f t="shared" ca="1" si="35"/>
        <v>1.8291236208527017E-2</v>
      </c>
      <c r="AS59" s="9">
        <f t="shared" ca="1" si="35"/>
        <v>6.4588820600763874E-3</v>
      </c>
      <c r="AT59" s="9">
        <f t="shared" ca="1" si="35"/>
        <v>6.4430177483842943E-3</v>
      </c>
      <c r="AU59" s="9">
        <f t="shared" ca="1" si="35"/>
        <v>1.1169905750276987E-2</v>
      </c>
      <c r="AV59" s="9">
        <f t="shared" ca="1" si="35"/>
        <v>4.4179769472385555E-2</v>
      </c>
      <c r="AW59" s="9">
        <f t="shared" ca="1" si="35"/>
        <v>6.5632309109568632E-2</v>
      </c>
      <c r="AX59" s="9">
        <f t="shared" ca="1" si="35"/>
        <v>6.0581261052883861E-2</v>
      </c>
      <c r="AY59" s="9">
        <f t="shared" ca="1" si="35"/>
        <v>6.7827203847456219E-2</v>
      </c>
      <c r="AZ59" s="9">
        <f t="shared" ca="1" si="35"/>
        <v>5.6774166722615926E-2</v>
      </c>
      <c r="BA59" s="9">
        <f t="shared" ca="1" si="35"/>
        <v>8.8616189850210358E-2</v>
      </c>
      <c r="BB59" s="9">
        <f t="shared" ca="1" si="35"/>
        <v>4.7593512076397504E-2</v>
      </c>
      <c r="BC59" s="9">
        <f t="shared" ca="1" si="35"/>
        <v>1.5496842931406518E-2</v>
      </c>
      <c r="BD59" s="9">
        <f t="shared" ca="1" si="35"/>
        <v>4.0059529658651782E-2</v>
      </c>
      <c r="BE59" s="9">
        <f t="shared" ca="1" si="35"/>
        <v>6.8500450431864368E-2</v>
      </c>
      <c r="BF59" s="9">
        <f t="shared" ca="1" si="35"/>
        <v>7.5242454307965168E-2</v>
      </c>
      <c r="BG59" s="9">
        <f t="shared" ca="1" si="35"/>
        <v>6.6963334005761488E-2</v>
      </c>
      <c r="BH59" s="9">
        <f t="shared" ca="1" si="35"/>
        <v>4.0628831586762559E-2</v>
      </c>
      <c r="BI59" s="9">
        <f t="shared" ca="1" si="35"/>
        <v>2.4837670667225753E-2</v>
      </c>
      <c r="BJ59" s="9">
        <f t="shared" ca="1" si="35"/>
        <v>1.8068405179505698E-2</v>
      </c>
      <c r="BK59" s="9">
        <f t="shared" ca="1" si="35"/>
        <v>7.7167266267781365E-3</v>
      </c>
      <c r="BL59" s="9">
        <f t="shared" ca="1" si="35"/>
        <v>2.9918131953495575E-2</v>
      </c>
      <c r="BM59" s="9">
        <f t="shared" ca="1" si="35"/>
        <v>8.8870802605055532E-2</v>
      </c>
      <c r="BN59" s="9">
        <f t="shared" ref="BN59:DY59" ca="1" si="36">IF(BN32="","",ABS(BN32))</f>
        <v>0.10396016505377048</v>
      </c>
      <c r="BO59" s="9">
        <f t="shared" ca="1" si="36"/>
        <v>7.6255348516181432E-2</v>
      </c>
      <c r="BP59" s="9">
        <f t="shared" ca="1" si="36"/>
        <v>2.5442884384329956E-2</v>
      </c>
      <c r="BQ59" s="9">
        <f t="shared" ca="1" si="36"/>
        <v>1.2489574774428691E-2</v>
      </c>
      <c r="BR59" s="9">
        <f t="shared" ca="1" si="36"/>
        <v>1.1839981430807889E-2</v>
      </c>
      <c r="BS59" s="9">
        <f t="shared" ca="1" si="36"/>
        <v>3.6491019420239024E-2</v>
      </c>
      <c r="BT59" s="9">
        <f t="shared" ca="1" si="36"/>
        <v>2.3476464923768647E-2</v>
      </c>
      <c r="BU59" s="9">
        <f t="shared" ca="1" si="36"/>
        <v>7.9916335348129142E-3</v>
      </c>
      <c r="BV59" s="9">
        <f t="shared" ca="1" si="36"/>
        <v>1.0017988141383993E-2</v>
      </c>
      <c r="BW59" s="9">
        <f t="shared" ca="1" si="36"/>
        <v>3.2089979612428543E-3</v>
      </c>
      <c r="BX59" s="9">
        <f t="shared" ca="1" si="36"/>
        <v>2.2584688808807041E-2</v>
      </c>
      <c r="BY59" s="9">
        <f t="shared" ca="1" si="36"/>
        <v>4.443890909648851E-2</v>
      </c>
      <c r="BZ59" s="9">
        <f t="shared" ca="1" si="36"/>
        <v>4.6251586718750959E-2</v>
      </c>
      <c r="CA59" s="9">
        <f t="shared" ca="1" si="36"/>
        <v>2.662634820307952E-2</v>
      </c>
      <c r="CB59" s="9">
        <f t="shared" ca="1" si="36"/>
        <v>6.7455576131663086E-3</v>
      </c>
      <c r="CC59" s="9">
        <f t="shared" ca="1" si="36"/>
        <v>2.9256507532631759E-2</v>
      </c>
      <c r="CD59" s="9">
        <f t="shared" ca="1" si="36"/>
        <v>5.1110320901150974E-3</v>
      </c>
      <c r="CE59" s="9">
        <f t="shared" ca="1" si="36"/>
        <v>2.7738356610321535E-2</v>
      </c>
      <c r="CF59" s="9">
        <f t="shared" ca="1" si="36"/>
        <v>1.4850956671097038E-2</v>
      </c>
      <c r="CG59" s="9">
        <f t="shared" ca="1" si="36"/>
        <v>9.2318132442460454E-3</v>
      </c>
      <c r="CH59" s="9">
        <f t="shared" ca="1" si="36"/>
        <v>3.6557835280465079E-2</v>
      </c>
      <c r="CI59" s="9">
        <f t="shared" ca="1" si="36"/>
        <v>7.6379338794430041E-3</v>
      </c>
      <c r="CJ59" s="9">
        <f t="shared" ca="1" si="36"/>
        <v>9.8823596828634397E-3</v>
      </c>
      <c r="CK59" s="9">
        <f t="shared" ca="1" si="36"/>
        <v>2.6708358655866293E-2</v>
      </c>
      <c r="CL59" s="9">
        <f t="shared" ca="1" si="36"/>
        <v>7.0687497756709572E-3</v>
      </c>
      <c r="CM59" s="9">
        <f t="shared" ca="1" si="36"/>
        <v>1.5622879154697511E-3</v>
      </c>
      <c r="CN59" s="9">
        <f t="shared" ca="1" si="36"/>
        <v>2.0042647021459525E-2</v>
      </c>
      <c r="CO59" s="9">
        <f t="shared" ca="1" si="36"/>
        <v>3.9119764341791208E-2</v>
      </c>
      <c r="CP59" s="9">
        <f t="shared" ca="1" si="36"/>
        <v>3.2097941590411572E-2</v>
      </c>
      <c r="CQ59" s="9">
        <f t="shared" ca="1" si="36"/>
        <v>4.9477383590548207E-3</v>
      </c>
      <c r="CR59" s="9">
        <f t="shared" ca="1" si="36"/>
        <v>1.6437709932039413E-2</v>
      </c>
      <c r="CS59" s="9">
        <f t="shared" ca="1" si="36"/>
        <v>9.3124972851402754E-3</v>
      </c>
      <c r="CT59" s="9">
        <f t="shared" ca="1" si="36"/>
        <v>3.0953201888371695E-2</v>
      </c>
      <c r="CU59" s="9">
        <f t="shared" ca="1" si="36"/>
        <v>1.5197327718589726E-2</v>
      </c>
      <c r="CV59" s="9">
        <f t="shared" ca="1" si="36"/>
        <v>4.688309723859696E-3</v>
      </c>
      <c r="CW59" s="9">
        <f t="shared" ca="1" si="36"/>
        <v>6.6310212702691551E-4</v>
      </c>
      <c r="CX59" s="9">
        <f t="shared" ca="1" si="36"/>
        <v>1.9841036781085064E-2</v>
      </c>
      <c r="CY59" s="9">
        <f t="shared" ca="1" si="36"/>
        <v>2.6776790320311328E-2</v>
      </c>
      <c r="CZ59" s="9">
        <f t="shared" ca="1" si="36"/>
        <v>3.3703879206101739E-3</v>
      </c>
      <c r="DA59" s="9">
        <f t="shared" ca="1" si="36"/>
        <v>3.6640366671210067E-3</v>
      </c>
      <c r="DB59" s="9">
        <f t="shared" ca="1" si="36"/>
        <v>1.2551065975928033E-2</v>
      </c>
      <c r="DC59" s="9">
        <f t="shared" ca="1" si="36"/>
        <v>1.043423149842071E-2</v>
      </c>
      <c r="DD59" s="9">
        <f t="shared" ca="1" si="36"/>
        <v>2.4174304280139669E-2</v>
      </c>
      <c r="DE59" s="9">
        <f t="shared" ca="1" si="36"/>
        <v>2.8742328603067913E-2</v>
      </c>
      <c r="DF59" s="9">
        <f t="shared" ca="1" si="36"/>
        <v>1.3984935868227577E-3</v>
      </c>
      <c r="DG59" s="9">
        <f t="shared" ca="1" si="36"/>
        <v>4.7422009003581511E-3</v>
      </c>
      <c r="DH59" s="9">
        <f t="shared" ca="1" si="36"/>
        <v>4.3929309822487994E-3</v>
      </c>
      <c r="DI59" s="9">
        <f t="shared" ca="1" si="36"/>
        <v>6.0777247240744181E-3</v>
      </c>
      <c r="DJ59" s="9">
        <f t="shared" ca="1" si="36"/>
        <v>1.26612708406868E-2</v>
      </c>
      <c r="DK59" s="9">
        <f t="shared" ca="1" si="36"/>
        <v>1.7155510437003585E-2</v>
      </c>
      <c r="DL59" s="9">
        <f t="shared" ca="1" si="36"/>
        <v>4.8585454511178572E-3</v>
      </c>
      <c r="DM59" s="9">
        <f t="shared" ca="1" si="36"/>
        <v>6.1436812059574297E-3</v>
      </c>
      <c r="DN59" s="9">
        <f t="shared" ca="1" si="36"/>
        <v>9.6525682831201109E-3</v>
      </c>
      <c r="DO59" s="9">
        <f t="shared" ca="1" si="36"/>
        <v>1.8771582258263697E-2</v>
      </c>
      <c r="DP59" s="9">
        <f t="shared" ca="1" si="36"/>
        <v>2.3211813094829781E-2</v>
      </c>
      <c r="DQ59" s="9">
        <f t="shared" ca="1" si="36"/>
        <v>1.5814195934582553E-2</v>
      </c>
      <c r="DR59" s="9">
        <f t="shared" ca="1" si="36"/>
        <v>1.3046779015266852E-2</v>
      </c>
      <c r="DS59" s="9">
        <f t="shared" ca="1" si="36"/>
        <v>8.1448520303879501E-3</v>
      </c>
      <c r="DT59" s="9">
        <f t="shared" ca="1" si="36"/>
        <v>5.8804890043727687E-3</v>
      </c>
      <c r="DU59" s="9">
        <f t="shared" ca="1" si="36"/>
        <v>1.6221856545830526E-3</v>
      </c>
      <c r="DV59" s="9">
        <f t="shared" ca="1" si="36"/>
        <v>1.7363734230011363E-2</v>
      </c>
      <c r="DW59" s="9">
        <f t="shared" ca="1" si="36"/>
        <v>1.8833250828510284E-2</v>
      </c>
      <c r="DX59" s="9">
        <f t="shared" ca="1" si="36"/>
        <v>1.5019209228560815E-2</v>
      </c>
      <c r="DY59" s="9">
        <f t="shared" ca="1" si="36"/>
        <v>5.5740236045906943E-3</v>
      </c>
      <c r="DZ59" s="9">
        <f t="shared" ref="DZ59:GK59" ca="1" si="37">IF(DZ32="","",ABS(DZ32))</f>
        <v>1.1351105860163857E-2</v>
      </c>
      <c r="EA59" s="9">
        <f t="shared" ca="1" si="37"/>
        <v>1.0677527913440565E-2</v>
      </c>
      <c r="EB59" s="9">
        <f t="shared" ca="1" si="37"/>
        <v>1.9951518356598141E-2</v>
      </c>
      <c r="EC59" s="9">
        <f t="shared" ca="1" si="37"/>
        <v>1.1286486959092068E-2</v>
      </c>
      <c r="ED59" s="9">
        <f t="shared" ca="1" si="37"/>
        <v>1.5540484505395691E-2</v>
      </c>
      <c r="EE59" s="9">
        <f t="shared" ca="1" si="37"/>
        <v>1.5345214344045566E-2</v>
      </c>
      <c r="EF59" s="9">
        <f t="shared" ca="1" si="37"/>
        <v>5.8901487031535193E-3</v>
      </c>
      <c r="EG59" s="9">
        <f t="shared" ca="1" si="37"/>
        <v>1.1484066172176899E-2</v>
      </c>
      <c r="EH59" s="9">
        <f t="shared" ca="1" si="37"/>
        <v>1.4024195979197462E-2</v>
      </c>
      <c r="EI59" s="9">
        <f t="shared" ca="1" si="37"/>
        <v>1.6825414206757983E-2</v>
      </c>
      <c r="EJ59" s="9">
        <f t="shared" ca="1" si="37"/>
        <v>3.1891605958880298E-3</v>
      </c>
      <c r="EK59" s="9">
        <f t="shared" ca="1" si="37"/>
        <v>1.4361447095112001E-2</v>
      </c>
      <c r="EL59" s="9">
        <f t="shared" ca="1" si="37"/>
        <v>4.3187747933013387E-3</v>
      </c>
      <c r="EM59" s="9">
        <f t="shared" ca="1" si="37"/>
        <v>1.1863799590720703E-2</v>
      </c>
      <c r="EN59" s="9">
        <f t="shared" ca="1" si="37"/>
        <v>2.3593678997053891E-2</v>
      </c>
      <c r="EO59" s="9">
        <f t="shared" ca="1" si="37"/>
        <v>6.888882506800309E-3</v>
      </c>
      <c r="EP59" s="9">
        <f t="shared" ca="1" si="37"/>
        <v>1.105633122441918E-2</v>
      </c>
      <c r="EQ59" s="9">
        <f t="shared" ca="1" si="37"/>
        <v>1.0170850705713774E-2</v>
      </c>
      <c r="ER59" s="9">
        <f t="shared" ca="1" si="37"/>
        <v>5.4482822376844542E-3</v>
      </c>
      <c r="ES59" s="9">
        <f t="shared" ca="1" si="37"/>
        <v>3.4649544055617154E-3</v>
      </c>
      <c r="ET59" s="9">
        <f t="shared" ca="1" si="37"/>
        <v>1.0826111899258972E-2</v>
      </c>
      <c r="EU59" s="9">
        <f t="shared" ca="1" si="37"/>
        <v>1.1381327212890868E-2</v>
      </c>
      <c r="EV59" s="9">
        <f t="shared" ca="1" si="37"/>
        <v>2.5073853890624775E-3</v>
      </c>
      <c r="EW59" s="9">
        <f t="shared" ca="1" si="37"/>
        <v>1.04339107398288E-3</v>
      </c>
      <c r="EX59" s="9">
        <f t="shared" ca="1" si="37"/>
        <v>5.3669207150806031E-3</v>
      </c>
      <c r="EY59" s="9">
        <f t="shared" ca="1" si="37"/>
        <v>6.4309318341857491E-3</v>
      </c>
      <c r="EZ59" s="9">
        <f t="shared" ca="1" si="37"/>
        <v>1.7221932389017702E-3</v>
      </c>
      <c r="FA59" s="9">
        <f t="shared" ca="1" si="37"/>
        <v>2.0951463061807729E-2</v>
      </c>
      <c r="FB59" s="9">
        <f t="shared" ca="1" si="37"/>
        <v>2.735954957297615E-3</v>
      </c>
      <c r="FC59" s="9">
        <f t="shared" ca="1" si="37"/>
        <v>8.1419437564236308E-3</v>
      </c>
      <c r="FD59" s="9">
        <f t="shared" ca="1" si="37"/>
        <v>7.5237243474028936E-3</v>
      </c>
      <c r="FE59" s="9">
        <f t="shared" ca="1" si="37"/>
        <v>4.0344103837458567E-3</v>
      </c>
      <c r="FF59" s="9">
        <f t="shared" ca="1" si="37"/>
        <v>3.4148513839971195E-2</v>
      </c>
      <c r="FG59" s="9">
        <f t="shared" ca="1" si="37"/>
        <v>4.1519027342884929E-2</v>
      </c>
      <c r="FH59" s="9">
        <f t="shared" ca="1" si="37"/>
        <v>2.2988825466684348E-2</v>
      </c>
      <c r="FI59" s="9">
        <f t="shared" ca="1" si="37"/>
        <v>3.6543879843029536E-3</v>
      </c>
      <c r="FJ59" s="9">
        <f t="shared" ca="1" si="37"/>
        <v>2.0822974294415264E-2</v>
      </c>
      <c r="FK59" s="9">
        <f t="shared" ca="1" si="37"/>
        <v>1.3120629058001043E-2</v>
      </c>
      <c r="FL59" s="9">
        <f t="shared" ca="1" si="37"/>
        <v>8.6541933797215087E-3</v>
      </c>
      <c r="FM59" s="9">
        <f t="shared" ca="1" si="37"/>
        <v>7.4957666525197197E-3</v>
      </c>
      <c r="FN59" s="9">
        <f t="shared" ca="1" si="37"/>
        <v>6.9773599171072398E-3</v>
      </c>
      <c r="FO59" s="9">
        <f t="shared" ca="1" si="37"/>
        <v>2.2841163715545676E-3</v>
      </c>
      <c r="FP59" s="9">
        <f t="shared" ca="1" si="37"/>
        <v>1.2828522381833629E-2</v>
      </c>
      <c r="FQ59" s="9">
        <f t="shared" ca="1" si="37"/>
        <v>1.5077270715642133E-2</v>
      </c>
      <c r="FR59" s="9">
        <f t="shared" ca="1" si="37"/>
        <v>1.1674013710694875E-2</v>
      </c>
      <c r="FS59" s="9">
        <f t="shared" ca="1" si="37"/>
        <v>2.7949310829570306E-3</v>
      </c>
      <c r="FT59" s="9">
        <f t="shared" ca="1" si="37"/>
        <v>1.5163376289424324E-3</v>
      </c>
      <c r="FU59" s="9">
        <f t="shared" ca="1" si="37"/>
        <v>1.4999491897642381E-2</v>
      </c>
      <c r="FV59" s="9">
        <f t="shared" ca="1" si="37"/>
        <v>2.0226229965532694E-2</v>
      </c>
      <c r="FW59" s="9">
        <f t="shared" ca="1" si="37"/>
        <v>1.0733580838817369E-2</v>
      </c>
      <c r="FX59" s="9">
        <f t="shared" ca="1" si="37"/>
        <v>8.1337629552291624E-4</v>
      </c>
      <c r="FY59" s="9">
        <f t="shared" ca="1" si="37"/>
        <v>7.1453724753032244E-3</v>
      </c>
      <c r="FZ59" s="9">
        <f t="shared" ca="1" si="37"/>
        <v>3.6358170042452009E-3</v>
      </c>
      <c r="GA59" s="9">
        <f t="shared" ca="1" si="37"/>
        <v>3.0611520384704605E-4</v>
      </c>
      <c r="GB59" s="9">
        <f t="shared" ca="1" si="37"/>
        <v>8.3326549258888605E-4</v>
      </c>
      <c r="GC59" s="9">
        <f t="shared" ca="1" si="37"/>
        <v>5.9037539539202877E-3</v>
      </c>
      <c r="GD59" s="9">
        <f t="shared" ca="1" si="37"/>
        <v>1.5787035388527437E-2</v>
      </c>
      <c r="GE59" s="9">
        <f t="shared" ca="1" si="37"/>
        <v>2.4052472177012896E-2</v>
      </c>
      <c r="GF59" s="9">
        <f t="shared" ca="1" si="37"/>
        <v>1.1127772523666923E-4</v>
      </c>
      <c r="GG59" s="9">
        <f t="shared" ca="1" si="37"/>
        <v>3.4404981068338891E-3</v>
      </c>
      <c r="GH59" s="9">
        <f t="shared" ca="1" si="37"/>
        <v>1.2989430554670722E-3</v>
      </c>
      <c r="GI59" s="9">
        <f t="shared" ca="1" si="37"/>
        <v>1.1832153455132888E-2</v>
      </c>
      <c r="GJ59" s="9">
        <f t="shared" ca="1" si="37"/>
        <v>1.0646467200838616E-2</v>
      </c>
      <c r="GK59" s="9">
        <f t="shared" ca="1" si="37"/>
        <v>1.2071820053636051E-2</v>
      </c>
      <c r="GL59" s="9">
        <f t="shared" ref="GL59:IW59" ca="1" si="38">IF(GL32="","",ABS(GL32))</f>
        <v>8.208628621683256E-2</v>
      </c>
      <c r="GM59" s="9">
        <f t="shared" ca="1" si="38"/>
        <v>0.17184370266792193</v>
      </c>
      <c r="GN59" s="9">
        <f t="shared" ca="1" si="38"/>
        <v>0.21150245218291697</v>
      </c>
      <c r="GO59" s="9">
        <f t="shared" ca="1" si="38"/>
        <v>0.10105589763161404</v>
      </c>
      <c r="GP59" s="9">
        <f t="shared" ca="1" si="38"/>
        <v>0.12533244915537911</v>
      </c>
      <c r="GQ59" s="9">
        <f t="shared" ca="1" si="38"/>
        <v>7.0942109719825508E-2</v>
      </c>
      <c r="GR59" s="9">
        <f t="shared" ca="1" si="38"/>
        <v>8.9287715755039354E-2</v>
      </c>
      <c r="GS59" s="9">
        <f t="shared" ca="1" si="38"/>
        <v>7.6428235462332905E-2</v>
      </c>
      <c r="GT59" s="9">
        <f t="shared" ca="1" si="38"/>
        <v>4.8135165359909582E-2</v>
      </c>
      <c r="GU59" s="9">
        <f t="shared" ca="1" si="38"/>
        <v>2.6030195753387386E-2</v>
      </c>
      <c r="GV59" s="9">
        <f t="shared" ca="1" si="38"/>
        <v>2.9223105447209963E-2</v>
      </c>
      <c r="GW59" s="9" t="str">
        <f t="shared" ca="1" si="38"/>
        <v/>
      </c>
      <c r="GX59" s="9" t="str">
        <f t="shared" ca="1" si="38"/>
        <v/>
      </c>
      <c r="GY59" s="9" t="str">
        <f t="shared" ca="1" si="38"/>
        <v/>
      </c>
      <c r="GZ59" s="9" t="str">
        <f t="shared" ca="1" si="38"/>
        <v/>
      </c>
      <c r="HA59" s="9" t="str">
        <f t="shared" ca="1" si="38"/>
        <v/>
      </c>
      <c r="HB59" s="9" t="str">
        <f t="shared" ca="1" si="38"/>
        <v/>
      </c>
      <c r="HC59" s="9" t="str">
        <f t="shared" ca="1" si="38"/>
        <v/>
      </c>
      <c r="HD59" s="9" t="str">
        <f t="shared" ca="1" si="38"/>
        <v/>
      </c>
      <c r="HE59" s="9" t="str">
        <f t="shared" ca="1" si="38"/>
        <v/>
      </c>
      <c r="HF59" s="9" t="str">
        <f t="shared" ca="1" si="38"/>
        <v/>
      </c>
      <c r="HG59" s="9" t="str">
        <f t="shared" ca="1" si="38"/>
        <v/>
      </c>
      <c r="HH59" s="9" t="str">
        <f t="shared" ca="1" si="38"/>
        <v/>
      </c>
      <c r="HI59" s="9" t="str">
        <f t="shared" ca="1" si="38"/>
        <v/>
      </c>
      <c r="HJ59" s="9" t="str">
        <f t="shared" ca="1" si="38"/>
        <v/>
      </c>
      <c r="HK59" s="9" t="str">
        <f t="shared" ca="1" si="38"/>
        <v/>
      </c>
      <c r="HL59" s="9" t="str">
        <f t="shared" ca="1" si="38"/>
        <v/>
      </c>
      <c r="HM59" s="9" t="str">
        <f t="shared" ca="1" si="38"/>
        <v/>
      </c>
      <c r="HN59" s="9" t="str">
        <f t="shared" ca="1" si="38"/>
        <v/>
      </c>
      <c r="HO59" s="9" t="str">
        <f t="shared" ca="1" si="38"/>
        <v/>
      </c>
      <c r="HP59" s="9" t="str">
        <f t="shared" ca="1" si="38"/>
        <v/>
      </c>
      <c r="HQ59" s="9" t="str">
        <f t="shared" ca="1" si="38"/>
        <v/>
      </c>
      <c r="HR59" s="9" t="str">
        <f t="shared" ca="1" si="38"/>
        <v/>
      </c>
      <c r="HS59" s="9" t="str">
        <f t="shared" ca="1" si="38"/>
        <v/>
      </c>
      <c r="HT59" s="9" t="str">
        <f t="shared" ca="1" si="38"/>
        <v/>
      </c>
      <c r="HU59" s="9" t="str">
        <f t="shared" ca="1" si="38"/>
        <v/>
      </c>
      <c r="HV59" s="9" t="str">
        <f t="shared" ca="1" si="38"/>
        <v/>
      </c>
      <c r="HW59" s="9" t="str">
        <f t="shared" ca="1" si="38"/>
        <v/>
      </c>
      <c r="HX59" s="9" t="str">
        <f t="shared" ca="1" si="38"/>
        <v/>
      </c>
      <c r="HY59" s="9" t="str">
        <f t="shared" ca="1" si="38"/>
        <v/>
      </c>
      <c r="HZ59" s="9" t="str">
        <f t="shared" ca="1" si="38"/>
        <v/>
      </c>
      <c r="IA59" s="9" t="str">
        <f t="shared" ca="1" si="38"/>
        <v/>
      </c>
      <c r="IB59" s="9" t="str">
        <f t="shared" ca="1" si="38"/>
        <v/>
      </c>
      <c r="IC59" s="9" t="str">
        <f t="shared" ca="1" si="38"/>
        <v/>
      </c>
      <c r="ID59" s="9" t="str">
        <f t="shared" ca="1" si="38"/>
        <v/>
      </c>
      <c r="IE59" s="9" t="str">
        <f t="shared" ca="1" si="38"/>
        <v/>
      </c>
      <c r="IF59" s="9" t="str">
        <f t="shared" ca="1" si="38"/>
        <v/>
      </c>
      <c r="IG59" s="9" t="str">
        <f t="shared" ca="1" si="38"/>
        <v/>
      </c>
      <c r="IH59" s="9" t="str">
        <f t="shared" ca="1" si="38"/>
        <v/>
      </c>
      <c r="II59" s="9" t="str">
        <f t="shared" ca="1" si="38"/>
        <v/>
      </c>
      <c r="IJ59" s="9" t="str">
        <f t="shared" ca="1" si="38"/>
        <v/>
      </c>
      <c r="IK59" s="9" t="str">
        <f t="shared" ca="1" si="38"/>
        <v/>
      </c>
      <c r="IL59" s="9" t="str">
        <f t="shared" ca="1" si="38"/>
        <v/>
      </c>
      <c r="IM59" s="9" t="str">
        <f t="shared" ca="1" si="38"/>
        <v/>
      </c>
      <c r="IN59" s="9" t="str">
        <f t="shared" ca="1" si="38"/>
        <v/>
      </c>
      <c r="IO59" s="9" t="str">
        <f t="shared" ca="1" si="38"/>
        <v/>
      </c>
      <c r="IP59" s="9" t="str">
        <f t="shared" ca="1" si="38"/>
        <v/>
      </c>
      <c r="IQ59" s="9" t="str">
        <f t="shared" ca="1" si="38"/>
        <v/>
      </c>
      <c r="IR59" s="9" t="str">
        <f t="shared" ca="1" si="38"/>
        <v/>
      </c>
      <c r="IS59" s="9" t="str">
        <f t="shared" ca="1" si="38"/>
        <v/>
      </c>
      <c r="IT59" s="9" t="str">
        <f t="shared" ca="1" si="38"/>
        <v/>
      </c>
      <c r="IU59" s="9" t="str">
        <f t="shared" ca="1" si="38"/>
        <v/>
      </c>
      <c r="IV59" s="9" t="str">
        <f t="shared" ca="1" si="38"/>
        <v/>
      </c>
      <c r="IW59" s="9" t="str">
        <f t="shared" ca="1" si="38"/>
        <v/>
      </c>
      <c r="IX59" s="9" t="str">
        <f t="shared" ref="IX59:JH59" ca="1" si="39">IF(IX32="","",ABS(IX32))</f>
        <v/>
      </c>
      <c r="IY59" s="9" t="str">
        <f t="shared" ca="1" si="39"/>
        <v/>
      </c>
      <c r="IZ59" s="9" t="str">
        <f t="shared" ca="1" si="39"/>
        <v/>
      </c>
      <c r="JA59" s="9" t="str">
        <f t="shared" ca="1" si="39"/>
        <v/>
      </c>
      <c r="JB59" s="9" t="str">
        <f t="shared" ca="1" si="39"/>
        <v/>
      </c>
      <c r="JC59" s="9" t="str">
        <f t="shared" ca="1" si="39"/>
        <v/>
      </c>
      <c r="JD59" s="9" t="str">
        <f t="shared" ca="1" si="39"/>
        <v/>
      </c>
      <c r="JE59" s="9" t="str">
        <f t="shared" ca="1" si="39"/>
        <v/>
      </c>
      <c r="JF59" s="9" t="str">
        <f t="shared" ca="1" si="39"/>
        <v/>
      </c>
      <c r="JG59" s="9" t="str">
        <f t="shared" ca="1" si="39"/>
        <v/>
      </c>
      <c r="JH59" s="9" t="str">
        <f t="shared" ca="1" si="39"/>
        <v/>
      </c>
      <c r="JI59" s="13">
        <f t="shared" ca="1" si="24"/>
        <v>3.7711485586897228E-2</v>
      </c>
      <c r="JJ59" s="13">
        <f t="shared" ca="1" si="25"/>
        <v>1.3535655975639216E-2</v>
      </c>
      <c r="JK59" s="14">
        <f t="shared" ca="1" si="26"/>
        <v>2.7053778222523809E-3</v>
      </c>
      <c r="JL59" s="17">
        <f t="shared" ca="1" si="34"/>
        <v>5.201324660365262E-2</v>
      </c>
      <c r="JM59" s="15" t="str">
        <f t="shared" ca="1" si="27"/>
        <v>[ -6,63% ; 14,17% ]</v>
      </c>
      <c r="JN59" s="17">
        <f t="shared" ca="1" si="28"/>
        <v>6.6576955652675351E-2</v>
      </c>
      <c r="LY59" s="1"/>
    </row>
    <row r="60" spans="1:337" x14ac:dyDescent="0.25">
      <c r="A60" s="4">
        <v>4</v>
      </c>
      <c r="B60" s="9">
        <f t="shared" ref="B60:BM60" ca="1" si="40">IF(B33="","",ABS(B33))</f>
        <v>1.2113139011156182E-2</v>
      </c>
      <c r="C60" s="9">
        <f t="shared" ca="1" si="40"/>
        <v>1.4671814158679908E-2</v>
      </c>
      <c r="D60" s="9">
        <f t="shared" ca="1" si="40"/>
        <v>9.123434650686324E-4</v>
      </c>
      <c r="E60" s="9">
        <f t="shared" ca="1" si="40"/>
        <v>1.028386871788145E-2</v>
      </c>
      <c r="F60" s="9">
        <f t="shared" ca="1" si="40"/>
        <v>8.1344484888543622E-3</v>
      </c>
      <c r="G60" s="9">
        <f t="shared" ca="1" si="40"/>
        <v>1.7382601843548118E-2</v>
      </c>
      <c r="H60" s="9">
        <f t="shared" ca="1" si="40"/>
        <v>3.0328810101673431E-2</v>
      </c>
      <c r="I60" s="9">
        <f t="shared" ca="1" si="40"/>
        <v>2.4010318322623014E-2</v>
      </c>
      <c r="J60" s="9">
        <f t="shared" ca="1" si="40"/>
        <v>3.4584705581870656E-2</v>
      </c>
      <c r="K60" s="9">
        <f t="shared" ca="1" si="40"/>
        <v>2.6222856662422522E-2</v>
      </c>
      <c r="L60" s="9">
        <f t="shared" ca="1" si="40"/>
        <v>2.1597107737293175E-2</v>
      </c>
      <c r="M60" s="9">
        <f t="shared" ca="1" si="40"/>
        <v>8.1862570438273607E-3</v>
      </c>
      <c r="N60" s="9">
        <f t="shared" ca="1" si="40"/>
        <v>9.1663408037478966E-4</v>
      </c>
      <c r="O60" s="9">
        <f t="shared" ca="1" si="40"/>
        <v>5.7339572207659728E-3</v>
      </c>
      <c r="P60" s="9">
        <f t="shared" ca="1" si="40"/>
        <v>5.7127621250351313E-3</v>
      </c>
      <c r="Q60" s="9">
        <f t="shared" ca="1" si="40"/>
        <v>1.4692215535744513E-2</v>
      </c>
      <c r="R60" s="9">
        <f t="shared" ca="1" si="40"/>
        <v>1.1442309495863334E-2</v>
      </c>
      <c r="S60" s="9">
        <f t="shared" ca="1" si="40"/>
        <v>1.7762757471886936E-2</v>
      </c>
      <c r="T60" s="9">
        <f t="shared" ca="1" si="40"/>
        <v>1.7746168234425763E-2</v>
      </c>
      <c r="U60" s="9">
        <f t="shared" ca="1" si="40"/>
        <v>1.8714865870669284E-3</v>
      </c>
      <c r="V60" s="9">
        <f t="shared" ca="1" si="40"/>
        <v>1.1480808203266468E-2</v>
      </c>
      <c r="W60" s="9">
        <f t="shared" ca="1" si="40"/>
        <v>2.8158507334561378E-3</v>
      </c>
      <c r="X60" s="9">
        <f t="shared" ca="1" si="40"/>
        <v>2.1319301880007302E-3</v>
      </c>
      <c r="Y60" s="9">
        <f t="shared" ca="1" si="40"/>
        <v>6.6605442740036436E-3</v>
      </c>
      <c r="Z60" s="9">
        <f t="shared" ca="1" si="40"/>
        <v>4.7511125072727811E-3</v>
      </c>
      <c r="AA60" s="9">
        <f t="shared" ca="1" si="40"/>
        <v>1.0619506698345438E-2</v>
      </c>
      <c r="AB60" s="9">
        <f t="shared" ca="1" si="40"/>
        <v>1.2968881403059074E-2</v>
      </c>
      <c r="AC60" s="9">
        <f t="shared" ca="1" si="40"/>
        <v>1.3619835072226527E-2</v>
      </c>
      <c r="AD60" s="9">
        <f t="shared" ca="1" si="40"/>
        <v>4.3584997484062971E-3</v>
      </c>
      <c r="AE60" s="9">
        <f t="shared" ca="1" si="40"/>
        <v>1.0579168162191843E-2</v>
      </c>
      <c r="AF60" s="9">
        <f t="shared" ca="1" si="40"/>
        <v>1.6386669402630893E-2</v>
      </c>
      <c r="AG60" s="9">
        <f t="shared" ca="1" si="40"/>
        <v>2.488063362596038E-2</v>
      </c>
      <c r="AH60" s="9">
        <f t="shared" ca="1" si="40"/>
        <v>2.9028228337133921E-2</v>
      </c>
      <c r="AI60" s="9">
        <f t="shared" ca="1" si="40"/>
        <v>2.345101532265903E-2</v>
      </c>
      <c r="AJ60" s="9">
        <f t="shared" ca="1" si="40"/>
        <v>1.5539800074451104E-2</v>
      </c>
      <c r="AK60" s="9">
        <f t="shared" ca="1" si="40"/>
        <v>2.2386752026355428E-3</v>
      </c>
      <c r="AL60" s="9">
        <f t="shared" ca="1" si="40"/>
        <v>1.6294331145126351E-2</v>
      </c>
      <c r="AM60" s="9">
        <f t="shared" ca="1" si="40"/>
        <v>2.9404650566175139E-2</v>
      </c>
      <c r="AN60" s="9">
        <f t="shared" ca="1" si="40"/>
        <v>4.712108729380704E-2</v>
      </c>
      <c r="AO60" s="9">
        <f t="shared" ca="1" si="40"/>
        <v>4.9178560155609174E-2</v>
      </c>
      <c r="AP60" s="9">
        <f t="shared" ca="1" si="40"/>
        <v>5.2864188367215625E-2</v>
      </c>
      <c r="AQ60" s="9">
        <f t="shared" ca="1" si="40"/>
        <v>3.4888643430948219E-2</v>
      </c>
      <c r="AR60" s="9">
        <f t="shared" ca="1" si="40"/>
        <v>1.4178550775053256E-2</v>
      </c>
      <c r="AS60" s="9">
        <f t="shared" ca="1" si="40"/>
        <v>7.8140561808243136E-3</v>
      </c>
      <c r="AT60" s="9">
        <f t="shared" ca="1" si="40"/>
        <v>7.1304781590927346E-3</v>
      </c>
      <c r="AU60" s="9">
        <f t="shared" ca="1" si="40"/>
        <v>4.0782826473231726E-2</v>
      </c>
      <c r="AV60" s="9">
        <f t="shared" ca="1" si="40"/>
        <v>6.6919069840234546E-2</v>
      </c>
      <c r="AW60" s="9">
        <f t="shared" ca="1" si="40"/>
        <v>7.1400889356059705E-2</v>
      </c>
      <c r="AX60" s="9">
        <f t="shared" ca="1" si="40"/>
        <v>9.4695553555892542E-2</v>
      </c>
      <c r="AY60" s="9">
        <f t="shared" ca="1" si="40"/>
        <v>0.10095953434962968</v>
      </c>
      <c r="AZ60" s="9">
        <f t="shared" ca="1" si="40"/>
        <v>8.1140396439188023E-2</v>
      </c>
      <c r="BA60" s="9">
        <f t="shared" ca="1" si="40"/>
        <v>0.10400611065406817</v>
      </c>
      <c r="BB60" s="9">
        <f t="shared" ca="1" si="40"/>
        <v>6.0478666558580918E-2</v>
      </c>
      <c r="BC60" s="9">
        <f t="shared" ca="1" si="40"/>
        <v>3.3426750544382933E-2</v>
      </c>
      <c r="BD60" s="9">
        <f t="shared" ca="1" si="40"/>
        <v>7.6629374970108799E-2</v>
      </c>
      <c r="BE60" s="9">
        <f t="shared" ca="1" si="40"/>
        <v>9.4353865695195438E-2</v>
      </c>
      <c r="BF60" s="9">
        <f t="shared" ca="1" si="40"/>
        <v>8.9144495860012607E-2</v>
      </c>
      <c r="BG60" s="9">
        <f t="shared" ca="1" si="40"/>
        <v>7.9835208100876631E-2</v>
      </c>
      <c r="BH60" s="9">
        <f t="shared" ca="1" si="40"/>
        <v>5.5304742453600952E-2</v>
      </c>
      <c r="BI60" s="9">
        <f t="shared" ca="1" si="40"/>
        <v>3.5643288290799546E-2</v>
      </c>
      <c r="BJ60" s="9">
        <f t="shared" ca="1" si="40"/>
        <v>5.474591953279484E-3</v>
      </c>
      <c r="BK60" s="9">
        <f t="shared" ca="1" si="40"/>
        <v>1.2864353955355678E-2</v>
      </c>
      <c r="BL60" s="9">
        <f t="shared" ca="1" si="40"/>
        <v>7.8158654541559347E-2</v>
      </c>
      <c r="BM60" s="9">
        <f t="shared" ca="1" si="40"/>
        <v>0.13666431088544551</v>
      </c>
      <c r="BN60" s="9">
        <f t="shared" ref="BN60:DY60" ca="1" si="41">IF(BN33="","",ABS(BN33))</f>
        <v>0.12019429399580628</v>
      </c>
      <c r="BO60" s="9">
        <f t="shared" ca="1" si="41"/>
        <v>7.8593524490866207E-2</v>
      </c>
      <c r="BP60" s="9">
        <f t="shared" ca="1" si="41"/>
        <v>3.3169370737553772E-2</v>
      </c>
      <c r="BQ60" s="9">
        <f t="shared" ca="1" si="41"/>
        <v>2.9993486034909367E-3</v>
      </c>
      <c r="BR60" s="9">
        <f t="shared" ca="1" si="41"/>
        <v>1.4177993155709334E-2</v>
      </c>
      <c r="BS60" s="9">
        <f t="shared" ca="1" si="41"/>
        <v>4.322688357081006E-2</v>
      </c>
      <c r="BT60" s="9">
        <f t="shared" ca="1" si="41"/>
        <v>1.9745195786003755E-2</v>
      </c>
      <c r="BU60" s="9">
        <f t="shared" ca="1" si="41"/>
        <v>1.582578656264233E-2</v>
      </c>
      <c r="BV60" s="9">
        <f t="shared" ca="1" si="41"/>
        <v>1.6841448150526239E-2</v>
      </c>
      <c r="BW60" s="9">
        <f t="shared" ca="1" si="41"/>
        <v>1.0786562388784171E-2</v>
      </c>
      <c r="BX60" s="9">
        <f t="shared" ca="1" si="41"/>
        <v>4.4186598853960479E-2</v>
      </c>
      <c r="BY60" s="9">
        <f t="shared" ca="1" si="41"/>
        <v>6.8656397184974294E-2</v>
      </c>
      <c r="BZ60" s="9">
        <f t="shared" ca="1" si="41"/>
        <v>4.40583624635702E-2</v>
      </c>
      <c r="CA60" s="9">
        <f t="shared" ca="1" si="41"/>
        <v>2.0340603186251638E-2</v>
      </c>
      <c r="CB60" s="9">
        <f t="shared" ca="1" si="41"/>
        <v>1.165140034862977E-2</v>
      </c>
      <c r="CC60" s="9">
        <f t="shared" ca="1" si="41"/>
        <v>2.5980379282276478E-2</v>
      </c>
      <c r="CD60" s="9">
        <f t="shared" ca="1" si="41"/>
        <v>1.5781873614651332E-2</v>
      </c>
      <c r="CE60" s="9">
        <f t="shared" ca="1" si="41"/>
        <v>2.4233421238892827E-2</v>
      </c>
      <c r="CF60" s="9">
        <f t="shared" ca="1" si="41"/>
        <v>1.1714742888922158E-2</v>
      </c>
      <c r="CG60" s="9">
        <f t="shared" ca="1" si="41"/>
        <v>1.7316852355888646E-2</v>
      </c>
      <c r="CH60" s="9">
        <f t="shared" ca="1" si="41"/>
        <v>3.793236231536945E-2</v>
      </c>
      <c r="CI60" s="9">
        <f t="shared" ca="1" si="41"/>
        <v>1.9848183761512761E-3</v>
      </c>
      <c r="CJ60" s="9">
        <f t="shared" ca="1" si="41"/>
        <v>1.9095885897506992E-2</v>
      </c>
      <c r="CK60" s="9">
        <f t="shared" ca="1" si="41"/>
        <v>3.3018275019905508E-2</v>
      </c>
      <c r="CL60" s="9">
        <f t="shared" ca="1" si="41"/>
        <v>2.4815717624599998E-3</v>
      </c>
      <c r="CM60" s="9">
        <f t="shared" ca="1" si="41"/>
        <v>1.8754722084311726E-2</v>
      </c>
      <c r="CN60" s="9">
        <f t="shared" ca="1" si="41"/>
        <v>3.6625188087240579E-2</v>
      </c>
      <c r="CO60" s="9">
        <f t="shared" ca="1" si="41"/>
        <v>4.383766686267665E-2</v>
      </c>
      <c r="CP60" s="9">
        <f t="shared" ca="1" si="41"/>
        <v>2.9332237027306474E-2</v>
      </c>
      <c r="CQ60" s="9">
        <f t="shared" ca="1" si="41"/>
        <v>4.3879661842608497E-3</v>
      </c>
      <c r="CR60" s="9">
        <f t="shared" ca="1" si="41"/>
        <v>9.1251165226877706E-3</v>
      </c>
      <c r="CS60" s="9">
        <f t="shared" ca="1" si="41"/>
        <v>1.4269313798579097E-2</v>
      </c>
      <c r="CT60" s="9">
        <f t="shared" ca="1" si="41"/>
        <v>3.5961889115705747E-2</v>
      </c>
      <c r="CU60" s="9">
        <f t="shared" ca="1" si="41"/>
        <v>1.5866726045312141E-2</v>
      </c>
      <c r="CV60" s="9">
        <f t="shared" ca="1" si="41"/>
        <v>9.199303986000551E-3</v>
      </c>
      <c r="CW60" s="9">
        <f t="shared" ca="1" si="41"/>
        <v>5.7688002403466498E-5</v>
      </c>
      <c r="CX60" s="9">
        <f t="shared" ca="1" si="41"/>
        <v>2.3190358458112126E-2</v>
      </c>
      <c r="CY60" s="9">
        <f t="shared" ca="1" si="41"/>
        <v>2.7319796020263798E-2</v>
      </c>
      <c r="CZ60" s="9">
        <f t="shared" ca="1" si="41"/>
        <v>7.5996765367091212E-3</v>
      </c>
      <c r="DA60" s="9">
        <f t="shared" ca="1" si="41"/>
        <v>7.5426114553622803E-4</v>
      </c>
      <c r="DB60" s="9">
        <f t="shared" ca="1" si="41"/>
        <v>7.5210668983480833E-3</v>
      </c>
      <c r="DC60" s="9">
        <f t="shared" ca="1" si="41"/>
        <v>1.5915680008083077E-2</v>
      </c>
      <c r="DD60" s="9">
        <f t="shared" ca="1" si="41"/>
        <v>3.023934336491263E-2</v>
      </c>
      <c r="DE60" s="9">
        <f t="shared" ca="1" si="41"/>
        <v>2.6979100179203686E-2</v>
      </c>
      <c r="DF60" s="9">
        <f t="shared" ca="1" si="41"/>
        <v>2.3814559353070308E-3</v>
      </c>
      <c r="DG60" s="9">
        <f t="shared" ca="1" si="41"/>
        <v>1.0637023945658575E-2</v>
      </c>
      <c r="DH60" s="9">
        <f t="shared" ca="1" si="41"/>
        <v>9.9866457612860504E-3</v>
      </c>
      <c r="DI60" s="9">
        <f t="shared" ca="1" si="41"/>
        <v>8.3711881472088301E-3</v>
      </c>
      <c r="DJ60" s="9">
        <f t="shared" ca="1" si="41"/>
        <v>2.3117097631023764E-2</v>
      </c>
      <c r="DK60" s="9">
        <f t="shared" ca="1" si="41"/>
        <v>1.5936766599398577E-2</v>
      </c>
      <c r="DL60" s="9">
        <f t="shared" ca="1" si="41"/>
        <v>5.3089641693482292E-3</v>
      </c>
      <c r="DM60" s="9">
        <f t="shared" ca="1" si="41"/>
        <v>1.5189324980397378E-2</v>
      </c>
      <c r="DN60" s="9">
        <f t="shared" ca="1" si="41"/>
        <v>2.1344757605231246E-2</v>
      </c>
      <c r="DO60" s="9">
        <f t="shared" ca="1" si="41"/>
        <v>1.5870817860144104E-2</v>
      </c>
      <c r="DP60" s="9">
        <f t="shared" ca="1" si="41"/>
        <v>3.2581815516145474E-2</v>
      </c>
      <c r="DQ60" s="9">
        <f t="shared" ca="1" si="41"/>
        <v>1.5814721000322773E-2</v>
      </c>
      <c r="DR60" s="9">
        <f t="shared" ca="1" si="41"/>
        <v>1.4004744650049972E-2</v>
      </c>
      <c r="DS60" s="9">
        <f t="shared" ca="1" si="41"/>
        <v>1.0419967846354794E-2</v>
      </c>
      <c r="DT60" s="9">
        <f t="shared" ca="1" si="41"/>
        <v>1.225678098079519E-2</v>
      </c>
      <c r="DU60" s="9">
        <f t="shared" ca="1" si="41"/>
        <v>1.1034237703623773E-2</v>
      </c>
      <c r="DV60" s="9">
        <f t="shared" ca="1" si="41"/>
        <v>2.1245720259791545E-2</v>
      </c>
      <c r="DW60" s="9">
        <f t="shared" ca="1" si="41"/>
        <v>2.1471403723060889E-2</v>
      </c>
      <c r="DX60" s="9">
        <f t="shared" ca="1" si="41"/>
        <v>1.6682558245068146E-2</v>
      </c>
      <c r="DY60" s="9">
        <f t="shared" ca="1" si="41"/>
        <v>1.8663701960436985E-2</v>
      </c>
      <c r="DZ60" s="9">
        <f t="shared" ref="DZ60:GK60" ca="1" si="42">IF(DZ33="","",ABS(DZ33))</f>
        <v>1.5890661388649807E-2</v>
      </c>
      <c r="EA60" s="9">
        <f t="shared" ca="1" si="42"/>
        <v>1.9614374416459412E-2</v>
      </c>
      <c r="EB60" s="9">
        <f t="shared" ca="1" si="42"/>
        <v>2.8417140952140318E-2</v>
      </c>
      <c r="EC60" s="9">
        <f t="shared" ca="1" si="42"/>
        <v>1.9625371779769862E-2</v>
      </c>
      <c r="ED60" s="9">
        <f t="shared" ca="1" si="42"/>
        <v>2.2815139097132286E-2</v>
      </c>
      <c r="EE60" s="9">
        <f t="shared" ca="1" si="42"/>
        <v>1.4983363738485078E-2</v>
      </c>
      <c r="EF60" s="9">
        <f t="shared" ca="1" si="42"/>
        <v>5.1046723835825869E-3</v>
      </c>
      <c r="EG60" s="9">
        <f t="shared" ca="1" si="42"/>
        <v>1.1140102338598967E-2</v>
      </c>
      <c r="EH60" s="9">
        <f t="shared" ca="1" si="42"/>
        <v>2.2302053357541762E-2</v>
      </c>
      <c r="EI60" s="9">
        <f t="shared" ca="1" si="42"/>
        <v>2.241070610897522E-2</v>
      </c>
      <c r="EJ60" s="9">
        <f t="shared" ca="1" si="42"/>
        <v>1.6116588662564713E-3</v>
      </c>
      <c r="EK60" s="9">
        <f t="shared" ca="1" si="42"/>
        <v>1.0383273461513354E-2</v>
      </c>
      <c r="EL60" s="9">
        <f t="shared" ca="1" si="42"/>
        <v>6.8976157639568658E-3</v>
      </c>
      <c r="EM60" s="9">
        <f t="shared" ca="1" si="42"/>
        <v>2.0432569903800157E-2</v>
      </c>
      <c r="EN60" s="9">
        <f t="shared" ca="1" si="42"/>
        <v>2.8501391474639481E-2</v>
      </c>
      <c r="EO60" s="9">
        <f t="shared" ca="1" si="42"/>
        <v>9.9314300424986346E-3</v>
      </c>
      <c r="EP60" s="9">
        <f t="shared" ca="1" si="42"/>
        <v>8.6232126302423495E-3</v>
      </c>
      <c r="EQ60" s="9">
        <f t="shared" ca="1" si="42"/>
        <v>1.3817905845603717E-2</v>
      </c>
      <c r="ER60" s="9">
        <f t="shared" ca="1" si="42"/>
        <v>1.5823472464780997E-3</v>
      </c>
      <c r="ES60" s="9">
        <f t="shared" ca="1" si="42"/>
        <v>1.024029357308831E-3</v>
      </c>
      <c r="ET60" s="9">
        <f t="shared" ca="1" si="42"/>
        <v>1.2017246922614078E-2</v>
      </c>
      <c r="EU60" s="9">
        <f t="shared" ca="1" si="42"/>
        <v>1.2151050930221174E-2</v>
      </c>
      <c r="EV60" s="9">
        <f t="shared" ca="1" si="42"/>
        <v>3.6177033034530126E-3</v>
      </c>
      <c r="EW60" s="9">
        <f t="shared" ca="1" si="42"/>
        <v>1.2179513278532839E-2</v>
      </c>
      <c r="EX60" s="9">
        <f t="shared" ca="1" si="42"/>
        <v>5.1243661735114188E-3</v>
      </c>
      <c r="EY60" s="9">
        <f t="shared" ca="1" si="42"/>
        <v>1.33525404864685E-2</v>
      </c>
      <c r="EZ60" s="9">
        <f t="shared" ca="1" si="42"/>
        <v>1.798245616451366E-3</v>
      </c>
      <c r="FA60" s="9">
        <f t="shared" ca="1" si="42"/>
        <v>2.6609554401228808E-2</v>
      </c>
      <c r="FB60" s="9">
        <f t="shared" ca="1" si="42"/>
        <v>5.4093701815363104E-3</v>
      </c>
      <c r="FC60" s="9">
        <f t="shared" ca="1" si="42"/>
        <v>6.7611791914548025E-3</v>
      </c>
      <c r="FD60" s="9">
        <f t="shared" ca="1" si="42"/>
        <v>1.4073290408672667E-3</v>
      </c>
      <c r="FE60" s="9">
        <f t="shared" ca="1" si="42"/>
        <v>2.0837220328048689E-2</v>
      </c>
      <c r="FF60" s="9">
        <f t="shared" ca="1" si="42"/>
        <v>4.817702132085544E-2</v>
      </c>
      <c r="FG60" s="9">
        <f t="shared" ca="1" si="42"/>
        <v>4.5454377212553965E-2</v>
      </c>
      <c r="FH60" s="9">
        <f t="shared" ca="1" si="42"/>
        <v>2.008128310744528E-2</v>
      </c>
      <c r="FI60" s="9">
        <f t="shared" ca="1" si="42"/>
        <v>1.0084519185717955E-2</v>
      </c>
      <c r="FJ60" s="9">
        <f t="shared" ca="1" si="42"/>
        <v>2.7558277132572861E-2</v>
      </c>
      <c r="FK60" s="9">
        <f t="shared" ca="1" si="42"/>
        <v>2.0967969286699972E-2</v>
      </c>
      <c r="FL60" s="9">
        <f t="shared" ca="1" si="42"/>
        <v>1.4399665810181927E-2</v>
      </c>
      <c r="FM60" s="9">
        <f t="shared" ca="1" si="42"/>
        <v>7.4033994775590806E-3</v>
      </c>
      <c r="FN60" s="9">
        <f t="shared" ca="1" si="42"/>
        <v>4.5590092170062491E-3</v>
      </c>
      <c r="FO60" s="9">
        <f t="shared" ca="1" si="42"/>
        <v>1.1965599182684139E-2</v>
      </c>
      <c r="FP60" s="9">
        <f t="shared" ca="1" si="42"/>
        <v>2.0485937070511606E-2</v>
      </c>
      <c r="FQ60" s="9">
        <f t="shared" ca="1" si="42"/>
        <v>1.9308568258237457E-2</v>
      </c>
      <c r="FR60" s="9">
        <f t="shared" ca="1" si="42"/>
        <v>1.5708959145673052E-2</v>
      </c>
      <c r="FS60" s="9">
        <f t="shared" ca="1" si="42"/>
        <v>2.2871576979508479E-3</v>
      </c>
      <c r="FT60" s="9">
        <f t="shared" ca="1" si="42"/>
        <v>7.0209855746743433E-3</v>
      </c>
      <c r="FU60" s="9">
        <f t="shared" ca="1" si="42"/>
        <v>2.2046114544188367E-2</v>
      </c>
      <c r="FV60" s="9">
        <f t="shared" ca="1" si="42"/>
        <v>2.2844752132807233E-2</v>
      </c>
      <c r="FW60" s="9">
        <f t="shared" ca="1" si="42"/>
        <v>1.1523760935832961E-2</v>
      </c>
      <c r="FX60" s="9">
        <f t="shared" ca="1" si="42"/>
        <v>1.7971770957148081E-4</v>
      </c>
      <c r="FY60" s="9">
        <f t="shared" ca="1" si="42"/>
        <v>1.139785439922536E-2</v>
      </c>
      <c r="FZ60" s="9">
        <f t="shared" ca="1" si="42"/>
        <v>4.6733536145003862E-3</v>
      </c>
      <c r="GA60" s="9">
        <f t="shared" ca="1" si="42"/>
        <v>1.1852058385513065E-3</v>
      </c>
      <c r="GB60" s="9">
        <f t="shared" ca="1" si="42"/>
        <v>8.05920987598574E-3</v>
      </c>
      <c r="GC60" s="9">
        <f t="shared" ca="1" si="42"/>
        <v>1.776400855765714E-2</v>
      </c>
      <c r="GD60" s="9">
        <f t="shared" ca="1" si="42"/>
        <v>2.6155499459404874E-2</v>
      </c>
      <c r="GE60" s="9">
        <f t="shared" ca="1" si="42"/>
        <v>2.0335148918005586E-2</v>
      </c>
      <c r="GF60" s="9">
        <f t="shared" ca="1" si="42"/>
        <v>5.3733878951587322E-3</v>
      </c>
      <c r="GG60" s="9">
        <f t="shared" ca="1" si="42"/>
        <v>3.2383631338968044E-3</v>
      </c>
      <c r="GH60" s="9">
        <f t="shared" ca="1" si="42"/>
        <v>1.955107012044488E-3</v>
      </c>
      <c r="GI60" s="9">
        <f t="shared" ca="1" si="42"/>
        <v>1.0562826752224419E-2</v>
      </c>
      <c r="GJ60" s="9">
        <f t="shared" ca="1" si="42"/>
        <v>2.163703304458986E-2</v>
      </c>
      <c r="GK60" s="9">
        <f t="shared" ca="1" si="42"/>
        <v>7.8635447126106928E-2</v>
      </c>
      <c r="GL60" s="9">
        <f t="shared" ref="GL60:IW60" ca="1" si="43">IF(GL33="","",ABS(GL33))</f>
        <v>0.16756673227487473</v>
      </c>
      <c r="GM60" s="9">
        <f t="shared" ca="1" si="43"/>
        <v>0.19734274916432315</v>
      </c>
      <c r="GN60" s="9">
        <f t="shared" ca="1" si="43"/>
        <v>0.23345268893256621</v>
      </c>
      <c r="GO60" s="9">
        <f t="shared" ca="1" si="43"/>
        <v>7.54144183861577E-2</v>
      </c>
      <c r="GP60" s="9">
        <f t="shared" ca="1" si="43"/>
        <v>0.16555589060075548</v>
      </c>
      <c r="GQ60" s="9">
        <f t="shared" ca="1" si="43"/>
        <v>0.10497074982927912</v>
      </c>
      <c r="GR60" s="9">
        <f t="shared" ca="1" si="43"/>
        <v>0.10745740954952687</v>
      </c>
      <c r="GS60" s="9">
        <f t="shared" ca="1" si="43"/>
        <v>8.3372279418561401E-2</v>
      </c>
      <c r="GT60" s="9">
        <f t="shared" ca="1" si="43"/>
        <v>4.7118139014658444E-2</v>
      </c>
      <c r="GU60" s="9">
        <f t="shared" ca="1" si="43"/>
        <v>2.6036559980251006E-2</v>
      </c>
      <c r="GV60" s="9" t="str">
        <f t="shared" ca="1" si="43"/>
        <v/>
      </c>
      <c r="GW60" s="9" t="str">
        <f t="shared" ca="1" si="43"/>
        <v/>
      </c>
      <c r="GX60" s="9" t="str">
        <f t="shared" ca="1" si="43"/>
        <v/>
      </c>
      <c r="GY60" s="9" t="str">
        <f t="shared" ca="1" si="43"/>
        <v/>
      </c>
      <c r="GZ60" s="9" t="str">
        <f t="shared" ca="1" si="43"/>
        <v/>
      </c>
      <c r="HA60" s="9" t="str">
        <f t="shared" ca="1" si="43"/>
        <v/>
      </c>
      <c r="HB60" s="9" t="str">
        <f t="shared" ca="1" si="43"/>
        <v/>
      </c>
      <c r="HC60" s="9" t="str">
        <f t="shared" ca="1" si="43"/>
        <v/>
      </c>
      <c r="HD60" s="9" t="str">
        <f t="shared" ca="1" si="43"/>
        <v/>
      </c>
      <c r="HE60" s="9" t="str">
        <f t="shared" ca="1" si="43"/>
        <v/>
      </c>
      <c r="HF60" s="9" t="str">
        <f t="shared" ca="1" si="43"/>
        <v/>
      </c>
      <c r="HG60" s="9" t="str">
        <f t="shared" ca="1" si="43"/>
        <v/>
      </c>
      <c r="HH60" s="9" t="str">
        <f t="shared" ca="1" si="43"/>
        <v/>
      </c>
      <c r="HI60" s="9" t="str">
        <f t="shared" ca="1" si="43"/>
        <v/>
      </c>
      <c r="HJ60" s="9" t="str">
        <f t="shared" ca="1" si="43"/>
        <v/>
      </c>
      <c r="HK60" s="9" t="str">
        <f t="shared" ca="1" si="43"/>
        <v/>
      </c>
      <c r="HL60" s="9" t="str">
        <f t="shared" ca="1" si="43"/>
        <v/>
      </c>
      <c r="HM60" s="9" t="str">
        <f t="shared" ca="1" si="43"/>
        <v/>
      </c>
      <c r="HN60" s="9" t="str">
        <f t="shared" ca="1" si="43"/>
        <v/>
      </c>
      <c r="HO60" s="9" t="str">
        <f t="shared" ca="1" si="43"/>
        <v/>
      </c>
      <c r="HP60" s="9" t="str">
        <f t="shared" ca="1" si="43"/>
        <v/>
      </c>
      <c r="HQ60" s="9" t="str">
        <f t="shared" ca="1" si="43"/>
        <v/>
      </c>
      <c r="HR60" s="9" t="str">
        <f t="shared" ca="1" si="43"/>
        <v/>
      </c>
      <c r="HS60" s="9" t="str">
        <f t="shared" ca="1" si="43"/>
        <v/>
      </c>
      <c r="HT60" s="9" t="str">
        <f t="shared" ca="1" si="43"/>
        <v/>
      </c>
      <c r="HU60" s="9" t="str">
        <f t="shared" ca="1" si="43"/>
        <v/>
      </c>
      <c r="HV60" s="9" t="str">
        <f t="shared" ca="1" si="43"/>
        <v/>
      </c>
      <c r="HW60" s="9" t="str">
        <f t="shared" ca="1" si="43"/>
        <v/>
      </c>
      <c r="HX60" s="9" t="str">
        <f t="shared" ca="1" si="43"/>
        <v/>
      </c>
      <c r="HY60" s="9" t="str">
        <f t="shared" ca="1" si="43"/>
        <v/>
      </c>
      <c r="HZ60" s="9" t="str">
        <f t="shared" ca="1" si="43"/>
        <v/>
      </c>
      <c r="IA60" s="9" t="str">
        <f t="shared" ca="1" si="43"/>
        <v/>
      </c>
      <c r="IB60" s="9" t="str">
        <f t="shared" ca="1" si="43"/>
        <v/>
      </c>
      <c r="IC60" s="9" t="str">
        <f t="shared" ca="1" si="43"/>
        <v/>
      </c>
      <c r="ID60" s="9" t="str">
        <f t="shared" ca="1" si="43"/>
        <v/>
      </c>
      <c r="IE60" s="9" t="str">
        <f t="shared" ca="1" si="43"/>
        <v/>
      </c>
      <c r="IF60" s="9" t="str">
        <f t="shared" ca="1" si="43"/>
        <v/>
      </c>
      <c r="IG60" s="9" t="str">
        <f t="shared" ca="1" si="43"/>
        <v/>
      </c>
      <c r="IH60" s="9" t="str">
        <f t="shared" ca="1" si="43"/>
        <v/>
      </c>
      <c r="II60" s="9" t="str">
        <f t="shared" ca="1" si="43"/>
        <v/>
      </c>
      <c r="IJ60" s="9" t="str">
        <f t="shared" ca="1" si="43"/>
        <v/>
      </c>
      <c r="IK60" s="9" t="str">
        <f t="shared" ca="1" si="43"/>
        <v/>
      </c>
      <c r="IL60" s="9" t="str">
        <f t="shared" ca="1" si="43"/>
        <v/>
      </c>
      <c r="IM60" s="9" t="str">
        <f t="shared" ca="1" si="43"/>
        <v/>
      </c>
      <c r="IN60" s="9" t="str">
        <f t="shared" ca="1" si="43"/>
        <v/>
      </c>
      <c r="IO60" s="9" t="str">
        <f t="shared" ca="1" si="43"/>
        <v/>
      </c>
      <c r="IP60" s="9" t="str">
        <f t="shared" ca="1" si="43"/>
        <v/>
      </c>
      <c r="IQ60" s="9" t="str">
        <f t="shared" ca="1" si="43"/>
        <v/>
      </c>
      <c r="IR60" s="9" t="str">
        <f t="shared" ca="1" si="43"/>
        <v/>
      </c>
      <c r="IS60" s="9" t="str">
        <f t="shared" ca="1" si="43"/>
        <v/>
      </c>
      <c r="IT60" s="9" t="str">
        <f t="shared" ca="1" si="43"/>
        <v/>
      </c>
      <c r="IU60" s="9" t="str">
        <f t="shared" ca="1" si="43"/>
        <v/>
      </c>
      <c r="IV60" s="9" t="str">
        <f t="shared" ca="1" si="43"/>
        <v/>
      </c>
      <c r="IW60" s="9" t="str">
        <f t="shared" ca="1" si="43"/>
        <v/>
      </c>
      <c r="IX60" s="9" t="str">
        <f t="shared" ref="IX60:JH60" ca="1" si="44">IF(IX33="","",ABS(IX33))</f>
        <v/>
      </c>
      <c r="IY60" s="9" t="str">
        <f t="shared" ca="1" si="44"/>
        <v/>
      </c>
      <c r="IZ60" s="9" t="str">
        <f t="shared" ca="1" si="44"/>
        <v/>
      </c>
      <c r="JA60" s="9" t="str">
        <f t="shared" ca="1" si="44"/>
        <v/>
      </c>
      <c r="JB60" s="9" t="str">
        <f t="shared" ca="1" si="44"/>
        <v/>
      </c>
      <c r="JC60" s="9" t="str">
        <f t="shared" ca="1" si="44"/>
        <v/>
      </c>
      <c r="JD60" s="9" t="str">
        <f t="shared" ca="1" si="44"/>
        <v/>
      </c>
      <c r="JE60" s="9" t="str">
        <f t="shared" ca="1" si="44"/>
        <v/>
      </c>
      <c r="JF60" s="9" t="str">
        <f t="shared" ca="1" si="44"/>
        <v/>
      </c>
      <c r="JG60" s="9" t="str">
        <f t="shared" ca="1" si="44"/>
        <v/>
      </c>
      <c r="JH60" s="9" t="str">
        <f t="shared" ca="1" si="44"/>
        <v/>
      </c>
      <c r="JI60" s="13">
        <f t="shared" ca="1" si="24"/>
        <v>4.9038067057330367E-2</v>
      </c>
      <c r="JJ60" s="13">
        <f t="shared" ca="1" si="25"/>
        <v>2.0335148918005586E-2</v>
      </c>
      <c r="JK60" s="14">
        <f t="shared" ca="1" si="26"/>
        <v>3.959349731604939E-3</v>
      </c>
      <c r="JL60" s="17">
        <f t="shared" ca="1" si="34"/>
        <v>6.2923363956522052E-2</v>
      </c>
      <c r="JM60" s="15" t="str">
        <f t="shared" ca="1" si="27"/>
        <v>[ -7,68% ; 17,49% ]</v>
      </c>
      <c r="JN60" s="17">
        <f t="shared" ca="1" si="28"/>
        <v>8.0541905864348229E-2</v>
      </c>
      <c r="LY60" s="1"/>
    </row>
    <row r="61" spans="1:337" x14ac:dyDescent="0.25">
      <c r="A61" s="4">
        <v>5</v>
      </c>
      <c r="B61" s="9">
        <f t="shared" ref="B61:BM61" ca="1" si="45">IF(B34="","",ABS(B34))</f>
        <v>2.3433063451484104E-2</v>
      </c>
      <c r="C61" s="9">
        <f t="shared" ca="1" si="45"/>
        <v>1.170539941928328E-2</v>
      </c>
      <c r="D61" s="9">
        <f t="shared" ca="1" si="45"/>
        <v>1.3443206397970586E-2</v>
      </c>
      <c r="E61" s="9">
        <f t="shared" ca="1" si="45"/>
        <v>4.09770496791384E-3</v>
      </c>
      <c r="F61" s="9">
        <f t="shared" ca="1" si="45"/>
        <v>1.5545577770481156E-2</v>
      </c>
      <c r="G61" s="9">
        <f t="shared" ca="1" si="45"/>
        <v>3.1292867316763173E-2</v>
      </c>
      <c r="H61" s="9">
        <f t="shared" ca="1" si="45"/>
        <v>3.0092336793482E-2</v>
      </c>
      <c r="I61" s="9">
        <f t="shared" ca="1" si="45"/>
        <v>3.5670048754341988E-2</v>
      </c>
      <c r="J61" s="9">
        <f t="shared" ca="1" si="45"/>
        <v>3.6945480582663448E-2</v>
      </c>
      <c r="K61" s="9">
        <f t="shared" ca="1" si="45"/>
        <v>3.5055072052995628E-2</v>
      </c>
      <c r="L61" s="9">
        <f t="shared" ca="1" si="45"/>
        <v>1.6753526831127186E-2</v>
      </c>
      <c r="M61" s="9">
        <f t="shared" ca="1" si="45"/>
        <v>1.4297984263412555E-2</v>
      </c>
      <c r="N61" s="9">
        <f t="shared" ca="1" si="45"/>
        <v>1.0686734445779056E-2</v>
      </c>
      <c r="O61" s="9">
        <f t="shared" ca="1" si="45"/>
        <v>1.6877815827922582E-3</v>
      </c>
      <c r="P61" s="9">
        <f t="shared" ca="1" si="45"/>
        <v>2.4769862602099679E-2</v>
      </c>
      <c r="Q61" s="9">
        <f t="shared" ca="1" si="45"/>
        <v>1.7079207743075142E-2</v>
      </c>
      <c r="R61" s="9">
        <f t="shared" ca="1" si="45"/>
        <v>4.8592720334829087E-3</v>
      </c>
      <c r="S61" s="9">
        <f t="shared" ca="1" si="45"/>
        <v>1.7934548136898543E-2</v>
      </c>
      <c r="T61" s="9">
        <f t="shared" ca="1" si="45"/>
        <v>1.8646506252065209E-2</v>
      </c>
      <c r="U61" s="9">
        <f t="shared" ca="1" si="45"/>
        <v>2.2841147720278343E-3</v>
      </c>
      <c r="V61" s="9">
        <f t="shared" ca="1" si="45"/>
        <v>8.6484133136008889E-3</v>
      </c>
      <c r="W61" s="9">
        <f t="shared" ca="1" si="45"/>
        <v>4.2270161938740003E-3</v>
      </c>
      <c r="X61" s="9">
        <f t="shared" ca="1" si="45"/>
        <v>4.093092151327582E-3</v>
      </c>
      <c r="Y61" s="9">
        <f t="shared" ca="1" si="45"/>
        <v>5.3920475242699162E-3</v>
      </c>
      <c r="Z61" s="9">
        <f t="shared" ca="1" si="45"/>
        <v>8.2854449397180563E-3</v>
      </c>
      <c r="AA61" s="9">
        <f t="shared" ca="1" si="45"/>
        <v>1.3183794626684842E-2</v>
      </c>
      <c r="AB61" s="9">
        <f t="shared" ca="1" si="45"/>
        <v>8.6096348732647154E-3</v>
      </c>
      <c r="AC61" s="9">
        <f t="shared" ca="1" si="45"/>
        <v>1.4162708452134964E-2</v>
      </c>
      <c r="AD61" s="9">
        <f t="shared" ca="1" si="45"/>
        <v>1.4467215724378368E-2</v>
      </c>
      <c r="AE61" s="9">
        <f t="shared" ca="1" si="45"/>
        <v>1.7709372098755782E-2</v>
      </c>
      <c r="AF61" s="9">
        <f t="shared" ca="1" si="45"/>
        <v>2.300565986256764E-2</v>
      </c>
      <c r="AG61" s="9">
        <f t="shared" ca="1" si="45"/>
        <v>2.9612510214309218E-2</v>
      </c>
      <c r="AH61" s="9">
        <f t="shared" ca="1" si="45"/>
        <v>2.920797055001656E-2</v>
      </c>
      <c r="AI61" s="9">
        <f t="shared" ca="1" si="45"/>
        <v>2.6701589305709428E-2</v>
      </c>
      <c r="AJ61" s="9">
        <f t="shared" ca="1" si="45"/>
        <v>6.6316890005400086E-3</v>
      </c>
      <c r="AK61" s="9">
        <f t="shared" ca="1" si="45"/>
        <v>1.1263359594355205E-2</v>
      </c>
      <c r="AL61" s="9">
        <f t="shared" ca="1" si="45"/>
        <v>2.6878106690768067E-2</v>
      </c>
      <c r="AM61" s="9">
        <f t="shared" ca="1" si="45"/>
        <v>4.6845184573121923E-2</v>
      </c>
      <c r="AN61" s="9">
        <f t="shared" ca="1" si="45"/>
        <v>5.6488903201111107E-2</v>
      </c>
      <c r="AO61" s="9">
        <f t="shared" ca="1" si="45"/>
        <v>6.2922849794579849E-2</v>
      </c>
      <c r="AP61" s="9">
        <f t="shared" ca="1" si="45"/>
        <v>4.7617588713264269E-2</v>
      </c>
      <c r="AQ61" s="9">
        <f t="shared" ca="1" si="45"/>
        <v>2.9555084854188562E-2</v>
      </c>
      <c r="AR61" s="9">
        <f t="shared" ca="1" si="45"/>
        <v>1.6007745759806236E-2</v>
      </c>
      <c r="AS61" s="9">
        <f t="shared" ca="1" si="45"/>
        <v>2.0206091612972044E-2</v>
      </c>
      <c r="AT61" s="9">
        <f t="shared" ca="1" si="45"/>
        <v>3.6706180398636934E-2</v>
      </c>
      <c r="AU61" s="9">
        <f t="shared" ca="1" si="45"/>
        <v>6.3434089418069495E-2</v>
      </c>
      <c r="AV61" s="9">
        <f t="shared" ca="1" si="45"/>
        <v>7.3496875272589302E-2</v>
      </c>
      <c r="AW61" s="9">
        <f t="shared" ca="1" si="45"/>
        <v>0.10565410555757504</v>
      </c>
      <c r="AX61" s="9">
        <f t="shared" ca="1" si="45"/>
        <v>0.12829275062089518</v>
      </c>
      <c r="AY61" s="9">
        <f t="shared" ca="1" si="45"/>
        <v>0.12812239303960116</v>
      </c>
      <c r="AZ61" s="9">
        <f t="shared" ca="1" si="45"/>
        <v>9.5168304252356895E-2</v>
      </c>
      <c r="BA61" s="9">
        <f t="shared" ca="1" si="45"/>
        <v>0.12493267341592462</v>
      </c>
      <c r="BB61" s="9">
        <f t="shared" ca="1" si="45"/>
        <v>8.1683973604331439E-2</v>
      </c>
      <c r="BC61" s="9">
        <f t="shared" ca="1" si="45"/>
        <v>6.9377510342844784E-2</v>
      </c>
      <c r="BD61" s="9">
        <f t="shared" ca="1" si="45"/>
        <v>9.9325574602433075E-2</v>
      </c>
      <c r="BE61" s="9">
        <f t="shared" ca="1" si="45"/>
        <v>0.11072095461293385</v>
      </c>
      <c r="BF61" s="9">
        <f t="shared" ca="1" si="45"/>
        <v>0.10339006746858137</v>
      </c>
      <c r="BG61" s="9">
        <f t="shared" ca="1" si="45"/>
        <v>0.10050054220873328</v>
      </c>
      <c r="BH61" s="9">
        <f t="shared" ca="1" si="45"/>
        <v>7.3082062362187727E-2</v>
      </c>
      <c r="BI61" s="9">
        <f t="shared" ca="1" si="45"/>
        <v>2.4109515639703871E-2</v>
      </c>
      <c r="BJ61" s="9">
        <f t="shared" ca="1" si="45"/>
        <v>1.9164050693801782E-2</v>
      </c>
      <c r="BK61" s="9">
        <f t="shared" ca="1" si="45"/>
        <v>5.6335618847555446E-2</v>
      </c>
      <c r="BL61" s="9">
        <f t="shared" ca="1" si="45"/>
        <v>0.12399460474206125</v>
      </c>
      <c r="BM61" s="9">
        <f t="shared" ca="1" si="45"/>
        <v>0.1651144587052602</v>
      </c>
      <c r="BN61" s="9">
        <f t="shared" ref="BN61:DY61" ca="1" si="46">IF(BN34="","",ABS(BN34))</f>
        <v>0.13084049016061461</v>
      </c>
      <c r="BO61" s="9">
        <f t="shared" ca="1" si="46"/>
        <v>9.468864662185883E-2</v>
      </c>
      <c r="BP61" s="9">
        <f t="shared" ca="1" si="46"/>
        <v>5.1745204252232391E-2</v>
      </c>
      <c r="BQ61" s="9">
        <f t="shared" ca="1" si="46"/>
        <v>2.6666591687171115E-3</v>
      </c>
      <c r="BR61" s="9">
        <f t="shared" ca="1" si="46"/>
        <v>2.5062958288969428E-2</v>
      </c>
      <c r="BS61" s="9">
        <f t="shared" ca="1" si="46"/>
        <v>4.2362178289657715E-2</v>
      </c>
      <c r="BT61" s="9">
        <f t="shared" ca="1" si="46"/>
        <v>1.6143279867636418E-2</v>
      </c>
      <c r="BU61" s="9">
        <f t="shared" ca="1" si="46"/>
        <v>1.8947782914315647E-2</v>
      </c>
      <c r="BV61" s="9">
        <f t="shared" ca="1" si="46"/>
        <v>2.0705425115555176E-2</v>
      </c>
      <c r="BW61" s="9">
        <f t="shared" ca="1" si="46"/>
        <v>3.0337469400319561E-2</v>
      </c>
      <c r="BX61" s="9">
        <f t="shared" ca="1" si="46"/>
        <v>6.841752716427707E-2</v>
      </c>
      <c r="BY61" s="9">
        <f t="shared" ca="1" si="46"/>
        <v>6.7486693614538185E-2</v>
      </c>
      <c r="BZ61" s="9">
        <f t="shared" ca="1" si="46"/>
        <v>4.2986218298936452E-2</v>
      </c>
      <c r="CA61" s="9">
        <f t="shared" ca="1" si="46"/>
        <v>2.020335846508825E-2</v>
      </c>
      <c r="CB61" s="9">
        <f t="shared" ca="1" si="46"/>
        <v>6.4758328863936399E-3</v>
      </c>
      <c r="CC61" s="9">
        <f t="shared" ca="1" si="46"/>
        <v>1.4971769498369425E-2</v>
      </c>
      <c r="CD61" s="9">
        <f t="shared" ca="1" si="46"/>
        <v>9.0036068898675659E-3</v>
      </c>
      <c r="CE61" s="9">
        <f t="shared" ca="1" si="46"/>
        <v>1.6464275750788016E-2</v>
      </c>
      <c r="CF61" s="9">
        <f t="shared" ca="1" si="46"/>
        <v>6.1598889095380027E-3</v>
      </c>
      <c r="CG61" s="9">
        <f t="shared" ca="1" si="46"/>
        <v>8.7161689201702419E-3</v>
      </c>
      <c r="CH61" s="9">
        <f t="shared" ca="1" si="46"/>
        <v>4.3453899732464607E-2</v>
      </c>
      <c r="CI61" s="9">
        <f t="shared" ca="1" si="46"/>
        <v>5.644993459222869E-3</v>
      </c>
      <c r="CJ61" s="9">
        <f t="shared" ca="1" si="46"/>
        <v>2.2308877765656154E-2</v>
      </c>
      <c r="CK61" s="9">
        <f t="shared" ca="1" si="46"/>
        <v>2.8442504775691102E-2</v>
      </c>
      <c r="CL61" s="9">
        <f t="shared" ca="1" si="46"/>
        <v>1.3913729216042614E-2</v>
      </c>
      <c r="CM61" s="9">
        <f t="shared" ca="1" si="46"/>
        <v>3.4547663746440915E-2</v>
      </c>
      <c r="CN61" s="9">
        <f t="shared" ca="1" si="46"/>
        <v>4.0139763805215223E-2</v>
      </c>
      <c r="CO61" s="9">
        <f t="shared" ca="1" si="46"/>
        <v>3.7343597417122898E-2</v>
      </c>
      <c r="CP61" s="9">
        <f t="shared" ca="1" si="46"/>
        <v>4.3591853494341137E-2</v>
      </c>
      <c r="CQ61" s="9">
        <f t="shared" ca="1" si="46"/>
        <v>1.4506510822957175E-2</v>
      </c>
      <c r="CR61" s="9">
        <f t="shared" ca="1" si="46"/>
        <v>8.2539407871786707E-3</v>
      </c>
      <c r="CS61" s="9">
        <f t="shared" ca="1" si="46"/>
        <v>2.0916365803699821E-2</v>
      </c>
      <c r="CT61" s="9">
        <f t="shared" ca="1" si="46"/>
        <v>4.4194791801305033E-2</v>
      </c>
      <c r="CU61" s="9">
        <f t="shared" ca="1" si="46"/>
        <v>3.637631372674921E-4</v>
      </c>
      <c r="CV61" s="9">
        <f t="shared" ca="1" si="46"/>
        <v>1.1126862437899288E-2</v>
      </c>
      <c r="CW61" s="9">
        <f t="shared" ca="1" si="46"/>
        <v>7.598009146602358E-3</v>
      </c>
      <c r="CX61" s="9">
        <f t="shared" ca="1" si="46"/>
        <v>2.333878290234348E-2</v>
      </c>
      <c r="CY61" s="9">
        <f t="shared" ca="1" si="46"/>
        <v>2.255212705584797E-2</v>
      </c>
      <c r="CZ61" s="9">
        <f t="shared" ca="1" si="46"/>
        <v>1.2011757023198566E-2</v>
      </c>
      <c r="DA61" s="9">
        <f t="shared" ca="1" si="46"/>
        <v>1.6400944859903843E-2</v>
      </c>
      <c r="DB61" s="9">
        <f t="shared" ca="1" si="46"/>
        <v>4.4521785254978408E-3</v>
      </c>
      <c r="DC61" s="9">
        <f t="shared" ca="1" si="46"/>
        <v>1.8479261347838172E-2</v>
      </c>
      <c r="DD61" s="9">
        <f t="shared" ca="1" si="46"/>
        <v>3.6466887216382915E-2</v>
      </c>
      <c r="DE61" s="9">
        <f t="shared" ca="1" si="46"/>
        <v>3.4595487512655954E-2</v>
      </c>
      <c r="DF61" s="9">
        <f t="shared" ca="1" si="46"/>
        <v>6.2471404127628638E-4</v>
      </c>
      <c r="DG61" s="9">
        <f t="shared" ca="1" si="46"/>
        <v>1.6892561489864955E-2</v>
      </c>
      <c r="DH61" s="9">
        <f t="shared" ca="1" si="46"/>
        <v>1.1087496430207233E-2</v>
      </c>
      <c r="DI61" s="9">
        <f t="shared" ca="1" si="46"/>
        <v>1.5541294585486698E-2</v>
      </c>
      <c r="DJ61" s="9">
        <f t="shared" ca="1" si="46"/>
        <v>2.6910610600487495E-2</v>
      </c>
      <c r="DK61" s="9">
        <f t="shared" ca="1" si="46"/>
        <v>1.414955535847584E-2</v>
      </c>
      <c r="DL61" s="9">
        <f t="shared" ca="1" si="46"/>
        <v>1.3110353187841817E-2</v>
      </c>
      <c r="DM61" s="9">
        <f t="shared" ca="1" si="46"/>
        <v>2.985445390181507E-2</v>
      </c>
      <c r="DN61" s="9">
        <f t="shared" ca="1" si="46"/>
        <v>2.0580994727440904E-2</v>
      </c>
      <c r="DO61" s="9">
        <f t="shared" ca="1" si="46"/>
        <v>2.3498752067717898E-2</v>
      </c>
      <c r="DP61" s="9">
        <f t="shared" ca="1" si="46"/>
        <v>3.5151298474012771E-2</v>
      </c>
      <c r="DQ61" s="9">
        <f t="shared" ca="1" si="46"/>
        <v>2.2429762753670923E-2</v>
      </c>
      <c r="DR61" s="9">
        <f t="shared" ca="1" si="46"/>
        <v>2.0367749803278379E-2</v>
      </c>
      <c r="DS61" s="9">
        <f t="shared" ca="1" si="46"/>
        <v>9.0175601844892928E-3</v>
      </c>
      <c r="DT61" s="9">
        <f t="shared" ca="1" si="46"/>
        <v>2.5054745133456624E-2</v>
      </c>
      <c r="DU61" s="9">
        <f t="shared" ca="1" si="46"/>
        <v>1.3365448203072283E-2</v>
      </c>
      <c r="DV61" s="9">
        <f t="shared" ca="1" si="46"/>
        <v>2.5122771679904177E-2</v>
      </c>
      <c r="DW61" s="9">
        <f t="shared" ca="1" si="46"/>
        <v>2.6588625316916636E-2</v>
      </c>
      <c r="DX61" s="9">
        <f t="shared" ca="1" si="46"/>
        <v>1.3126780842048547E-2</v>
      </c>
      <c r="DY61" s="9">
        <f t="shared" ca="1" si="46"/>
        <v>2.0505290462466963E-2</v>
      </c>
      <c r="DZ61" s="9">
        <f t="shared" ref="DZ61:GK61" ca="1" si="47">IF(DZ34="","",ABS(DZ34))</f>
        <v>1.8431048997501698E-2</v>
      </c>
      <c r="EA61" s="9">
        <f t="shared" ca="1" si="47"/>
        <v>2.6848196955637782E-2</v>
      </c>
      <c r="EB61" s="9">
        <f t="shared" ca="1" si="47"/>
        <v>3.722308007078623E-2</v>
      </c>
      <c r="EC61" s="9">
        <f t="shared" ca="1" si="47"/>
        <v>2.4831179965511874E-2</v>
      </c>
      <c r="ED61" s="9">
        <f t="shared" ca="1" si="47"/>
        <v>2.4835228169763912E-2</v>
      </c>
      <c r="EE61" s="9">
        <f t="shared" ca="1" si="47"/>
        <v>4.8050175596032751E-3</v>
      </c>
      <c r="EF61" s="9">
        <f t="shared" ca="1" si="47"/>
        <v>3.728090312502319E-3</v>
      </c>
      <c r="EG61" s="9">
        <f t="shared" ca="1" si="47"/>
        <v>1.6723041801301797E-2</v>
      </c>
      <c r="EH61" s="9">
        <f t="shared" ca="1" si="47"/>
        <v>2.8451463398261101E-2</v>
      </c>
      <c r="EI61" s="9">
        <f t="shared" ca="1" si="47"/>
        <v>3.0288970135064597E-2</v>
      </c>
      <c r="EJ61" s="9">
        <f t="shared" ca="1" si="47"/>
        <v>1.245572036865461E-2</v>
      </c>
      <c r="EK61" s="9">
        <f t="shared" ca="1" si="47"/>
        <v>4.073119044715301E-3</v>
      </c>
      <c r="EL61" s="9">
        <f t="shared" ca="1" si="47"/>
        <v>1.5755067460802907E-2</v>
      </c>
      <c r="EM61" s="9">
        <f t="shared" ca="1" si="47"/>
        <v>2.2392974068788041E-2</v>
      </c>
      <c r="EN61" s="9">
        <f t="shared" ca="1" si="47"/>
        <v>3.7422331451386626E-2</v>
      </c>
      <c r="EO61" s="9">
        <f t="shared" ca="1" si="47"/>
        <v>7.729419871647103E-3</v>
      </c>
      <c r="EP61" s="9">
        <f t="shared" ca="1" si="47"/>
        <v>9.8692800737345543E-3</v>
      </c>
      <c r="EQ61" s="9">
        <f t="shared" ca="1" si="47"/>
        <v>9.6798352119037423E-3</v>
      </c>
      <c r="ER61" s="9">
        <f t="shared" ca="1" si="47"/>
        <v>1.6637094693954246E-3</v>
      </c>
      <c r="ES61" s="9">
        <f t="shared" ca="1" si="47"/>
        <v>1.982597573760847E-3</v>
      </c>
      <c r="ET61" s="9">
        <f t="shared" ca="1" si="47"/>
        <v>1.1401202627971729E-2</v>
      </c>
      <c r="EU61" s="9">
        <f t="shared" ca="1" si="47"/>
        <v>2.173743018101093E-2</v>
      </c>
      <c r="EV61" s="9">
        <f t="shared" ca="1" si="47"/>
        <v>7.6831493100024684E-3</v>
      </c>
      <c r="EW61" s="9">
        <f t="shared" ca="1" si="47"/>
        <v>9.0036062797982375E-4</v>
      </c>
      <c r="EX61" s="9">
        <f t="shared" ca="1" si="47"/>
        <v>1.0844386887224777E-2</v>
      </c>
      <c r="EY61" s="9">
        <f t="shared" ca="1" si="47"/>
        <v>1.6311110895651293E-2</v>
      </c>
      <c r="EZ61" s="9">
        <f t="shared" ca="1" si="47"/>
        <v>2.856146386850611E-3</v>
      </c>
      <c r="FA61" s="9">
        <f t="shared" ca="1" si="47"/>
        <v>3.752011134723765E-2</v>
      </c>
      <c r="FB61" s="9">
        <f t="shared" ca="1" si="47"/>
        <v>4.8564725144546461E-3</v>
      </c>
      <c r="FC61" s="9">
        <f t="shared" ca="1" si="47"/>
        <v>9.3281952958301773E-4</v>
      </c>
      <c r="FD61" s="9">
        <f t="shared" ca="1" si="47"/>
        <v>1.7596323114305812E-2</v>
      </c>
      <c r="FE61" s="9">
        <f t="shared" ca="1" si="47"/>
        <v>3.3069626010810871E-2</v>
      </c>
      <c r="FF61" s="9">
        <f t="shared" ca="1" si="47"/>
        <v>5.4214730542031297E-2</v>
      </c>
      <c r="FG61" s="9">
        <f t="shared" ca="1" si="47"/>
        <v>4.792247729405863E-2</v>
      </c>
      <c r="FH61" s="9">
        <f t="shared" ca="1" si="47"/>
        <v>1.8429105907344701E-2</v>
      </c>
      <c r="FI61" s="9">
        <f t="shared" ca="1" si="47"/>
        <v>1.2872072363949938E-2</v>
      </c>
      <c r="FJ61" s="9">
        <f t="shared" ca="1" si="47"/>
        <v>3.4519126911084275E-2</v>
      </c>
      <c r="FK61" s="9">
        <f t="shared" ca="1" si="47"/>
        <v>2.426788046066819E-2</v>
      </c>
      <c r="FL61" s="9">
        <f t="shared" ca="1" si="47"/>
        <v>1.9543287168746648E-2</v>
      </c>
      <c r="FM61" s="9">
        <f t="shared" ca="1" si="47"/>
        <v>5.9493384769346846E-3</v>
      </c>
      <c r="FN61" s="9">
        <f t="shared" ca="1" si="47"/>
        <v>4.3681883619479667E-3</v>
      </c>
      <c r="FO61" s="9">
        <f t="shared" ca="1" si="47"/>
        <v>1.5701334914524079E-2</v>
      </c>
      <c r="FP61" s="9">
        <f t="shared" ca="1" si="47"/>
        <v>2.7158037674488211E-2</v>
      </c>
      <c r="FQ61" s="9">
        <f t="shared" ca="1" si="47"/>
        <v>2.2728735083145546E-2</v>
      </c>
      <c r="FR61" s="9">
        <f t="shared" ca="1" si="47"/>
        <v>1.3102015058661487E-2</v>
      </c>
      <c r="FS61" s="9">
        <f t="shared" ca="1" si="47"/>
        <v>8.7599289795432522E-3</v>
      </c>
      <c r="FT61" s="9">
        <f t="shared" ca="1" si="47"/>
        <v>1.3209448304212668E-2</v>
      </c>
      <c r="FU61" s="9">
        <f t="shared" ca="1" si="47"/>
        <v>2.6556690572416608E-2</v>
      </c>
      <c r="FV61" s="9">
        <f t="shared" ca="1" si="47"/>
        <v>2.3171268255189448E-2</v>
      </c>
      <c r="FW61" s="9">
        <f t="shared" ca="1" si="47"/>
        <v>1.03697107591465E-2</v>
      </c>
      <c r="FX61" s="9">
        <f t="shared" ca="1" si="47"/>
        <v>5.171597388038407E-4</v>
      </c>
      <c r="FY61" s="9">
        <f t="shared" ca="1" si="47"/>
        <v>1.1024719298540098E-2</v>
      </c>
      <c r="FZ61" s="9">
        <f t="shared" ca="1" si="47"/>
        <v>6.3197670940581263E-3</v>
      </c>
      <c r="GA61" s="9">
        <f t="shared" ca="1" si="47"/>
        <v>6.9281787886011914E-3</v>
      </c>
      <c r="GB61" s="9">
        <f t="shared" ca="1" si="47"/>
        <v>1.9155207639088845E-2</v>
      </c>
      <c r="GC61" s="9">
        <f t="shared" ca="1" si="47"/>
        <v>2.4313773328125232E-2</v>
      </c>
      <c r="GD61" s="9">
        <f t="shared" ca="1" si="47"/>
        <v>2.1946771324601322E-2</v>
      </c>
      <c r="GE61" s="9">
        <f t="shared" ca="1" si="47"/>
        <v>3.1937753355186227E-2</v>
      </c>
      <c r="GF61" s="9">
        <f t="shared" ca="1" si="47"/>
        <v>5.3646407763291437E-3</v>
      </c>
      <c r="GG61" s="9">
        <f t="shared" ca="1" si="47"/>
        <v>5.6475657541021906E-3</v>
      </c>
      <c r="GH61" s="9">
        <f t="shared" ca="1" si="47"/>
        <v>2.2061972518281348E-3</v>
      </c>
      <c r="GI61" s="9">
        <f t="shared" ca="1" si="47"/>
        <v>4.4773922575211955E-3</v>
      </c>
      <c r="GJ61" s="9">
        <f t="shared" ca="1" si="47"/>
        <v>7.2331399886135572E-2</v>
      </c>
      <c r="GK61" s="9">
        <f t="shared" ca="1" si="47"/>
        <v>0.16590610660964755</v>
      </c>
      <c r="GL61" s="9">
        <f t="shared" ref="GL61:IW61" ca="1" si="48">IF(GL34="","",ABS(GL34))</f>
        <v>0.19357267613921736</v>
      </c>
      <c r="GM61" s="9">
        <f t="shared" ca="1" si="48"/>
        <v>0.21629894997429833</v>
      </c>
      <c r="GN61" s="9">
        <f t="shared" ca="1" si="48"/>
        <v>0.220655366357978</v>
      </c>
      <c r="GO61" s="9">
        <f t="shared" ca="1" si="48"/>
        <v>6.741465325155771E-2</v>
      </c>
      <c r="GP61" s="9">
        <f t="shared" ca="1" si="48"/>
        <v>0.21342317971806657</v>
      </c>
      <c r="GQ61" s="9">
        <f t="shared" ca="1" si="48"/>
        <v>0.12831503082484108</v>
      </c>
      <c r="GR61" s="9">
        <f t="shared" ca="1" si="48"/>
        <v>0.12748196281995683</v>
      </c>
      <c r="GS61" s="9">
        <f t="shared" ca="1" si="48"/>
        <v>7.3688960075645626E-2</v>
      </c>
      <c r="GT61" s="9">
        <f t="shared" ca="1" si="48"/>
        <v>5.2830553964968052E-2</v>
      </c>
      <c r="GU61" s="9" t="str">
        <f t="shared" ca="1" si="48"/>
        <v/>
      </c>
      <c r="GV61" s="9" t="str">
        <f t="shared" ca="1" si="48"/>
        <v/>
      </c>
      <c r="GW61" s="9" t="str">
        <f t="shared" ca="1" si="48"/>
        <v/>
      </c>
      <c r="GX61" s="9" t="str">
        <f t="shared" ca="1" si="48"/>
        <v/>
      </c>
      <c r="GY61" s="9" t="str">
        <f t="shared" ca="1" si="48"/>
        <v/>
      </c>
      <c r="GZ61" s="9" t="str">
        <f t="shared" ca="1" si="48"/>
        <v/>
      </c>
      <c r="HA61" s="9" t="str">
        <f t="shared" ca="1" si="48"/>
        <v/>
      </c>
      <c r="HB61" s="9" t="str">
        <f t="shared" ca="1" si="48"/>
        <v/>
      </c>
      <c r="HC61" s="9" t="str">
        <f t="shared" ca="1" si="48"/>
        <v/>
      </c>
      <c r="HD61" s="9" t="str">
        <f t="shared" ca="1" si="48"/>
        <v/>
      </c>
      <c r="HE61" s="9" t="str">
        <f t="shared" ca="1" si="48"/>
        <v/>
      </c>
      <c r="HF61" s="9" t="str">
        <f t="shared" ca="1" si="48"/>
        <v/>
      </c>
      <c r="HG61" s="9" t="str">
        <f t="shared" ca="1" si="48"/>
        <v/>
      </c>
      <c r="HH61" s="9" t="str">
        <f t="shared" ca="1" si="48"/>
        <v/>
      </c>
      <c r="HI61" s="9" t="str">
        <f t="shared" ca="1" si="48"/>
        <v/>
      </c>
      <c r="HJ61" s="9" t="str">
        <f t="shared" ca="1" si="48"/>
        <v/>
      </c>
      <c r="HK61" s="9" t="str">
        <f t="shared" ca="1" si="48"/>
        <v/>
      </c>
      <c r="HL61" s="9" t="str">
        <f t="shared" ca="1" si="48"/>
        <v/>
      </c>
      <c r="HM61" s="9" t="str">
        <f t="shared" ca="1" si="48"/>
        <v/>
      </c>
      <c r="HN61" s="9" t="str">
        <f t="shared" ca="1" si="48"/>
        <v/>
      </c>
      <c r="HO61" s="9" t="str">
        <f t="shared" ca="1" si="48"/>
        <v/>
      </c>
      <c r="HP61" s="9" t="str">
        <f t="shared" ca="1" si="48"/>
        <v/>
      </c>
      <c r="HQ61" s="9" t="str">
        <f t="shared" ca="1" si="48"/>
        <v/>
      </c>
      <c r="HR61" s="9" t="str">
        <f t="shared" ca="1" si="48"/>
        <v/>
      </c>
      <c r="HS61" s="9" t="str">
        <f t="shared" ca="1" si="48"/>
        <v/>
      </c>
      <c r="HT61" s="9" t="str">
        <f t="shared" ca="1" si="48"/>
        <v/>
      </c>
      <c r="HU61" s="9" t="str">
        <f t="shared" ca="1" si="48"/>
        <v/>
      </c>
      <c r="HV61" s="9" t="str">
        <f t="shared" ca="1" si="48"/>
        <v/>
      </c>
      <c r="HW61" s="9" t="str">
        <f t="shared" ca="1" si="48"/>
        <v/>
      </c>
      <c r="HX61" s="9" t="str">
        <f t="shared" ca="1" si="48"/>
        <v/>
      </c>
      <c r="HY61" s="9" t="str">
        <f t="shared" ca="1" si="48"/>
        <v/>
      </c>
      <c r="HZ61" s="9" t="str">
        <f t="shared" ca="1" si="48"/>
        <v/>
      </c>
      <c r="IA61" s="9" t="str">
        <f t="shared" ca="1" si="48"/>
        <v/>
      </c>
      <c r="IB61" s="9" t="str">
        <f t="shared" ca="1" si="48"/>
        <v/>
      </c>
      <c r="IC61" s="9" t="str">
        <f t="shared" ca="1" si="48"/>
        <v/>
      </c>
      <c r="ID61" s="9" t="str">
        <f t="shared" ca="1" si="48"/>
        <v/>
      </c>
      <c r="IE61" s="9" t="str">
        <f t="shared" ca="1" si="48"/>
        <v/>
      </c>
      <c r="IF61" s="9" t="str">
        <f t="shared" ca="1" si="48"/>
        <v/>
      </c>
      <c r="IG61" s="9" t="str">
        <f t="shared" ca="1" si="48"/>
        <v/>
      </c>
      <c r="IH61" s="9" t="str">
        <f t="shared" ca="1" si="48"/>
        <v/>
      </c>
      <c r="II61" s="9" t="str">
        <f t="shared" ca="1" si="48"/>
        <v/>
      </c>
      <c r="IJ61" s="9" t="str">
        <f t="shared" ca="1" si="48"/>
        <v/>
      </c>
      <c r="IK61" s="9" t="str">
        <f t="shared" ca="1" si="48"/>
        <v/>
      </c>
      <c r="IL61" s="9" t="str">
        <f t="shared" ca="1" si="48"/>
        <v/>
      </c>
      <c r="IM61" s="9" t="str">
        <f t="shared" ca="1" si="48"/>
        <v/>
      </c>
      <c r="IN61" s="9" t="str">
        <f t="shared" ca="1" si="48"/>
        <v/>
      </c>
      <c r="IO61" s="9" t="str">
        <f t="shared" ca="1" si="48"/>
        <v/>
      </c>
      <c r="IP61" s="9" t="str">
        <f t="shared" ca="1" si="48"/>
        <v/>
      </c>
      <c r="IQ61" s="9" t="str">
        <f t="shared" ca="1" si="48"/>
        <v/>
      </c>
      <c r="IR61" s="9" t="str">
        <f t="shared" ca="1" si="48"/>
        <v/>
      </c>
      <c r="IS61" s="9" t="str">
        <f t="shared" ca="1" si="48"/>
        <v/>
      </c>
      <c r="IT61" s="9" t="str">
        <f t="shared" ca="1" si="48"/>
        <v/>
      </c>
      <c r="IU61" s="9" t="str">
        <f t="shared" ca="1" si="48"/>
        <v/>
      </c>
      <c r="IV61" s="9" t="str">
        <f t="shared" ca="1" si="48"/>
        <v/>
      </c>
      <c r="IW61" s="9" t="str">
        <f t="shared" ca="1" si="48"/>
        <v/>
      </c>
      <c r="IX61" s="9" t="str">
        <f t="shared" ref="IX61:JH61" ca="1" si="49">IF(IX34="","",ABS(IX34))</f>
        <v/>
      </c>
      <c r="IY61" s="9" t="str">
        <f t="shared" ca="1" si="49"/>
        <v/>
      </c>
      <c r="IZ61" s="9" t="str">
        <f t="shared" ca="1" si="49"/>
        <v/>
      </c>
      <c r="JA61" s="9" t="str">
        <f t="shared" ca="1" si="49"/>
        <v/>
      </c>
      <c r="JB61" s="9" t="str">
        <f t="shared" ca="1" si="49"/>
        <v/>
      </c>
      <c r="JC61" s="9" t="str">
        <f t="shared" ca="1" si="49"/>
        <v/>
      </c>
      <c r="JD61" s="9" t="str">
        <f t="shared" ca="1" si="49"/>
        <v/>
      </c>
      <c r="JE61" s="9" t="str">
        <f t="shared" ca="1" si="49"/>
        <v/>
      </c>
      <c r="JF61" s="9" t="str">
        <f t="shared" ca="1" si="49"/>
        <v/>
      </c>
      <c r="JG61" s="9" t="str">
        <f t="shared" ca="1" si="49"/>
        <v/>
      </c>
      <c r="JH61" s="9" t="str">
        <f t="shared" ca="1" si="49"/>
        <v/>
      </c>
      <c r="JI61" s="13">
        <f t="shared" ca="1" si="24"/>
        <v>5.965519210804713E-2</v>
      </c>
      <c r="JJ61" s="13">
        <f t="shared" ca="1" si="25"/>
        <v>2.2950001669167497E-2</v>
      </c>
      <c r="JK61" s="14">
        <f t="shared" ca="1" si="26"/>
        <v>5.167160554463604E-3</v>
      </c>
      <c r="JL61" s="17">
        <f t="shared" ca="1" si="34"/>
        <v>7.1882964285452253E-2</v>
      </c>
      <c r="JM61" s="15" t="str">
        <f t="shared" ca="1" si="27"/>
        <v>[ -8,41% ; 20,34% ]</v>
      </c>
      <c r="JN61" s="17">
        <f t="shared" ca="1" si="28"/>
        <v>9.2010194285378891E-2</v>
      </c>
      <c r="LY61" s="1"/>
    </row>
    <row r="62" spans="1:337" x14ac:dyDescent="0.25">
      <c r="A62" s="4">
        <v>6</v>
      </c>
      <c r="B62" s="9">
        <f t="shared" ref="B62:BM62" ca="1" si="50">IF(B35="","",ABS(B35))</f>
        <v>2.1900845201445751E-2</v>
      </c>
      <c r="C62" s="9">
        <f t="shared" ca="1" si="50"/>
        <v>2.9255745008326617E-2</v>
      </c>
      <c r="D62" s="9">
        <f t="shared" ca="1" si="50"/>
        <v>7.5095914812264297E-3</v>
      </c>
      <c r="E62" s="9">
        <f t="shared" ca="1" si="50"/>
        <v>1.1455229907839426E-2</v>
      </c>
      <c r="F62" s="9">
        <f t="shared" ca="1" si="50"/>
        <v>3.0686801832340738E-2</v>
      </c>
      <c r="G62" s="9">
        <f t="shared" ca="1" si="50"/>
        <v>3.1335042038663996E-2</v>
      </c>
      <c r="H62" s="9">
        <f t="shared" ca="1" si="50"/>
        <v>4.6743918334722911E-2</v>
      </c>
      <c r="I62" s="9">
        <f t="shared" ca="1" si="50"/>
        <v>3.7777425141773957E-2</v>
      </c>
      <c r="J62" s="9">
        <f t="shared" ca="1" si="50"/>
        <v>4.4488784346754073E-2</v>
      </c>
      <c r="K62" s="9">
        <f t="shared" ca="1" si="50"/>
        <v>2.496262554752815E-2</v>
      </c>
      <c r="L62" s="9">
        <f t="shared" ca="1" si="50"/>
        <v>2.3676235997765138E-2</v>
      </c>
      <c r="M62" s="9">
        <f t="shared" ca="1" si="50"/>
        <v>2.6103220099845448E-2</v>
      </c>
      <c r="N62" s="9">
        <f t="shared" ca="1" si="50"/>
        <v>3.9479820349515027E-3</v>
      </c>
      <c r="O62" s="9">
        <f t="shared" ca="1" si="50"/>
        <v>2.1032280604673104E-2</v>
      </c>
      <c r="P62" s="9">
        <f t="shared" ca="1" si="50"/>
        <v>2.778723760448254E-2</v>
      </c>
      <c r="Q62" s="9">
        <f t="shared" ca="1" si="50"/>
        <v>9.967048365293607E-3</v>
      </c>
      <c r="R62" s="9">
        <f t="shared" ca="1" si="50"/>
        <v>2.7210753457819203E-3</v>
      </c>
      <c r="S62" s="9">
        <f t="shared" ca="1" si="50"/>
        <v>1.7448684010986315E-2</v>
      </c>
      <c r="T62" s="9">
        <f t="shared" ca="1" si="50"/>
        <v>2.0120196744425556E-2</v>
      </c>
      <c r="U62" s="9">
        <f t="shared" ca="1" si="50"/>
        <v>4.7070276521898879E-3</v>
      </c>
      <c r="V62" s="9">
        <f t="shared" ca="1" si="50"/>
        <v>7.480186323727045E-3</v>
      </c>
      <c r="W62" s="9">
        <f t="shared" ca="1" si="50"/>
        <v>1.9978493960863819E-3</v>
      </c>
      <c r="X62" s="9">
        <f t="shared" ca="1" si="50"/>
        <v>8.0314010169157957E-3</v>
      </c>
      <c r="Y62" s="9">
        <f t="shared" ca="1" si="50"/>
        <v>8.8448052405396549E-3</v>
      </c>
      <c r="Z62" s="9">
        <f t="shared" ca="1" si="50"/>
        <v>1.1143804994188544E-2</v>
      </c>
      <c r="AA62" s="9">
        <f t="shared" ca="1" si="50"/>
        <v>8.622157438434197E-3</v>
      </c>
      <c r="AB62" s="9">
        <f t="shared" ca="1" si="50"/>
        <v>9.1385292951193797E-3</v>
      </c>
      <c r="AC62" s="9">
        <f t="shared" ca="1" si="50"/>
        <v>2.6029828895285378E-2</v>
      </c>
      <c r="AD62" s="9">
        <f t="shared" ca="1" si="50"/>
        <v>2.1726959780807631E-2</v>
      </c>
      <c r="AE62" s="9">
        <f t="shared" ca="1" si="50"/>
        <v>2.3161896200045939E-2</v>
      </c>
      <c r="AF62" s="9">
        <f t="shared" ca="1" si="50"/>
        <v>2.691544396034673E-2</v>
      </c>
      <c r="AG62" s="9">
        <f t="shared" ca="1" si="50"/>
        <v>3.0671697314785362E-2</v>
      </c>
      <c r="AH62" s="9">
        <f t="shared" ca="1" si="50"/>
        <v>3.2212760473986579E-2</v>
      </c>
      <c r="AI62" s="9">
        <f t="shared" ca="1" si="50"/>
        <v>1.84344266387102E-2</v>
      </c>
      <c r="AJ62" s="9">
        <f t="shared" ca="1" si="50"/>
        <v>1.6131041236384647E-3</v>
      </c>
      <c r="AK62" s="9">
        <f t="shared" ca="1" si="50"/>
        <v>2.147832898303681E-2</v>
      </c>
      <c r="AL62" s="9">
        <f t="shared" ca="1" si="50"/>
        <v>4.4974222109588569E-2</v>
      </c>
      <c r="AM62" s="9">
        <f t="shared" ca="1" si="50"/>
        <v>5.6761851655178552E-2</v>
      </c>
      <c r="AN62" s="9">
        <f t="shared" ca="1" si="50"/>
        <v>7.0634253757711152E-2</v>
      </c>
      <c r="AO62" s="9">
        <f t="shared" ca="1" si="50"/>
        <v>5.9927866622218939E-2</v>
      </c>
      <c r="AP62" s="9">
        <f t="shared" ca="1" si="50"/>
        <v>4.3969544660304116E-2</v>
      </c>
      <c r="AQ62" s="9">
        <f t="shared" ca="1" si="50"/>
        <v>3.1019741097613629E-2</v>
      </c>
      <c r="AR62" s="9">
        <f t="shared" ca="1" si="50"/>
        <v>2.9002050125830681E-2</v>
      </c>
      <c r="AS62" s="9">
        <f t="shared" ca="1" si="50"/>
        <v>4.918555045116102E-2</v>
      </c>
      <c r="AT62" s="9">
        <f t="shared" ca="1" si="50"/>
        <v>6.0363476159113638E-2</v>
      </c>
      <c r="AU62" s="9">
        <f t="shared" ca="1" si="50"/>
        <v>6.9330567527046694E-2</v>
      </c>
      <c r="AV62" s="9">
        <f t="shared" ca="1" si="50"/>
        <v>0.1078119769606366</v>
      </c>
      <c r="AW62" s="9">
        <f t="shared" ca="1" si="50"/>
        <v>0.13932960113869963</v>
      </c>
      <c r="AX62" s="9">
        <f t="shared" ca="1" si="50"/>
        <v>0.15476901500671025</v>
      </c>
      <c r="AY62" s="9">
        <f t="shared" ca="1" si="50"/>
        <v>0.14457655893796173</v>
      </c>
      <c r="AZ62" s="9">
        <f t="shared" ca="1" si="50"/>
        <v>0.11437408441696773</v>
      </c>
      <c r="BA62" s="9">
        <f t="shared" ca="1" si="50"/>
        <v>0.1563077528920922</v>
      </c>
      <c r="BB62" s="9">
        <f t="shared" ca="1" si="50"/>
        <v>0.11823631542456803</v>
      </c>
      <c r="BC62" s="9">
        <f t="shared" ca="1" si="50"/>
        <v>9.2454099029777415E-2</v>
      </c>
      <c r="BD62" s="9">
        <f t="shared" ca="1" si="50"/>
        <v>0.12025427733422567</v>
      </c>
      <c r="BE62" s="9">
        <f t="shared" ca="1" si="50"/>
        <v>0.13114197428908125</v>
      </c>
      <c r="BF62" s="9">
        <f t="shared" ca="1" si="50"/>
        <v>0.12112281820796467</v>
      </c>
      <c r="BG62" s="9">
        <f t="shared" ca="1" si="50"/>
        <v>0.1182941484726252</v>
      </c>
      <c r="BH62" s="9">
        <f t="shared" ca="1" si="50"/>
        <v>7.08854843681892E-2</v>
      </c>
      <c r="BI62" s="9">
        <f t="shared" ca="1" si="50"/>
        <v>5.9176769296820364E-4</v>
      </c>
      <c r="BJ62" s="9">
        <f t="shared" ca="1" si="50"/>
        <v>6.4305597281042459E-2</v>
      </c>
      <c r="BK62" s="9">
        <f t="shared" ca="1" si="50"/>
        <v>9.6670020423409442E-2</v>
      </c>
      <c r="BL62" s="9">
        <f t="shared" ca="1" si="50"/>
        <v>0.15032160208337553</v>
      </c>
      <c r="BM62" s="9">
        <f t="shared" ca="1" si="50"/>
        <v>0.18311903905868521</v>
      </c>
      <c r="BN62" s="9">
        <f t="shared" ref="BN62:DY62" ca="1" si="51">IF(BN35="","",ABS(BN35))</f>
        <v>0.14632939016508639</v>
      </c>
      <c r="BO62" s="9">
        <f t="shared" ca="1" si="51"/>
        <v>0.1195591216104106</v>
      </c>
      <c r="BP62" s="9">
        <f t="shared" ca="1" si="51"/>
        <v>6.1308365918130603E-2</v>
      </c>
      <c r="BQ62" s="9">
        <f t="shared" ca="1" si="51"/>
        <v>6.1691603165403563E-4</v>
      </c>
      <c r="BR62" s="9">
        <f t="shared" ca="1" si="51"/>
        <v>1.7526197398058052E-2</v>
      </c>
      <c r="BS62" s="9">
        <f t="shared" ca="1" si="51"/>
        <v>3.9935167476492284E-2</v>
      </c>
      <c r="BT62" s="9">
        <f t="shared" ca="1" si="51"/>
        <v>1.9317372333529592E-2</v>
      </c>
      <c r="BU62" s="9">
        <f t="shared" ca="1" si="51"/>
        <v>1.500235018955498E-2</v>
      </c>
      <c r="BV62" s="9">
        <f t="shared" ca="1" si="51"/>
        <v>1.1938085211159133E-2</v>
      </c>
      <c r="BW62" s="9">
        <f t="shared" ca="1" si="51"/>
        <v>5.248088145717178E-2</v>
      </c>
      <c r="BX62" s="9">
        <f t="shared" ca="1" si="51"/>
        <v>6.7558773971402086E-2</v>
      </c>
      <c r="BY62" s="9">
        <f t="shared" ca="1" si="51"/>
        <v>6.7189202685700833E-2</v>
      </c>
      <c r="BZ62" s="9">
        <f t="shared" ca="1" si="51"/>
        <v>4.8619672329961228E-2</v>
      </c>
      <c r="CA62" s="9">
        <f t="shared" ca="1" si="51"/>
        <v>2.9104141081041757E-2</v>
      </c>
      <c r="CB62" s="9">
        <f t="shared" ca="1" si="51"/>
        <v>7.7331096238300034E-3</v>
      </c>
      <c r="CC62" s="9">
        <f t="shared" ca="1" si="51"/>
        <v>2.5542746449967124E-2</v>
      </c>
      <c r="CD62" s="9">
        <f t="shared" ca="1" si="51"/>
        <v>2.8868244124222731E-3</v>
      </c>
      <c r="CE62" s="9">
        <f t="shared" ca="1" si="51"/>
        <v>7.4799702079870745E-3</v>
      </c>
      <c r="CF62" s="9">
        <f t="shared" ca="1" si="51"/>
        <v>1.5662127667015913E-2</v>
      </c>
      <c r="CG62" s="9">
        <f t="shared" ca="1" si="51"/>
        <v>5.5357626232769297E-3</v>
      </c>
      <c r="CH62" s="9">
        <f t="shared" ca="1" si="51"/>
        <v>4.3433490064848534E-2</v>
      </c>
      <c r="CI62" s="9">
        <f t="shared" ca="1" si="51"/>
        <v>1.034602454622835E-2</v>
      </c>
      <c r="CJ62" s="9">
        <f t="shared" ca="1" si="51"/>
        <v>2.5349749806290456E-2</v>
      </c>
      <c r="CK62" s="9">
        <f t="shared" ca="1" si="51"/>
        <v>1.4349213825701312E-2</v>
      </c>
      <c r="CL62" s="9">
        <f t="shared" ca="1" si="51"/>
        <v>2.9174676543660572E-2</v>
      </c>
      <c r="CM62" s="9">
        <f t="shared" ca="1" si="51"/>
        <v>3.7801979285538634E-2</v>
      </c>
      <c r="CN62" s="9">
        <f t="shared" ca="1" si="51"/>
        <v>3.5311335123417331E-2</v>
      </c>
      <c r="CO62" s="9">
        <f t="shared" ca="1" si="51"/>
        <v>5.6777547213684887E-2</v>
      </c>
      <c r="CP62" s="9">
        <f t="shared" ca="1" si="51"/>
        <v>5.4240665128335697E-2</v>
      </c>
      <c r="CQ62" s="9">
        <f t="shared" ca="1" si="51"/>
        <v>1.7073750566893531E-2</v>
      </c>
      <c r="CR62" s="9">
        <f t="shared" ca="1" si="51"/>
        <v>5.3986716142551128E-3</v>
      </c>
      <c r="CS62" s="9">
        <f t="shared" ca="1" si="51"/>
        <v>2.5833639969246813E-2</v>
      </c>
      <c r="CT62" s="9">
        <f t="shared" ca="1" si="51"/>
        <v>3.4236545274250574E-2</v>
      </c>
      <c r="CU62" s="9">
        <f t="shared" ca="1" si="51"/>
        <v>1.1127933652619326E-3</v>
      </c>
      <c r="CV62" s="9">
        <f t="shared" ca="1" si="51"/>
        <v>1.709780269832728E-2</v>
      </c>
      <c r="CW62" s="9">
        <f t="shared" ca="1" si="51"/>
        <v>9.8430766201478281E-3</v>
      </c>
      <c r="CX62" s="9">
        <f t="shared" ca="1" si="51"/>
        <v>1.9468933692168955E-2</v>
      </c>
      <c r="CY62" s="9">
        <f t="shared" ca="1" si="51"/>
        <v>2.2267790908467644E-2</v>
      </c>
      <c r="CZ62" s="9">
        <f t="shared" ca="1" si="51"/>
        <v>2.9123124641410314E-3</v>
      </c>
      <c r="DA62" s="9">
        <f t="shared" ca="1" si="51"/>
        <v>2.20221273955723E-2</v>
      </c>
      <c r="DB62" s="9">
        <f t="shared" ca="1" si="51"/>
        <v>1.0102582754187184E-2</v>
      </c>
      <c r="DC62" s="9">
        <f t="shared" ca="1" si="51"/>
        <v>2.353759833369562E-2</v>
      </c>
      <c r="DD62" s="9">
        <f t="shared" ca="1" si="51"/>
        <v>4.421455015712894E-2</v>
      </c>
      <c r="DE62" s="9">
        <f t="shared" ca="1" si="51"/>
        <v>4.3630170529142642E-2</v>
      </c>
      <c r="DF62" s="9">
        <f t="shared" ca="1" si="51"/>
        <v>5.8519640961260944E-3</v>
      </c>
      <c r="DG62" s="9">
        <f t="shared" ca="1" si="51"/>
        <v>1.9071470832311421E-2</v>
      </c>
      <c r="DH62" s="9">
        <f t="shared" ca="1" si="51"/>
        <v>1.4200441387338891E-2</v>
      </c>
      <c r="DI62" s="9">
        <f t="shared" ca="1" si="51"/>
        <v>2.0801551619438197E-2</v>
      </c>
      <c r="DJ62" s="9">
        <f t="shared" ca="1" si="51"/>
        <v>2.2950697881207738E-2</v>
      </c>
      <c r="DK62" s="9">
        <f t="shared" ca="1" si="51"/>
        <v>2.366022505847698E-2</v>
      </c>
      <c r="DL62" s="9">
        <f t="shared" ca="1" si="51"/>
        <v>3.2022971689318114E-2</v>
      </c>
      <c r="DM62" s="9">
        <f t="shared" ca="1" si="51"/>
        <v>2.4803405239945286E-2</v>
      </c>
      <c r="DN62" s="9">
        <f t="shared" ca="1" si="51"/>
        <v>2.4916173822292276E-2</v>
      </c>
      <c r="DO62" s="9">
        <f t="shared" ca="1" si="51"/>
        <v>2.4729463390526396E-2</v>
      </c>
      <c r="DP62" s="9">
        <f t="shared" ca="1" si="51"/>
        <v>4.7593301678925615E-2</v>
      </c>
      <c r="DQ62" s="9">
        <f t="shared" ca="1" si="51"/>
        <v>1.8445704403084351E-2</v>
      </c>
      <c r="DR62" s="9">
        <f t="shared" ca="1" si="51"/>
        <v>2.1032274828094444E-2</v>
      </c>
      <c r="DS62" s="9">
        <f t="shared" ca="1" si="51"/>
        <v>2.9049964401712813E-3</v>
      </c>
      <c r="DT62" s="9">
        <f t="shared" ca="1" si="51"/>
        <v>2.5833067261873288E-2</v>
      </c>
      <c r="DU62" s="9">
        <f t="shared" ca="1" si="51"/>
        <v>1.4048069756165904E-2</v>
      </c>
      <c r="DV62" s="9">
        <f t="shared" ca="1" si="51"/>
        <v>3.1346466854904942E-2</v>
      </c>
      <c r="DW62" s="9">
        <f t="shared" ca="1" si="51"/>
        <v>2.1552582925184027E-2</v>
      </c>
      <c r="DX62" s="9">
        <f t="shared" ca="1" si="51"/>
        <v>1.4154361821166805E-2</v>
      </c>
      <c r="DY62" s="9">
        <f t="shared" ca="1" si="51"/>
        <v>3.0806193362419743E-2</v>
      </c>
      <c r="DZ62" s="9">
        <f t="shared" ref="DZ62:GK62" ca="1" si="52">IF(DZ35="","",ABS(DZ35))</f>
        <v>2.5423663822991438E-2</v>
      </c>
      <c r="EA62" s="9">
        <f t="shared" ca="1" si="52"/>
        <v>3.6569387862328107E-2</v>
      </c>
      <c r="EB62" s="9">
        <f t="shared" ca="1" si="52"/>
        <v>4.5717467301296999E-2</v>
      </c>
      <c r="EC62" s="9">
        <f t="shared" ca="1" si="52"/>
        <v>2.465540789586762E-2</v>
      </c>
      <c r="ED62" s="9">
        <f t="shared" ca="1" si="52"/>
        <v>2.0036429247408449E-2</v>
      </c>
      <c r="EE62" s="9">
        <f t="shared" ca="1" si="52"/>
        <v>8.6129680377984297E-3</v>
      </c>
      <c r="EF62" s="9">
        <f t="shared" ca="1" si="52"/>
        <v>1.0994095603210186E-2</v>
      </c>
      <c r="EG62" s="9">
        <f t="shared" ca="1" si="52"/>
        <v>2.4426587763093477E-2</v>
      </c>
      <c r="EH62" s="9">
        <f t="shared" ca="1" si="52"/>
        <v>3.532504988477414E-2</v>
      </c>
      <c r="EI62" s="9">
        <f t="shared" ca="1" si="52"/>
        <v>2.3590098572601637E-2</v>
      </c>
      <c r="EJ62" s="9">
        <f t="shared" ca="1" si="52"/>
        <v>1.3025375654281968E-2</v>
      </c>
      <c r="EK62" s="9">
        <f t="shared" ca="1" si="52"/>
        <v>5.5255366118858174E-3</v>
      </c>
      <c r="EL62" s="9">
        <f t="shared" ca="1" si="52"/>
        <v>1.3242244947849313E-2</v>
      </c>
      <c r="EM62" s="9">
        <f t="shared" ca="1" si="52"/>
        <v>2.899943539291483E-2</v>
      </c>
      <c r="EN62" s="9">
        <f t="shared" ca="1" si="52"/>
        <v>3.6092793923760746E-2</v>
      </c>
      <c r="EO62" s="9">
        <f t="shared" ca="1" si="52"/>
        <v>6.568231234716837E-3</v>
      </c>
      <c r="EP62" s="9">
        <f t="shared" ca="1" si="52"/>
        <v>1.5969828371169559E-2</v>
      </c>
      <c r="EQ62" s="9">
        <f t="shared" ca="1" si="52"/>
        <v>5.7420861436066062E-3</v>
      </c>
      <c r="ER62" s="9">
        <f t="shared" ca="1" si="52"/>
        <v>6.8411724574768407E-4</v>
      </c>
      <c r="ES62" s="9">
        <f t="shared" ca="1" si="52"/>
        <v>2.8322319608470314E-3</v>
      </c>
      <c r="ET62" s="9">
        <f t="shared" ca="1" si="52"/>
        <v>1.8398830695187884E-2</v>
      </c>
      <c r="EU62" s="9">
        <f t="shared" ca="1" si="52"/>
        <v>1.1502888690154034E-2</v>
      </c>
      <c r="EV62" s="9">
        <f t="shared" ca="1" si="52"/>
        <v>7.9085719168237034E-4</v>
      </c>
      <c r="EW62" s="9">
        <f t="shared" ca="1" si="52"/>
        <v>6.7056393429298922E-4</v>
      </c>
      <c r="EX62" s="9">
        <f t="shared" ca="1" si="52"/>
        <v>1.2527931107630286E-2</v>
      </c>
      <c r="EY62" s="9">
        <f t="shared" ca="1" si="52"/>
        <v>1.6889799226889712E-2</v>
      </c>
      <c r="EZ62" s="9">
        <f t="shared" ca="1" si="52"/>
        <v>1.2335452025001858E-2</v>
      </c>
      <c r="FA62" s="9">
        <f t="shared" ca="1" si="52"/>
        <v>4.3379629267410902E-2</v>
      </c>
      <c r="FB62" s="9">
        <f t="shared" ca="1" si="52"/>
        <v>7.9247400503801302E-4</v>
      </c>
      <c r="FC62" s="9">
        <f t="shared" ca="1" si="52"/>
        <v>1.311219336341185E-2</v>
      </c>
      <c r="FD62" s="9">
        <f t="shared" ca="1" si="52"/>
        <v>3.0054198016266742E-2</v>
      </c>
      <c r="FE62" s="9">
        <f t="shared" ca="1" si="52"/>
        <v>3.5912697648806002E-2</v>
      </c>
      <c r="FF62" s="9">
        <f t="shared" ca="1" si="52"/>
        <v>5.6162610245333533E-2</v>
      </c>
      <c r="FG62" s="9">
        <f t="shared" ca="1" si="52"/>
        <v>4.941320716783737E-2</v>
      </c>
      <c r="FH62" s="9">
        <f t="shared" ca="1" si="52"/>
        <v>1.9018099086395956E-2</v>
      </c>
      <c r="FI62" s="9">
        <f t="shared" ca="1" si="52"/>
        <v>2.1844809322895342E-2</v>
      </c>
      <c r="FJ62" s="9">
        <f t="shared" ca="1" si="52"/>
        <v>4.2154955461988219E-2</v>
      </c>
      <c r="FK62" s="9">
        <f t="shared" ca="1" si="52"/>
        <v>2.6850041921670398E-2</v>
      </c>
      <c r="FL62" s="9">
        <f t="shared" ca="1" si="52"/>
        <v>1.7375340643631665E-2</v>
      </c>
      <c r="FM62" s="9">
        <f t="shared" ca="1" si="52"/>
        <v>2.5501877873499446E-3</v>
      </c>
      <c r="FN62" s="9">
        <f t="shared" ca="1" si="52"/>
        <v>6.6131739678707557E-3</v>
      </c>
      <c r="FO62" s="9">
        <f t="shared" ca="1" si="52"/>
        <v>2.1047213385645636E-2</v>
      </c>
      <c r="FP62" s="9">
        <f t="shared" ca="1" si="52"/>
        <v>3.024007678540086E-2</v>
      </c>
      <c r="FQ62" s="9">
        <f t="shared" ca="1" si="52"/>
        <v>2.3116663913832158E-2</v>
      </c>
      <c r="FR62" s="9">
        <f t="shared" ca="1" si="52"/>
        <v>1.2007116078908586E-2</v>
      </c>
      <c r="FS62" s="9">
        <f t="shared" ca="1" si="52"/>
        <v>1.6333667203678237E-2</v>
      </c>
      <c r="FT62" s="9">
        <f t="shared" ca="1" si="52"/>
        <v>1.4499316077933866E-2</v>
      </c>
      <c r="FU62" s="9">
        <f t="shared" ca="1" si="52"/>
        <v>2.0883734722355163E-2</v>
      </c>
      <c r="FV62" s="9">
        <f t="shared" ca="1" si="52"/>
        <v>2.2642847959087664E-2</v>
      </c>
      <c r="FW62" s="9">
        <f t="shared" ca="1" si="52"/>
        <v>9.0129221059789266E-3</v>
      </c>
      <c r="FX62" s="9">
        <f t="shared" ca="1" si="52"/>
        <v>3.9637053639618447E-4</v>
      </c>
      <c r="FY62" s="9">
        <f t="shared" ca="1" si="52"/>
        <v>1.325107313741325E-2</v>
      </c>
      <c r="FZ62" s="9">
        <f t="shared" ca="1" si="52"/>
        <v>1.5951877553754823E-2</v>
      </c>
      <c r="GA62" s="9">
        <f t="shared" ca="1" si="52"/>
        <v>1.7888904136580175E-2</v>
      </c>
      <c r="GB62" s="9">
        <f t="shared" ca="1" si="52"/>
        <v>2.7688207616643368E-2</v>
      </c>
      <c r="GC62" s="9">
        <f t="shared" ca="1" si="52"/>
        <v>2.1556778914597619E-2</v>
      </c>
      <c r="GD62" s="9">
        <f t="shared" ca="1" si="52"/>
        <v>3.5345652123936033E-2</v>
      </c>
      <c r="GE62" s="9">
        <f t="shared" ca="1" si="52"/>
        <v>3.1677280513625061E-2</v>
      </c>
      <c r="GF62" s="9">
        <f t="shared" ca="1" si="52"/>
        <v>6.8217990315508903E-3</v>
      </c>
      <c r="GG62" s="9">
        <f t="shared" ca="1" si="52"/>
        <v>4.4457168706311112E-3</v>
      </c>
      <c r="GH62" s="9">
        <f t="shared" ca="1" si="52"/>
        <v>1.1852742691403906E-2</v>
      </c>
      <c r="GI62" s="9">
        <f t="shared" ca="1" si="52"/>
        <v>9.8054533435512736E-2</v>
      </c>
      <c r="GJ62" s="9">
        <f t="shared" ca="1" si="52"/>
        <v>0.15501328484408239</v>
      </c>
      <c r="GK62" s="9">
        <f t="shared" ca="1" si="52"/>
        <v>0.19184111555467032</v>
      </c>
      <c r="GL62" s="9">
        <f t="shared" ref="GL62:IW62" ca="1" si="53">IF(GL35="","",ABS(GL35))</f>
        <v>0.21223994294478465</v>
      </c>
      <c r="GM62" s="9">
        <f t="shared" ca="1" si="53"/>
        <v>0.19980473015611766</v>
      </c>
      <c r="GN62" s="9">
        <f t="shared" ca="1" si="53"/>
        <v>0.21561843095513744</v>
      </c>
      <c r="GO62" s="9">
        <f t="shared" ca="1" si="53"/>
        <v>4.4357937783131018E-2</v>
      </c>
      <c r="GP62" s="9">
        <f t="shared" ca="1" si="53"/>
        <v>0.24810633757229739</v>
      </c>
      <c r="GQ62" s="9">
        <f t="shared" ca="1" si="53"/>
        <v>0.14821616430323803</v>
      </c>
      <c r="GR62" s="9">
        <f t="shared" ca="1" si="53"/>
        <v>0.13744471192848207</v>
      </c>
      <c r="GS62" s="9">
        <f t="shared" ca="1" si="53"/>
        <v>8.4789442437291918E-2</v>
      </c>
      <c r="GT62" s="9" t="str">
        <f t="shared" ca="1" si="53"/>
        <v/>
      </c>
      <c r="GU62" s="9" t="str">
        <f t="shared" ca="1" si="53"/>
        <v/>
      </c>
      <c r="GV62" s="9" t="str">
        <f t="shared" ca="1" si="53"/>
        <v/>
      </c>
      <c r="GW62" s="9" t="str">
        <f t="shared" ca="1" si="53"/>
        <v/>
      </c>
      <c r="GX62" s="9" t="str">
        <f t="shared" ca="1" si="53"/>
        <v/>
      </c>
      <c r="GY62" s="9" t="str">
        <f t="shared" ca="1" si="53"/>
        <v/>
      </c>
      <c r="GZ62" s="9" t="str">
        <f t="shared" ca="1" si="53"/>
        <v/>
      </c>
      <c r="HA62" s="9" t="str">
        <f t="shared" ca="1" si="53"/>
        <v/>
      </c>
      <c r="HB62" s="9" t="str">
        <f t="shared" ca="1" si="53"/>
        <v/>
      </c>
      <c r="HC62" s="9" t="str">
        <f t="shared" ca="1" si="53"/>
        <v/>
      </c>
      <c r="HD62" s="9" t="str">
        <f t="shared" ca="1" si="53"/>
        <v/>
      </c>
      <c r="HE62" s="9" t="str">
        <f t="shared" ca="1" si="53"/>
        <v/>
      </c>
      <c r="HF62" s="9" t="str">
        <f t="shared" ca="1" si="53"/>
        <v/>
      </c>
      <c r="HG62" s="9" t="str">
        <f t="shared" ca="1" si="53"/>
        <v/>
      </c>
      <c r="HH62" s="9" t="str">
        <f t="shared" ca="1" si="53"/>
        <v/>
      </c>
      <c r="HI62" s="9" t="str">
        <f t="shared" ca="1" si="53"/>
        <v/>
      </c>
      <c r="HJ62" s="9" t="str">
        <f t="shared" ca="1" si="53"/>
        <v/>
      </c>
      <c r="HK62" s="9" t="str">
        <f t="shared" ca="1" si="53"/>
        <v/>
      </c>
      <c r="HL62" s="9" t="str">
        <f t="shared" ca="1" si="53"/>
        <v/>
      </c>
      <c r="HM62" s="9" t="str">
        <f t="shared" ca="1" si="53"/>
        <v/>
      </c>
      <c r="HN62" s="9" t="str">
        <f t="shared" ca="1" si="53"/>
        <v/>
      </c>
      <c r="HO62" s="9" t="str">
        <f t="shared" ca="1" si="53"/>
        <v/>
      </c>
      <c r="HP62" s="9" t="str">
        <f t="shared" ca="1" si="53"/>
        <v/>
      </c>
      <c r="HQ62" s="9" t="str">
        <f t="shared" ca="1" si="53"/>
        <v/>
      </c>
      <c r="HR62" s="9" t="str">
        <f t="shared" ca="1" si="53"/>
        <v/>
      </c>
      <c r="HS62" s="9" t="str">
        <f t="shared" ca="1" si="53"/>
        <v/>
      </c>
      <c r="HT62" s="9" t="str">
        <f t="shared" ca="1" si="53"/>
        <v/>
      </c>
      <c r="HU62" s="9" t="str">
        <f t="shared" ca="1" si="53"/>
        <v/>
      </c>
      <c r="HV62" s="9" t="str">
        <f t="shared" ca="1" si="53"/>
        <v/>
      </c>
      <c r="HW62" s="9" t="str">
        <f t="shared" ca="1" si="53"/>
        <v/>
      </c>
      <c r="HX62" s="9" t="str">
        <f t="shared" ca="1" si="53"/>
        <v/>
      </c>
      <c r="HY62" s="9" t="str">
        <f t="shared" ca="1" si="53"/>
        <v/>
      </c>
      <c r="HZ62" s="9" t="str">
        <f t="shared" ca="1" si="53"/>
        <v/>
      </c>
      <c r="IA62" s="9" t="str">
        <f t="shared" ca="1" si="53"/>
        <v/>
      </c>
      <c r="IB62" s="9" t="str">
        <f t="shared" ca="1" si="53"/>
        <v/>
      </c>
      <c r="IC62" s="9" t="str">
        <f t="shared" ca="1" si="53"/>
        <v/>
      </c>
      <c r="ID62" s="9" t="str">
        <f t="shared" ca="1" si="53"/>
        <v/>
      </c>
      <c r="IE62" s="9" t="str">
        <f t="shared" ca="1" si="53"/>
        <v/>
      </c>
      <c r="IF62" s="9" t="str">
        <f t="shared" ca="1" si="53"/>
        <v/>
      </c>
      <c r="IG62" s="9" t="str">
        <f t="shared" ca="1" si="53"/>
        <v/>
      </c>
      <c r="IH62" s="9" t="str">
        <f t="shared" ca="1" si="53"/>
        <v/>
      </c>
      <c r="II62" s="9" t="str">
        <f t="shared" ca="1" si="53"/>
        <v/>
      </c>
      <c r="IJ62" s="9" t="str">
        <f t="shared" ca="1" si="53"/>
        <v/>
      </c>
      <c r="IK62" s="9" t="str">
        <f t="shared" ca="1" si="53"/>
        <v/>
      </c>
      <c r="IL62" s="9" t="str">
        <f t="shared" ca="1" si="53"/>
        <v/>
      </c>
      <c r="IM62" s="9" t="str">
        <f t="shared" ca="1" si="53"/>
        <v/>
      </c>
      <c r="IN62" s="9" t="str">
        <f t="shared" ca="1" si="53"/>
        <v/>
      </c>
      <c r="IO62" s="9" t="str">
        <f t="shared" ca="1" si="53"/>
        <v/>
      </c>
      <c r="IP62" s="9" t="str">
        <f t="shared" ca="1" si="53"/>
        <v/>
      </c>
      <c r="IQ62" s="9" t="str">
        <f t="shared" ca="1" si="53"/>
        <v/>
      </c>
      <c r="IR62" s="9" t="str">
        <f t="shared" ca="1" si="53"/>
        <v/>
      </c>
      <c r="IS62" s="9" t="str">
        <f t="shared" ca="1" si="53"/>
        <v/>
      </c>
      <c r="IT62" s="9" t="str">
        <f t="shared" ca="1" si="53"/>
        <v/>
      </c>
      <c r="IU62" s="9" t="str">
        <f t="shared" ca="1" si="53"/>
        <v/>
      </c>
      <c r="IV62" s="9" t="str">
        <f t="shared" ca="1" si="53"/>
        <v/>
      </c>
      <c r="IW62" s="9" t="str">
        <f t="shared" ca="1" si="53"/>
        <v/>
      </c>
      <c r="IX62" s="9" t="str">
        <f t="shared" ref="IX62:JH62" ca="1" si="54">IF(IX35="","",ABS(IX35))</f>
        <v/>
      </c>
      <c r="IY62" s="9" t="str">
        <f t="shared" ca="1" si="54"/>
        <v/>
      </c>
      <c r="IZ62" s="9" t="str">
        <f t="shared" ca="1" si="54"/>
        <v/>
      </c>
      <c r="JA62" s="9" t="str">
        <f t="shared" ca="1" si="54"/>
        <v/>
      </c>
      <c r="JB62" s="9" t="str">
        <f t="shared" ca="1" si="54"/>
        <v/>
      </c>
      <c r="JC62" s="9" t="str">
        <f t="shared" ca="1" si="54"/>
        <v/>
      </c>
      <c r="JD62" s="9" t="str">
        <f t="shared" ca="1" si="54"/>
        <v/>
      </c>
      <c r="JE62" s="9" t="str">
        <f t="shared" ca="1" si="54"/>
        <v/>
      </c>
      <c r="JF62" s="9" t="str">
        <f t="shared" ca="1" si="54"/>
        <v/>
      </c>
      <c r="JG62" s="9" t="str">
        <f t="shared" ca="1" si="54"/>
        <v/>
      </c>
      <c r="JH62" s="9" t="str">
        <f t="shared" ca="1" si="54"/>
        <v/>
      </c>
      <c r="JI62" s="13">
        <f t="shared" ca="1" si="24"/>
        <v>7.037445872769145E-2</v>
      </c>
      <c r="JJ62" s="13">
        <f t="shared" ca="1" si="25"/>
        <v>2.3116663913832158E-2</v>
      </c>
      <c r="JK62" s="14">
        <f t="shared" ca="1" si="26"/>
        <v>6.0855495798825023E-3</v>
      </c>
      <c r="JL62" s="17">
        <f t="shared" ca="1" si="34"/>
        <v>7.8009932571964855E-2</v>
      </c>
      <c r="JM62" s="15" t="str">
        <f t="shared" ca="1" si="27"/>
        <v>[ -8,56% ; 22,64% ]</v>
      </c>
      <c r="JN62" s="17">
        <f t="shared" ca="1" si="28"/>
        <v>9.9852713692115014E-2</v>
      </c>
      <c r="LY62" s="1"/>
    </row>
    <row r="63" spans="1:337" x14ac:dyDescent="0.25">
      <c r="A63" s="4">
        <v>7</v>
      </c>
      <c r="B63" s="9">
        <f t="shared" ref="B63:BM63" ca="1" si="55">IF(B36="","",ABS(B36))</f>
        <v>3.6451073941332623E-2</v>
      </c>
      <c r="C63" s="9">
        <f t="shared" ca="1" si="55"/>
        <v>2.6256420769921185E-2</v>
      </c>
      <c r="D63" s="9">
        <f t="shared" ca="1" si="55"/>
        <v>1.5840675713568952E-2</v>
      </c>
      <c r="E63" s="9">
        <f t="shared" ca="1" si="55"/>
        <v>2.4060856619738669E-2</v>
      </c>
      <c r="F63" s="9">
        <f t="shared" ca="1" si="55"/>
        <v>2.9771513837361541E-2</v>
      </c>
      <c r="G63" s="9">
        <f t="shared" ca="1" si="55"/>
        <v>4.5956317023915227E-2</v>
      </c>
      <c r="H63" s="9">
        <f t="shared" ca="1" si="55"/>
        <v>4.5297683524560206E-2</v>
      </c>
      <c r="I63" s="9">
        <f t="shared" ca="1" si="55"/>
        <v>4.5168100907653885E-2</v>
      </c>
      <c r="J63" s="9">
        <f t="shared" ca="1" si="55"/>
        <v>3.8583739389795646E-2</v>
      </c>
      <c r="K63" s="9">
        <f t="shared" ca="1" si="55"/>
        <v>2.964905704926557E-2</v>
      </c>
      <c r="L63" s="9">
        <f t="shared" ca="1" si="55"/>
        <v>3.5216008748649941E-2</v>
      </c>
      <c r="M63" s="9">
        <f t="shared" ca="1" si="55"/>
        <v>2.4159016029687619E-2</v>
      </c>
      <c r="N63" s="9">
        <f t="shared" ca="1" si="55"/>
        <v>1.4854247397598885E-2</v>
      </c>
      <c r="O63" s="9">
        <f t="shared" ca="1" si="55"/>
        <v>2.4669867480606955E-2</v>
      </c>
      <c r="P63" s="9">
        <f t="shared" ca="1" si="55"/>
        <v>2.3117545703080444E-2</v>
      </c>
      <c r="Q63" s="9">
        <f t="shared" ca="1" si="55"/>
        <v>8.7297065695469689E-3</v>
      </c>
      <c r="R63" s="9">
        <f t="shared" ca="1" si="55"/>
        <v>2.7787707894076918E-3</v>
      </c>
      <c r="S63" s="9">
        <f t="shared" ca="1" si="55"/>
        <v>1.7976302836506308E-2</v>
      </c>
      <c r="T63" s="9">
        <f t="shared" ca="1" si="55"/>
        <v>2.3565689118313582E-2</v>
      </c>
      <c r="U63" s="9">
        <f t="shared" ca="1" si="55"/>
        <v>3.3944072297366068E-3</v>
      </c>
      <c r="V63" s="9">
        <f t="shared" ca="1" si="55"/>
        <v>2.1942757089485898E-3</v>
      </c>
      <c r="W63" s="9">
        <f t="shared" ca="1" si="55"/>
        <v>1.0089192651872025E-2</v>
      </c>
      <c r="X63" s="9">
        <f t="shared" ca="1" si="55"/>
        <v>1.1788503060965683E-2</v>
      </c>
      <c r="Y63" s="9">
        <f t="shared" ca="1" si="55"/>
        <v>1.2163977875982113E-2</v>
      </c>
      <c r="Z63" s="9">
        <f t="shared" ca="1" si="55"/>
        <v>6.5326536645531341E-3</v>
      </c>
      <c r="AA63" s="9">
        <f t="shared" ca="1" si="55"/>
        <v>8.9863002032859463E-3</v>
      </c>
      <c r="AB63" s="9">
        <f t="shared" ca="1" si="55"/>
        <v>2.1320565101877076E-2</v>
      </c>
      <c r="AC63" s="9">
        <f t="shared" ca="1" si="55"/>
        <v>3.4080650795323963E-2</v>
      </c>
      <c r="AD63" s="9">
        <f t="shared" ca="1" si="55"/>
        <v>2.7582772647915643E-2</v>
      </c>
      <c r="AE63" s="9">
        <f t="shared" ca="1" si="55"/>
        <v>2.7770349268428696E-2</v>
      </c>
      <c r="AF63" s="9">
        <f t="shared" ca="1" si="55"/>
        <v>2.7673518380852524E-2</v>
      </c>
      <c r="AG63" s="9">
        <f t="shared" ca="1" si="55"/>
        <v>3.482753328855881E-2</v>
      </c>
      <c r="AH63" s="9">
        <f t="shared" ca="1" si="55"/>
        <v>2.4137953591133687E-2</v>
      </c>
      <c r="AI63" s="9">
        <f t="shared" ca="1" si="55"/>
        <v>1.2364981233719652E-2</v>
      </c>
      <c r="AJ63" s="9">
        <f t="shared" ca="1" si="55"/>
        <v>1.0755020839952056E-2</v>
      </c>
      <c r="AK63" s="9">
        <f t="shared" ca="1" si="55"/>
        <v>3.9490546093112977E-2</v>
      </c>
      <c r="AL63" s="9">
        <f t="shared" ca="1" si="55"/>
        <v>5.4130536243741867E-2</v>
      </c>
      <c r="AM63" s="9">
        <f t="shared" ca="1" si="55"/>
        <v>7.2963941827267953E-2</v>
      </c>
      <c r="AN63" s="9">
        <f t="shared" ca="1" si="55"/>
        <v>6.8032986575788823E-2</v>
      </c>
      <c r="AO63" s="9">
        <f t="shared" ca="1" si="55"/>
        <v>5.6344986978095979E-2</v>
      </c>
      <c r="AP63" s="9">
        <f t="shared" ca="1" si="55"/>
        <v>4.5877800421535109E-2</v>
      </c>
      <c r="AQ63" s="9">
        <f t="shared" ca="1" si="55"/>
        <v>4.3839021649792476E-2</v>
      </c>
      <c r="AR63" s="9">
        <f t="shared" ca="1" si="55"/>
        <v>5.7598118378577201E-2</v>
      </c>
      <c r="AS63" s="9">
        <f t="shared" ca="1" si="55"/>
        <v>7.1319468073443026E-2</v>
      </c>
      <c r="AT63" s="9">
        <f t="shared" ca="1" si="55"/>
        <v>6.4434161849199256E-2</v>
      </c>
      <c r="AU63" s="9">
        <f t="shared" ca="1" si="55"/>
        <v>0.1044896903524738</v>
      </c>
      <c r="AV63" s="9">
        <f t="shared" ca="1" si="55"/>
        <v>0.14118332749076146</v>
      </c>
      <c r="AW63" s="9">
        <f t="shared" ca="1" si="55"/>
        <v>0.16502226417917443</v>
      </c>
      <c r="AX63" s="9">
        <f t="shared" ca="1" si="55"/>
        <v>0.17038196103739756</v>
      </c>
      <c r="AY63" s="9">
        <f t="shared" ca="1" si="55"/>
        <v>0.16588358751799614</v>
      </c>
      <c r="AZ63" s="9">
        <f t="shared" ca="1" si="55"/>
        <v>0.14636238605009366</v>
      </c>
      <c r="BA63" s="9">
        <f t="shared" ca="1" si="55"/>
        <v>0.1999631919676701</v>
      </c>
      <c r="BB63" s="9">
        <f t="shared" ca="1" si="55"/>
        <v>0.14161908563749814</v>
      </c>
      <c r="BC63" s="9">
        <f t="shared" ca="1" si="55"/>
        <v>0.11216754335352774</v>
      </c>
      <c r="BD63" s="9">
        <f t="shared" ca="1" si="55"/>
        <v>0.14295021710778899</v>
      </c>
      <c r="BE63" s="9">
        <f t="shared" ca="1" si="55"/>
        <v>0.15105790444586387</v>
      </c>
      <c r="BF63" s="9">
        <f t="shared" ca="1" si="55"/>
        <v>0.14171305139469925</v>
      </c>
      <c r="BG63" s="9">
        <f t="shared" ca="1" si="55"/>
        <v>0.1200321133436999</v>
      </c>
      <c r="BH63" s="9">
        <f t="shared" ca="1" si="55"/>
        <v>5.4729064618295409E-2</v>
      </c>
      <c r="BI63" s="9">
        <f t="shared" ca="1" si="55"/>
        <v>4.1451908949575733E-2</v>
      </c>
      <c r="BJ63" s="9">
        <f t="shared" ca="1" si="55"/>
        <v>0.10789715930244781</v>
      </c>
      <c r="BK63" s="9">
        <f t="shared" ca="1" si="55"/>
        <v>0.11952799009750015</v>
      </c>
      <c r="BL63" s="9">
        <f t="shared" ca="1" si="55"/>
        <v>0.17281872790508634</v>
      </c>
      <c r="BM63" s="9">
        <f t="shared" ca="1" si="55"/>
        <v>0.20475277861269947</v>
      </c>
      <c r="BN63" s="9">
        <f t="shared" ref="BN63:DY63" ca="1" si="56">IF(BN36="","",ABS(BN36))</f>
        <v>0.17354597200708666</v>
      </c>
      <c r="BO63" s="9">
        <f t="shared" ca="1" si="56"/>
        <v>0.13336789268351379</v>
      </c>
      <c r="BP63" s="9">
        <f t="shared" ca="1" si="56"/>
        <v>7.4915482139523704E-2</v>
      </c>
      <c r="BQ63" s="9">
        <f t="shared" ca="1" si="56"/>
        <v>7.8940483789822213E-3</v>
      </c>
      <c r="BR63" s="9">
        <f t="shared" ca="1" si="56"/>
        <v>1.1662467518084529E-2</v>
      </c>
      <c r="BS63" s="9">
        <f t="shared" ca="1" si="56"/>
        <v>4.4385121597484201E-2</v>
      </c>
      <c r="BT63" s="9">
        <f t="shared" ca="1" si="56"/>
        <v>2.6857237560192981E-2</v>
      </c>
      <c r="BU63" s="9">
        <f t="shared" ca="1" si="56"/>
        <v>4.0487850036278195E-3</v>
      </c>
      <c r="BV63" s="9">
        <f t="shared" ca="1" si="56"/>
        <v>6.4720549402028649E-3</v>
      </c>
      <c r="BW63" s="9">
        <f t="shared" ca="1" si="56"/>
        <v>4.8389993189843716E-2</v>
      </c>
      <c r="BX63" s="9">
        <f t="shared" ca="1" si="56"/>
        <v>6.6550483225065182E-2</v>
      </c>
      <c r="BY63" s="9">
        <f t="shared" ca="1" si="56"/>
        <v>7.106307289648317E-2</v>
      </c>
      <c r="BZ63" s="9">
        <f t="shared" ca="1" si="56"/>
        <v>6.4189975957861467E-2</v>
      </c>
      <c r="CA63" s="9">
        <f t="shared" ca="1" si="56"/>
        <v>4.1993335819806799E-2</v>
      </c>
      <c r="CB63" s="9">
        <f t="shared" ca="1" si="56"/>
        <v>6.1393759377470492E-3</v>
      </c>
      <c r="CC63" s="9">
        <f t="shared" ca="1" si="56"/>
        <v>3.8526844818743577E-2</v>
      </c>
      <c r="CD63" s="9">
        <f t="shared" ca="1" si="56"/>
        <v>4.0591037588573187E-3</v>
      </c>
      <c r="CE63" s="9">
        <f t="shared" ca="1" si="56"/>
        <v>1.4281269616870595E-2</v>
      </c>
      <c r="CF63" s="9">
        <f t="shared" ca="1" si="56"/>
        <v>2.2640651811748125E-2</v>
      </c>
      <c r="CG63" s="9">
        <f t="shared" ca="1" si="56"/>
        <v>2.1269484951115247E-3</v>
      </c>
      <c r="CH63" s="9">
        <f t="shared" ca="1" si="56"/>
        <v>4.4304262281375517E-2</v>
      </c>
      <c r="CI63" s="9">
        <f t="shared" ca="1" si="56"/>
        <v>1.0701001796377341E-2</v>
      </c>
      <c r="CJ63" s="9">
        <f t="shared" ca="1" si="56"/>
        <v>1.2064548125227059E-2</v>
      </c>
      <c r="CK63" s="9">
        <f t="shared" ca="1" si="56"/>
        <v>5.7499335548538699E-4</v>
      </c>
      <c r="CL63" s="9">
        <f t="shared" ca="1" si="56"/>
        <v>3.1057293920574325E-2</v>
      </c>
      <c r="CM63" s="9">
        <f t="shared" ca="1" si="56"/>
        <v>3.242989691597864E-2</v>
      </c>
      <c r="CN63" s="9">
        <f t="shared" ca="1" si="56"/>
        <v>5.095209481742069E-2</v>
      </c>
      <c r="CO63" s="9">
        <f t="shared" ca="1" si="56"/>
        <v>7.0970197914616451E-2</v>
      </c>
      <c r="CP63" s="9">
        <f t="shared" ca="1" si="56"/>
        <v>5.8870276855715664E-2</v>
      </c>
      <c r="CQ63" s="9">
        <f t="shared" ca="1" si="56"/>
        <v>2.082971510523457E-2</v>
      </c>
      <c r="CR63" s="9">
        <f t="shared" ca="1" si="56"/>
        <v>6.8477119698973077E-4</v>
      </c>
      <c r="CS63" s="9">
        <f t="shared" ca="1" si="56"/>
        <v>1.2207380878292984E-2</v>
      </c>
      <c r="CT63" s="9">
        <f t="shared" ca="1" si="56"/>
        <v>3.4728380515871571E-2</v>
      </c>
      <c r="CU63" s="9">
        <f t="shared" ca="1" si="56"/>
        <v>1.6536244278144707E-3</v>
      </c>
      <c r="CV63" s="9">
        <f t="shared" ca="1" si="56"/>
        <v>1.9010647114685808E-2</v>
      </c>
      <c r="CW63" s="9">
        <f t="shared" ca="1" si="56"/>
        <v>9.6914351252808117E-3</v>
      </c>
      <c r="CX63" s="9">
        <f t="shared" ca="1" si="56"/>
        <v>2.0552851838408603E-2</v>
      </c>
      <c r="CY63" s="9">
        <f t="shared" ca="1" si="56"/>
        <v>4.3599082244225817E-2</v>
      </c>
      <c r="CZ63" s="9">
        <f t="shared" ca="1" si="56"/>
        <v>6.2432945273136475E-3</v>
      </c>
      <c r="DA63" s="9">
        <f t="shared" ca="1" si="56"/>
        <v>2.9939737070016736E-2</v>
      </c>
      <c r="DB63" s="9">
        <f t="shared" ca="1" si="56"/>
        <v>1.6745794983546336E-2</v>
      </c>
      <c r="DC63" s="9">
        <f t="shared" ca="1" si="56"/>
        <v>3.0723746404727414E-2</v>
      </c>
      <c r="DD63" s="9">
        <f t="shared" ca="1" si="56"/>
        <v>5.1608714464526084E-2</v>
      </c>
      <c r="DE63" s="9">
        <f t="shared" ca="1" si="56"/>
        <v>6.149917947089456E-2</v>
      </c>
      <c r="DF63" s="9">
        <f t="shared" ca="1" si="56"/>
        <v>8.3173483050678065E-3</v>
      </c>
      <c r="DG63" s="9">
        <f t="shared" ca="1" si="56"/>
        <v>2.4420532943621787E-2</v>
      </c>
      <c r="DH63" s="9">
        <f t="shared" ca="1" si="56"/>
        <v>1.6058045391493581E-2</v>
      </c>
      <c r="DI63" s="9">
        <f t="shared" ca="1" si="56"/>
        <v>2.3526952328683626E-2</v>
      </c>
      <c r="DJ63" s="9">
        <f t="shared" ca="1" si="56"/>
        <v>3.5245380832098716E-2</v>
      </c>
      <c r="DK63" s="9">
        <f t="shared" ca="1" si="56"/>
        <v>5.0241788796076436E-2</v>
      </c>
      <c r="DL63" s="9">
        <f t="shared" ca="1" si="56"/>
        <v>2.5513130633469938E-2</v>
      </c>
      <c r="DM63" s="9">
        <f t="shared" ca="1" si="56"/>
        <v>3.1657105100745708E-2</v>
      </c>
      <c r="DN63" s="9">
        <f t="shared" ca="1" si="56"/>
        <v>2.3514825049089749E-2</v>
      </c>
      <c r="DO63" s="9">
        <f t="shared" ca="1" si="56"/>
        <v>3.7001092942784197E-2</v>
      </c>
      <c r="DP63" s="9">
        <f t="shared" ca="1" si="56"/>
        <v>4.6828294742734089E-2</v>
      </c>
      <c r="DQ63" s="9">
        <f t="shared" ca="1" si="56"/>
        <v>1.8503538194325708E-2</v>
      </c>
      <c r="DR63" s="9">
        <f t="shared" ca="1" si="56"/>
        <v>3.0951880674324972E-2</v>
      </c>
      <c r="DS63" s="9">
        <f t="shared" ca="1" si="56"/>
        <v>9.1093501900100238E-3</v>
      </c>
      <c r="DT63" s="9">
        <f t="shared" ca="1" si="56"/>
        <v>2.8465148605483881E-2</v>
      </c>
      <c r="DU63" s="9">
        <f t="shared" ca="1" si="56"/>
        <v>1.4385270996272514E-2</v>
      </c>
      <c r="DV63" s="9">
        <f t="shared" ca="1" si="56"/>
        <v>2.8124198280435553E-2</v>
      </c>
      <c r="DW63" s="9">
        <f t="shared" ca="1" si="56"/>
        <v>2.2908233103992925E-2</v>
      </c>
      <c r="DX63" s="9">
        <f t="shared" ca="1" si="56"/>
        <v>1.2093121957923225E-2</v>
      </c>
      <c r="DY63" s="9">
        <f t="shared" ca="1" si="56"/>
        <v>3.9002249669479516E-2</v>
      </c>
      <c r="DZ63" s="9">
        <f t="shared" ref="DZ63:GK63" ca="1" si="57">IF(DZ36="","",ABS(DZ36))</f>
        <v>3.6183033993859581E-2</v>
      </c>
      <c r="EA63" s="9">
        <f t="shared" ca="1" si="57"/>
        <v>5.0073340464557248E-2</v>
      </c>
      <c r="EB63" s="9">
        <f t="shared" ca="1" si="57"/>
        <v>5.1010974010373467E-2</v>
      </c>
      <c r="EC63" s="9">
        <f t="shared" ca="1" si="57"/>
        <v>2.2961480111019172E-2</v>
      </c>
      <c r="ED63" s="9">
        <f t="shared" ca="1" si="57"/>
        <v>2.2716573542515439E-2</v>
      </c>
      <c r="EE63" s="9">
        <f t="shared" ca="1" si="57"/>
        <v>4.413275456359278E-3</v>
      </c>
      <c r="EF63" s="9">
        <f t="shared" ca="1" si="57"/>
        <v>1.7327317229990147E-2</v>
      </c>
      <c r="EG63" s="9">
        <f t="shared" ca="1" si="57"/>
        <v>3.164438313640705E-2</v>
      </c>
      <c r="EH63" s="9">
        <f t="shared" ca="1" si="57"/>
        <v>2.9165229518159475E-2</v>
      </c>
      <c r="EI63" s="9">
        <f t="shared" ca="1" si="57"/>
        <v>2.3359457293069208E-2</v>
      </c>
      <c r="EJ63" s="9">
        <f t="shared" ca="1" si="57"/>
        <v>2.2261506145451637E-2</v>
      </c>
      <c r="EK63" s="9">
        <f t="shared" ca="1" si="57"/>
        <v>8.1739280728727604E-3</v>
      </c>
      <c r="EL63" s="9">
        <f t="shared" ca="1" si="57"/>
        <v>1.5022786029388113E-2</v>
      </c>
      <c r="EM63" s="9">
        <f t="shared" ca="1" si="57"/>
        <v>2.9135120324949026E-2</v>
      </c>
      <c r="EN63" s="9">
        <f t="shared" ca="1" si="57"/>
        <v>3.9867630562063106E-2</v>
      </c>
      <c r="EO63" s="9">
        <f t="shared" ca="1" si="57"/>
        <v>1.290866299313298E-2</v>
      </c>
      <c r="EP63" s="9">
        <f t="shared" ca="1" si="57"/>
        <v>2.1595536485705225E-2</v>
      </c>
      <c r="EQ63" s="9">
        <f t="shared" ca="1" si="57"/>
        <v>5.9212396588848026E-3</v>
      </c>
      <c r="ER63" s="9">
        <f t="shared" ca="1" si="57"/>
        <v>3.5747108347405909E-4</v>
      </c>
      <c r="ES63" s="9">
        <f t="shared" ca="1" si="57"/>
        <v>5.8358070500712511E-3</v>
      </c>
      <c r="ET63" s="9">
        <f t="shared" ca="1" si="57"/>
        <v>1.2002128403098666E-2</v>
      </c>
      <c r="EU63" s="9">
        <f t="shared" ca="1" si="57"/>
        <v>2.096209121969661E-2</v>
      </c>
      <c r="EV63" s="9">
        <f t="shared" ca="1" si="57"/>
        <v>1.7957736434066618E-3</v>
      </c>
      <c r="EW63" s="9">
        <f t="shared" ca="1" si="57"/>
        <v>7.7216561860793398E-4</v>
      </c>
      <c r="EX63" s="9">
        <f t="shared" ca="1" si="57"/>
        <v>1.2965790797357712E-2</v>
      </c>
      <c r="EY63" s="9">
        <f t="shared" ca="1" si="57"/>
        <v>3.0976869794548723E-2</v>
      </c>
      <c r="EZ63" s="9">
        <f t="shared" ca="1" si="57"/>
        <v>1.094888419253337E-2</v>
      </c>
      <c r="FA63" s="9">
        <f t="shared" ca="1" si="57"/>
        <v>4.4710427998853053E-2</v>
      </c>
      <c r="FB63" s="9">
        <f t="shared" ca="1" si="57"/>
        <v>1.4555947239696554E-2</v>
      </c>
      <c r="FC63" s="9">
        <f t="shared" ca="1" si="57"/>
        <v>2.512781140623499E-2</v>
      </c>
      <c r="FD63" s="9">
        <f t="shared" ca="1" si="57"/>
        <v>3.2957857441580862E-2</v>
      </c>
      <c r="FE63" s="9">
        <f t="shared" ca="1" si="57"/>
        <v>3.6302268053379327E-2</v>
      </c>
      <c r="FF63" s="9">
        <f t="shared" ca="1" si="57"/>
        <v>6.0137544854785285E-2</v>
      </c>
      <c r="FG63" s="9">
        <f t="shared" ca="1" si="57"/>
        <v>5.1046726310663093E-2</v>
      </c>
      <c r="FH63" s="9">
        <f t="shared" ca="1" si="57"/>
        <v>1.7562917984401238E-2</v>
      </c>
      <c r="FI63" s="9">
        <f t="shared" ca="1" si="57"/>
        <v>2.9950927012233119E-2</v>
      </c>
      <c r="FJ63" s="9">
        <f t="shared" ca="1" si="57"/>
        <v>4.8279184625989346E-2</v>
      </c>
      <c r="FK63" s="9">
        <f t="shared" ca="1" si="57"/>
        <v>2.8590758886956058E-2</v>
      </c>
      <c r="FL63" s="9">
        <f t="shared" ca="1" si="57"/>
        <v>1.1930355961221162E-2</v>
      </c>
      <c r="FM63" s="9">
        <f t="shared" ca="1" si="57"/>
        <v>2.255120245850839E-3</v>
      </c>
      <c r="FN63" s="9">
        <f t="shared" ca="1" si="57"/>
        <v>9.8093751541800112E-3</v>
      </c>
      <c r="FO63" s="9">
        <f t="shared" ca="1" si="57"/>
        <v>2.5649671863075096E-2</v>
      </c>
      <c r="FP63" s="9">
        <f t="shared" ca="1" si="57"/>
        <v>2.7607712304137944E-2</v>
      </c>
      <c r="FQ63" s="9">
        <f t="shared" ca="1" si="57"/>
        <v>2.1094051607450925E-2</v>
      </c>
      <c r="FR63" s="9">
        <f t="shared" ca="1" si="57"/>
        <v>1.511627773272739E-3</v>
      </c>
      <c r="FS63" s="9">
        <f t="shared" ca="1" si="57"/>
        <v>2.9757515407675905E-2</v>
      </c>
      <c r="FT63" s="9">
        <f t="shared" ca="1" si="57"/>
        <v>1.4759217540073921E-2</v>
      </c>
      <c r="FU63" s="9">
        <f t="shared" ca="1" si="57"/>
        <v>2.3077154142515433E-2</v>
      </c>
      <c r="FV63" s="9">
        <f t="shared" ca="1" si="57"/>
        <v>2.4863115899848687E-2</v>
      </c>
      <c r="FW63" s="9">
        <f t="shared" ca="1" si="57"/>
        <v>1.2600015029661016E-2</v>
      </c>
      <c r="FX63" s="9">
        <f t="shared" ca="1" si="57"/>
        <v>2.7870322903992273E-3</v>
      </c>
      <c r="FY63" s="9">
        <f t="shared" ca="1" si="57"/>
        <v>2.6765039854383721E-2</v>
      </c>
      <c r="FZ63" s="9">
        <f t="shared" ca="1" si="57"/>
        <v>2.4785949327474577E-2</v>
      </c>
      <c r="GA63" s="9">
        <f t="shared" ca="1" si="57"/>
        <v>2.7323595163530112E-2</v>
      </c>
      <c r="GB63" s="9">
        <f t="shared" ca="1" si="57"/>
        <v>2.4218189940569346E-2</v>
      </c>
      <c r="GC63" s="9">
        <f t="shared" ca="1" si="57"/>
        <v>3.3723409921083469E-2</v>
      </c>
      <c r="GD63" s="9">
        <f t="shared" ca="1" si="57"/>
        <v>3.316193094211406E-2</v>
      </c>
      <c r="GE63" s="9">
        <f t="shared" ca="1" si="57"/>
        <v>3.8009199879516564E-2</v>
      </c>
      <c r="GF63" s="9">
        <f t="shared" ca="1" si="57"/>
        <v>6.4360169232711151E-3</v>
      </c>
      <c r="GG63" s="9">
        <f t="shared" ca="1" si="57"/>
        <v>1.439900137080441E-2</v>
      </c>
      <c r="GH63" s="9">
        <f t="shared" ca="1" si="57"/>
        <v>8.1745569867405665E-2</v>
      </c>
      <c r="GI63" s="9">
        <f t="shared" ca="1" si="57"/>
        <v>0.18246947033921435</v>
      </c>
      <c r="GJ63" s="9">
        <f t="shared" ca="1" si="57"/>
        <v>0.17770313079826727</v>
      </c>
      <c r="GK63" s="9">
        <f t="shared" ca="1" si="57"/>
        <v>0.20798808249358114</v>
      </c>
      <c r="GL63" s="9">
        <f t="shared" ref="GL63:IW63" ca="1" si="58">IF(GL36="","",ABS(GL36))</f>
        <v>0.20003860356870229</v>
      </c>
      <c r="GM63" s="9">
        <f t="shared" ca="1" si="58"/>
        <v>0.19783550145165174</v>
      </c>
      <c r="GN63" s="9">
        <f t="shared" ca="1" si="58"/>
        <v>0.20600386556707473</v>
      </c>
      <c r="GO63" s="9">
        <f t="shared" ca="1" si="58"/>
        <v>3.277718172723687E-2</v>
      </c>
      <c r="GP63" s="9">
        <f t="shared" ca="1" si="58"/>
        <v>0.26886848218902792</v>
      </c>
      <c r="GQ63" s="9">
        <f t="shared" ca="1" si="58"/>
        <v>0.15485332201446345</v>
      </c>
      <c r="GR63" s="9">
        <f t="shared" ca="1" si="58"/>
        <v>0.15554906083314868</v>
      </c>
      <c r="GS63" s="9" t="str">
        <f t="shared" ca="1" si="58"/>
        <v/>
      </c>
      <c r="GT63" s="9" t="str">
        <f t="shared" ca="1" si="58"/>
        <v/>
      </c>
      <c r="GU63" s="9" t="str">
        <f t="shared" ca="1" si="58"/>
        <v/>
      </c>
      <c r="GV63" s="9" t="str">
        <f t="shared" ca="1" si="58"/>
        <v/>
      </c>
      <c r="GW63" s="9" t="str">
        <f t="shared" ca="1" si="58"/>
        <v/>
      </c>
      <c r="GX63" s="9" t="str">
        <f t="shared" ca="1" si="58"/>
        <v/>
      </c>
      <c r="GY63" s="9" t="str">
        <f t="shared" ca="1" si="58"/>
        <v/>
      </c>
      <c r="GZ63" s="9" t="str">
        <f t="shared" ca="1" si="58"/>
        <v/>
      </c>
      <c r="HA63" s="9" t="str">
        <f t="shared" ca="1" si="58"/>
        <v/>
      </c>
      <c r="HB63" s="9" t="str">
        <f t="shared" ca="1" si="58"/>
        <v/>
      </c>
      <c r="HC63" s="9" t="str">
        <f t="shared" ca="1" si="58"/>
        <v/>
      </c>
      <c r="HD63" s="9" t="str">
        <f t="shared" ca="1" si="58"/>
        <v/>
      </c>
      <c r="HE63" s="9" t="str">
        <f t="shared" ca="1" si="58"/>
        <v/>
      </c>
      <c r="HF63" s="9" t="str">
        <f t="shared" ca="1" si="58"/>
        <v/>
      </c>
      <c r="HG63" s="9" t="str">
        <f t="shared" ca="1" si="58"/>
        <v/>
      </c>
      <c r="HH63" s="9" t="str">
        <f t="shared" ca="1" si="58"/>
        <v/>
      </c>
      <c r="HI63" s="9" t="str">
        <f t="shared" ca="1" si="58"/>
        <v/>
      </c>
      <c r="HJ63" s="9" t="str">
        <f t="shared" ca="1" si="58"/>
        <v/>
      </c>
      <c r="HK63" s="9" t="str">
        <f t="shared" ca="1" si="58"/>
        <v/>
      </c>
      <c r="HL63" s="9" t="str">
        <f t="shared" ca="1" si="58"/>
        <v/>
      </c>
      <c r="HM63" s="9" t="str">
        <f t="shared" ca="1" si="58"/>
        <v/>
      </c>
      <c r="HN63" s="9" t="str">
        <f t="shared" ca="1" si="58"/>
        <v/>
      </c>
      <c r="HO63" s="9" t="str">
        <f t="shared" ca="1" si="58"/>
        <v/>
      </c>
      <c r="HP63" s="9" t="str">
        <f t="shared" ca="1" si="58"/>
        <v/>
      </c>
      <c r="HQ63" s="9" t="str">
        <f t="shared" ca="1" si="58"/>
        <v/>
      </c>
      <c r="HR63" s="9" t="str">
        <f t="shared" ca="1" si="58"/>
        <v/>
      </c>
      <c r="HS63" s="9" t="str">
        <f t="shared" ca="1" si="58"/>
        <v/>
      </c>
      <c r="HT63" s="9" t="str">
        <f t="shared" ca="1" si="58"/>
        <v/>
      </c>
      <c r="HU63" s="9" t="str">
        <f t="shared" ca="1" si="58"/>
        <v/>
      </c>
      <c r="HV63" s="9" t="str">
        <f t="shared" ca="1" si="58"/>
        <v/>
      </c>
      <c r="HW63" s="9" t="str">
        <f t="shared" ca="1" si="58"/>
        <v/>
      </c>
      <c r="HX63" s="9" t="str">
        <f t="shared" ca="1" si="58"/>
        <v/>
      </c>
      <c r="HY63" s="9" t="str">
        <f t="shared" ca="1" si="58"/>
        <v/>
      </c>
      <c r="HZ63" s="9" t="str">
        <f t="shared" ca="1" si="58"/>
        <v/>
      </c>
      <c r="IA63" s="9" t="str">
        <f t="shared" ca="1" si="58"/>
        <v/>
      </c>
      <c r="IB63" s="9" t="str">
        <f t="shared" ca="1" si="58"/>
        <v/>
      </c>
      <c r="IC63" s="9" t="str">
        <f t="shared" ca="1" si="58"/>
        <v/>
      </c>
      <c r="ID63" s="9" t="str">
        <f t="shared" ca="1" si="58"/>
        <v/>
      </c>
      <c r="IE63" s="9" t="str">
        <f t="shared" ca="1" si="58"/>
        <v/>
      </c>
      <c r="IF63" s="9" t="str">
        <f t="shared" ca="1" si="58"/>
        <v/>
      </c>
      <c r="IG63" s="9" t="str">
        <f t="shared" ca="1" si="58"/>
        <v/>
      </c>
      <c r="IH63" s="9" t="str">
        <f t="shared" ca="1" si="58"/>
        <v/>
      </c>
      <c r="II63" s="9" t="str">
        <f t="shared" ca="1" si="58"/>
        <v/>
      </c>
      <c r="IJ63" s="9" t="str">
        <f t="shared" ca="1" si="58"/>
        <v/>
      </c>
      <c r="IK63" s="9" t="str">
        <f t="shared" ca="1" si="58"/>
        <v/>
      </c>
      <c r="IL63" s="9" t="str">
        <f t="shared" ca="1" si="58"/>
        <v/>
      </c>
      <c r="IM63" s="9" t="str">
        <f t="shared" ca="1" si="58"/>
        <v/>
      </c>
      <c r="IN63" s="9" t="str">
        <f t="shared" ca="1" si="58"/>
        <v/>
      </c>
      <c r="IO63" s="9" t="str">
        <f t="shared" ca="1" si="58"/>
        <v/>
      </c>
      <c r="IP63" s="9" t="str">
        <f t="shared" ca="1" si="58"/>
        <v/>
      </c>
      <c r="IQ63" s="9" t="str">
        <f t="shared" ca="1" si="58"/>
        <v/>
      </c>
      <c r="IR63" s="9" t="str">
        <f t="shared" ca="1" si="58"/>
        <v/>
      </c>
      <c r="IS63" s="9" t="str">
        <f t="shared" ca="1" si="58"/>
        <v/>
      </c>
      <c r="IT63" s="9" t="str">
        <f t="shared" ca="1" si="58"/>
        <v/>
      </c>
      <c r="IU63" s="9" t="str">
        <f t="shared" ca="1" si="58"/>
        <v/>
      </c>
      <c r="IV63" s="9" t="str">
        <f t="shared" ca="1" si="58"/>
        <v/>
      </c>
      <c r="IW63" s="9" t="str">
        <f t="shared" ca="1" si="58"/>
        <v/>
      </c>
      <c r="IX63" s="9" t="str">
        <f t="shared" ref="IX63:JH63" ca="1" si="59">IF(IX36="","",ABS(IX36))</f>
        <v/>
      </c>
      <c r="IY63" s="9" t="str">
        <f t="shared" ca="1" si="59"/>
        <v/>
      </c>
      <c r="IZ63" s="9" t="str">
        <f t="shared" ca="1" si="59"/>
        <v/>
      </c>
      <c r="JA63" s="9" t="str">
        <f t="shared" ca="1" si="59"/>
        <v/>
      </c>
      <c r="JB63" s="9" t="str">
        <f t="shared" ca="1" si="59"/>
        <v/>
      </c>
      <c r="JC63" s="9" t="str">
        <f t="shared" ca="1" si="59"/>
        <v/>
      </c>
      <c r="JD63" s="9" t="str">
        <f t="shared" ca="1" si="59"/>
        <v/>
      </c>
      <c r="JE63" s="9" t="str">
        <f t="shared" ca="1" si="59"/>
        <v/>
      </c>
      <c r="JF63" s="9" t="str">
        <f t="shared" ca="1" si="59"/>
        <v/>
      </c>
      <c r="JG63" s="9" t="str">
        <f t="shared" ca="1" si="59"/>
        <v/>
      </c>
      <c r="JH63" s="9" t="str">
        <f t="shared" ca="1" si="59"/>
        <v/>
      </c>
      <c r="JI63" s="13">
        <f t="shared" ca="1" si="24"/>
        <v>7.9468011923693557E-2</v>
      </c>
      <c r="JJ63" s="13">
        <f t="shared" ca="1" si="25"/>
        <v>3.1267348567456388E-2</v>
      </c>
      <c r="JK63" s="14">
        <f t="shared" ca="1" si="26"/>
        <v>6.806569688264312E-3</v>
      </c>
      <c r="JL63" s="17">
        <f t="shared" ca="1" si="34"/>
        <v>8.2501937481881671E-2</v>
      </c>
      <c r="JM63" s="15" t="str">
        <f t="shared" ca="1" si="27"/>
        <v>[ -8,55% ; 24,45% ]</v>
      </c>
      <c r="JN63" s="17">
        <f t="shared" ca="1" si="28"/>
        <v>0.10560247997680854</v>
      </c>
      <c r="LY63" s="1"/>
    </row>
    <row r="64" spans="1:337" x14ac:dyDescent="0.25">
      <c r="A64" s="4">
        <v>8</v>
      </c>
      <c r="B64" s="9">
        <f t="shared" ref="B64:BM64" ca="1" si="60">IF(B37="","",ABS(B37))</f>
        <v>3.3785977319065186E-2</v>
      </c>
      <c r="C64" s="9">
        <f t="shared" ca="1" si="60"/>
        <v>3.5186956014306769E-2</v>
      </c>
      <c r="D64" s="9">
        <f t="shared" ca="1" si="60"/>
        <v>2.9928358071498851E-2</v>
      </c>
      <c r="E64" s="9">
        <f t="shared" ca="1" si="60"/>
        <v>2.3769087035000691E-2</v>
      </c>
      <c r="F64" s="9">
        <f t="shared" ca="1" si="60"/>
        <v>4.5453488201989245E-2</v>
      </c>
      <c r="G64" s="9">
        <f t="shared" ca="1" si="60"/>
        <v>4.3756712994807767E-2</v>
      </c>
      <c r="H64" s="9">
        <f t="shared" ca="1" si="60"/>
        <v>4.6461412490881093E-2</v>
      </c>
      <c r="I64" s="9">
        <f t="shared" ca="1" si="60"/>
        <v>3.6046436149891781E-2</v>
      </c>
      <c r="J64" s="9">
        <f t="shared" ca="1" si="60"/>
        <v>4.1817806394945478E-2</v>
      </c>
      <c r="K64" s="9">
        <f t="shared" ca="1" si="60"/>
        <v>4.3867129418744488E-2</v>
      </c>
      <c r="L64" s="9">
        <f t="shared" ca="1" si="60"/>
        <v>3.6581523355864842E-2</v>
      </c>
      <c r="M64" s="9">
        <f t="shared" ca="1" si="60"/>
        <v>1.5253590906472159E-3</v>
      </c>
      <c r="N64" s="9">
        <f t="shared" ca="1" si="60"/>
        <v>1.6859903605828008E-2</v>
      </c>
      <c r="O64" s="9">
        <f t="shared" ca="1" si="60"/>
        <v>1.869286614879806E-2</v>
      </c>
      <c r="P64" s="9">
        <f t="shared" ca="1" si="60"/>
        <v>2.402414805927644E-2</v>
      </c>
      <c r="Q64" s="9">
        <f t="shared" ca="1" si="60"/>
        <v>8.9112177289082384E-3</v>
      </c>
      <c r="R64" s="9">
        <f t="shared" ca="1" si="60"/>
        <v>1.9659916934584576E-3</v>
      </c>
      <c r="S64" s="9">
        <f t="shared" ca="1" si="60"/>
        <v>2.2248768625142468E-2</v>
      </c>
      <c r="T64" s="9">
        <f t="shared" ca="1" si="60"/>
        <v>2.4436715110633944E-2</v>
      </c>
      <c r="U64" s="9">
        <f t="shared" ca="1" si="60"/>
        <v>1.0836249850567525E-2</v>
      </c>
      <c r="V64" s="9">
        <f t="shared" ca="1" si="60"/>
        <v>1.6600541924230772E-2</v>
      </c>
      <c r="W64" s="9">
        <f t="shared" ca="1" si="60"/>
        <v>1.3849457795836129E-2</v>
      </c>
      <c r="X64" s="9">
        <f t="shared" ca="1" si="60"/>
        <v>1.5407128020935357E-2</v>
      </c>
      <c r="Y64" s="9">
        <f t="shared" ca="1" si="60"/>
        <v>7.2961812521195046E-3</v>
      </c>
      <c r="Z64" s="9">
        <f t="shared" ca="1" si="60"/>
        <v>6.2313988017768107E-3</v>
      </c>
      <c r="AA64" s="9">
        <f t="shared" ca="1" si="60"/>
        <v>2.1052458831018583E-2</v>
      </c>
      <c r="AB64" s="9">
        <f t="shared" ca="1" si="60"/>
        <v>2.9569600045347144E-2</v>
      </c>
      <c r="AC64" s="9">
        <f t="shared" ca="1" si="60"/>
        <v>4.1086980276175744E-2</v>
      </c>
      <c r="AD64" s="9">
        <f t="shared" ca="1" si="60"/>
        <v>3.0330411799050161E-2</v>
      </c>
      <c r="AE64" s="9">
        <f t="shared" ca="1" si="60"/>
        <v>2.834949182875679E-2</v>
      </c>
      <c r="AF64" s="9">
        <f t="shared" ca="1" si="60"/>
        <v>3.123031614102878E-2</v>
      </c>
      <c r="AG64" s="9">
        <f t="shared" ca="1" si="60"/>
        <v>2.7334541718310845E-2</v>
      </c>
      <c r="AH64" s="9">
        <f t="shared" ca="1" si="60"/>
        <v>1.7750745766295539E-2</v>
      </c>
      <c r="AI64" s="9">
        <f t="shared" ca="1" si="60"/>
        <v>4.0406046150522901E-3</v>
      </c>
      <c r="AJ64" s="9">
        <f t="shared" ca="1" si="60"/>
        <v>2.7587418997107038E-2</v>
      </c>
      <c r="AK64" s="9">
        <f t="shared" ca="1" si="60"/>
        <v>4.9386103371559353E-2</v>
      </c>
      <c r="AL64" s="9">
        <f t="shared" ca="1" si="60"/>
        <v>6.8309820508929642E-2</v>
      </c>
      <c r="AM64" s="9">
        <f t="shared" ca="1" si="60"/>
        <v>7.0176989116904176E-2</v>
      </c>
      <c r="AN64" s="9">
        <f t="shared" ca="1" si="60"/>
        <v>6.6156180211654592E-2</v>
      </c>
      <c r="AO64" s="9">
        <f t="shared" ca="1" si="60"/>
        <v>5.8576731877882371E-2</v>
      </c>
      <c r="AP64" s="9">
        <f t="shared" ca="1" si="60"/>
        <v>5.9578290282368496E-2</v>
      </c>
      <c r="AQ64" s="9">
        <f t="shared" ca="1" si="60"/>
        <v>7.2438776553967466E-2</v>
      </c>
      <c r="AR64" s="9">
        <f t="shared" ca="1" si="60"/>
        <v>8.0680573594954175E-2</v>
      </c>
      <c r="AS64" s="9">
        <f t="shared" ca="1" si="60"/>
        <v>7.7060969628368281E-2</v>
      </c>
      <c r="AT64" s="9">
        <f t="shared" ca="1" si="60"/>
        <v>9.9338078494952908E-2</v>
      </c>
      <c r="AU64" s="9">
        <f t="shared" ca="1" si="60"/>
        <v>0.13740935566415724</v>
      </c>
      <c r="AV64" s="9">
        <f t="shared" ca="1" si="60"/>
        <v>0.16672744980534604</v>
      </c>
      <c r="AW64" s="9">
        <f t="shared" ca="1" si="60"/>
        <v>0.18086272265442938</v>
      </c>
      <c r="AX64" s="9">
        <f t="shared" ca="1" si="60"/>
        <v>0.1907036223529669</v>
      </c>
      <c r="AY64" s="9">
        <f t="shared" ca="1" si="60"/>
        <v>0.19632730148527966</v>
      </c>
      <c r="AZ64" s="9">
        <f t="shared" ca="1" si="60"/>
        <v>0.19047545064022087</v>
      </c>
      <c r="BA64" s="9">
        <f t="shared" ca="1" si="60"/>
        <v>0.23096139840822416</v>
      </c>
      <c r="BB64" s="9">
        <f t="shared" ca="1" si="60"/>
        <v>0.16673702027700887</v>
      </c>
      <c r="BC64" s="9">
        <f t="shared" ca="1" si="60"/>
        <v>0.12426383843507771</v>
      </c>
      <c r="BD64" s="9">
        <f t="shared" ca="1" si="60"/>
        <v>0.16988740093949839</v>
      </c>
      <c r="BE64" s="9">
        <f t="shared" ca="1" si="60"/>
        <v>0.17124759037221005</v>
      </c>
      <c r="BF64" s="9">
        <f t="shared" ca="1" si="60"/>
        <v>0.14445980192542984</v>
      </c>
      <c r="BG64" s="9">
        <f t="shared" ca="1" si="60"/>
        <v>0.1085211026078633</v>
      </c>
      <c r="BH64" s="9">
        <f t="shared" ca="1" si="60"/>
        <v>2.2360003810532048E-2</v>
      </c>
      <c r="BI64" s="9">
        <f t="shared" ca="1" si="60"/>
        <v>7.9440914756871095E-2</v>
      </c>
      <c r="BJ64" s="9">
        <f t="shared" ca="1" si="60"/>
        <v>0.12894369457602228</v>
      </c>
      <c r="BK64" s="9">
        <f t="shared" ca="1" si="60"/>
        <v>0.13886142981715399</v>
      </c>
      <c r="BL64" s="9">
        <f t="shared" ca="1" si="60"/>
        <v>0.19379591174485</v>
      </c>
      <c r="BM64" s="9">
        <f t="shared" ca="1" si="60"/>
        <v>0.23811178651957587</v>
      </c>
      <c r="BN64" s="9">
        <f t="shared" ref="BN64:DY64" ca="1" si="61">IF(BN37="","",ABS(BN37))</f>
        <v>0.19753242557076023</v>
      </c>
      <c r="BO64" s="9">
        <f t="shared" ca="1" si="61"/>
        <v>0.15174425105496625</v>
      </c>
      <c r="BP64" s="9">
        <f t="shared" ca="1" si="61"/>
        <v>7.3801799726286976E-2</v>
      </c>
      <c r="BQ64" s="9">
        <f t="shared" ca="1" si="61"/>
        <v>1.2718319176137305E-2</v>
      </c>
      <c r="BR64" s="9">
        <f t="shared" ca="1" si="61"/>
        <v>1.0837185954369666E-2</v>
      </c>
      <c r="BS64" s="9">
        <f t="shared" ca="1" si="61"/>
        <v>5.2863286978803048E-2</v>
      </c>
      <c r="BT64" s="9">
        <f t="shared" ca="1" si="61"/>
        <v>4.2918445444004583E-2</v>
      </c>
      <c r="BU64" s="9">
        <f t="shared" ca="1" si="61"/>
        <v>1.2760904833629461E-2</v>
      </c>
      <c r="BV64" s="9">
        <f t="shared" ca="1" si="61"/>
        <v>1.3563420475882104E-2</v>
      </c>
      <c r="BW64" s="9">
        <f t="shared" ca="1" si="61"/>
        <v>4.7576563883458656E-2</v>
      </c>
      <c r="BX64" s="9">
        <f t="shared" ca="1" si="61"/>
        <v>7.0247327432674034E-2</v>
      </c>
      <c r="BY64" s="9">
        <f t="shared" ca="1" si="61"/>
        <v>8.6727259491411246E-2</v>
      </c>
      <c r="BZ64" s="9">
        <f t="shared" ca="1" si="61"/>
        <v>8.1873056872376226E-2</v>
      </c>
      <c r="CA64" s="9">
        <f t="shared" ca="1" si="61"/>
        <v>3.5710441082897004E-2</v>
      </c>
      <c r="CB64" s="9">
        <f t="shared" ca="1" si="61"/>
        <v>1.57713132440781E-2</v>
      </c>
      <c r="CC64" s="9">
        <f t="shared" ca="1" si="61"/>
        <v>5.1688688068212807E-2</v>
      </c>
      <c r="CD64" s="9">
        <f t="shared" ca="1" si="61"/>
        <v>6.0146941109366914E-3</v>
      </c>
      <c r="CE64" s="9">
        <f t="shared" ca="1" si="61"/>
        <v>2.2620484055807744E-2</v>
      </c>
      <c r="CF64" s="9">
        <f t="shared" ca="1" si="61"/>
        <v>3.0412553915953211E-2</v>
      </c>
      <c r="CG64" s="9">
        <f t="shared" ca="1" si="61"/>
        <v>1.1003928751173175E-3</v>
      </c>
      <c r="CH64" s="9">
        <f t="shared" ca="1" si="61"/>
        <v>5.4990866420683959E-2</v>
      </c>
      <c r="CI64" s="9">
        <f t="shared" ca="1" si="61"/>
        <v>5.8202191910664558E-3</v>
      </c>
      <c r="CJ64" s="9">
        <f t="shared" ca="1" si="61"/>
        <v>1.9338964244032253E-3</v>
      </c>
      <c r="CK64" s="9">
        <f t="shared" ca="1" si="61"/>
        <v>1.0841043543243778E-3</v>
      </c>
      <c r="CL64" s="9">
        <f t="shared" ca="1" si="61"/>
        <v>2.072631025959526E-2</v>
      </c>
      <c r="CM64" s="9">
        <f t="shared" ca="1" si="61"/>
        <v>4.8010156938792847E-2</v>
      </c>
      <c r="CN64" s="9">
        <f t="shared" ca="1" si="61"/>
        <v>6.3712192224611219E-2</v>
      </c>
      <c r="CO64" s="9">
        <f t="shared" ca="1" si="61"/>
        <v>7.9286248725401687E-2</v>
      </c>
      <c r="CP64" s="9">
        <f t="shared" ca="1" si="61"/>
        <v>6.988156189865069E-2</v>
      </c>
      <c r="CQ64" s="9">
        <f t="shared" ca="1" si="61"/>
        <v>2.516539824305597E-2</v>
      </c>
      <c r="CR64" s="9">
        <f t="shared" ca="1" si="61"/>
        <v>1.2964324447651165E-2</v>
      </c>
      <c r="CS64" s="9">
        <f t="shared" ca="1" si="61"/>
        <v>1.1575043040336963E-2</v>
      </c>
      <c r="CT64" s="9">
        <f t="shared" ca="1" si="61"/>
        <v>2.8386070630546767E-2</v>
      </c>
      <c r="CU64" s="9">
        <f t="shared" ca="1" si="61"/>
        <v>8.7283122122494561E-4</v>
      </c>
      <c r="CV64" s="9">
        <f t="shared" ca="1" si="61"/>
        <v>2.1219612590010595E-2</v>
      </c>
      <c r="CW64" s="9">
        <f t="shared" ca="1" si="61"/>
        <v>1.19609443559201E-2</v>
      </c>
      <c r="CX64" s="9">
        <f t="shared" ca="1" si="61"/>
        <v>4.2857799437030053E-2</v>
      </c>
      <c r="CY64" s="9">
        <f t="shared" ca="1" si="61"/>
        <v>4.4146388753931953E-2</v>
      </c>
      <c r="CZ64" s="9">
        <f t="shared" ca="1" si="61"/>
        <v>1.2679963166648545E-2</v>
      </c>
      <c r="DA64" s="9">
        <f t="shared" ca="1" si="61"/>
        <v>3.8747886963202527E-2</v>
      </c>
      <c r="DB64" s="9">
        <f t="shared" ca="1" si="61"/>
        <v>2.2454451548199472E-2</v>
      </c>
      <c r="DC64" s="9">
        <f t="shared" ca="1" si="61"/>
        <v>3.654888647212573E-2</v>
      </c>
      <c r="DD64" s="9">
        <f t="shared" ca="1" si="61"/>
        <v>6.6692790742451269E-2</v>
      </c>
      <c r="DE64" s="9">
        <f t="shared" ca="1" si="61"/>
        <v>7.0636762034461675E-2</v>
      </c>
      <c r="DF64" s="9">
        <f t="shared" ca="1" si="61"/>
        <v>1.6944896540734167E-2</v>
      </c>
      <c r="DG64" s="9">
        <f t="shared" ca="1" si="61"/>
        <v>2.7368862993152998E-2</v>
      </c>
      <c r="DH64" s="9">
        <f t="shared" ca="1" si="61"/>
        <v>1.2596700558986429E-2</v>
      </c>
      <c r="DI64" s="9">
        <f t="shared" ca="1" si="61"/>
        <v>3.5802890172717872E-2</v>
      </c>
      <c r="DJ64" s="9">
        <f t="shared" ca="1" si="61"/>
        <v>5.7466857702751062E-2</v>
      </c>
      <c r="DK64" s="9">
        <f t="shared" ca="1" si="61"/>
        <v>4.412446679054205E-2</v>
      </c>
      <c r="DL64" s="9">
        <f t="shared" ca="1" si="61"/>
        <v>3.3506418747887734E-2</v>
      </c>
      <c r="DM64" s="9">
        <f t="shared" ca="1" si="61"/>
        <v>3.1844022865664234E-2</v>
      </c>
      <c r="DN64" s="9">
        <f t="shared" ca="1" si="61"/>
        <v>2.9784225204162462E-2</v>
      </c>
      <c r="DO64" s="9">
        <f t="shared" ca="1" si="61"/>
        <v>3.9094057489179157E-2</v>
      </c>
      <c r="DP64" s="9">
        <f t="shared" ca="1" si="61"/>
        <v>5.0122146250603627E-2</v>
      </c>
      <c r="DQ64" s="9">
        <f t="shared" ca="1" si="61"/>
        <v>9.120976237022127E-3</v>
      </c>
      <c r="DR64" s="9">
        <f t="shared" ca="1" si="61"/>
        <v>3.4450805077909763E-2</v>
      </c>
      <c r="DS64" s="9">
        <f t="shared" ca="1" si="61"/>
        <v>1.3487844516416048E-2</v>
      </c>
      <c r="DT64" s="9">
        <f t="shared" ca="1" si="61"/>
        <v>3.6912922671819781E-2</v>
      </c>
      <c r="DU64" s="9">
        <f t="shared" ca="1" si="61"/>
        <v>5.00588579998551E-3</v>
      </c>
      <c r="DV64" s="9">
        <f t="shared" ca="1" si="61"/>
        <v>3.02616316003671E-2</v>
      </c>
      <c r="DW64" s="9">
        <f t="shared" ca="1" si="61"/>
        <v>1.8768286304358339E-2</v>
      </c>
      <c r="DX64" s="9">
        <f t="shared" ca="1" si="61"/>
        <v>7.0812692481156958E-3</v>
      </c>
      <c r="DY64" s="9">
        <f t="shared" ca="1" si="61"/>
        <v>5.0256194972189139E-2</v>
      </c>
      <c r="DZ64" s="9">
        <f t="shared" ref="DZ64:GK64" ca="1" si="62">IF(DZ37="","",ABS(DZ37))</f>
        <v>4.8563288635065538E-2</v>
      </c>
      <c r="EA64" s="9">
        <f t="shared" ca="1" si="62"/>
        <v>5.2617754348066148E-2</v>
      </c>
      <c r="EB64" s="9">
        <f t="shared" ca="1" si="62"/>
        <v>4.8275643936962043E-2</v>
      </c>
      <c r="EC64" s="9">
        <f t="shared" ca="1" si="62"/>
        <v>2.6696201052542001E-2</v>
      </c>
      <c r="ED64" s="9">
        <f t="shared" ca="1" si="62"/>
        <v>1.8489810932357464E-2</v>
      </c>
      <c r="EE64" s="9">
        <f t="shared" ca="1" si="62"/>
        <v>1.8495173605614923E-4</v>
      </c>
      <c r="EF64" s="9">
        <f t="shared" ca="1" si="62"/>
        <v>2.4679352146630418E-2</v>
      </c>
      <c r="EG64" s="9">
        <f t="shared" ca="1" si="62"/>
        <v>2.2588478385132005E-2</v>
      </c>
      <c r="EH64" s="9">
        <f t="shared" ca="1" si="62"/>
        <v>3.1515352820827847E-2</v>
      </c>
      <c r="EI64" s="9">
        <f t="shared" ca="1" si="62"/>
        <v>1.5909815546780615E-2</v>
      </c>
      <c r="EJ64" s="9">
        <f t="shared" ca="1" si="62"/>
        <v>2.2597156122603934E-2</v>
      </c>
      <c r="EK64" s="9">
        <f t="shared" ca="1" si="62"/>
        <v>5.5472395580413725E-3</v>
      </c>
      <c r="EL64" s="9">
        <f t="shared" ca="1" si="62"/>
        <v>1.4120727966597135E-2</v>
      </c>
      <c r="EM64" s="9">
        <f t="shared" ca="1" si="62"/>
        <v>3.3722657807333523E-2</v>
      </c>
      <c r="EN64" s="9">
        <f t="shared" ca="1" si="62"/>
        <v>4.7857089836159217E-2</v>
      </c>
      <c r="EO64" s="9">
        <f t="shared" ca="1" si="62"/>
        <v>2.0044524497145E-2</v>
      </c>
      <c r="EP64" s="9">
        <f t="shared" ca="1" si="62"/>
        <v>2.2399744270670707E-2</v>
      </c>
      <c r="EQ64" s="9">
        <f t="shared" ca="1" si="62"/>
        <v>1.0739069552001546E-2</v>
      </c>
      <c r="ER64" s="9">
        <f t="shared" ca="1" si="62"/>
        <v>8.0561260736249363E-3</v>
      </c>
      <c r="ES64" s="9">
        <f t="shared" ca="1" si="62"/>
        <v>6.7936158711100481E-3</v>
      </c>
      <c r="ET64" s="9">
        <f t="shared" ca="1" si="62"/>
        <v>2.6106583128396865E-2</v>
      </c>
      <c r="EU64" s="9">
        <f t="shared" ca="1" si="62"/>
        <v>2.3964762721936372E-2</v>
      </c>
      <c r="EV64" s="9">
        <f t="shared" ca="1" si="62"/>
        <v>5.8445868664525058E-4</v>
      </c>
      <c r="EW64" s="9">
        <f t="shared" ca="1" si="62"/>
        <v>1.4532833833591496E-4</v>
      </c>
      <c r="EX64" s="9">
        <f t="shared" ca="1" si="62"/>
        <v>2.4916428937725943E-2</v>
      </c>
      <c r="EY64" s="9">
        <f t="shared" ca="1" si="62"/>
        <v>3.5235390000079025E-2</v>
      </c>
      <c r="EZ64" s="9">
        <f t="shared" ca="1" si="62"/>
        <v>7.1069568935959726E-3</v>
      </c>
      <c r="FA64" s="9">
        <f t="shared" ca="1" si="62"/>
        <v>3.5366675076680565E-2</v>
      </c>
      <c r="FB64" s="9">
        <f t="shared" ca="1" si="62"/>
        <v>2.5292661361160262E-2</v>
      </c>
      <c r="FC64" s="9">
        <f t="shared" ca="1" si="62"/>
        <v>3.0338922551224279E-2</v>
      </c>
      <c r="FD64" s="9">
        <f t="shared" ca="1" si="62"/>
        <v>3.2850090535792131E-2</v>
      </c>
      <c r="FE64" s="9">
        <f t="shared" ca="1" si="62"/>
        <v>3.671204093077074E-2</v>
      </c>
      <c r="FF64" s="9">
        <f t="shared" ca="1" si="62"/>
        <v>6.7316476599629249E-2</v>
      </c>
      <c r="FG64" s="9">
        <f t="shared" ca="1" si="62"/>
        <v>4.8891027444910251E-2</v>
      </c>
      <c r="FH64" s="9">
        <f t="shared" ca="1" si="62"/>
        <v>1.6675745776642215E-2</v>
      </c>
      <c r="FI64" s="9">
        <f t="shared" ca="1" si="62"/>
        <v>3.5173496842773933E-2</v>
      </c>
      <c r="FJ64" s="9">
        <f t="shared" ca="1" si="62"/>
        <v>5.0030046901770486E-2</v>
      </c>
      <c r="FK64" s="9">
        <f t="shared" ca="1" si="62"/>
        <v>2.7327664066393753E-2</v>
      </c>
      <c r="FL64" s="9">
        <f t="shared" ca="1" si="62"/>
        <v>8.2005299008174326E-3</v>
      </c>
      <c r="FM64" s="9">
        <f t="shared" ca="1" si="62"/>
        <v>9.9575721773812464E-3</v>
      </c>
      <c r="FN64" s="9">
        <f t="shared" ca="1" si="62"/>
        <v>1.0919623794356959E-2</v>
      </c>
      <c r="FO64" s="9">
        <f t="shared" ca="1" si="62"/>
        <v>2.2759707072460778E-2</v>
      </c>
      <c r="FP64" s="9">
        <f t="shared" ca="1" si="62"/>
        <v>2.4816805258434438E-2</v>
      </c>
      <c r="FQ64" s="9">
        <f t="shared" ca="1" si="62"/>
        <v>1.7043780311073564E-2</v>
      </c>
      <c r="FR64" s="9">
        <f t="shared" ca="1" si="62"/>
        <v>1.1925295163908167E-3</v>
      </c>
      <c r="FS64" s="9">
        <f t="shared" ca="1" si="62"/>
        <v>1.771249411539122E-2</v>
      </c>
      <c r="FT64" s="9">
        <f t="shared" ca="1" si="62"/>
        <v>1.9226811535955513E-2</v>
      </c>
      <c r="FU64" s="9">
        <f t="shared" ca="1" si="62"/>
        <v>2.4716072113228904E-2</v>
      </c>
      <c r="FV64" s="9">
        <f t="shared" ca="1" si="62"/>
        <v>3.0100079917722233E-2</v>
      </c>
      <c r="FW64" s="9">
        <f t="shared" ca="1" si="62"/>
        <v>1.6015723066054699E-2</v>
      </c>
      <c r="FX64" s="9">
        <f t="shared" ca="1" si="62"/>
        <v>1.4845060434333313E-2</v>
      </c>
      <c r="FY64" s="9">
        <f t="shared" ca="1" si="62"/>
        <v>4.1697095253825256E-2</v>
      </c>
      <c r="FZ64" s="9">
        <f t="shared" ca="1" si="62"/>
        <v>3.0994768877556922E-2</v>
      </c>
      <c r="GA64" s="9">
        <f t="shared" ca="1" si="62"/>
        <v>2.3045840568264309E-2</v>
      </c>
      <c r="GB64" s="9">
        <f t="shared" ca="1" si="62"/>
        <v>3.7557192926656047E-2</v>
      </c>
      <c r="GC64" s="9">
        <f t="shared" ca="1" si="62"/>
        <v>3.8258169829495037E-2</v>
      </c>
      <c r="GD64" s="9">
        <f t="shared" ca="1" si="62"/>
        <v>3.6456974539000764E-2</v>
      </c>
      <c r="GE64" s="9">
        <f t="shared" ca="1" si="62"/>
        <v>3.7265758474823163E-2</v>
      </c>
      <c r="GF64" s="9">
        <f t="shared" ca="1" si="62"/>
        <v>2.5921956580901018E-3</v>
      </c>
      <c r="GG64" s="9">
        <f t="shared" ca="1" si="62"/>
        <v>7.8891893781286804E-2</v>
      </c>
      <c r="GH64" s="9">
        <f t="shared" ca="1" si="62"/>
        <v>0.16825882799507941</v>
      </c>
      <c r="GI64" s="9">
        <f t="shared" ca="1" si="62"/>
        <v>0.20872334576273088</v>
      </c>
      <c r="GJ64" s="9">
        <f t="shared" ca="1" si="62"/>
        <v>0.19378550927339355</v>
      </c>
      <c r="GK64" s="9">
        <f t="shared" ca="1" si="62"/>
        <v>0.19686606870375811</v>
      </c>
      <c r="GL64" s="9">
        <f t="shared" ref="GL64:IW64" ca="1" si="63">IF(GL37="","",ABS(GL37))</f>
        <v>0.19320752751071968</v>
      </c>
      <c r="GM64" s="9">
        <f t="shared" ca="1" si="63"/>
        <v>0.18346904126217867</v>
      </c>
      <c r="GN64" s="9">
        <f t="shared" ca="1" si="63"/>
        <v>0.19539725099357386</v>
      </c>
      <c r="GO64" s="9">
        <f t="shared" ca="1" si="63"/>
        <v>1.9130417113517817E-2</v>
      </c>
      <c r="GP64" s="9">
        <f t="shared" ca="1" si="63"/>
        <v>0.26734948100918876</v>
      </c>
      <c r="GQ64" s="9">
        <f t="shared" ca="1" si="63"/>
        <v>0.17239454027155121</v>
      </c>
      <c r="GR64" s="9" t="str">
        <f t="shared" ca="1" si="63"/>
        <v/>
      </c>
      <c r="GS64" s="9" t="str">
        <f t="shared" ca="1" si="63"/>
        <v/>
      </c>
      <c r="GT64" s="9" t="str">
        <f t="shared" ca="1" si="63"/>
        <v/>
      </c>
      <c r="GU64" s="9" t="str">
        <f t="shared" ca="1" si="63"/>
        <v/>
      </c>
      <c r="GV64" s="9" t="str">
        <f t="shared" ca="1" si="63"/>
        <v/>
      </c>
      <c r="GW64" s="9" t="str">
        <f t="shared" ca="1" si="63"/>
        <v/>
      </c>
      <c r="GX64" s="9" t="str">
        <f t="shared" ca="1" si="63"/>
        <v/>
      </c>
      <c r="GY64" s="9" t="str">
        <f t="shared" ca="1" si="63"/>
        <v/>
      </c>
      <c r="GZ64" s="9" t="str">
        <f t="shared" ca="1" si="63"/>
        <v/>
      </c>
      <c r="HA64" s="9" t="str">
        <f t="shared" ca="1" si="63"/>
        <v/>
      </c>
      <c r="HB64" s="9" t="str">
        <f t="shared" ca="1" si="63"/>
        <v/>
      </c>
      <c r="HC64" s="9" t="str">
        <f t="shared" ca="1" si="63"/>
        <v/>
      </c>
      <c r="HD64" s="9" t="str">
        <f t="shared" ca="1" si="63"/>
        <v/>
      </c>
      <c r="HE64" s="9" t="str">
        <f t="shared" ca="1" si="63"/>
        <v/>
      </c>
      <c r="HF64" s="9" t="str">
        <f t="shared" ca="1" si="63"/>
        <v/>
      </c>
      <c r="HG64" s="9" t="str">
        <f t="shared" ca="1" si="63"/>
        <v/>
      </c>
      <c r="HH64" s="9" t="str">
        <f t="shared" ca="1" si="63"/>
        <v/>
      </c>
      <c r="HI64" s="9" t="str">
        <f t="shared" ca="1" si="63"/>
        <v/>
      </c>
      <c r="HJ64" s="9" t="str">
        <f t="shared" ca="1" si="63"/>
        <v/>
      </c>
      <c r="HK64" s="9" t="str">
        <f t="shared" ca="1" si="63"/>
        <v/>
      </c>
      <c r="HL64" s="9" t="str">
        <f t="shared" ca="1" si="63"/>
        <v/>
      </c>
      <c r="HM64" s="9" t="str">
        <f t="shared" ca="1" si="63"/>
        <v/>
      </c>
      <c r="HN64" s="9" t="str">
        <f t="shared" ca="1" si="63"/>
        <v/>
      </c>
      <c r="HO64" s="9" t="str">
        <f t="shared" ca="1" si="63"/>
        <v/>
      </c>
      <c r="HP64" s="9" t="str">
        <f t="shared" ca="1" si="63"/>
        <v/>
      </c>
      <c r="HQ64" s="9" t="str">
        <f t="shared" ca="1" si="63"/>
        <v/>
      </c>
      <c r="HR64" s="9" t="str">
        <f t="shared" ca="1" si="63"/>
        <v/>
      </c>
      <c r="HS64" s="9" t="str">
        <f t="shared" ca="1" si="63"/>
        <v/>
      </c>
      <c r="HT64" s="9" t="str">
        <f t="shared" ca="1" si="63"/>
        <v/>
      </c>
      <c r="HU64" s="9" t="str">
        <f t="shared" ca="1" si="63"/>
        <v/>
      </c>
      <c r="HV64" s="9" t="str">
        <f t="shared" ca="1" si="63"/>
        <v/>
      </c>
      <c r="HW64" s="9" t="str">
        <f t="shared" ca="1" si="63"/>
        <v/>
      </c>
      <c r="HX64" s="9" t="str">
        <f t="shared" ca="1" si="63"/>
        <v/>
      </c>
      <c r="HY64" s="9" t="str">
        <f t="shared" ca="1" si="63"/>
        <v/>
      </c>
      <c r="HZ64" s="9" t="str">
        <f t="shared" ca="1" si="63"/>
        <v/>
      </c>
      <c r="IA64" s="9" t="str">
        <f t="shared" ca="1" si="63"/>
        <v/>
      </c>
      <c r="IB64" s="9" t="str">
        <f t="shared" ca="1" si="63"/>
        <v/>
      </c>
      <c r="IC64" s="9" t="str">
        <f t="shared" ca="1" si="63"/>
        <v/>
      </c>
      <c r="ID64" s="9" t="str">
        <f t="shared" ca="1" si="63"/>
        <v/>
      </c>
      <c r="IE64" s="9" t="str">
        <f t="shared" ca="1" si="63"/>
        <v/>
      </c>
      <c r="IF64" s="9" t="str">
        <f t="shared" ca="1" si="63"/>
        <v/>
      </c>
      <c r="IG64" s="9" t="str">
        <f t="shared" ca="1" si="63"/>
        <v/>
      </c>
      <c r="IH64" s="9" t="str">
        <f t="shared" ca="1" si="63"/>
        <v/>
      </c>
      <c r="II64" s="9" t="str">
        <f t="shared" ca="1" si="63"/>
        <v/>
      </c>
      <c r="IJ64" s="9" t="str">
        <f t="shared" ca="1" si="63"/>
        <v/>
      </c>
      <c r="IK64" s="9" t="str">
        <f t="shared" ca="1" si="63"/>
        <v/>
      </c>
      <c r="IL64" s="9" t="str">
        <f t="shared" ca="1" si="63"/>
        <v/>
      </c>
      <c r="IM64" s="9" t="str">
        <f t="shared" ca="1" si="63"/>
        <v/>
      </c>
      <c r="IN64" s="9" t="str">
        <f t="shared" ca="1" si="63"/>
        <v/>
      </c>
      <c r="IO64" s="9" t="str">
        <f t="shared" ca="1" si="63"/>
        <v/>
      </c>
      <c r="IP64" s="9" t="str">
        <f t="shared" ca="1" si="63"/>
        <v/>
      </c>
      <c r="IQ64" s="9" t="str">
        <f t="shared" ca="1" si="63"/>
        <v/>
      </c>
      <c r="IR64" s="9" t="str">
        <f t="shared" ca="1" si="63"/>
        <v/>
      </c>
      <c r="IS64" s="9" t="str">
        <f t="shared" ca="1" si="63"/>
        <v/>
      </c>
      <c r="IT64" s="9" t="str">
        <f t="shared" ca="1" si="63"/>
        <v/>
      </c>
      <c r="IU64" s="9" t="str">
        <f t="shared" ca="1" si="63"/>
        <v/>
      </c>
      <c r="IV64" s="9" t="str">
        <f t="shared" ca="1" si="63"/>
        <v/>
      </c>
      <c r="IW64" s="9" t="str">
        <f t="shared" ca="1" si="63"/>
        <v/>
      </c>
      <c r="IX64" s="9" t="str">
        <f t="shared" ref="IX64:JH64" ca="1" si="64">IF(IX37="","",ABS(IX37))</f>
        <v/>
      </c>
      <c r="IY64" s="9" t="str">
        <f t="shared" ca="1" si="64"/>
        <v/>
      </c>
      <c r="IZ64" s="9" t="str">
        <f t="shared" ca="1" si="64"/>
        <v/>
      </c>
      <c r="JA64" s="9" t="str">
        <f t="shared" ca="1" si="64"/>
        <v/>
      </c>
      <c r="JB64" s="9" t="str">
        <f t="shared" ca="1" si="64"/>
        <v/>
      </c>
      <c r="JC64" s="9" t="str">
        <f t="shared" ca="1" si="64"/>
        <v/>
      </c>
      <c r="JD64" s="9" t="str">
        <f t="shared" ca="1" si="64"/>
        <v/>
      </c>
      <c r="JE64" s="9" t="str">
        <f t="shared" ca="1" si="64"/>
        <v/>
      </c>
      <c r="JF64" s="9" t="str">
        <f t="shared" ca="1" si="64"/>
        <v/>
      </c>
      <c r="JG64" s="9" t="str">
        <f t="shared" ca="1" si="64"/>
        <v/>
      </c>
      <c r="JH64" s="9" t="str">
        <f t="shared" ca="1" si="64"/>
        <v/>
      </c>
      <c r="JI64" s="13">
        <f t="shared" ca="1" si="24"/>
        <v>8.3933127807957059E-2</v>
      </c>
      <c r="JJ64" s="13">
        <f t="shared" ca="1" si="25"/>
        <v>3.7265758474823163E-2</v>
      </c>
      <c r="JK64" s="14">
        <f t="shared" ca="1" si="26"/>
        <v>6.9159528681321681E-3</v>
      </c>
      <c r="JL64" s="17">
        <f t="shared" ca="1" si="34"/>
        <v>8.3162208172535723E-2</v>
      </c>
      <c r="JM64" s="15" t="str">
        <f t="shared" ca="1" si="27"/>
        <v>[ -8,24% ; 25,03% ]</v>
      </c>
      <c r="JN64" s="17">
        <f t="shared" ca="1" si="28"/>
        <v>0.10644762646084573</v>
      </c>
      <c r="LY64" s="1"/>
    </row>
    <row r="65" spans="1:337" x14ac:dyDescent="0.25">
      <c r="A65" s="4">
        <v>9</v>
      </c>
      <c r="B65" s="9">
        <f t="shared" ref="B65:BM65" ca="1" si="65">IF(B38="","",ABS(B38))</f>
        <v>4.3177727603744165E-2</v>
      </c>
      <c r="C65" s="9">
        <f t="shared" ca="1" si="65"/>
        <v>4.8519227593687653E-2</v>
      </c>
      <c r="D65" s="9">
        <f t="shared" ca="1" si="65"/>
        <v>2.9810247317672234E-2</v>
      </c>
      <c r="E65" s="9">
        <f t="shared" ca="1" si="65"/>
        <v>4.2263478110051489E-2</v>
      </c>
      <c r="F65" s="9">
        <f t="shared" ca="1" si="65"/>
        <v>4.3951710490439666E-2</v>
      </c>
      <c r="G65" s="9">
        <f t="shared" ca="1" si="65"/>
        <v>4.9697224472585955E-2</v>
      </c>
      <c r="H65" s="9">
        <f t="shared" ca="1" si="65"/>
        <v>3.9920832969321918E-2</v>
      </c>
      <c r="I65" s="9">
        <f t="shared" ca="1" si="65"/>
        <v>4.2281296355221709E-2</v>
      </c>
      <c r="J65" s="9">
        <f t="shared" ca="1" si="65"/>
        <v>5.8602444130233966E-2</v>
      </c>
      <c r="K65" s="9">
        <f t="shared" ca="1" si="65"/>
        <v>4.2243685676361276E-2</v>
      </c>
      <c r="L65" s="9">
        <f t="shared" ca="1" si="65"/>
        <v>1.3060732711039469E-2</v>
      </c>
      <c r="M65" s="9">
        <f t="shared" ca="1" si="65"/>
        <v>3.2025299644544702E-4</v>
      </c>
      <c r="N65" s="9">
        <f t="shared" ca="1" si="65"/>
        <v>1.2205283885879492E-2</v>
      </c>
      <c r="O65" s="9">
        <f t="shared" ca="1" si="65"/>
        <v>1.8515531651180028E-2</v>
      </c>
      <c r="P65" s="9">
        <f t="shared" ca="1" si="65"/>
        <v>2.5289378581475064E-2</v>
      </c>
      <c r="Q65" s="9">
        <f t="shared" ca="1" si="65"/>
        <v>1.0212599452402604E-2</v>
      </c>
      <c r="R65" s="9">
        <f t="shared" ca="1" si="65"/>
        <v>5.4771914615994177E-3</v>
      </c>
      <c r="S65" s="9">
        <f t="shared" ca="1" si="65"/>
        <v>2.4752531361662333E-2</v>
      </c>
      <c r="T65" s="9">
        <f t="shared" ca="1" si="65"/>
        <v>3.2643767184796002E-2</v>
      </c>
      <c r="U65" s="9">
        <f t="shared" ca="1" si="65"/>
        <v>6.2525774305188797E-4</v>
      </c>
      <c r="V65" s="9">
        <f t="shared" ca="1" si="65"/>
        <v>1.9244733176288831E-2</v>
      </c>
      <c r="W65" s="9">
        <f t="shared" ca="1" si="65"/>
        <v>1.7374559554036884E-2</v>
      </c>
      <c r="X65" s="9">
        <f t="shared" ca="1" si="65"/>
        <v>1.0453258962445311E-2</v>
      </c>
      <c r="Y65" s="9">
        <f t="shared" ca="1" si="65"/>
        <v>6.6208711279427401E-3</v>
      </c>
      <c r="Z65" s="9">
        <f t="shared" ca="1" si="65"/>
        <v>1.8638136547149076E-2</v>
      </c>
      <c r="AA65" s="9">
        <f t="shared" ca="1" si="65"/>
        <v>2.8927352407337903E-2</v>
      </c>
      <c r="AB65" s="9">
        <f t="shared" ca="1" si="65"/>
        <v>3.6446064461649552E-2</v>
      </c>
      <c r="AC65" s="9">
        <f t="shared" ca="1" si="65"/>
        <v>4.5612451009426236E-2</v>
      </c>
      <c r="AD65" s="9">
        <f t="shared" ca="1" si="65"/>
        <v>3.0973791274940821E-2</v>
      </c>
      <c r="AE65" s="9">
        <f t="shared" ca="1" si="65"/>
        <v>3.1291760215121256E-2</v>
      </c>
      <c r="AF65" s="9">
        <f t="shared" ca="1" si="65"/>
        <v>2.350813553490072E-2</v>
      </c>
      <c r="AG65" s="9">
        <f t="shared" ca="1" si="65"/>
        <v>2.0601308880423108E-2</v>
      </c>
      <c r="AH65" s="9">
        <f t="shared" ca="1" si="65"/>
        <v>9.0991546224288289E-3</v>
      </c>
      <c r="AI65" s="9">
        <f t="shared" ca="1" si="65"/>
        <v>1.2458603896318032E-2</v>
      </c>
      <c r="AJ65" s="9">
        <f t="shared" ca="1" si="65"/>
        <v>3.7618194715187903E-2</v>
      </c>
      <c r="AK65" s="9">
        <f t="shared" ca="1" si="65"/>
        <v>6.4906823371262301E-2</v>
      </c>
      <c r="AL65" s="9">
        <f t="shared" ca="1" si="65"/>
        <v>6.5462823623195998E-2</v>
      </c>
      <c r="AM65" s="9">
        <f t="shared" ca="1" si="65"/>
        <v>6.9177313122491202E-2</v>
      </c>
      <c r="AN65" s="9">
        <f t="shared" ca="1" si="65"/>
        <v>7.0858343079570507E-2</v>
      </c>
      <c r="AO65" s="9">
        <f t="shared" ca="1" si="65"/>
        <v>7.1836809332118778E-2</v>
      </c>
      <c r="AP65" s="9">
        <f t="shared" ca="1" si="65"/>
        <v>8.7850387496535842E-2</v>
      </c>
      <c r="AQ65" s="9">
        <f t="shared" ca="1" si="65"/>
        <v>9.3423016241538925E-2</v>
      </c>
      <c r="AR65" s="9">
        <f t="shared" ca="1" si="65"/>
        <v>8.6629890847430335E-2</v>
      </c>
      <c r="AS65" s="9">
        <f t="shared" ca="1" si="65"/>
        <v>0.11231132284474632</v>
      </c>
      <c r="AT65" s="9">
        <f t="shared" ca="1" si="65"/>
        <v>0.13225332995530292</v>
      </c>
      <c r="AU65" s="9">
        <f t="shared" ca="1" si="65"/>
        <v>0.16380932949863058</v>
      </c>
      <c r="AV65" s="9">
        <f t="shared" ca="1" si="65"/>
        <v>0.18152198071128056</v>
      </c>
      <c r="AW65" s="9">
        <f t="shared" ca="1" si="65"/>
        <v>0.20037828332275254</v>
      </c>
      <c r="AX65" s="9">
        <f t="shared" ca="1" si="65"/>
        <v>0.21951382333212566</v>
      </c>
      <c r="AY65" s="9">
        <f t="shared" ca="1" si="65"/>
        <v>0.23773796565221195</v>
      </c>
      <c r="AZ65" s="9">
        <f t="shared" ca="1" si="65"/>
        <v>0.22140920126271346</v>
      </c>
      <c r="BA65" s="9">
        <f t="shared" ca="1" si="65"/>
        <v>0.26040625593586386</v>
      </c>
      <c r="BB65" s="9">
        <f t="shared" ca="1" si="65"/>
        <v>0.18249121380410094</v>
      </c>
      <c r="BC65" s="9">
        <f t="shared" ca="1" si="65"/>
        <v>0.14526363178234769</v>
      </c>
      <c r="BD65" s="9">
        <f t="shared" ca="1" si="65"/>
        <v>0.19359531686196763</v>
      </c>
      <c r="BE65" s="9">
        <f t="shared" ca="1" si="65"/>
        <v>0.17798788691666512</v>
      </c>
      <c r="BF65" s="9">
        <f t="shared" ca="1" si="65"/>
        <v>0.13260304223978958</v>
      </c>
      <c r="BG65" s="9">
        <f t="shared" ca="1" si="65"/>
        <v>8.1716380681512435E-2</v>
      </c>
      <c r="BH65" s="9">
        <f t="shared" ca="1" si="65"/>
        <v>8.6686062361367444E-3</v>
      </c>
      <c r="BI65" s="9">
        <f t="shared" ca="1" si="65"/>
        <v>9.8642904883986748E-2</v>
      </c>
      <c r="BJ65" s="9">
        <f t="shared" ca="1" si="65"/>
        <v>0.14075575607632151</v>
      </c>
      <c r="BK65" s="9">
        <f t="shared" ca="1" si="65"/>
        <v>0.16135726984231558</v>
      </c>
      <c r="BL65" s="9">
        <f t="shared" ca="1" si="65"/>
        <v>0.22626840347090127</v>
      </c>
      <c r="BM65" s="9">
        <f t="shared" ca="1" si="65"/>
        <v>0.26849070374764938</v>
      </c>
      <c r="BN65" s="9">
        <f t="shared" ref="BN65:DY65" ca="1" si="66">IF(BN38="","",ABS(BN38))</f>
        <v>0.21637793802879712</v>
      </c>
      <c r="BO65" s="9">
        <f t="shared" ca="1" si="66"/>
        <v>0.15477066889315472</v>
      </c>
      <c r="BP65" s="9">
        <f t="shared" ca="1" si="66"/>
        <v>7.2615817662049498E-2</v>
      </c>
      <c r="BQ65" s="9">
        <f t="shared" ca="1" si="66"/>
        <v>1.342359560892048E-2</v>
      </c>
      <c r="BR65" s="9">
        <f t="shared" ca="1" si="66"/>
        <v>8.7270456331500768E-3</v>
      </c>
      <c r="BS65" s="9">
        <f t="shared" ca="1" si="66"/>
        <v>7.0696480723761779E-2</v>
      </c>
      <c r="BT65" s="9">
        <f t="shared" ca="1" si="66"/>
        <v>6.4680104142238681E-2</v>
      </c>
      <c r="BU65" s="9">
        <f t="shared" ca="1" si="66"/>
        <v>8.5914727288891601E-3</v>
      </c>
      <c r="BV65" s="9">
        <f t="shared" ca="1" si="66"/>
        <v>1.1451786906373052E-2</v>
      </c>
      <c r="BW65" s="9">
        <f t="shared" ca="1" si="66"/>
        <v>4.9821382855183005E-2</v>
      </c>
      <c r="BX65" s="9">
        <f t="shared" ca="1" si="66"/>
        <v>8.5786179631293313E-2</v>
      </c>
      <c r="BY65" s="9">
        <f t="shared" ca="1" si="66"/>
        <v>0.10809185186782466</v>
      </c>
      <c r="BZ65" s="9">
        <f t="shared" ca="1" si="66"/>
        <v>8.1918393151474422E-2</v>
      </c>
      <c r="CA65" s="9">
        <f t="shared" ca="1" si="66"/>
        <v>3.1010817786821576E-2</v>
      </c>
      <c r="CB65" s="9">
        <f t="shared" ca="1" si="66"/>
        <v>2.5508800376835561E-2</v>
      </c>
      <c r="CC65" s="9">
        <f t="shared" ca="1" si="66"/>
        <v>5.2962176254548687E-2</v>
      </c>
      <c r="CD65" s="9">
        <f t="shared" ca="1" si="66"/>
        <v>1.0203211846675719E-2</v>
      </c>
      <c r="CE65" s="9">
        <f t="shared" ca="1" si="66"/>
        <v>3.0199115887349803E-2</v>
      </c>
      <c r="CF65" s="9">
        <f t="shared" ca="1" si="66"/>
        <v>3.3017348775228106E-2</v>
      </c>
      <c r="CG65" s="9">
        <f t="shared" ca="1" si="66"/>
        <v>1.3993009472769158E-3</v>
      </c>
      <c r="CH65" s="9">
        <f t="shared" ca="1" si="66"/>
        <v>7.4837985800429108E-2</v>
      </c>
      <c r="CI65" s="9">
        <f t="shared" ca="1" si="66"/>
        <v>2.174520031159799E-2</v>
      </c>
      <c r="CJ65" s="9">
        <f t="shared" ca="1" si="66"/>
        <v>1.6187544692202183E-3</v>
      </c>
      <c r="CK65" s="9">
        <f t="shared" ca="1" si="66"/>
        <v>1.3197188360477563E-2</v>
      </c>
      <c r="CL65" s="9">
        <f t="shared" ca="1" si="66"/>
        <v>4.1049421318395507E-2</v>
      </c>
      <c r="CM65" s="9">
        <f t="shared" ca="1" si="66"/>
        <v>6.0529752628875499E-2</v>
      </c>
      <c r="CN65" s="9">
        <f t="shared" ca="1" si="66"/>
        <v>6.8179549541546036E-2</v>
      </c>
      <c r="CO65" s="9">
        <f t="shared" ca="1" si="66"/>
        <v>8.7175576862907889E-2</v>
      </c>
      <c r="CP65" s="9">
        <f t="shared" ca="1" si="66"/>
        <v>8.3762764340805762E-2</v>
      </c>
      <c r="CQ65" s="9">
        <f t="shared" ca="1" si="66"/>
        <v>1.4585197656127535E-2</v>
      </c>
      <c r="CR65" s="9">
        <f t="shared" ca="1" si="66"/>
        <v>1.4907097041911621E-2</v>
      </c>
      <c r="CS65" s="9">
        <f t="shared" ca="1" si="66"/>
        <v>6.8100032278145539E-3</v>
      </c>
      <c r="CT65" s="9">
        <f t="shared" ca="1" si="66"/>
        <v>3.1860386921977124E-2</v>
      </c>
      <c r="CU65" s="9">
        <f t="shared" ca="1" si="66"/>
        <v>7.3330903748181075E-4</v>
      </c>
      <c r="CV65" s="9">
        <f t="shared" ca="1" si="66"/>
        <v>2.4795852461757972E-2</v>
      </c>
      <c r="CW65" s="9">
        <f t="shared" ca="1" si="66"/>
        <v>3.6660715073030259E-2</v>
      </c>
      <c r="CX65" s="9">
        <f t="shared" ca="1" si="66"/>
        <v>4.2893122673801631E-2</v>
      </c>
      <c r="CY65" s="9">
        <f t="shared" ca="1" si="66"/>
        <v>4.8383655626565769E-2</v>
      </c>
      <c r="CZ65" s="9">
        <f t="shared" ca="1" si="66"/>
        <v>2.0000440168080891E-2</v>
      </c>
      <c r="DA65" s="9">
        <f t="shared" ca="1" si="66"/>
        <v>4.0286260632714788E-2</v>
      </c>
      <c r="DB65" s="9">
        <f t="shared" ca="1" si="66"/>
        <v>2.7510806212107886E-2</v>
      </c>
      <c r="DC65" s="9">
        <f t="shared" ca="1" si="66"/>
        <v>4.508093169252736E-2</v>
      </c>
      <c r="DD65" s="9">
        <f t="shared" ca="1" si="66"/>
        <v>7.5843774614229753E-2</v>
      </c>
      <c r="DE65" s="9">
        <f t="shared" ca="1" si="66"/>
        <v>7.6552824022280364E-2</v>
      </c>
      <c r="DF65" s="9">
        <f t="shared" ca="1" si="66"/>
        <v>1.8693210268293514E-2</v>
      </c>
      <c r="DG65" s="9">
        <f t="shared" ca="1" si="66"/>
        <v>2.4643885878106397E-2</v>
      </c>
      <c r="DH65" s="9">
        <f t="shared" ca="1" si="66"/>
        <v>2.9482663932495656E-2</v>
      </c>
      <c r="DI65" s="9">
        <f t="shared" ca="1" si="66"/>
        <v>5.6600241557974496E-2</v>
      </c>
      <c r="DJ65" s="9">
        <f t="shared" ca="1" si="66"/>
        <v>5.7437299716182499E-2</v>
      </c>
      <c r="DK65" s="9">
        <f t="shared" ca="1" si="66"/>
        <v>5.3185267997015062E-2</v>
      </c>
      <c r="DL65" s="9">
        <f t="shared" ca="1" si="66"/>
        <v>3.4233351079877128E-2</v>
      </c>
      <c r="DM65" s="9">
        <f t="shared" ca="1" si="66"/>
        <v>3.3530089816449005E-2</v>
      </c>
      <c r="DN65" s="9">
        <f t="shared" ca="1" si="66"/>
        <v>3.6205123294070329E-2</v>
      </c>
      <c r="DO65" s="9">
        <f t="shared" ca="1" si="66"/>
        <v>4.388811567246198E-2</v>
      </c>
      <c r="DP65" s="9">
        <f t="shared" ca="1" si="66"/>
        <v>4.3075117766424587E-2</v>
      </c>
      <c r="DQ65" s="9">
        <f t="shared" ca="1" si="66"/>
        <v>1.0442825798913535E-2</v>
      </c>
      <c r="DR65" s="9">
        <f t="shared" ca="1" si="66"/>
        <v>4.1476547073439396E-2</v>
      </c>
      <c r="DS65" s="9">
        <f t="shared" ca="1" si="66"/>
        <v>2.0978234715289368E-2</v>
      </c>
      <c r="DT65" s="9">
        <f t="shared" ca="1" si="66"/>
        <v>2.596368121757231E-2</v>
      </c>
      <c r="DU65" s="9">
        <f t="shared" ca="1" si="66"/>
        <v>1.3782671053979012E-3</v>
      </c>
      <c r="DV65" s="9">
        <f t="shared" ca="1" si="66"/>
        <v>2.6611339907252063E-2</v>
      </c>
      <c r="DW65" s="9">
        <f t="shared" ca="1" si="66"/>
        <v>1.2514018244751401E-2</v>
      </c>
      <c r="DX65" s="9">
        <f t="shared" ca="1" si="66"/>
        <v>9.1899966931929811E-6</v>
      </c>
      <c r="DY65" s="9">
        <f t="shared" ca="1" si="66"/>
        <v>6.1138657883804237E-2</v>
      </c>
      <c r="DZ65" s="9">
        <f t="shared" ref="DZ65:GK65" ca="1" si="67">IF(DZ38="","",ABS(DZ38))</f>
        <v>5.2274994736968949E-2</v>
      </c>
      <c r="EA65" s="9">
        <f t="shared" ca="1" si="67"/>
        <v>5.3864546495018706E-2</v>
      </c>
      <c r="EB65" s="9">
        <f t="shared" ca="1" si="67"/>
        <v>5.6823531757010048E-2</v>
      </c>
      <c r="EC65" s="9">
        <f t="shared" ca="1" si="67"/>
        <v>2.7927256345660512E-2</v>
      </c>
      <c r="ED65" s="9">
        <f t="shared" ca="1" si="67"/>
        <v>1.4469015619314129E-2</v>
      </c>
      <c r="EE65" s="9">
        <f t="shared" ca="1" si="67"/>
        <v>3.8510033914641584E-3</v>
      </c>
      <c r="EF65" s="9">
        <f t="shared" ca="1" si="67"/>
        <v>1.7798639238196023E-2</v>
      </c>
      <c r="EG65" s="9">
        <f t="shared" ca="1" si="67"/>
        <v>2.2310496535691615E-2</v>
      </c>
      <c r="EH65" s="9">
        <f t="shared" ca="1" si="67"/>
        <v>2.4600335686974506E-2</v>
      </c>
      <c r="EI65" s="9">
        <f t="shared" ca="1" si="67"/>
        <v>1.577820890705639E-2</v>
      </c>
      <c r="EJ65" s="9">
        <f t="shared" ca="1" si="67"/>
        <v>2.671587273864473E-2</v>
      </c>
      <c r="EK65" s="9">
        <f t="shared" ca="1" si="67"/>
        <v>6.2132579485123518E-3</v>
      </c>
      <c r="EL65" s="9">
        <f t="shared" ca="1" si="67"/>
        <v>1.8891847117373572E-2</v>
      </c>
      <c r="EM65" s="9">
        <f t="shared" ca="1" si="67"/>
        <v>4.5462321529449623E-2</v>
      </c>
      <c r="EN65" s="9">
        <f t="shared" ca="1" si="67"/>
        <v>5.5239734937776452E-2</v>
      </c>
      <c r="EO65" s="9">
        <f t="shared" ca="1" si="67"/>
        <v>2.0799971454874999E-2</v>
      </c>
      <c r="EP65" s="9">
        <f t="shared" ca="1" si="67"/>
        <v>2.3555417061896566E-2</v>
      </c>
      <c r="EQ65" s="9">
        <f t="shared" ca="1" si="67"/>
        <v>5.0615983306935286E-3</v>
      </c>
      <c r="ER65" s="9">
        <f t="shared" ca="1" si="67"/>
        <v>3.0200995750339077E-3</v>
      </c>
      <c r="ES65" s="9">
        <f t="shared" ca="1" si="67"/>
        <v>2.3866174885167624E-4</v>
      </c>
      <c r="ET65" s="9">
        <f t="shared" ca="1" si="67"/>
        <v>3.0296407944936821E-2</v>
      </c>
      <c r="EU65" s="9">
        <f t="shared" ca="1" si="67"/>
        <v>2.6982767598608293E-2</v>
      </c>
      <c r="EV65" s="9">
        <f t="shared" ca="1" si="67"/>
        <v>9.8973297310434027E-4</v>
      </c>
      <c r="EW65" s="9">
        <f t="shared" ca="1" si="67"/>
        <v>1.1902168440343086E-2</v>
      </c>
      <c r="EX65" s="9">
        <f t="shared" ca="1" si="67"/>
        <v>2.613823481976052E-2</v>
      </c>
      <c r="EY65" s="9">
        <f t="shared" ca="1" si="67"/>
        <v>3.3264694199450773E-2</v>
      </c>
      <c r="EZ65" s="9">
        <f t="shared" ca="1" si="67"/>
        <v>6.6820853961604421E-3</v>
      </c>
      <c r="FA65" s="9">
        <f t="shared" ca="1" si="67"/>
        <v>2.3575424789652466E-2</v>
      </c>
      <c r="FB65" s="9">
        <f t="shared" ca="1" si="67"/>
        <v>2.9368098712922786E-2</v>
      </c>
      <c r="FC65" s="9">
        <f t="shared" ca="1" si="67"/>
        <v>3.298298231104313E-2</v>
      </c>
      <c r="FD65" s="9">
        <f t="shared" ca="1" si="67"/>
        <v>3.2299917462480399E-2</v>
      </c>
      <c r="FE65" s="9">
        <f t="shared" ca="1" si="67"/>
        <v>4.0667926450760783E-2</v>
      </c>
      <c r="FF65" s="9">
        <f t="shared" ca="1" si="67"/>
        <v>6.6595934511938348E-2</v>
      </c>
      <c r="FG65" s="9">
        <f t="shared" ca="1" si="67"/>
        <v>4.8691351202744482E-2</v>
      </c>
      <c r="FH65" s="9">
        <f t="shared" ca="1" si="67"/>
        <v>1.9631419003441675E-2</v>
      </c>
      <c r="FI65" s="9">
        <f t="shared" ca="1" si="67"/>
        <v>3.5145980519219577E-2</v>
      </c>
      <c r="FJ65" s="9">
        <f t="shared" ca="1" si="67"/>
        <v>4.7850750993326585E-2</v>
      </c>
      <c r="FK65" s="9">
        <f t="shared" ca="1" si="67"/>
        <v>2.9660643699732425E-2</v>
      </c>
      <c r="FL65" s="9">
        <f t="shared" ca="1" si="67"/>
        <v>1.5111602476494124E-3</v>
      </c>
      <c r="FM65" s="9">
        <f t="shared" ca="1" si="67"/>
        <v>1.5286004716677071E-2</v>
      </c>
      <c r="FN65" s="9">
        <f t="shared" ca="1" si="67"/>
        <v>7.8266314293111705E-3</v>
      </c>
      <c r="FO65" s="9">
        <f t="shared" ca="1" si="67"/>
        <v>1.9190046592875487E-2</v>
      </c>
      <c r="FP65" s="9">
        <f t="shared" ca="1" si="67"/>
        <v>2.1362518547919263E-2</v>
      </c>
      <c r="FQ65" s="9">
        <f t="shared" ca="1" si="67"/>
        <v>1.6296260457421607E-2</v>
      </c>
      <c r="FR65" s="9">
        <f t="shared" ca="1" si="67"/>
        <v>2.0362571890376602E-3</v>
      </c>
      <c r="FS65" s="9">
        <f t="shared" ca="1" si="67"/>
        <v>1.7779721036754514E-2</v>
      </c>
      <c r="FT65" s="9">
        <f t="shared" ca="1" si="67"/>
        <v>2.1524265360171269E-2</v>
      </c>
      <c r="FU65" s="9">
        <f t="shared" ca="1" si="67"/>
        <v>2.592150116399905E-2</v>
      </c>
      <c r="FV65" s="9">
        <f t="shared" ca="1" si="67"/>
        <v>3.2933443536706353E-2</v>
      </c>
      <c r="FW65" s="9">
        <f t="shared" ca="1" si="67"/>
        <v>8.1531330818094272E-3</v>
      </c>
      <c r="FX65" s="9">
        <f t="shared" ca="1" si="67"/>
        <v>2.8541098053828651E-2</v>
      </c>
      <c r="FY65" s="9">
        <f t="shared" ca="1" si="67"/>
        <v>4.9348183351858421E-2</v>
      </c>
      <c r="FZ65" s="9">
        <f t="shared" ca="1" si="67"/>
        <v>2.9226761390462208E-2</v>
      </c>
      <c r="GA65" s="9">
        <f t="shared" ca="1" si="67"/>
        <v>3.1352658789666421E-2</v>
      </c>
      <c r="GB65" s="9">
        <f t="shared" ca="1" si="67"/>
        <v>3.8471886470204386E-2</v>
      </c>
      <c r="GC65" s="9">
        <f t="shared" ca="1" si="67"/>
        <v>3.951674220791368E-2</v>
      </c>
      <c r="GD65" s="9">
        <f t="shared" ca="1" si="67"/>
        <v>3.7759112013424523E-2</v>
      </c>
      <c r="GE65" s="9">
        <f t="shared" ca="1" si="67"/>
        <v>3.2916035016875678E-2</v>
      </c>
      <c r="GF65" s="9">
        <f t="shared" ca="1" si="67"/>
        <v>8.8895137034202487E-2</v>
      </c>
      <c r="GG65" s="9">
        <f t="shared" ca="1" si="67"/>
        <v>0.1673967939972606</v>
      </c>
      <c r="GH65" s="9">
        <f t="shared" ca="1" si="67"/>
        <v>0.19237302884820873</v>
      </c>
      <c r="GI65" s="9">
        <f t="shared" ca="1" si="67"/>
        <v>0.22976152740198308</v>
      </c>
      <c r="GJ65" s="9">
        <f t="shared" ca="1" si="67"/>
        <v>0.17986314397997738</v>
      </c>
      <c r="GK65" s="9">
        <f t="shared" ca="1" si="67"/>
        <v>0.19641100995213723</v>
      </c>
      <c r="GL65" s="9">
        <f t="shared" ref="GL65:IW65" ca="1" si="68">IF(GL38="","",ABS(GL38))</f>
        <v>0.17773631232319387</v>
      </c>
      <c r="GM65" s="9">
        <f t="shared" ca="1" si="68"/>
        <v>0.17328474806823324</v>
      </c>
      <c r="GN65" s="9">
        <f t="shared" ca="1" si="68"/>
        <v>0.19582067424940319</v>
      </c>
      <c r="GO65" s="9">
        <f t="shared" ca="1" si="68"/>
        <v>1.5829177602645461E-2</v>
      </c>
      <c r="GP65" s="9">
        <f t="shared" ca="1" si="68"/>
        <v>0.28441215868043068</v>
      </c>
      <c r="GQ65" s="9" t="str">
        <f t="shared" ca="1" si="68"/>
        <v/>
      </c>
      <c r="GR65" s="9" t="str">
        <f t="shared" ca="1" si="68"/>
        <v/>
      </c>
      <c r="GS65" s="9" t="str">
        <f t="shared" ca="1" si="68"/>
        <v/>
      </c>
      <c r="GT65" s="9" t="str">
        <f t="shared" ca="1" si="68"/>
        <v/>
      </c>
      <c r="GU65" s="9" t="str">
        <f t="shared" ca="1" si="68"/>
        <v/>
      </c>
      <c r="GV65" s="9" t="str">
        <f t="shared" ca="1" si="68"/>
        <v/>
      </c>
      <c r="GW65" s="9" t="str">
        <f t="shared" ca="1" si="68"/>
        <v/>
      </c>
      <c r="GX65" s="9" t="str">
        <f t="shared" ca="1" si="68"/>
        <v/>
      </c>
      <c r="GY65" s="9" t="str">
        <f t="shared" ca="1" si="68"/>
        <v/>
      </c>
      <c r="GZ65" s="9" t="str">
        <f t="shared" ca="1" si="68"/>
        <v/>
      </c>
      <c r="HA65" s="9" t="str">
        <f t="shared" ca="1" si="68"/>
        <v/>
      </c>
      <c r="HB65" s="9" t="str">
        <f t="shared" ca="1" si="68"/>
        <v/>
      </c>
      <c r="HC65" s="9" t="str">
        <f t="shared" ca="1" si="68"/>
        <v/>
      </c>
      <c r="HD65" s="9" t="str">
        <f t="shared" ca="1" si="68"/>
        <v/>
      </c>
      <c r="HE65" s="9" t="str">
        <f t="shared" ca="1" si="68"/>
        <v/>
      </c>
      <c r="HF65" s="9" t="str">
        <f t="shared" ca="1" si="68"/>
        <v/>
      </c>
      <c r="HG65" s="9" t="str">
        <f t="shared" ca="1" si="68"/>
        <v/>
      </c>
      <c r="HH65" s="9" t="str">
        <f t="shared" ca="1" si="68"/>
        <v/>
      </c>
      <c r="HI65" s="9" t="str">
        <f t="shared" ca="1" si="68"/>
        <v/>
      </c>
      <c r="HJ65" s="9" t="str">
        <f t="shared" ca="1" si="68"/>
        <v/>
      </c>
      <c r="HK65" s="9" t="str">
        <f t="shared" ca="1" si="68"/>
        <v/>
      </c>
      <c r="HL65" s="9" t="str">
        <f t="shared" ca="1" si="68"/>
        <v/>
      </c>
      <c r="HM65" s="9" t="str">
        <f t="shared" ca="1" si="68"/>
        <v/>
      </c>
      <c r="HN65" s="9" t="str">
        <f t="shared" ca="1" si="68"/>
        <v/>
      </c>
      <c r="HO65" s="9" t="str">
        <f t="shared" ca="1" si="68"/>
        <v/>
      </c>
      <c r="HP65" s="9" t="str">
        <f t="shared" ca="1" si="68"/>
        <v/>
      </c>
      <c r="HQ65" s="9" t="str">
        <f t="shared" ca="1" si="68"/>
        <v/>
      </c>
      <c r="HR65" s="9" t="str">
        <f t="shared" ca="1" si="68"/>
        <v/>
      </c>
      <c r="HS65" s="9" t="str">
        <f t="shared" ca="1" si="68"/>
        <v/>
      </c>
      <c r="HT65" s="9" t="str">
        <f t="shared" ca="1" si="68"/>
        <v/>
      </c>
      <c r="HU65" s="9" t="str">
        <f t="shared" ca="1" si="68"/>
        <v/>
      </c>
      <c r="HV65" s="9" t="str">
        <f t="shared" ca="1" si="68"/>
        <v/>
      </c>
      <c r="HW65" s="9" t="str">
        <f t="shared" ca="1" si="68"/>
        <v/>
      </c>
      <c r="HX65" s="9" t="str">
        <f t="shared" ca="1" si="68"/>
        <v/>
      </c>
      <c r="HY65" s="9" t="str">
        <f t="shared" ca="1" si="68"/>
        <v/>
      </c>
      <c r="HZ65" s="9" t="str">
        <f t="shared" ca="1" si="68"/>
        <v/>
      </c>
      <c r="IA65" s="9" t="str">
        <f t="shared" ca="1" si="68"/>
        <v/>
      </c>
      <c r="IB65" s="9" t="str">
        <f t="shared" ca="1" si="68"/>
        <v/>
      </c>
      <c r="IC65" s="9" t="str">
        <f t="shared" ca="1" si="68"/>
        <v/>
      </c>
      <c r="ID65" s="9" t="str">
        <f t="shared" ca="1" si="68"/>
        <v/>
      </c>
      <c r="IE65" s="9" t="str">
        <f t="shared" ca="1" si="68"/>
        <v/>
      </c>
      <c r="IF65" s="9" t="str">
        <f t="shared" ca="1" si="68"/>
        <v/>
      </c>
      <c r="IG65" s="9" t="str">
        <f t="shared" ca="1" si="68"/>
        <v/>
      </c>
      <c r="IH65" s="9" t="str">
        <f t="shared" ca="1" si="68"/>
        <v/>
      </c>
      <c r="II65" s="9" t="str">
        <f t="shared" ca="1" si="68"/>
        <v/>
      </c>
      <c r="IJ65" s="9" t="str">
        <f t="shared" ca="1" si="68"/>
        <v/>
      </c>
      <c r="IK65" s="9" t="str">
        <f t="shared" ca="1" si="68"/>
        <v/>
      </c>
      <c r="IL65" s="9" t="str">
        <f t="shared" ca="1" si="68"/>
        <v/>
      </c>
      <c r="IM65" s="9" t="str">
        <f t="shared" ca="1" si="68"/>
        <v/>
      </c>
      <c r="IN65" s="9" t="str">
        <f t="shared" ca="1" si="68"/>
        <v/>
      </c>
      <c r="IO65" s="9" t="str">
        <f t="shared" ca="1" si="68"/>
        <v/>
      </c>
      <c r="IP65" s="9" t="str">
        <f t="shared" ca="1" si="68"/>
        <v/>
      </c>
      <c r="IQ65" s="9" t="str">
        <f t="shared" ca="1" si="68"/>
        <v/>
      </c>
      <c r="IR65" s="9" t="str">
        <f t="shared" ca="1" si="68"/>
        <v/>
      </c>
      <c r="IS65" s="9" t="str">
        <f t="shared" ca="1" si="68"/>
        <v/>
      </c>
      <c r="IT65" s="9" t="str">
        <f t="shared" ca="1" si="68"/>
        <v/>
      </c>
      <c r="IU65" s="9" t="str">
        <f t="shared" ca="1" si="68"/>
        <v/>
      </c>
      <c r="IV65" s="9" t="str">
        <f t="shared" ca="1" si="68"/>
        <v/>
      </c>
      <c r="IW65" s="9" t="str">
        <f t="shared" ca="1" si="68"/>
        <v/>
      </c>
      <c r="IX65" s="9" t="str">
        <f t="shared" ref="IX65:JH65" ca="1" si="69">IF(IX38="","",ABS(IX38))</f>
        <v/>
      </c>
      <c r="IY65" s="9" t="str">
        <f t="shared" ca="1" si="69"/>
        <v/>
      </c>
      <c r="IZ65" s="9" t="str">
        <f t="shared" ca="1" si="69"/>
        <v/>
      </c>
      <c r="JA65" s="9" t="str">
        <f t="shared" ca="1" si="69"/>
        <v/>
      </c>
      <c r="JB65" s="9" t="str">
        <f t="shared" ca="1" si="69"/>
        <v/>
      </c>
      <c r="JC65" s="9" t="str">
        <f t="shared" ca="1" si="69"/>
        <v/>
      </c>
      <c r="JD65" s="9" t="str">
        <f t="shared" ca="1" si="69"/>
        <v/>
      </c>
      <c r="JE65" s="9" t="str">
        <f t="shared" ca="1" si="69"/>
        <v/>
      </c>
      <c r="JF65" s="9" t="str">
        <f t="shared" ca="1" si="69"/>
        <v/>
      </c>
      <c r="JG65" s="9" t="str">
        <f t="shared" ca="1" si="69"/>
        <v/>
      </c>
      <c r="JH65" s="9" t="str">
        <f t="shared" ca="1" si="69"/>
        <v/>
      </c>
      <c r="JI65" s="13">
        <f t="shared" ca="1" si="24"/>
        <v>8.8983106586838848E-2</v>
      </c>
      <c r="JJ65" s="13">
        <f t="shared" ca="1" si="25"/>
        <v>3.8115499241814454E-2</v>
      </c>
      <c r="JK65" s="14">
        <f t="shared" ca="1" si="26"/>
        <v>7.1306308443680839E-3</v>
      </c>
      <c r="JL65" s="17">
        <f t="shared" ca="1" si="34"/>
        <v>8.4443062736781899E-2</v>
      </c>
      <c r="JM65" s="15" t="str">
        <f t="shared" ca="1" si="27"/>
        <v>[ -7,99% ; 25,79% ]</v>
      </c>
      <c r="JN65" s="17">
        <f t="shared" ca="1" si="28"/>
        <v>0.10808712030308083</v>
      </c>
      <c r="LY65" s="1"/>
    </row>
    <row r="66" spans="1:337" x14ac:dyDescent="0.25">
      <c r="A66" s="4">
        <v>10</v>
      </c>
      <c r="B66" s="9">
        <f t="shared" ref="B66:BM66" ca="1" si="70">IF(B39="","",ABS(B39))</f>
        <v>5.9344928131906505E-2</v>
      </c>
      <c r="C66" s="9">
        <f t="shared" ca="1" si="70"/>
        <v>4.9844881307815614E-2</v>
      </c>
      <c r="D66" s="9">
        <f t="shared" ca="1" si="70"/>
        <v>4.6047889700473466E-2</v>
      </c>
      <c r="E66" s="9">
        <f t="shared" ca="1" si="70"/>
        <v>3.8116391187411613E-2</v>
      </c>
      <c r="F66" s="9">
        <f t="shared" ca="1" si="70"/>
        <v>4.7260878287691099E-2</v>
      </c>
      <c r="G66" s="9">
        <f t="shared" ca="1" si="70"/>
        <v>4.1314798884929838E-2</v>
      </c>
      <c r="H66" s="9">
        <f t="shared" ca="1" si="70"/>
        <v>4.731691690289197E-2</v>
      </c>
      <c r="I66" s="9">
        <f t="shared" ca="1" si="70"/>
        <v>5.8183702505916868E-2</v>
      </c>
      <c r="J66" s="9">
        <f t="shared" ca="1" si="70"/>
        <v>5.6883906422612984E-2</v>
      </c>
      <c r="K66" s="9">
        <f t="shared" ca="1" si="70"/>
        <v>2.1774312559097231E-2</v>
      </c>
      <c r="L66" s="9">
        <f t="shared" ca="1" si="70"/>
        <v>1.3090159864872719E-2</v>
      </c>
      <c r="M66" s="9">
        <f t="shared" ca="1" si="70"/>
        <v>6.3517335098657313E-3</v>
      </c>
      <c r="N66" s="9">
        <f t="shared" ca="1" si="70"/>
        <v>1.1991452272691161E-2</v>
      </c>
      <c r="O66" s="9">
        <f t="shared" ca="1" si="70"/>
        <v>1.9832671747474273E-2</v>
      </c>
      <c r="P66" s="9">
        <f t="shared" ca="1" si="70"/>
        <v>2.5067870320666596E-2</v>
      </c>
      <c r="Q66" s="9">
        <f t="shared" ca="1" si="70"/>
        <v>1.2688093352360541E-2</v>
      </c>
      <c r="R66" s="9">
        <f t="shared" ca="1" si="70"/>
        <v>6.0753338904152576E-3</v>
      </c>
      <c r="S66" s="9">
        <f t="shared" ca="1" si="70"/>
        <v>3.2182080489406406E-2</v>
      </c>
      <c r="T66" s="9">
        <f t="shared" ca="1" si="70"/>
        <v>2.3020032708387705E-2</v>
      </c>
      <c r="U66" s="9">
        <f t="shared" ca="1" si="70"/>
        <v>3.5302076272831773E-3</v>
      </c>
      <c r="V66" s="9">
        <f t="shared" ca="1" si="70"/>
        <v>2.3319373980438929E-2</v>
      </c>
      <c r="W66" s="9">
        <f t="shared" ca="1" si="70"/>
        <v>1.2445063013387214E-2</v>
      </c>
      <c r="X66" s="9">
        <f t="shared" ca="1" si="70"/>
        <v>1.0178390827334072E-2</v>
      </c>
      <c r="Y66" s="9">
        <f t="shared" ca="1" si="70"/>
        <v>1.9487215874250952E-2</v>
      </c>
      <c r="Z66" s="9">
        <f t="shared" ca="1" si="70"/>
        <v>2.6782161304171437E-2</v>
      </c>
      <c r="AA66" s="9">
        <f t="shared" ca="1" si="70"/>
        <v>3.5570960847103095E-2</v>
      </c>
      <c r="AB66" s="9">
        <f t="shared" ca="1" si="70"/>
        <v>4.1406869536980251E-2</v>
      </c>
      <c r="AC66" s="9">
        <f t="shared" ca="1" si="70"/>
        <v>4.7301522487105174E-2</v>
      </c>
      <c r="AD66" s="9">
        <f t="shared" ca="1" si="70"/>
        <v>3.1476182272131448E-2</v>
      </c>
      <c r="AE66" s="9">
        <f t="shared" ca="1" si="70"/>
        <v>2.3552923578022078E-2</v>
      </c>
      <c r="AF66" s="9">
        <f t="shared" ca="1" si="70"/>
        <v>1.6604697290298009E-2</v>
      </c>
      <c r="AG66" s="9">
        <f t="shared" ca="1" si="70"/>
        <v>1.2626221093672951E-2</v>
      </c>
      <c r="AH66" s="9">
        <f t="shared" ca="1" si="70"/>
        <v>7.9451841303866955E-3</v>
      </c>
      <c r="AI66" s="9">
        <f t="shared" ca="1" si="70"/>
        <v>2.1667151926977213E-2</v>
      </c>
      <c r="AJ66" s="9">
        <f t="shared" ca="1" si="70"/>
        <v>5.2654966997485952E-2</v>
      </c>
      <c r="AK66" s="9">
        <f t="shared" ca="1" si="70"/>
        <v>6.101848360621942E-2</v>
      </c>
      <c r="AL66" s="9">
        <f t="shared" ca="1" si="70"/>
        <v>6.3499323929033236E-2</v>
      </c>
      <c r="AM66" s="9">
        <f t="shared" ca="1" si="70"/>
        <v>7.271339900508722E-2</v>
      </c>
      <c r="AN66" s="9">
        <f t="shared" ca="1" si="70"/>
        <v>8.5604196497543916E-2</v>
      </c>
      <c r="AO66" s="9">
        <f t="shared" ca="1" si="70"/>
        <v>0.10012229768808911</v>
      </c>
      <c r="AP66" s="9">
        <f t="shared" ca="1" si="70"/>
        <v>0.10987812269432429</v>
      </c>
      <c r="AQ66" s="9">
        <f t="shared" ca="1" si="70"/>
        <v>9.9707050284331467E-2</v>
      </c>
      <c r="AR66" s="9">
        <f t="shared" ca="1" si="70"/>
        <v>0.1184193268253132</v>
      </c>
      <c r="AS66" s="9">
        <f t="shared" ca="1" si="70"/>
        <v>0.14545764639732772</v>
      </c>
      <c r="AT66" s="9">
        <f t="shared" ca="1" si="70"/>
        <v>0.15896108226108308</v>
      </c>
      <c r="AU66" s="9">
        <f t="shared" ca="1" si="70"/>
        <v>0.1793487307877385</v>
      </c>
      <c r="AV66" s="9">
        <f t="shared" ca="1" si="70"/>
        <v>0.2004058286024426</v>
      </c>
      <c r="AW66" s="9">
        <f t="shared" ca="1" si="70"/>
        <v>0.22939684057738585</v>
      </c>
      <c r="AX66" s="9">
        <f t="shared" ca="1" si="70"/>
        <v>0.25950323114541907</v>
      </c>
      <c r="AY66" s="9">
        <f t="shared" ca="1" si="70"/>
        <v>0.26724951167048172</v>
      </c>
      <c r="AZ66" s="9">
        <f t="shared" ca="1" si="70"/>
        <v>0.25054919331735537</v>
      </c>
      <c r="BA66" s="9">
        <f t="shared" ca="1" si="70"/>
        <v>0.28103752322236897</v>
      </c>
      <c r="BB66" s="9">
        <f t="shared" ca="1" si="70"/>
        <v>0.20800423026032522</v>
      </c>
      <c r="BC66" s="9">
        <f t="shared" ca="1" si="70"/>
        <v>0.16665387980096991</v>
      </c>
      <c r="BD66" s="9">
        <f t="shared" ca="1" si="70"/>
        <v>0.20570483260578565</v>
      </c>
      <c r="BE66" s="9">
        <f t="shared" ca="1" si="70"/>
        <v>0.17657199018462155</v>
      </c>
      <c r="BF66" s="9">
        <f t="shared" ca="1" si="70"/>
        <v>0.10674642393926936</v>
      </c>
      <c r="BG66" s="9">
        <f t="shared" ca="1" si="70"/>
        <v>5.6193387051329369E-2</v>
      </c>
      <c r="BH66" s="9">
        <f t="shared" ca="1" si="70"/>
        <v>2.1214648857478036E-2</v>
      </c>
      <c r="BI66" s="9">
        <f t="shared" ca="1" si="70"/>
        <v>0.10834806047862711</v>
      </c>
      <c r="BJ66" s="9">
        <f t="shared" ca="1" si="70"/>
        <v>0.16115455624233377</v>
      </c>
      <c r="BK66" s="9">
        <f t="shared" ca="1" si="70"/>
        <v>0.19139602915116494</v>
      </c>
      <c r="BL66" s="9">
        <f t="shared" ca="1" si="70"/>
        <v>0.25578282000953756</v>
      </c>
      <c r="BM66" s="9">
        <f t="shared" ca="1" si="70"/>
        <v>0.28241253397037869</v>
      </c>
      <c r="BN66" s="9">
        <f t="shared" ref="BN66:DY66" ca="1" si="71">IF(BN39="","",ABS(BN39))</f>
        <v>0.22712215960486648</v>
      </c>
      <c r="BO66" s="9">
        <f t="shared" ca="1" si="71"/>
        <v>0.15691559647538256</v>
      </c>
      <c r="BP66" s="9">
        <f t="shared" ca="1" si="71"/>
        <v>7.7720976805599529E-2</v>
      </c>
      <c r="BQ66" s="9">
        <f t="shared" ca="1" si="71"/>
        <v>1.1892665229196964E-2</v>
      </c>
      <c r="BR66" s="9">
        <f t="shared" ca="1" si="71"/>
        <v>2.2851050376050619E-2</v>
      </c>
      <c r="BS66" s="9">
        <f t="shared" ca="1" si="71"/>
        <v>9.5471926376281546E-2</v>
      </c>
      <c r="BT66" s="9">
        <f t="shared" ca="1" si="71"/>
        <v>6.5865350988121296E-2</v>
      </c>
      <c r="BU66" s="9">
        <f t="shared" ca="1" si="71"/>
        <v>5.5476143256172339E-3</v>
      </c>
      <c r="BV66" s="9">
        <f t="shared" ca="1" si="71"/>
        <v>2.3758186109287482E-2</v>
      </c>
      <c r="BW66" s="9">
        <f t="shared" ca="1" si="71"/>
        <v>6.3652766813055983E-2</v>
      </c>
      <c r="BX66" s="9">
        <f t="shared" ca="1" si="71"/>
        <v>0.10701959233339053</v>
      </c>
      <c r="BY66" s="9">
        <f t="shared" ca="1" si="71"/>
        <v>9.770405946555849E-2</v>
      </c>
      <c r="BZ66" s="9">
        <f t="shared" ca="1" si="71"/>
        <v>7.9525209658601215E-2</v>
      </c>
      <c r="CA66" s="9">
        <f t="shared" ca="1" si="71"/>
        <v>2.7915583646105802E-2</v>
      </c>
      <c r="CB66" s="9">
        <f t="shared" ca="1" si="71"/>
        <v>2.0038097473131455E-2</v>
      </c>
      <c r="CC66" s="9">
        <f t="shared" ca="1" si="71"/>
        <v>5.3296041390587412E-2</v>
      </c>
      <c r="CD66" s="9">
        <f t="shared" ca="1" si="71"/>
        <v>1.213795999547651E-2</v>
      </c>
      <c r="CE66" s="9">
        <f t="shared" ca="1" si="71"/>
        <v>3.6698678961343045E-2</v>
      </c>
      <c r="CF66" s="9">
        <f t="shared" ca="1" si="71"/>
        <v>3.226103585538076E-2</v>
      </c>
      <c r="CG66" s="9">
        <f t="shared" ca="1" si="71"/>
        <v>1.7860312055365424E-2</v>
      </c>
      <c r="CH66" s="9">
        <f t="shared" ca="1" si="71"/>
        <v>9.4089443726746103E-2</v>
      </c>
      <c r="CI66" s="9">
        <f t="shared" ca="1" si="71"/>
        <v>2.2372959918793511E-2</v>
      </c>
      <c r="CJ66" s="9">
        <f t="shared" ca="1" si="71"/>
        <v>5.122512587454553E-3</v>
      </c>
      <c r="CK66" s="9">
        <f t="shared" ca="1" si="71"/>
        <v>4.9958074197749003E-3</v>
      </c>
      <c r="CL66" s="9">
        <f t="shared" ca="1" si="71"/>
        <v>5.3123448570168486E-2</v>
      </c>
      <c r="CM66" s="9">
        <f t="shared" ca="1" si="71"/>
        <v>6.5360513445953394E-2</v>
      </c>
      <c r="CN66" s="9">
        <f t="shared" ca="1" si="71"/>
        <v>7.6133890130860693E-2</v>
      </c>
      <c r="CO66" s="9">
        <f t="shared" ca="1" si="71"/>
        <v>9.8122225769838534E-2</v>
      </c>
      <c r="CP66" s="9">
        <f t="shared" ca="1" si="71"/>
        <v>7.8959347751179521E-2</v>
      </c>
      <c r="CQ66" s="9">
        <f t="shared" ca="1" si="71"/>
        <v>1.3051227285802436E-2</v>
      </c>
      <c r="CR66" s="9">
        <f t="shared" ca="1" si="71"/>
        <v>1.6895709386224533E-2</v>
      </c>
      <c r="CS66" s="9">
        <f t="shared" ca="1" si="71"/>
        <v>7.7254301120308622E-3</v>
      </c>
      <c r="CT66" s="9">
        <f t="shared" ca="1" si="71"/>
        <v>4.0698842458043671E-2</v>
      </c>
      <c r="CU66" s="9">
        <f t="shared" ca="1" si="71"/>
        <v>1.4492045380536389E-3</v>
      </c>
      <c r="CV66" s="9">
        <f t="shared" ca="1" si="71"/>
        <v>4.4072318509923436E-2</v>
      </c>
      <c r="CW66" s="9">
        <f t="shared" ca="1" si="71"/>
        <v>3.6143531627897962E-2</v>
      </c>
      <c r="CX66" s="9">
        <f t="shared" ca="1" si="71"/>
        <v>4.5212215527749233E-2</v>
      </c>
      <c r="CY66" s="9">
        <f t="shared" ca="1" si="71"/>
        <v>5.6547810694119516E-2</v>
      </c>
      <c r="CZ66" s="9">
        <f t="shared" ca="1" si="71"/>
        <v>2.6376848943291842E-2</v>
      </c>
      <c r="DA66" s="9">
        <f t="shared" ca="1" si="71"/>
        <v>4.4875669855051648E-2</v>
      </c>
      <c r="DB66" s="9">
        <f t="shared" ca="1" si="71"/>
        <v>3.5589084884468436E-2</v>
      </c>
      <c r="DC66" s="9">
        <f t="shared" ca="1" si="71"/>
        <v>5.1899775726508501E-2</v>
      </c>
      <c r="DD66" s="9">
        <f t="shared" ca="1" si="71"/>
        <v>8.7129990502401444E-2</v>
      </c>
      <c r="DE66" s="9">
        <f t="shared" ca="1" si="71"/>
        <v>7.9871164532325123E-2</v>
      </c>
      <c r="DF66" s="9">
        <f t="shared" ca="1" si="71"/>
        <v>2.1326874692330966E-2</v>
      </c>
      <c r="DG66" s="9">
        <f t="shared" ca="1" si="71"/>
        <v>3.6977549319295422E-2</v>
      </c>
      <c r="DH66" s="9">
        <f t="shared" ca="1" si="71"/>
        <v>5.961459206128561E-2</v>
      </c>
      <c r="DI66" s="9">
        <f t="shared" ca="1" si="71"/>
        <v>5.784974912340779E-2</v>
      </c>
      <c r="DJ66" s="9">
        <f t="shared" ca="1" si="71"/>
        <v>6.5000741632496473E-2</v>
      </c>
      <c r="DK66" s="9">
        <f t="shared" ca="1" si="71"/>
        <v>5.5478295255400711E-2</v>
      </c>
      <c r="DL66" s="9">
        <f t="shared" ca="1" si="71"/>
        <v>4.0286815488868477E-2</v>
      </c>
      <c r="DM66" s="9">
        <f t="shared" ca="1" si="71"/>
        <v>3.5878341747642484E-2</v>
      </c>
      <c r="DN66" s="9">
        <f t="shared" ca="1" si="71"/>
        <v>4.3807665852869659E-2</v>
      </c>
      <c r="DO66" s="9">
        <f t="shared" ca="1" si="71"/>
        <v>3.6675179055924767E-2</v>
      </c>
      <c r="DP66" s="9">
        <f t="shared" ca="1" si="71"/>
        <v>4.7642963672002603E-2</v>
      </c>
      <c r="DQ66" s="9">
        <f t="shared" ca="1" si="71"/>
        <v>1.0067788628071339E-2</v>
      </c>
      <c r="DR66" s="9">
        <f t="shared" ca="1" si="71"/>
        <v>5.0269140618966812E-2</v>
      </c>
      <c r="DS66" s="9">
        <f t="shared" ca="1" si="71"/>
        <v>1.4919169829472501E-2</v>
      </c>
      <c r="DT66" s="9">
        <f t="shared" ca="1" si="71"/>
        <v>2.3874302086790422E-2</v>
      </c>
      <c r="DU66" s="9">
        <f t="shared" ca="1" si="71"/>
        <v>1.0018252289236695E-2</v>
      </c>
      <c r="DV66" s="9">
        <f t="shared" ca="1" si="71"/>
        <v>2.0981022596125776E-2</v>
      </c>
      <c r="DW66" s="9">
        <f t="shared" ca="1" si="71"/>
        <v>4.0060777393442493E-3</v>
      </c>
      <c r="DX66" s="9">
        <f t="shared" ca="1" si="71"/>
        <v>6.992423836605477E-3</v>
      </c>
      <c r="DY66" s="9">
        <f t="shared" ca="1" si="71"/>
        <v>6.4754306623093782E-2</v>
      </c>
      <c r="DZ66" s="9">
        <f t="shared" ref="DZ66:GK66" ca="1" si="72">IF(DZ39="","",ABS(DZ39))</f>
        <v>5.1393767765747222E-2</v>
      </c>
      <c r="EA66" s="9">
        <f t="shared" ca="1" si="72"/>
        <v>5.8742996268138947E-2</v>
      </c>
      <c r="EB66" s="9">
        <f t="shared" ca="1" si="72"/>
        <v>5.549267550960657E-2</v>
      </c>
      <c r="EC66" s="9">
        <f t="shared" ca="1" si="72"/>
        <v>2.4313597556778532E-2</v>
      </c>
      <c r="ED66" s="9">
        <f t="shared" ca="1" si="72"/>
        <v>9.2235132777256368E-3</v>
      </c>
      <c r="EE66" s="9">
        <f t="shared" ca="1" si="72"/>
        <v>7.3595714376526455E-3</v>
      </c>
      <c r="EF66" s="9">
        <f t="shared" ca="1" si="72"/>
        <v>1.7623080546580794E-2</v>
      </c>
      <c r="EG66" s="9">
        <f t="shared" ca="1" si="72"/>
        <v>1.4906393948104002E-2</v>
      </c>
      <c r="EH66" s="9">
        <f t="shared" ca="1" si="72"/>
        <v>2.3937576581359199E-2</v>
      </c>
      <c r="EI66" s="9">
        <f t="shared" ca="1" si="72"/>
        <v>1.1521499236273103E-2</v>
      </c>
      <c r="EJ66" s="9">
        <f t="shared" ca="1" si="72"/>
        <v>2.6004905217809959E-2</v>
      </c>
      <c r="EK66" s="9">
        <f t="shared" ca="1" si="72"/>
        <v>1.4576838369184664E-4</v>
      </c>
      <c r="EL66" s="9">
        <f t="shared" ca="1" si="72"/>
        <v>2.9822268073405933E-2</v>
      </c>
      <c r="EM66" s="9">
        <f t="shared" ca="1" si="72"/>
        <v>5.4105561968453619E-2</v>
      </c>
      <c r="EN66" s="9">
        <f t="shared" ca="1" si="72"/>
        <v>5.7706498917405646E-2</v>
      </c>
      <c r="EO66" s="9">
        <f t="shared" ca="1" si="72"/>
        <v>1.8627221864849774E-2</v>
      </c>
      <c r="EP66" s="9">
        <f t="shared" ca="1" si="72"/>
        <v>3.372575551777568E-2</v>
      </c>
      <c r="EQ66" s="9">
        <f t="shared" ca="1" si="72"/>
        <v>1.0236844528917266E-2</v>
      </c>
      <c r="ER66" s="9">
        <f t="shared" ca="1" si="72"/>
        <v>5.5411970382619469E-3</v>
      </c>
      <c r="ES66" s="9">
        <f t="shared" ca="1" si="72"/>
        <v>3.2164934746294893E-3</v>
      </c>
      <c r="ET66" s="9">
        <f t="shared" ca="1" si="72"/>
        <v>3.5694262065625537E-2</v>
      </c>
      <c r="EU66" s="9">
        <f t="shared" ca="1" si="72"/>
        <v>2.9317606571271915E-2</v>
      </c>
      <c r="EV66" s="9">
        <f t="shared" ca="1" si="72"/>
        <v>7.9874331525144893E-3</v>
      </c>
      <c r="EW66" s="9">
        <f t="shared" ca="1" si="72"/>
        <v>1.4559409041541516E-2</v>
      </c>
      <c r="EX66" s="9">
        <f t="shared" ca="1" si="72"/>
        <v>2.538454744695362E-2</v>
      </c>
      <c r="EY66" s="9">
        <f t="shared" ca="1" si="72"/>
        <v>2.3490282278025187E-2</v>
      </c>
      <c r="EZ66" s="9">
        <f t="shared" ca="1" si="72"/>
        <v>1.7308095742015195E-2</v>
      </c>
      <c r="FA66" s="9">
        <f t="shared" ca="1" si="72"/>
        <v>2.254174676526155E-2</v>
      </c>
      <c r="FB66" s="9">
        <f t="shared" ca="1" si="72"/>
        <v>3.0922579436417741E-2</v>
      </c>
      <c r="FC66" s="9">
        <f t="shared" ca="1" si="72"/>
        <v>3.1951108459190469E-2</v>
      </c>
      <c r="FD66" s="9">
        <f t="shared" ca="1" si="72"/>
        <v>3.5934143259121476E-2</v>
      </c>
      <c r="FE66" s="9">
        <f t="shared" ca="1" si="72"/>
        <v>3.6586031898378613E-2</v>
      </c>
      <c r="FF66" s="9">
        <f t="shared" ca="1" si="72"/>
        <v>6.5300799088371275E-2</v>
      </c>
      <c r="FG66" s="9">
        <f t="shared" ca="1" si="72"/>
        <v>4.9577525414905566E-2</v>
      </c>
      <c r="FH66" s="9">
        <f t="shared" ca="1" si="72"/>
        <v>2.2361172428350673E-2</v>
      </c>
      <c r="FI66" s="9">
        <f t="shared" ca="1" si="72"/>
        <v>3.1626366631730685E-2</v>
      </c>
      <c r="FJ66" s="9">
        <f t="shared" ca="1" si="72"/>
        <v>5.0973453220411358E-2</v>
      </c>
      <c r="FK66" s="9">
        <f t="shared" ca="1" si="72"/>
        <v>2.6096538768777267E-2</v>
      </c>
      <c r="FL66" s="9">
        <f t="shared" ca="1" si="72"/>
        <v>3.3044174868762655E-3</v>
      </c>
      <c r="FM66" s="9">
        <f t="shared" ca="1" si="72"/>
        <v>1.1581959144294607E-2</v>
      </c>
      <c r="FN66" s="9">
        <f t="shared" ca="1" si="72"/>
        <v>5.0010049663002931E-3</v>
      </c>
      <c r="FO66" s="9">
        <f t="shared" ca="1" si="72"/>
        <v>1.4580972785351087E-2</v>
      </c>
      <c r="FP66" s="9">
        <f t="shared" ca="1" si="72"/>
        <v>2.6488160510727221E-2</v>
      </c>
      <c r="FQ66" s="9">
        <f t="shared" ca="1" si="72"/>
        <v>2.0156625913967829E-2</v>
      </c>
      <c r="FR66" s="9">
        <f t="shared" ca="1" si="72"/>
        <v>2.7379056528950008E-3</v>
      </c>
      <c r="FS66" s="9">
        <f t="shared" ca="1" si="72"/>
        <v>1.9386235284456044E-2</v>
      </c>
      <c r="FT66" s="9">
        <f t="shared" ca="1" si="72"/>
        <v>2.4150582692897826E-2</v>
      </c>
      <c r="FU66" s="9">
        <f t="shared" ca="1" si="72"/>
        <v>2.8664242615202618E-2</v>
      </c>
      <c r="FV66" s="9">
        <f t="shared" ca="1" si="72"/>
        <v>3.1268709850710064E-2</v>
      </c>
      <c r="FW66" s="9">
        <f t="shared" ca="1" si="72"/>
        <v>3.5738869142092344E-3</v>
      </c>
      <c r="FX66" s="9">
        <f t="shared" ca="1" si="72"/>
        <v>3.5288673020062888E-2</v>
      </c>
      <c r="FY66" s="9">
        <f t="shared" ca="1" si="72"/>
        <v>4.4831738446302838E-2</v>
      </c>
      <c r="FZ66" s="9">
        <f t="shared" ca="1" si="72"/>
        <v>4.0973702262845579E-2</v>
      </c>
      <c r="GA66" s="9">
        <f t="shared" ca="1" si="72"/>
        <v>3.178360870127106E-2</v>
      </c>
      <c r="GB66" s="9">
        <f t="shared" ca="1" si="72"/>
        <v>4.402048205785436E-2</v>
      </c>
      <c r="GC66" s="9">
        <f t="shared" ca="1" si="72"/>
        <v>4.0958753058107367E-2</v>
      </c>
      <c r="GD66" s="9">
        <f t="shared" ca="1" si="72"/>
        <v>3.4164035068411036E-2</v>
      </c>
      <c r="GE66" s="9">
        <f t="shared" ca="1" si="72"/>
        <v>0.12624642767941774</v>
      </c>
      <c r="GF66" s="9">
        <f t="shared" ca="1" si="72"/>
        <v>0.17687550172228639</v>
      </c>
      <c r="GG66" s="9">
        <f t="shared" ca="1" si="72"/>
        <v>0.19290482048880742</v>
      </c>
      <c r="GH66" s="9">
        <f t="shared" ca="1" si="72"/>
        <v>0.20679976654626897</v>
      </c>
      <c r="GI66" s="9">
        <f t="shared" ca="1" si="72"/>
        <v>0.21748804006181333</v>
      </c>
      <c r="GJ66" s="9">
        <f t="shared" ca="1" si="72"/>
        <v>0.17930100750414402</v>
      </c>
      <c r="GK66" s="9">
        <f t="shared" ca="1" si="72"/>
        <v>0.18214116906573619</v>
      </c>
      <c r="GL66" s="9">
        <f t="shared" ref="GL66:IW66" ca="1" si="73">IF(GL39="","",ABS(GL39))</f>
        <v>0.16533640231123703</v>
      </c>
      <c r="GM66" s="9">
        <f t="shared" ca="1" si="73"/>
        <v>0.17123923677735042</v>
      </c>
      <c r="GN66" s="9">
        <f t="shared" ca="1" si="73"/>
        <v>0.21268833953207378</v>
      </c>
      <c r="GO66" s="9">
        <f t="shared" ca="1" si="73"/>
        <v>1.1200625333395831E-2</v>
      </c>
      <c r="GP66" s="9" t="str">
        <f t="shared" ca="1" si="73"/>
        <v/>
      </c>
      <c r="GQ66" s="9" t="str">
        <f t="shared" ca="1" si="73"/>
        <v/>
      </c>
      <c r="GR66" s="9" t="str">
        <f t="shared" ca="1" si="73"/>
        <v/>
      </c>
      <c r="GS66" s="9" t="str">
        <f t="shared" ca="1" si="73"/>
        <v/>
      </c>
      <c r="GT66" s="9" t="str">
        <f t="shared" ca="1" si="73"/>
        <v/>
      </c>
      <c r="GU66" s="9" t="str">
        <f t="shared" ca="1" si="73"/>
        <v/>
      </c>
      <c r="GV66" s="9" t="str">
        <f t="shared" ca="1" si="73"/>
        <v/>
      </c>
      <c r="GW66" s="9" t="str">
        <f t="shared" ca="1" si="73"/>
        <v/>
      </c>
      <c r="GX66" s="9" t="str">
        <f t="shared" ca="1" si="73"/>
        <v/>
      </c>
      <c r="GY66" s="9" t="str">
        <f t="shared" ca="1" si="73"/>
        <v/>
      </c>
      <c r="GZ66" s="9" t="str">
        <f t="shared" ca="1" si="73"/>
        <v/>
      </c>
      <c r="HA66" s="9" t="str">
        <f t="shared" ca="1" si="73"/>
        <v/>
      </c>
      <c r="HB66" s="9" t="str">
        <f t="shared" ca="1" si="73"/>
        <v/>
      </c>
      <c r="HC66" s="9" t="str">
        <f t="shared" ca="1" si="73"/>
        <v/>
      </c>
      <c r="HD66" s="9" t="str">
        <f t="shared" ca="1" si="73"/>
        <v/>
      </c>
      <c r="HE66" s="9" t="str">
        <f t="shared" ca="1" si="73"/>
        <v/>
      </c>
      <c r="HF66" s="9" t="str">
        <f t="shared" ca="1" si="73"/>
        <v/>
      </c>
      <c r="HG66" s="9" t="str">
        <f t="shared" ca="1" si="73"/>
        <v/>
      </c>
      <c r="HH66" s="9" t="str">
        <f t="shared" ca="1" si="73"/>
        <v/>
      </c>
      <c r="HI66" s="9" t="str">
        <f t="shared" ca="1" si="73"/>
        <v/>
      </c>
      <c r="HJ66" s="9" t="str">
        <f t="shared" ca="1" si="73"/>
        <v/>
      </c>
      <c r="HK66" s="9" t="str">
        <f t="shared" ca="1" si="73"/>
        <v/>
      </c>
      <c r="HL66" s="9" t="str">
        <f t="shared" ca="1" si="73"/>
        <v/>
      </c>
      <c r="HM66" s="9" t="str">
        <f t="shared" ca="1" si="73"/>
        <v/>
      </c>
      <c r="HN66" s="9" t="str">
        <f t="shared" ca="1" si="73"/>
        <v/>
      </c>
      <c r="HO66" s="9" t="str">
        <f t="shared" ca="1" si="73"/>
        <v/>
      </c>
      <c r="HP66" s="9" t="str">
        <f t="shared" ca="1" si="73"/>
        <v/>
      </c>
      <c r="HQ66" s="9" t="str">
        <f t="shared" ca="1" si="73"/>
        <v/>
      </c>
      <c r="HR66" s="9" t="str">
        <f t="shared" ca="1" si="73"/>
        <v/>
      </c>
      <c r="HS66" s="9" t="str">
        <f t="shared" ca="1" si="73"/>
        <v/>
      </c>
      <c r="HT66" s="9" t="str">
        <f t="shared" ca="1" si="73"/>
        <v/>
      </c>
      <c r="HU66" s="9" t="str">
        <f t="shared" ca="1" si="73"/>
        <v/>
      </c>
      <c r="HV66" s="9" t="str">
        <f t="shared" ca="1" si="73"/>
        <v/>
      </c>
      <c r="HW66" s="9" t="str">
        <f t="shared" ca="1" si="73"/>
        <v/>
      </c>
      <c r="HX66" s="9" t="str">
        <f t="shared" ca="1" si="73"/>
        <v/>
      </c>
      <c r="HY66" s="9" t="str">
        <f t="shared" ca="1" si="73"/>
        <v/>
      </c>
      <c r="HZ66" s="9" t="str">
        <f t="shared" ca="1" si="73"/>
        <v/>
      </c>
      <c r="IA66" s="9" t="str">
        <f t="shared" ca="1" si="73"/>
        <v/>
      </c>
      <c r="IB66" s="9" t="str">
        <f t="shared" ca="1" si="73"/>
        <v/>
      </c>
      <c r="IC66" s="9" t="str">
        <f t="shared" ca="1" si="73"/>
        <v/>
      </c>
      <c r="ID66" s="9" t="str">
        <f t="shared" ca="1" si="73"/>
        <v/>
      </c>
      <c r="IE66" s="9" t="str">
        <f t="shared" ca="1" si="73"/>
        <v/>
      </c>
      <c r="IF66" s="9" t="str">
        <f t="shared" ca="1" si="73"/>
        <v/>
      </c>
      <c r="IG66" s="9" t="str">
        <f t="shared" ca="1" si="73"/>
        <v/>
      </c>
      <c r="IH66" s="9" t="str">
        <f t="shared" ca="1" si="73"/>
        <v/>
      </c>
      <c r="II66" s="9" t="str">
        <f t="shared" ca="1" si="73"/>
        <v/>
      </c>
      <c r="IJ66" s="9" t="str">
        <f t="shared" ca="1" si="73"/>
        <v/>
      </c>
      <c r="IK66" s="9" t="str">
        <f t="shared" ca="1" si="73"/>
        <v/>
      </c>
      <c r="IL66" s="9" t="str">
        <f t="shared" ca="1" si="73"/>
        <v/>
      </c>
      <c r="IM66" s="9" t="str">
        <f t="shared" ca="1" si="73"/>
        <v/>
      </c>
      <c r="IN66" s="9" t="str">
        <f t="shared" ca="1" si="73"/>
        <v/>
      </c>
      <c r="IO66" s="9" t="str">
        <f t="shared" ca="1" si="73"/>
        <v/>
      </c>
      <c r="IP66" s="9" t="str">
        <f t="shared" ca="1" si="73"/>
        <v/>
      </c>
      <c r="IQ66" s="9" t="str">
        <f t="shared" ca="1" si="73"/>
        <v/>
      </c>
      <c r="IR66" s="9" t="str">
        <f t="shared" ca="1" si="73"/>
        <v/>
      </c>
      <c r="IS66" s="9" t="str">
        <f t="shared" ca="1" si="73"/>
        <v/>
      </c>
      <c r="IT66" s="9" t="str">
        <f t="shared" ca="1" si="73"/>
        <v/>
      </c>
      <c r="IU66" s="9" t="str">
        <f t="shared" ca="1" si="73"/>
        <v/>
      </c>
      <c r="IV66" s="9" t="str">
        <f t="shared" ca="1" si="73"/>
        <v/>
      </c>
      <c r="IW66" s="9" t="str">
        <f t="shared" ca="1" si="73"/>
        <v/>
      </c>
      <c r="IX66" s="9" t="str">
        <f t="shared" ref="IX66:JH66" ca="1" si="74">IF(IX39="","",ABS(IX39))</f>
        <v/>
      </c>
      <c r="IY66" s="9" t="str">
        <f t="shared" ca="1" si="74"/>
        <v/>
      </c>
      <c r="IZ66" s="9" t="str">
        <f t="shared" ca="1" si="74"/>
        <v/>
      </c>
      <c r="JA66" s="9" t="str">
        <f t="shared" ca="1" si="74"/>
        <v/>
      </c>
      <c r="JB66" s="9" t="str">
        <f t="shared" ca="1" si="74"/>
        <v/>
      </c>
      <c r="JC66" s="9" t="str">
        <f t="shared" ca="1" si="74"/>
        <v/>
      </c>
      <c r="JD66" s="9" t="str">
        <f t="shared" ca="1" si="74"/>
        <v/>
      </c>
      <c r="JE66" s="9" t="str">
        <f t="shared" ca="1" si="74"/>
        <v/>
      </c>
      <c r="JF66" s="9" t="str">
        <f t="shared" ca="1" si="74"/>
        <v/>
      </c>
      <c r="JG66" s="9" t="str">
        <f t="shared" ca="1" si="74"/>
        <v/>
      </c>
      <c r="JH66" s="9" t="str">
        <f t="shared" ca="1" si="74"/>
        <v/>
      </c>
      <c r="JI66" s="13">
        <f t="shared" ca="1" si="24"/>
        <v>8.9767220742468984E-2</v>
      </c>
      <c r="JJ66" s="13">
        <f t="shared" ca="1" si="25"/>
        <v>4.0973702262845579E-2</v>
      </c>
      <c r="JK66" s="14">
        <f t="shared" ca="1" si="26"/>
        <v>6.1722234434396141E-3</v>
      </c>
      <c r="JL66" s="17">
        <f t="shared" ca="1" si="34"/>
        <v>7.8563499434785966E-2</v>
      </c>
      <c r="JM66" s="15" t="str">
        <f t="shared" ca="1" si="27"/>
        <v>[ -6,74% ; 24,69% ]</v>
      </c>
      <c r="JN66" s="17">
        <f t="shared" ca="1" si="28"/>
        <v>0.10056127927652604</v>
      </c>
      <c r="LY66" s="1"/>
    </row>
    <row r="67" spans="1:337" x14ac:dyDescent="0.25">
      <c r="A67" s="4">
        <v>11</v>
      </c>
      <c r="B67" s="9">
        <f t="shared" ref="B67:BM67" ca="1" si="75">IF(B40="","",ABS(B40))</f>
        <v>6.1224500220641742E-2</v>
      </c>
      <c r="C67" s="9">
        <f t="shared" ca="1" si="75"/>
        <v>6.6209004660560344E-2</v>
      </c>
      <c r="D67" s="9">
        <f t="shared" ca="1" si="75"/>
        <v>4.3238949521744008E-2</v>
      </c>
      <c r="E67" s="9">
        <f t="shared" ca="1" si="75"/>
        <v>4.3798766014114143E-2</v>
      </c>
      <c r="F67" s="9">
        <f t="shared" ca="1" si="75"/>
        <v>4.0707159230450207E-2</v>
      </c>
      <c r="G67" s="9">
        <f t="shared" ca="1" si="75"/>
        <v>4.5911663374834877E-2</v>
      </c>
      <c r="H67" s="9">
        <f t="shared" ca="1" si="75"/>
        <v>6.220308147189324E-2</v>
      </c>
      <c r="I67" s="9">
        <f t="shared" ca="1" si="75"/>
        <v>5.6118537229337573E-2</v>
      </c>
      <c r="J67" s="9">
        <f t="shared" ca="1" si="75"/>
        <v>3.6162155012543051E-2</v>
      </c>
      <c r="K67" s="9">
        <f t="shared" ca="1" si="75"/>
        <v>2.1301508534487423E-2</v>
      </c>
      <c r="L67" s="9">
        <f t="shared" ca="1" si="75"/>
        <v>2.3383804014091458E-2</v>
      </c>
      <c r="M67" s="9">
        <f t="shared" ca="1" si="75"/>
        <v>3.7487745489619417E-3</v>
      </c>
      <c r="N67" s="9">
        <f t="shared" ca="1" si="75"/>
        <v>1.1798111109528775E-2</v>
      </c>
      <c r="O67" s="9">
        <f t="shared" ca="1" si="75"/>
        <v>2.0045057937351896E-2</v>
      </c>
      <c r="P67" s="9">
        <f t="shared" ca="1" si="75"/>
        <v>3.3733607301957069E-2</v>
      </c>
      <c r="Q67" s="9">
        <f t="shared" ca="1" si="75"/>
        <v>1.6062464361838558E-2</v>
      </c>
      <c r="R67" s="9">
        <f t="shared" ca="1" si="75"/>
        <v>1.11099892026153E-2</v>
      </c>
      <c r="S67" s="9">
        <f t="shared" ca="1" si="75"/>
        <v>2.1499067620617596E-2</v>
      </c>
      <c r="T67" s="9">
        <f t="shared" ca="1" si="75"/>
        <v>2.2387840807929105E-2</v>
      </c>
      <c r="U67" s="9">
        <f t="shared" ca="1" si="75"/>
        <v>6.6122643026031991E-3</v>
      </c>
      <c r="V67" s="9">
        <f t="shared" ca="1" si="75"/>
        <v>2.0146079100722414E-2</v>
      </c>
      <c r="W67" s="9">
        <f t="shared" ca="1" si="75"/>
        <v>1.1816843761847773E-2</v>
      </c>
      <c r="X67" s="9">
        <f t="shared" ca="1" si="75"/>
        <v>2.3024751405817723E-2</v>
      </c>
      <c r="Y67" s="9">
        <f t="shared" ca="1" si="75"/>
        <v>2.795102790247106E-2</v>
      </c>
      <c r="Z67" s="9">
        <f t="shared" ca="1" si="75"/>
        <v>3.3592285216494266E-2</v>
      </c>
      <c r="AA67" s="9">
        <f t="shared" ca="1" si="75"/>
        <v>4.0829511726627299E-2</v>
      </c>
      <c r="AB67" s="9">
        <f t="shared" ca="1" si="75"/>
        <v>4.2082831571365276E-2</v>
      </c>
      <c r="AC67" s="9">
        <f t="shared" ca="1" si="75"/>
        <v>4.9309343566548147E-2</v>
      </c>
      <c r="AD67" s="9">
        <f t="shared" ca="1" si="75"/>
        <v>2.6620041880217604E-2</v>
      </c>
      <c r="AE67" s="9">
        <f t="shared" ca="1" si="75"/>
        <v>1.7007282831006387E-2</v>
      </c>
      <c r="AF67" s="9">
        <f t="shared" ca="1" si="75"/>
        <v>8.6532712746965057E-3</v>
      </c>
      <c r="AG67" s="9">
        <f t="shared" ca="1" si="75"/>
        <v>3.521910410383855E-3</v>
      </c>
      <c r="AH67" s="9">
        <f t="shared" ca="1" si="75"/>
        <v>1.682997027665778E-2</v>
      </c>
      <c r="AI67" s="9">
        <f t="shared" ca="1" si="75"/>
        <v>3.5436521265822862E-2</v>
      </c>
      <c r="AJ67" s="9">
        <f t="shared" ca="1" si="75"/>
        <v>4.7506254154161542E-2</v>
      </c>
      <c r="AK67" s="9">
        <f t="shared" ca="1" si="75"/>
        <v>5.761814130807219E-2</v>
      </c>
      <c r="AL67" s="9">
        <f t="shared" ca="1" si="75"/>
        <v>6.6335568629284247E-2</v>
      </c>
      <c r="AM67" s="9">
        <f t="shared" ca="1" si="75"/>
        <v>8.7213149744180041E-2</v>
      </c>
      <c r="AN67" s="9">
        <f t="shared" ca="1" si="75"/>
        <v>0.11366726240957192</v>
      </c>
      <c r="AO67" s="9">
        <f t="shared" ca="1" si="75"/>
        <v>0.12240179770344406</v>
      </c>
      <c r="AP67" s="9">
        <f t="shared" ca="1" si="75"/>
        <v>0.11709334308344133</v>
      </c>
      <c r="AQ67" s="9">
        <f t="shared" ca="1" si="75"/>
        <v>0.13435443212840759</v>
      </c>
      <c r="AR67" s="9">
        <f t="shared" ca="1" si="75"/>
        <v>0.15259372801850479</v>
      </c>
      <c r="AS67" s="9">
        <f t="shared" ca="1" si="75"/>
        <v>0.17241704888104414</v>
      </c>
      <c r="AT67" s="9">
        <f t="shared" ca="1" si="75"/>
        <v>0.17420060699069484</v>
      </c>
      <c r="AU67" s="9">
        <f t="shared" ca="1" si="75"/>
        <v>0.19766651168485516</v>
      </c>
      <c r="AV67" s="9">
        <f t="shared" ca="1" si="75"/>
        <v>0.23049378066213178</v>
      </c>
      <c r="AW67" s="9">
        <f t="shared" ca="1" si="75"/>
        <v>0.2691275565555814</v>
      </c>
      <c r="AX67" s="9">
        <f t="shared" ca="1" si="75"/>
        <v>0.28765280348086386</v>
      </c>
      <c r="AY67" s="9">
        <f t="shared" ca="1" si="75"/>
        <v>0.29616075106680251</v>
      </c>
      <c r="AZ67" s="9">
        <f t="shared" ca="1" si="75"/>
        <v>0.26977934561794747</v>
      </c>
      <c r="BA67" s="9">
        <f t="shared" ca="1" si="75"/>
        <v>0.30985024997171018</v>
      </c>
      <c r="BB67" s="9">
        <f t="shared" ca="1" si="75"/>
        <v>0.23515132236035718</v>
      </c>
      <c r="BC67" s="9">
        <f t="shared" ca="1" si="75"/>
        <v>0.16882742376145887</v>
      </c>
      <c r="BD67" s="9">
        <f t="shared" ca="1" si="75"/>
        <v>0.20839818936364429</v>
      </c>
      <c r="BE67" s="9">
        <f t="shared" ca="1" si="75"/>
        <v>0.16067976666013206</v>
      </c>
      <c r="BF67" s="9">
        <f t="shared" ca="1" si="75"/>
        <v>8.275294991119464E-2</v>
      </c>
      <c r="BG67" s="9">
        <f t="shared" ca="1" si="75"/>
        <v>4.9796744454561837E-2</v>
      </c>
      <c r="BH67" s="9">
        <f t="shared" ca="1" si="75"/>
        <v>3.1519648721070048E-2</v>
      </c>
      <c r="BI67" s="9">
        <f t="shared" ca="1" si="75"/>
        <v>0.12677974449772167</v>
      </c>
      <c r="BJ67" s="9">
        <f t="shared" ca="1" si="75"/>
        <v>0.19166926782348104</v>
      </c>
      <c r="BK67" s="9">
        <f t="shared" ca="1" si="75"/>
        <v>0.21852210945668138</v>
      </c>
      <c r="BL67" s="9">
        <f t="shared" ca="1" si="75"/>
        <v>0.2689990588849891</v>
      </c>
      <c r="BM67" s="9">
        <f t="shared" ca="1" si="75"/>
        <v>0.2984537479135827</v>
      </c>
      <c r="BN67" s="9">
        <f t="shared" ref="BN67:DY67" ca="1" si="76">IF(BN40="","",ABS(BN40))</f>
        <v>0.23645548145308881</v>
      </c>
      <c r="BO67" s="9">
        <f t="shared" ca="1" si="76"/>
        <v>0.16796912252864815</v>
      </c>
      <c r="BP67" s="9">
        <f t="shared" ca="1" si="76"/>
        <v>8.7238476975605384E-2</v>
      </c>
      <c r="BQ67" s="9">
        <f t="shared" ca="1" si="76"/>
        <v>1.0705809854316684E-4</v>
      </c>
      <c r="BR67" s="9">
        <f t="shared" ca="1" si="76"/>
        <v>4.4172953035224172E-2</v>
      </c>
      <c r="BS67" s="9">
        <f t="shared" ca="1" si="76"/>
        <v>0.1024660897652685</v>
      </c>
      <c r="BT67" s="9">
        <f t="shared" ca="1" si="76"/>
        <v>6.7944528144181504E-2</v>
      </c>
      <c r="BU67" s="9">
        <f t="shared" ca="1" si="76"/>
        <v>9.6091215634410698E-3</v>
      </c>
      <c r="BV67" s="9">
        <f t="shared" ca="1" si="76"/>
        <v>4.5564272693277674E-2</v>
      </c>
      <c r="BW67" s="9">
        <f t="shared" ca="1" si="76"/>
        <v>8.2881535997751943E-2</v>
      </c>
      <c r="BX67" s="9">
        <f t="shared" ca="1" si="76"/>
        <v>9.6538457598213556E-2</v>
      </c>
      <c r="BY67" s="9">
        <f t="shared" ca="1" si="76"/>
        <v>9.3492421957785954E-2</v>
      </c>
      <c r="BZ67" s="9">
        <f t="shared" ca="1" si="76"/>
        <v>7.741961771986916E-2</v>
      </c>
      <c r="CA67" s="9">
        <f t="shared" ca="1" si="76"/>
        <v>3.9460087756449491E-2</v>
      </c>
      <c r="CB67" s="9">
        <f t="shared" ca="1" si="76"/>
        <v>1.7556878653041008E-2</v>
      </c>
      <c r="CC67" s="9">
        <f t="shared" ca="1" si="76"/>
        <v>5.4751009389057415E-2</v>
      </c>
      <c r="CD67" s="9">
        <f t="shared" ca="1" si="76"/>
        <v>8.4790611115124204E-3</v>
      </c>
      <c r="CE67" s="9">
        <f t="shared" ca="1" si="76"/>
        <v>3.5130541889720091E-2</v>
      </c>
      <c r="CF67" s="9">
        <f t="shared" ca="1" si="76"/>
        <v>1.7540727365060516E-2</v>
      </c>
      <c r="CG67" s="9">
        <f t="shared" ca="1" si="76"/>
        <v>3.312884861125287E-2</v>
      </c>
      <c r="CH67" s="9">
        <f t="shared" ca="1" si="76"/>
        <v>9.7166632724430158E-2</v>
      </c>
      <c r="CI67" s="9">
        <f t="shared" ca="1" si="76"/>
        <v>1.6436296622170277E-2</v>
      </c>
      <c r="CJ67" s="9">
        <f t="shared" ca="1" si="76"/>
        <v>9.5148934527065077E-3</v>
      </c>
      <c r="CK67" s="9">
        <f t="shared" ca="1" si="76"/>
        <v>1.722816339120159E-2</v>
      </c>
      <c r="CL67" s="9">
        <f t="shared" ca="1" si="76"/>
        <v>5.7410396154159771E-2</v>
      </c>
      <c r="CM67" s="9">
        <f t="shared" ca="1" si="76"/>
        <v>7.2041541802547071E-2</v>
      </c>
      <c r="CN67" s="9">
        <f t="shared" ca="1" si="76"/>
        <v>8.5243480963457907E-2</v>
      </c>
      <c r="CO67" s="9">
        <f t="shared" ca="1" si="76"/>
        <v>9.0985585151465376E-2</v>
      </c>
      <c r="CP67" s="9">
        <f t="shared" ca="1" si="76"/>
        <v>7.973557707394674E-2</v>
      </c>
      <c r="CQ67" s="9">
        <f t="shared" ca="1" si="76"/>
        <v>7.0214661460129557E-3</v>
      </c>
      <c r="CR67" s="9">
        <f t="shared" ca="1" si="76"/>
        <v>1.4778045752226854E-2</v>
      </c>
      <c r="CS67" s="9">
        <f t="shared" ca="1" si="76"/>
        <v>8.6370153231040137E-3</v>
      </c>
      <c r="CT67" s="9">
        <f t="shared" ca="1" si="76"/>
        <v>4.3243779740309463E-2</v>
      </c>
      <c r="CU67" s="9">
        <f t="shared" ca="1" si="76"/>
        <v>2.0303493221557778E-2</v>
      </c>
      <c r="CV67" s="9">
        <f t="shared" ca="1" si="76"/>
        <v>5.1235339213840714E-2</v>
      </c>
      <c r="CW67" s="9">
        <f t="shared" ca="1" si="76"/>
        <v>4.0574061125624672E-2</v>
      </c>
      <c r="CX67" s="9">
        <f t="shared" ca="1" si="76"/>
        <v>5.4384159108584296E-2</v>
      </c>
      <c r="CY67" s="9">
        <f t="shared" ca="1" si="76"/>
        <v>6.4700255421054509E-2</v>
      </c>
      <c r="CZ67" s="9">
        <f t="shared" ca="1" si="76"/>
        <v>3.5930427459105685E-2</v>
      </c>
      <c r="DA67" s="9">
        <f t="shared" ca="1" si="76"/>
        <v>5.6680510048470412E-2</v>
      </c>
      <c r="DB67" s="9">
        <f t="shared" ca="1" si="76"/>
        <v>4.1568304848399906E-2</v>
      </c>
      <c r="DC67" s="9">
        <f t="shared" ca="1" si="76"/>
        <v>6.4040715662532222E-2</v>
      </c>
      <c r="DD67" s="9">
        <f t="shared" ca="1" si="76"/>
        <v>9.3963220555993487E-2</v>
      </c>
      <c r="DE67" s="9">
        <f t="shared" ca="1" si="76"/>
        <v>7.7394399721740559E-2</v>
      </c>
      <c r="DF67" s="9">
        <f t="shared" ca="1" si="76"/>
        <v>3.2311283547951319E-2</v>
      </c>
      <c r="DG67" s="9">
        <f t="shared" ca="1" si="76"/>
        <v>5.7496628602942801E-2</v>
      </c>
      <c r="DH67" s="9">
        <f t="shared" ca="1" si="76"/>
        <v>5.8353246416954496E-2</v>
      </c>
      <c r="DI67" s="9">
        <f t="shared" ca="1" si="76"/>
        <v>6.9482965908360894E-2</v>
      </c>
      <c r="DJ67" s="9">
        <f t="shared" ca="1" si="76"/>
        <v>6.7191657903004964E-2</v>
      </c>
      <c r="DK67" s="9">
        <f t="shared" ca="1" si="76"/>
        <v>7.0626959122858546E-2</v>
      </c>
      <c r="DL67" s="9">
        <f t="shared" ca="1" si="76"/>
        <v>4.5016866526991661E-2</v>
      </c>
      <c r="DM67" s="9">
        <f t="shared" ca="1" si="76"/>
        <v>4.452672307271599E-2</v>
      </c>
      <c r="DN67" s="9">
        <f t="shared" ca="1" si="76"/>
        <v>3.6124176168484956E-2</v>
      </c>
      <c r="DO67" s="9">
        <f t="shared" ca="1" si="76"/>
        <v>4.0484643195842107E-2</v>
      </c>
      <c r="DP67" s="9">
        <f t="shared" ca="1" si="76"/>
        <v>5.0547002217167236E-2</v>
      </c>
      <c r="DQ67" s="9">
        <f t="shared" ca="1" si="76"/>
        <v>1.1316246596915658E-2</v>
      </c>
      <c r="DR67" s="9">
        <f t="shared" ca="1" si="76"/>
        <v>4.1423697352859778E-2</v>
      </c>
      <c r="DS67" s="9">
        <f t="shared" ca="1" si="76"/>
        <v>1.2304185913255217E-2</v>
      </c>
      <c r="DT67" s="9">
        <f t="shared" ca="1" si="76"/>
        <v>1.4881947062527101E-2</v>
      </c>
      <c r="DU67" s="9">
        <f t="shared" ca="1" si="76"/>
        <v>1.5802512325017393E-2</v>
      </c>
      <c r="DV67" s="9">
        <f t="shared" ca="1" si="76"/>
        <v>1.3164668429946125E-2</v>
      </c>
      <c r="DW67" s="9">
        <f t="shared" ca="1" si="76"/>
        <v>3.7739528840581293E-3</v>
      </c>
      <c r="DX67" s="9">
        <f t="shared" ca="1" si="76"/>
        <v>8.69847687735259E-3</v>
      </c>
      <c r="DY67" s="9">
        <f t="shared" ca="1" si="76"/>
        <v>6.3196075637587779E-2</v>
      </c>
      <c r="DZ67" s="9">
        <f t="shared" ref="DZ67:GK67" ca="1" si="77">IF(DZ40="","",ABS(DZ40))</f>
        <v>5.8776364449645291E-2</v>
      </c>
      <c r="EA67" s="9">
        <f t="shared" ca="1" si="77"/>
        <v>6.075014714796656E-2</v>
      </c>
      <c r="EB67" s="9">
        <f t="shared" ca="1" si="77"/>
        <v>5.4200155755854906E-2</v>
      </c>
      <c r="EC67" s="9">
        <f t="shared" ca="1" si="77"/>
        <v>2.2669701724699287E-2</v>
      </c>
      <c r="ED67" s="9">
        <f t="shared" ca="1" si="77"/>
        <v>1.680679542072161E-2</v>
      </c>
      <c r="EE67" s="9">
        <f t="shared" ca="1" si="77"/>
        <v>8.8366152980543511E-3</v>
      </c>
      <c r="EF67" s="9">
        <f t="shared" ca="1" si="77"/>
        <v>1.0529109695397554E-2</v>
      </c>
      <c r="EG67" s="9">
        <f t="shared" ca="1" si="77"/>
        <v>1.364561897894645E-2</v>
      </c>
      <c r="EH67" s="9">
        <f t="shared" ca="1" si="77"/>
        <v>1.9646614825820419E-2</v>
      </c>
      <c r="EI67" s="9">
        <f t="shared" ca="1" si="77"/>
        <v>1.2130575225310691E-2</v>
      </c>
      <c r="EJ67" s="9">
        <f t="shared" ca="1" si="77"/>
        <v>3.0706851999672047E-2</v>
      </c>
      <c r="EK67" s="9">
        <f t="shared" ca="1" si="77"/>
        <v>9.9631012349306047E-3</v>
      </c>
      <c r="EL67" s="9">
        <f t="shared" ca="1" si="77"/>
        <v>3.9981620653130046E-2</v>
      </c>
      <c r="EM67" s="9">
        <f t="shared" ca="1" si="77"/>
        <v>5.434309116546121E-2</v>
      </c>
      <c r="EN67" s="9">
        <f t="shared" ca="1" si="77"/>
        <v>5.7512433593608359E-2</v>
      </c>
      <c r="EO67" s="9">
        <f t="shared" ca="1" si="77"/>
        <v>2.5233295937332922E-2</v>
      </c>
      <c r="EP67" s="9">
        <f t="shared" ca="1" si="77"/>
        <v>2.3081656521808602E-2</v>
      </c>
      <c r="EQ67" s="9">
        <f t="shared" ca="1" si="77"/>
        <v>9.3219778349662441E-4</v>
      </c>
      <c r="ER67" s="9">
        <f t="shared" ca="1" si="77"/>
        <v>1.2073623541716705E-2</v>
      </c>
      <c r="ES67" s="9">
        <f t="shared" ca="1" si="77"/>
        <v>5.8126718676783096E-3</v>
      </c>
      <c r="ET67" s="9">
        <f t="shared" ca="1" si="77"/>
        <v>3.739738961012895E-2</v>
      </c>
      <c r="EU67" s="9">
        <f t="shared" ca="1" si="77"/>
        <v>4.1389042104760465E-2</v>
      </c>
      <c r="EV67" s="9">
        <f t="shared" ca="1" si="77"/>
        <v>1.1225718570228027E-2</v>
      </c>
      <c r="EW67" s="9">
        <f t="shared" ca="1" si="77"/>
        <v>1.4372122058530445E-2</v>
      </c>
      <c r="EX67" s="9">
        <f t="shared" ca="1" si="77"/>
        <v>1.5404007826412824E-2</v>
      </c>
      <c r="EY67" s="9">
        <f t="shared" ca="1" si="77"/>
        <v>1.2384792265988986E-2</v>
      </c>
      <c r="EZ67" s="9">
        <f t="shared" ca="1" si="77"/>
        <v>1.8629769419317266E-2</v>
      </c>
      <c r="FA67" s="9">
        <f t="shared" ca="1" si="77"/>
        <v>2.3363343084493948E-2</v>
      </c>
      <c r="FB67" s="9">
        <f t="shared" ca="1" si="77"/>
        <v>2.9540267418242672E-2</v>
      </c>
      <c r="FC67" s="9">
        <f t="shared" ca="1" si="77"/>
        <v>3.1545511689487493E-2</v>
      </c>
      <c r="FD67" s="9">
        <f t="shared" ca="1" si="77"/>
        <v>3.1689780492524466E-2</v>
      </c>
      <c r="FE67" s="9">
        <f t="shared" ca="1" si="77"/>
        <v>3.349604276789242E-2</v>
      </c>
      <c r="FF67" s="9">
        <f t="shared" ca="1" si="77"/>
        <v>6.4375172215674681E-2</v>
      </c>
      <c r="FG67" s="9">
        <f t="shared" ca="1" si="77"/>
        <v>5.5310575070497636E-2</v>
      </c>
      <c r="FH67" s="9">
        <f t="shared" ca="1" si="77"/>
        <v>3.1732990676210493E-2</v>
      </c>
      <c r="FI67" s="9">
        <f t="shared" ca="1" si="77"/>
        <v>3.3280013703640865E-2</v>
      </c>
      <c r="FJ67" s="9">
        <f t="shared" ca="1" si="77"/>
        <v>5.1933351252518412E-2</v>
      </c>
      <c r="FK67" s="9">
        <f t="shared" ca="1" si="77"/>
        <v>2.3024589741476476E-2</v>
      </c>
      <c r="FL67" s="9">
        <f t="shared" ca="1" si="77"/>
        <v>9.7289993418159249E-4</v>
      </c>
      <c r="FM67" s="9">
        <f t="shared" ca="1" si="77"/>
        <v>5.1177598272329483E-3</v>
      </c>
      <c r="FN67" s="9">
        <f t="shared" ca="1" si="77"/>
        <v>5.6114742438184706E-4</v>
      </c>
      <c r="FO67" s="9">
        <f t="shared" ca="1" si="77"/>
        <v>1.8069226594084387E-2</v>
      </c>
      <c r="FP67" s="9">
        <f t="shared" ca="1" si="77"/>
        <v>3.1375452728213404E-2</v>
      </c>
      <c r="FQ67" s="9">
        <f t="shared" ca="1" si="77"/>
        <v>1.9173878017069712E-2</v>
      </c>
      <c r="FR67" s="9">
        <f t="shared" ca="1" si="77"/>
        <v>3.6054535419032252E-3</v>
      </c>
      <c r="FS67" s="9">
        <f t="shared" ca="1" si="77"/>
        <v>2.2917137984979075E-2</v>
      </c>
      <c r="FT67" s="9">
        <f t="shared" ca="1" si="77"/>
        <v>2.5052527375928113E-2</v>
      </c>
      <c r="FU67" s="9">
        <f t="shared" ca="1" si="77"/>
        <v>2.4121686145457844E-2</v>
      </c>
      <c r="FV67" s="9">
        <f t="shared" ca="1" si="77"/>
        <v>2.5992359475212723E-2</v>
      </c>
      <c r="FW67" s="9">
        <f t="shared" ca="1" si="77"/>
        <v>8.2822673436695471E-3</v>
      </c>
      <c r="FX67" s="9">
        <f t="shared" ca="1" si="77"/>
        <v>3.0990940009647971E-2</v>
      </c>
      <c r="FY67" s="9">
        <f t="shared" ca="1" si="77"/>
        <v>5.3216954059652655E-2</v>
      </c>
      <c r="FZ67" s="9">
        <f t="shared" ca="1" si="77"/>
        <v>4.296079921402729E-2</v>
      </c>
      <c r="GA67" s="9">
        <f t="shared" ca="1" si="77"/>
        <v>3.6073081723625888E-2</v>
      </c>
      <c r="GB67" s="9">
        <f t="shared" ca="1" si="77"/>
        <v>4.4219372469764595E-2</v>
      </c>
      <c r="GC67" s="9">
        <f t="shared" ca="1" si="77"/>
        <v>3.5282003631630587E-2</v>
      </c>
      <c r="GD67" s="9">
        <f t="shared" ca="1" si="77"/>
        <v>0.12624150710922533</v>
      </c>
      <c r="GE67" s="9">
        <f t="shared" ca="1" si="77"/>
        <v>0.2080871010798111</v>
      </c>
      <c r="GF67" s="9">
        <f t="shared" ca="1" si="77"/>
        <v>0.2041506186999007</v>
      </c>
      <c r="GG67" s="9">
        <f t="shared" ca="1" si="77"/>
        <v>0.20911386152920819</v>
      </c>
      <c r="GH67" s="9">
        <f t="shared" ca="1" si="77"/>
        <v>0.1896030713263992</v>
      </c>
      <c r="GI67" s="9">
        <f t="shared" ca="1" si="77"/>
        <v>0.21170674312001181</v>
      </c>
      <c r="GJ67" s="9">
        <f t="shared" ca="1" si="77"/>
        <v>0.16380432674329082</v>
      </c>
      <c r="GK67" s="9">
        <f t="shared" ca="1" si="77"/>
        <v>0.17390702014409454</v>
      </c>
      <c r="GL67" s="9">
        <f t="shared" ref="GL67:IW67" ca="1" si="78">IF(GL40="","",ABS(GL40))</f>
        <v>0.16480524244006078</v>
      </c>
      <c r="GM67" s="9">
        <f t="shared" ca="1" si="78"/>
        <v>0.18178336553248942</v>
      </c>
      <c r="GN67" s="9">
        <f t="shared" ca="1" si="78"/>
        <v>0.20619806578919542</v>
      </c>
      <c r="GO67" s="9" t="str">
        <f t="shared" ca="1" si="78"/>
        <v/>
      </c>
      <c r="GP67" s="9" t="str">
        <f t="shared" ca="1" si="78"/>
        <v/>
      </c>
      <c r="GQ67" s="9" t="str">
        <f t="shared" ca="1" si="78"/>
        <v/>
      </c>
      <c r="GR67" s="9" t="str">
        <f t="shared" ca="1" si="78"/>
        <v/>
      </c>
      <c r="GS67" s="9" t="str">
        <f t="shared" ca="1" si="78"/>
        <v/>
      </c>
      <c r="GT67" s="9" t="str">
        <f t="shared" ca="1" si="78"/>
        <v/>
      </c>
      <c r="GU67" s="9" t="str">
        <f t="shared" ca="1" si="78"/>
        <v/>
      </c>
      <c r="GV67" s="9" t="str">
        <f t="shared" ca="1" si="78"/>
        <v/>
      </c>
      <c r="GW67" s="9" t="str">
        <f t="shared" ca="1" si="78"/>
        <v/>
      </c>
      <c r="GX67" s="9" t="str">
        <f t="shared" ca="1" si="78"/>
        <v/>
      </c>
      <c r="GY67" s="9" t="str">
        <f t="shared" ca="1" si="78"/>
        <v/>
      </c>
      <c r="GZ67" s="9" t="str">
        <f t="shared" ca="1" si="78"/>
        <v/>
      </c>
      <c r="HA67" s="9" t="str">
        <f t="shared" ca="1" si="78"/>
        <v/>
      </c>
      <c r="HB67" s="9" t="str">
        <f t="shared" ca="1" si="78"/>
        <v/>
      </c>
      <c r="HC67" s="9" t="str">
        <f t="shared" ca="1" si="78"/>
        <v/>
      </c>
      <c r="HD67" s="9" t="str">
        <f t="shared" ca="1" si="78"/>
        <v/>
      </c>
      <c r="HE67" s="9" t="str">
        <f t="shared" ca="1" si="78"/>
        <v/>
      </c>
      <c r="HF67" s="9" t="str">
        <f t="shared" ca="1" si="78"/>
        <v/>
      </c>
      <c r="HG67" s="9" t="str">
        <f t="shared" ca="1" si="78"/>
        <v/>
      </c>
      <c r="HH67" s="9" t="str">
        <f t="shared" ca="1" si="78"/>
        <v/>
      </c>
      <c r="HI67" s="9" t="str">
        <f t="shared" ca="1" si="78"/>
        <v/>
      </c>
      <c r="HJ67" s="9" t="str">
        <f t="shared" ca="1" si="78"/>
        <v/>
      </c>
      <c r="HK67" s="9" t="str">
        <f t="shared" ca="1" si="78"/>
        <v/>
      </c>
      <c r="HL67" s="9" t="str">
        <f t="shared" ca="1" si="78"/>
        <v/>
      </c>
      <c r="HM67" s="9" t="str">
        <f t="shared" ca="1" si="78"/>
        <v/>
      </c>
      <c r="HN67" s="9" t="str">
        <f t="shared" ca="1" si="78"/>
        <v/>
      </c>
      <c r="HO67" s="9" t="str">
        <f t="shared" ca="1" si="78"/>
        <v/>
      </c>
      <c r="HP67" s="9" t="str">
        <f t="shared" ca="1" si="78"/>
        <v/>
      </c>
      <c r="HQ67" s="9" t="str">
        <f t="shared" ca="1" si="78"/>
        <v/>
      </c>
      <c r="HR67" s="9" t="str">
        <f t="shared" ca="1" si="78"/>
        <v/>
      </c>
      <c r="HS67" s="9" t="str">
        <f t="shared" ca="1" si="78"/>
        <v/>
      </c>
      <c r="HT67" s="9" t="str">
        <f t="shared" ca="1" si="78"/>
        <v/>
      </c>
      <c r="HU67" s="9" t="str">
        <f t="shared" ca="1" si="78"/>
        <v/>
      </c>
      <c r="HV67" s="9" t="str">
        <f t="shared" ca="1" si="78"/>
        <v/>
      </c>
      <c r="HW67" s="9" t="str">
        <f t="shared" ca="1" si="78"/>
        <v/>
      </c>
      <c r="HX67" s="9" t="str">
        <f t="shared" ca="1" si="78"/>
        <v/>
      </c>
      <c r="HY67" s="9" t="str">
        <f t="shared" ca="1" si="78"/>
        <v/>
      </c>
      <c r="HZ67" s="9" t="str">
        <f t="shared" ca="1" si="78"/>
        <v/>
      </c>
      <c r="IA67" s="9" t="str">
        <f t="shared" ca="1" si="78"/>
        <v/>
      </c>
      <c r="IB67" s="9" t="str">
        <f t="shared" ca="1" si="78"/>
        <v/>
      </c>
      <c r="IC67" s="9" t="str">
        <f t="shared" ca="1" si="78"/>
        <v/>
      </c>
      <c r="ID67" s="9" t="str">
        <f t="shared" ca="1" si="78"/>
        <v/>
      </c>
      <c r="IE67" s="9" t="str">
        <f t="shared" ca="1" si="78"/>
        <v/>
      </c>
      <c r="IF67" s="9" t="str">
        <f t="shared" ca="1" si="78"/>
        <v/>
      </c>
      <c r="IG67" s="9" t="str">
        <f t="shared" ca="1" si="78"/>
        <v/>
      </c>
      <c r="IH67" s="9" t="str">
        <f t="shared" ca="1" si="78"/>
        <v/>
      </c>
      <c r="II67" s="9" t="str">
        <f t="shared" ca="1" si="78"/>
        <v/>
      </c>
      <c r="IJ67" s="9" t="str">
        <f t="shared" ca="1" si="78"/>
        <v/>
      </c>
      <c r="IK67" s="9" t="str">
        <f t="shared" ca="1" si="78"/>
        <v/>
      </c>
      <c r="IL67" s="9" t="str">
        <f t="shared" ca="1" si="78"/>
        <v/>
      </c>
      <c r="IM67" s="9" t="str">
        <f t="shared" ca="1" si="78"/>
        <v/>
      </c>
      <c r="IN67" s="9" t="str">
        <f t="shared" ca="1" si="78"/>
        <v/>
      </c>
      <c r="IO67" s="9" t="str">
        <f t="shared" ca="1" si="78"/>
        <v/>
      </c>
      <c r="IP67" s="9" t="str">
        <f t="shared" ca="1" si="78"/>
        <v/>
      </c>
      <c r="IQ67" s="9" t="str">
        <f t="shared" ca="1" si="78"/>
        <v/>
      </c>
      <c r="IR67" s="9" t="str">
        <f t="shared" ca="1" si="78"/>
        <v/>
      </c>
      <c r="IS67" s="9" t="str">
        <f t="shared" ca="1" si="78"/>
        <v/>
      </c>
      <c r="IT67" s="9" t="str">
        <f t="shared" ca="1" si="78"/>
        <v/>
      </c>
      <c r="IU67" s="9" t="str">
        <f t="shared" ca="1" si="78"/>
        <v/>
      </c>
      <c r="IV67" s="9" t="str">
        <f t="shared" ca="1" si="78"/>
        <v/>
      </c>
      <c r="IW67" s="9" t="str">
        <f t="shared" ca="1" si="78"/>
        <v/>
      </c>
      <c r="IX67" s="9" t="str">
        <f t="shared" ref="IX67:JH67" ca="1" si="79">IF(IX40="","",ABS(IX40))</f>
        <v/>
      </c>
      <c r="IY67" s="9" t="str">
        <f t="shared" ca="1" si="79"/>
        <v/>
      </c>
      <c r="IZ67" s="9" t="str">
        <f t="shared" ca="1" si="79"/>
        <v/>
      </c>
      <c r="JA67" s="9" t="str">
        <f t="shared" ca="1" si="79"/>
        <v/>
      </c>
      <c r="JB67" s="9" t="str">
        <f t="shared" ca="1" si="79"/>
        <v/>
      </c>
      <c r="JC67" s="9" t="str">
        <f t="shared" ca="1" si="79"/>
        <v/>
      </c>
      <c r="JD67" s="9" t="str">
        <f t="shared" ca="1" si="79"/>
        <v/>
      </c>
      <c r="JE67" s="9" t="str">
        <f t="shared" ca="1" si="79"/>
        <v/>
      </c>
      <c r="JF67" s="9" t="str">
        <f t="shared" ca="1" si="79"/>
        <v/>
      </c>
      <c r="JG67" s="9" t="str">
        <f t="shared" ca="1" si="79"/>
        <v/>
      </c>
      <c r="JH67" s="9" t="str">
        <f t="shared" ca="1" si="79"/>
        <v/>
      </c>
      <c r="JI67" s="13">
        <f t="shared" ca="1" si="24"/>
        <v>0.10047039102109405</v>
      </c>
      <c r="JJ67" s="13">
        <f t="shared" ca="1" si="25"/>
        <v>4.8718163264708625E-2</v>
      </c>
      <c r="JK67" s="14">
        <f t="shared" ca="1" si="26"/>
        <v>6.4978043397524443E-3</v>
      </c>
      <c r="JL67" s="17">
        <f t="shared" ca="1" si="34"/>
        <v>8.0608959426061597E-2</v>
      </c>
      <c r="JM67" s="15" t="str">
        <f t="shared" ca="1" si="27"/>
        <v>[ -6,07% ; 26,17% ]</v>
      </c>
      <c r="JN67" s="17">
        <f t="shared" ca="1" si="28"/>
        <v>0.10317946806535884</v>
      </c>
      <c r="LY67" s="1"/>
    </row>
    <row r="68" spans="1:337" x14ac:dyDescent="0.25">
      <c r="A68" s="4">
        <v>12</v>
      </c>
      <c r="B68" s="9">
        <f t="shared" ref="B68:BM68" ca="1" si="80">IF(B41="","",ABS(B41))</f>
        <v>7.3875832306334432E-2</v>
      </c>
      <c r="C68" s="9">
        <f t="shared" ca="1" si="80"/>
        <v>6.4408595235390775E-2</v>
      </c>
      <c r="D68" s="9">
        <f t="shared" ca="1" si="80"/>
        <v>4.6549596563340234E-2</v>
      </c>
      <c r="E68" s="9">
        <f t="shared" ca="1" si="80"/>
        <v>3.6350905870689898E-2</v>
      </c>
      <c r="F68" s="9">
        <f t="shared" ca="1" si="80"/>
        <v>4.6665328161849651E-2</v>
      </c>
      <c r="G68" s="9">
        <f t="shared" ca="1" si="80"/>
        <v>6.1350219114795657E-2</v>
      </c>
      <c r="H68" s="9">
        <f t="shared" ca="1" si="80"/>
        <v>5.9480750081923883E-2</v>
      </c>
      <c r="I68" s="9">
        <f t="shared" ca="1" si="80"/>
        <v>3.2729429570417912E-2</v>
      </c>
      <c r="J68" s="9">
        <f t="shared" ca="1" si="80"/>
        <v>3.5835543345746457E-2</v>
      </c>
      <c r="K68" s="9">
        <f t="shared" ca="1" si="80"/>
        <v>2.7842773986267E-2</v>
      </c>
      <c r="L68" s="9">
        <f t="shared" ca="1" si="80"/>
        <v>2.423351234187332E-2</v>
      </c>
      <c r="M68" s="9">
        <f t="shared" ca="1" si="80"/>
        <v>3.7593370123911729E-3</v>
      </c>
      <c r="N68" s="9">
        <f t="shared" ca="1" si="80"/>
        <v>1.4329830588298953E-2</v>
      </c>
      <c r="O68" s="9">
        <f t="shared" ca="1" si="80"/>
        <v>2.7452442661461074E-2</v>
      </c>
      <c r="P68" s="9">
        <f t="shared" ca="1" si="80"/>
        <v>3.6190989778854932E-2</v>
      </c>
      <c r="Q68" s="9">
        <f t="shared" ca="1" si="80"/>
        <v>2.4036905947320553E-2</v>
      </c>
      <c r="R68" s="9">
        <f t="shared" ca="1" si="80"/>
        <v>7.1446280920417493E-4</v>
      </c>
      <c r="S68" s="9">
        <f t="shared" ca="1" si="80"/>
        <v>2.1517359553741011E-2</v>
      </c>
      <c r="T68" s="9">
        <f t="shared" ca="1" si="80"/>
        <v>2.1043814363660429E-2</v>
      </c>
      <c r="U68" s="9">
        <f t="shared" ca="1" si="80"/>
        <v>1.4156933077424938E-3</v>
      </c>
      <c r="V68" s="9">
        <f t="shared" ca="1" si="80"/>
        <v>2.1016758328692875E-2</v>
      </c>
      <c r="W68" s="9">
        <f t="shared" ca="1" si="80"/>
        <v>2.499910402526262E-2</v>
      </c>
      <c r="X68" s="9">
        <f t="shared" ca="1" si="80"/>
        <v>3.1472402027470814E-2</v>
      </c>
      <c r="Y68" s="9">
        <f t="shared" ca="1" si="80"/>
        <v>3.4454669887401312E-2</v>
      </c>
      <c r="Z68" s="9">
        <f t="shared" ca="1" si="80"/>
        <v>3.8222198744247482E-2</v>
      </c>
      <c r="AA68" s="9">
        <f t="shared" ca="1" si="80"/>
        <v>4.1483782454667661E-2</v>
      </c>
      <c r="AB68" s="9">
        <f t="shared" ca="1" si="80"/>
        <v>4.5751903797230264E-2</v>
      </c>
      <c r="AC68" s="9">
        <f t="shared" ca="1" si="80"/>
        <v>4.3612911754507211E-2</v>
      </c>
      <c r="AD68" s="9">
        <f t="shared" ca="1" si="80"/>
        <v>1.6836370752314034E-2</v>
      </c>
      <c r="AE68" s="9">
        <f t="shared" ca="1" si="80"/>
        <v>9.1086710964207729E-3</v>
      </c>
      <c r="AF68" s="9">
        <f t="shared" ca="1" si="80"/>
        <v>7.4559893015061496E-3</v>
      </c>
      <c r="AG68" s="9">
        <f t="shared" ca="1" si="80"/>
        <v>1.2247644558127879E-2</v>
      </c>
      <c r="AH68" s="9">
        <f t="shared" ca="1" si="80"/>
        <v>3.0473400096564185E-2</v>
      </c>
      <c r="AI68" s="9">
        <f t="shared" ca="1" si="80"/>
        <v>2.9365418102205498E-2</v>
      </c>
      <c r="AJ68" s="9">
        <f t="shared" ca="1" si="80"/>
        <v>4.3685626209037709E-2</v>
      </c>
      <c r="AK68" s="9">
        <f t="shared" ca="1" si="80"/>
        <v>6.0325122979372314E-2</v>
      </c>
      <c r="AL68" s="9">
        <f t="shared" ca="1" si="80"/>
        <v>8.0813973766057812E-2</v>
      </c>
      <c r="AM68" s="9">
        <f t="shared" ca="1" si="80"/>
        <v>0.11581555687683331</v>
      </c>
      <c r="AN68" s="9">
        <f t="shared" ca="1" si="80"/>
        <v>0.13599412320616411</v>
      </c>
      <c r="AO68" s="9">
        <f t="shared" ca="1" si="80"/>
        <v>0.12997742240064369</v>
      </c>
      <c r="AP68" s="9">
        <f t="shared" ca="1" si="80"/>
        <v>0.15242710126723658</v>
      </c>
      <c r="AQ68" s="9">
        <f t="shared" ca="1" si="80"/>
        <v>0.16623925908283321</v>
      </c>
      <c r="AR68" s="9">
        <f t="shared" ca="1" si="80"/>
        <v>0.17787604002636437</v>
      </c>
      <c r="AS68" s="9">
        <f t="shared" ca="1" si="80"/>
        <v>0.18826611587514697</v>
      </c>
      <c r="AT68" s="9">
        <f t="shared" ca="1" si="80"/>
        <v>0.19268509389737543</v>
      </c>
      <c r="AU68" s="9">
        <f t="shared" ca="1" si="80"/>
        <v>0.22805634857734192</v>
      </c>
      <c r="AV68" s="9">
        <f t="shared" ca="1" si="80"/>
        <v>0.27008736159728142</v>
      </c>
      <c r="AW68" s="9">
        <f t="shared" ca="1" si="80"/>
        <v>0.29656433896728174</v>
      </c>
      <c r="AX68" s="9">
        <f t="shared" ca="1" si="80"/>
        <v>0.31512784742307554</v>
      </c>
      <c r="AY68" s="9">
        <f t="shared" ca="1" si="80"/>
        <v>0.31538383315811913</v>
      </c>
      <c r="AZ68" s="9">
        <f t="shared" ca="1" si="80"/>
        <v>0.2983673388044511</v>
      </c>
      <c r="BA68" s="9">
        <f t="shared" ca="1" si="80"/>
        <v>0.33967573770374648</v>
      </c>
      <c r="BB68" s="9">
        <f t="shared" ca="1" si="80"/>
        <v>0.2473970716865167</v>
      </c>
      <c r="BC68" s="9">
        <f t="shared" ca="1" si="80"/>
        <v>0.16170128560995378</v>
      </c>
      <c r="BD68" s="9">
        <f t="shared" ca="1" si="80"/>
        <v>0.19613378431140616</v>
      </c>
      <c r="BE68" s="9">
        <f t="shared" ca="1" si="80"/>
        <v>0.14525141292965704</v>
      </c>
      <c r="BF68" s="9">
        <f t="shared" ca="1" si="80"/>
        <v>7.7005527911685689E-2</v>
      </c>
      <c r="BG68" s="9">
        <f t="shared" ca="1" si="80"/>
        <v>4.6243334218339593E-2</v>
      </c>
      <c r="BH68" s="9">
        <f t="shared" ca="1" si="80"/>
        <v>4.0951687750250043E-2</v>
      </c>
      <c r="BI68" s="9">
        <f t="shared" ca="1" si="80"/>
        <v>0.15526023324643634</v>
      </c>
      <c r="BJ68" s="9">
        <f t="shared" ca="1" si="80"/>
        <v>0.216142767377282</v>
      </c>
      <c r="BK68" s="9">
        <f t="shared" ca="1" si="80"/>
        <v>0.23028273516802833</v>
      </c>
      <c r="BL68" s="9">
        <f t="shared" ca="1" si="80"/>
        <v>0.28429186775360638</v>
      </c>
      <c r="BM68" s="9">
        <f t="shared" ca="1" si="80"/>
        <v>0.32139340294246099</v>
      </c>
      <c r="BN68" s="9">
        <f t="shared" ref="BN68:DY68" ca="1" si="81">IF(BN41="","",ABS(BN41))</f>
        <v>0.26713015668685158</v>
      </c>
      <c r="BO68" s="9">
        <f t="shared" ca="1" si="81"/>
        <v>0.18562431150004133</v>
      </c>
      <c r="BP68" s="9">
        <f t="shared" ca="1" si="81"/>
        <v>0.10821080797626981</v>
      </c>
      <c r="BQ68" s="9">
        <f t="shared" ca="1" si="81"/>
        <v>1.7298111040709552E-2</v>
      </c>
      <c r="BR68" s="9">
        <f t="shared" ca="1" si="81"/>
        <v>5.0291833379231488E-2</v>
      </c>
      <c r="BS68" s="9">
        <f t="shared" ca="1" si="81"/>
        <v>0.1040829864547983</v>
      </c>
      <c r="BT68" s="9">
        <f t="shared" ca="1" si="81"/>
        <v>7.8341794892909045E-2</v>
      </c>
      <c r="BU68" s="9">
        <f t="shared" ca="1" si="81"/>
        <v>2.5600693379014938E-2</v>
      </c>
      <c r="BV68" s="9">
        <f t="shared" ca="1" si="81"/>
        <v>6.1981909250385492E-2</v>
      </c>
      <c r="BW68" s="9">
        <f t="shared" ca="1" si="81"/>
        <v>7.1171248424228173E-2</v>
      </c>
      <c r="BX68" s="9">
        <f t="shared" ca="1" si="81"/>
        <v>9.2248991874346542E-2</v>
      </c>
      <c r="BY68" s="9">
        <f t="shared" ca="1" si="81"/>
        <v>9.0822752272992746E-2</v>
      </c>
      <c r="BZ68" s="9">
        <f t="shared" ca="1" si="81"/>
        <v>9.3605403824298605E-2</v>
      </c>
      <c r="CA68" s="9">
        <f t="shared" ca="1" si="81"/>
        <v>4.6575634664637766E-2</v>
      </c>
      <c r="CB68" s="9">
        <f t="shared" ca="1" si="81"/>
        <v>1.6152383645492763E-2</v>
      </c>
      <c r="CC68" s="9">
        <f t="shared" ca="1" si="81"/>
        <v>5.7015645972899209E-2</v>
      </c>
      <c r="CD68" s="9">
        <f t="shared" ca="1" si="81"/>
        <v>7.0566352095369211E-4</v>
      </c>
      <c r="CE68" s="9">
        <f t="shared" ca="1" si="81"/>
        <v>1.8000681111667527E-2</v>
      </c>
      <c r="CF68" s="9">
        <f t="shared" ca="1" si="81"/>
        <v>2.4515241642868446E-3</v>
      </c>
      <c r="CG68" s="9">
        <f t="shared" ca="1" si="81"/>
        <v>3.5447458132169318E-2</v>
      </c>
      <c r="CH68" s="9">
        <f t="shared" ca="1" si="81"/>
        <v>9.1648960591547923E-2</v>
      </c>
      <c r="CI68" s="9">
        <f t="shared" ca="1" si="81"/>
        <v>3.2948478928338631E-2</v>
      </c>
      <c r="CJ68" s="9">
        <f t="shared" ca="1" si="81"/>
        <v>2.337068199908432E-2</v>
      </c>
      <c r="CK68" s="9">
        <f t="shared" ca="1" si="81"/>
        <v>2.317431410746118E-2</v>
      </c>
      <c r="CL68" s="9">
        <f t="shared" ca="1" si="81"/>
        <v>6.3484052009243896E-2</v>
      </c>
      <c r="CM68" s="9">
        <f t="shared" ca="1" si="81"/>
        <v>8.0723663699620807E-2</v>
      </c>
      <c r="CN68" s="9">
        <f t="shared" ca="1" si="81"/>
        <v>7.8655358047262758E-2</v>
      </c>
      <c r="CO68" s="9">
        <f t="shared" ca="1" si="81"/>
        <v>9.3149077768248545E-2</v>
      </c>
      <c r="CP68" s="9">
        <f t="shared" ca="1" si="81"/>
        <v>7.6459097008395149E-2</v>
      </c>
      <c r="CQ68" s="9">
        <f t="shared" ca="1" si="81"/>
        <v>1.0636537256829115E-2</v>
      </c>
      <c r="CR68" s="9">
        <f t="shared" ca="1" si="81"/>
        <v>1.0180721269407833E-2</v>
      </c>
      <c r="CS68" s="9">
        <f t="shared" ca="1" si="81"/>
        <v>6.9773311771101909E-3</v>
      </c>
      <c r="CT68" s="9">
        <f t="shared" ca="1" si="81"/>
        <v>2.5486699370156463E-2</v>
      </c>
      <c r="CU68" s="9">
        <f t="shared" ca="1" si="81"/>
        <v>2.7536980985413573E-2</v>
      </c>
      <c r="CV68" s="9">
        <f t="shared" ca="1" si="81"/>
        <v>5.7853210617136552E-2</v>
      </c>
      <c r="CW68" s="9">
        <f t="shared" ca="1" si="81"/>
        <v>4.8004753742371342E-2</v>
      </c>
      <c r="CX68" s="9">
        <f t="shared" ca="1" si="81"/>
        <v>6.2566680859510448E-2</v>
      </c>
      <c r="CY68" s="9">
        <f t="shared" ca="1" si="81"/>
        <v>7.8426414350220686E-2</v>
      </c>
      <c r="CZ68" s="9">
        <f t="shared" ca="1" si="81"/>
        <v>4.5873878768045717E-2</v>
      </c>
      <c r="DA68" s="9">
        <f t="shared" ca="1" si="81"/>
        <v>6.6767147842343499E-2</v>
      </c>
      <c r="DB68" s="9">
        <f t="shared" ca="1" si="81"/>
        <v>5.4420165394257092E-2</v>
      </c>
      <c r="DC68" s="9">
        <f t="shared" ca="1" si="81"/>
        <v>6.8787735692686702E-2</v>
      </c>
      <c r="DD68" s="9">
        <f t="shared" ca="1" si="81"/>
        <v>9.2045658204980674E-2</v>
      </c>
      <c r="DE68" s="9">
        <f t="shared" ca="1" si="81"/>
        <v>9.3035776250695257E-2</v>
      </c>
      <c r="DF68" s="9">
        <f t="shared" ca="1" si="81"/>
        <v>4.8481274703986665E-2</v>
      </c>
      <c r="DG68" s="9">
        <f t="shared" ca="1" si="81"/>
        <v>5.4431387911332507E-2</v>
      </c>
      <c r="DH68" s="9">
        <f t="shared" ca="1" si="81"/>
        <v>6.4292460912507288E-2</v>
      </c>
      <c r="DI68" s="9">
        <f t="shared" ca="1" si="81"/>
        <v>7.0146477449478439E-2</v>
      </c>
      <c r="DJ68" s="9">
        <f t="shared" ca="1" si="81"/>
        <v>8.3047968275493211E-2</v>
      </c>
      <c r="DK68" s="9">
        <f t="shared" ca="1" si="81"/>
        <v>8.0260577986016157E-2</v>
      </c>
      <c r="DL68" s="9">
        <f t="shared" ca="1" si="81"/>
        <v>5.0535397602527565E-2</v>
      </c>
      <c r="DM68" s="9">
        <f t="shared" ca="1" si="81"/>
        <v>3.735704105123272E-2</v>
      </c>
      <c r="DN68" s="9">
        <f t="shared" ca="1" si="81"/>
        <v>3.4716799816502553E-2</v>
      </c>
      <c r="DO68" s="9">
        <f t="shared" ca="1" si="81"/>
        <v>4.1744313909001685E-2</v>
      </c>
      <c r="DP68" s="9">
        <f t="shared" ca="1" si="81"/>
        <v>5.3699022559206444E-2</v>
      </c>
      <c r="DQ68" s="9">
        <f t="shared" ca="1" si="81"/>
        <v>2.1770920172644148E-2</v>
      </c>
      <c r="DR68" s="9">
        <f t="shared" ca="1" si="81"/>
        <v>2.8841141208323928E-2</v>
      </c>
      <c r="DS68" s="9">
        <f t="shared" ca="1" si="81"/>
        <v>7.2828573150495179E-3</v>
      </c>
      <c r="DT68" s="9">
        <f t="shared" ca="1" si="81"/>
        <v>1.0239239703329406E-2</v>
      </c>
      <c r="DU68" s="9">
        <f t="shared" ca="1" si="81"/>
        <v>2.2156171197445396E-2</v>
      </c>
      <c r="DV68" s="9">
        <f t="shared" ca="1" si="81"/>
        <v>6.2027087175334783E-3</v>
      </c>
      <c r="DW68" s="9">
        <f t="shared" ca="1" si="81"/>
        <v>6.8369973489179614E-3</v>
      </c>
      <c r="DX68" s="9">
        <f t="shared" ca="1" si="81"/>
        <v>7.5012041175328559E-3</v>
      </c>
      <c r="DY68" s="9">
        <f t="shared" ca="1" si="81"/>
        <v>7.1274540603800007E-2</v>
      </c>
      <c r="DZ68" s="9">
        <f t="shared" ref="DZ68:GK68" ca="1" si="82">IF(DZ41="","",ABS(DZ41))</f>
        <v>5.5513325069052932E-2</v>
      </c>
      <c r="EA68" s="9">
        <f t="shared" ca="1" si="82"/>
        <v>5.8163954509840465E-2</v>
      </c>
      <c r="EB68" s="9">
        <f t="shared" ca="1" si="82"/>
        <v>5.4464501548830313E-2</v>
      </c>
      <c r="EC68" s="9">
        <f t="shared" ca="1" si="82"/>
        <v>3.4047622361861096E-2</v>
      </c>
      <c r="ED68" s="9">
        <f t="shared" ca="1" si="82"/>
        <v>2.2276261114670737E-2</v>
      </c>
      <c r="EE68" s="9">
        <f t="shared" ca="1" si="82"/>
        <v>1.5977961952074127E-2</v>
      </c>
      <c r="EF68" s="9">
        <f t="shared" ca="1" si="82"/>
        <v>1.2601138973489245E-2</v>
      </c>
      <c r="EG68" s="9">
        <f t="shared" ca="1" si="82"/>
        <v>8.6014614354938956E-3</v>
      </c>
      <c r="EH68" s="9">
        <f t="shared" ca="1" si="82"/>
        <v>2.3033477904896626E-2</v>
      </c>
      <c r="EI68" s="9">
        <f t="shared" ca="1" si="82"/>
        <v>9.5651187822292094E-3</v>
      </c>
      <c r="EJ68" s="9">
        <f t="shared" ca="1" si="82"/>
        <v>3.7335452326483054E-2</v>
      </c>
      <c r="EK68" s="9">
        <f t="shared" ca="1" si="82"/>
        <v>1.6611682312241305E-2</v>
      </c>
      <c r="EL68" s="9">
        <f t="shared" ca="1" si="82"/>
        <v>4.0837429747259124E-2</v>
      </c>
      <c r="EM68" s="9">
        <f t="shared" ca="1" si="82"/>
        <v>5.2523192723832546E-2</v>
      </c>
      <c r="EN68" s="9">
        <f t="shared" ca="1" si="82"/>
        <v>6.6567156244554893E-2</v>
      </c>
      <c r="EO68" s="9">
        <f t="shared" ca="1" si="82"/>
        <v>2.2290550004093745E-2</v>
      </c>
      <c r="EP68" s="9">
        <f t="shared" ca="1" si="82"/>
        <v>3.0754892168428416E-2</v>
      </c>
      <c r="EQ68" s="9">
        <f t="shared" ca="1" si="82"/>
        <v>6.0453231925947648E-3</v>
      </c>
      <c r="ER68" s="9">
        <f t="shared" ca="1" si="82"/>
        <v>1.8207057609166188E-2</v>
      </c>
      <c r="ES68" s="9">
        <f t="shared" ca="1" si="82"/>
        <v>8.0812643828773734E-3</v>
      </c>
      <c r="ET68" s="9">
        <f t="shared" ca="1" si="82"/>
        <v>5.1541803719202139E-2</v>
      </c>
      <c r="EU68" s="9">
        <f t="shared" ca="1" si="82"/>
        <v>4.5299164238384426E-2</v>
      </c>
      <c r="EV68" s="9">
        <f t="shared" ca="1" si="82"/>
        <v>7.5001939935992468E-3</v>
      </c>
      <c r="EW68" s="9">
        <f t="shared" ca="1" si="82"/>
        <v>2.6050753358235479E-3</v>
      </c>
      <c r="EX68" s="9">
        <f t="shared" ca="1" si="82"/>
        <v>6.7783248690449494E-3</v>
      </c>
      <c r="EY68" s="9">
        <f t="shared" ca="1" si="82"/>
        <v>1.067396909037388E-2</v>
      </c>
      <c r="EZ68" s="9">
        <f t="shared" ca="1" si="82"/>
        <v>1.6735700687452559E-2</v>
      </c>
      <c r="FA68" s="9">
        <f t="shared" ca="1" si="82"/>
        <v>2.7794531421097224E-2</v>
      </c>
      <c r="FB68" s="9">
        <f t="shared" ca="1" si="82"/>
        <v>2.410117015697355E-2</v>
      </c>
      <c r="FC68" s="9">
        <f t="shared" ca="1" si="82"/>
        <v>2.9223357441342634E-2</v>
      </c>
      <c r="FD68" s="9">
        <f t="shared" ca="1" si="82"/>
        <v>2.8397005575569345E-2</v>
      </c>
      <c r="FE68" s="9">
        <f t="shared" ca="1" si="82"/>
        <v>3.1392314173562696E-2</v>
      </c>
      <c r="FF68" s="9">
        <f t="shared" ca="1" si="82"/>
        <v>7.2399272850394492E-2</v>
      </c>
      <c r="FG68" s="9">
        <f t="shared" ca="1" si="82"/>
        <v>6.5377429506042195E-2</v>
      </c>
      <c r="FH68" s="9">
        <f t="shared" ca="1" si="82"/>
        <v>3.4591166196637047E-2</v>
      </c>
      <c r="FI68" s="9">
        <f t="shared" ca="1" si="82"/>
        <v>3.1452797161398927E-2</v>
      </c>
      <c r="FJ68" s="9">
        <f t="shared" ca="1" si="82"/>
        <v>5.1973758271167458E-2</v>
      </c>
      <c r="FK68" s="9">
        <f t="shared" ca="1" si="82"/>
        <v>2.5036655942898056E-2</v>
      </c>
      <c r="FL68" s="9">
        <f t="shared" ca="1" si="82"/>
        <v>7.791311310621607E-3</v>
      </c>
      <c r="FM68" s="9">
        <f t="shared" ca="1" si="82"/>
        <v>1.2286985639150538E-3</v>
      </c>
      <c r="FN68" s="9">
        <f t="shared" ca="1" si="82"/>
        <v>1.6167877806250175E-3</v>
      </c>
      <c r="FO68" s="9">
        <f t="shared" ca="1" si="82"/>
        <v>1.9164567085287243E-2</v>
      </c>
      <c r="FP68" s="9">
        <f t="shared" ca="1" si="82"/>
        <v>3.355688310863536E-2</v>
      </c>
      <c r="FQ68" s="9">
        <f t="shared" ca="1" si="82"/>
        <v>1.9592476591971719E-2</v>
      </c>
      <c r="FR68" s="9">
        <f t="shared" ca="1" si="82"/>
        <v>1.9347603784790612E-3</v>
      </c>
      <c r="FS68" s="9">
        <f t="shared" ca="1" si="82"/>
        <v>2.113856361676314E-2</v>
      </c>
      <c r="FT68" s="9">
        <f t="shared" ca="1" si="82"/>
        <v>1.5370680013641946E-2</v>
      </c>
      <c r="FU68" s="9">
        <f t="shared" ca="1" si="82"/>
        <v>1.6731293799440605E-2</v>
      </c>
      <c r="FV68" s="9">
        <f t="shared" ca="1" si="82"/>
        <v>1.8699691383706307E-2</v>
      </c>
      <c r="FW68" s="9">
        <f t="shared" ca="1" si="82"/>
        <v>3.1442023307114431E-3</v>
      </c>
      <c r="FX68" s="9">
        <f t="shared" ca="1" si="82"/>
        <v>4.0313414108323342E-2</v>
      </c>
      <c r="FY68" s="9">
        <f t="shared" ca="1" si="82"/>
        <v>5.6881855418708827E-2</v>
      </c>
      <c r="FZ68" s="9">
        <f t="shared" ca="1" si="82"/>
        <v>4.5792214651769414E-2</v>
      </c>
      <c r="GA68" s="9">
        <f t="shared" ca="1" si="82"/>
        <v>3.5156096897721589E-2</v>
      </c>
      <c r="GB68" s="9">
        <f t="shared" ca="1" si="82"/>
        <v>3.9212105911365591E-2</v>
      </c>
      <c r="GC68" s="9">
        <f t="shared" ca="1" si="82"/>
        <v>0.12566458633843902</v>
      </c>
      <c r="GD68" s="9">
        <f t="shared" ca="1" si="82"/>
        <v>0.20976226611917048</v>
      </c>
      <c r="GE68" s="9">
        <f t="shared" ca="1" si="82"/>
        <v>0.23495760512115238</v>
      </c>
      <c r="GF68" s="9">
        <f t="shared" ca="1" si="82"/>
        <v>0.22570731845369252</v>
      </c>
      <c r="GG68" s="9">
        <f t="shared" ca="1" si="82"/>
        <v>0.19199276448684599</v>
      </c>
      <c r="GH68" s="9">
        <f t="shared" ca="1" si="82"/>
        <v>0.18596005496567902</v>
      </c>
      <c r="GI68" s="9">
        <f t="shared" ca="1" si="82"/>
        <v>0.19936578867431631</v>
      </c>
      <c r="GJ68" s="9">
        <f t="shared" ca="1" si="82"/>
        <v>0.15684126572261869</v>
      </c>
      <c r="GK68" s="9">
        <f t="shared" ca="1" si="82"/>
        <v>0.17050243449539304</v>
      </c>
      <c r="GL68" s="9">
        <f t="shared" ref="GL68:IW68" ca="1" si="83">IF(GL41="","",ABS(GL41))</f>
        <v>0.18382097510868389</v>
      </c>
      <c r="GM68" s="9">
        <f t="shared" ca="1" si="83"/>
        <v>0.1809723585591877</v>
      </c>
      <c r="GN68" s="9" t="str">
        <f t="shared" ca="1" si="83"/>
        <v/>
      </c>
      <c r="GO68" s="9" t="str">
        <f t="shared" ca="1" si="83"/>
        <v/>
      </c>
      <c r="GP68" s="9" t="str">
        <f t="shared" ca="1" si="83"/>
        <v/>
      </c>
      <c r="GQ68" s="9" t="str">
        <f t="shared" ca="1" si="83"/>
        <v/>
      </c>
      <c r="GR68" s="9" t="str">
        <f t="shared" ca="1" si="83"/>
        <v/>
      </c>
      <c r="GS68" s="9" t="str">
        <f t="shared" ca="1" si="83"/>
        <v/>
      </c>
      <c r="GT68" s="9" t="str">
        <f t="shared" ca="1" si="83"/>
        <v/>
      </c>
      <c r="GU68" s="9" t="str">
        <f t="shared" ca="1" si="83"/>
        <v/>
      </c>
      <c r="GV68" s="9" t="str">
        <f t="shared" ca="1" si="83"/>
        <v/>
      </c>
      <c r="GW68" s="9" t="str">
        <f t="shared" ca="1" si="83"/>
        <v/>
      </c>
      <c r="GX68" s="9" t="str">
        <f t="shared" ca="1" si="83"/>
        <v/>
      </c>
      <c r="GY68" s="9" t="str">
        <f t="shared" ca="1" si="83"/>
        <v/>
      </c>
      <c r="GZ68" s="9" t="str">
        <f t="shared" ca="1" si="83"/>
        <v/>
      </c>
      <c r="HA68" s="9" t="str">
        <f t="shared" ca="1" si="83"/>
        <v/>
      </c>
      <c r="HB68" s="9" t="str">
        <f t="shared" ca="1" si="83"/>
        <v/>
      </c>
      <c r="HC68" s="9" t="str">
        <f t="shared" ca="1" si="83"/>
        <v/>
      </c>
      <c r="HD68" s="9" t="str">
        <f t="shared" ca="1" si="83"/>
        <v/>
      </c>
      <c r="HE68" s="9" t="str">
        <f t="shared" ca="1" si="83"/>
        <v/>
      </c>
      <c r="HF68" s="9" t="str">
        <f t="shared" ca="1" si="83"/>
        <v/>
      </c>
      <c r="HG68" s="9" t="str">
        <f t="shared" ca="1" si="83"/>
        <v/>
      </c>
      <c r="HH68" s="9" t="str">
        <f t="shared" ca="1" si="83"/>
        <v/>
      </c>
      <c r="HI68" s="9" t="str">
        <f t="shared" ca="1" si="83"/>
        <v/>
      </c>
      <c r="HJ68" s="9" t="str">
        <f t="shared" ca="1" si="83"/>
        <v/>
      </c>
      <c r="HK68" s="9" t="str">
        <f t="shared" ca="1" si="83"/>
        <v/>
      </c>
      <c r="HL68" s="9" t="str">
        <f t="shared" ca="1" si="83"/>
        <v/>
      </c>
      <c r="HM68" s="9" t="str">
        <f t="shared" ca="1" si="83"/>
        <v/>
      </c>
      <c r="HN68" s="9" t="str">
        <f t="shared" ca="1" si="83"/>
        <v/>
      </c>
      <c r="HO68" s="9" t="str">
        <f t="shared" ca="1" si="83"/>
        <v/>
      </c>
      <c r="HP68" s="9" t="str">
        <f t="shared" ca="1" si="83"/>
        <v/>
      </c>
      <c r="HQ68" s="9" t="str">
        <f t="shared" ca="1" si="83"/>
        <v/>
      </c>
      <c r="HR68" s="9" t="str">
        <f t="shared" ca="1" si="83"/>
        <v/>
      </c>
      <c r="HS68" s="9" t="str">
        <f t="shared" ca="1" si="83"/>
        <v/>
      </c>
      <c r="HT68" s="9" t="str">
        <f t="shared" ca="1" si="83"/>
        <v/>
      </c>
      <c r="HU68" s="9" t="str">
        <f t="shared" ca="1" si="83"/>
        <v/>
      </c>
      <c r="HV68" s="9" t="str">
        <f t="shared" ca="1" si="83"/>
        <v/>
      </c>
      <c r="HW68" s="9" t="str">
        <f t="shared" ca="1" si="83"/>
        <v/>
      </c>
      <c r="HX68" s="9" t="str">
        <f t="shared" ca="1" si="83"/>
        <v/>
      </c>
      <c r="HY68" s="9" t="str">
        <f t="shared" ca="1" si="83"/>
        <v/>
      </c>
      <c r="HZ68" s="9" t="str">
        <f t="shared" ca="1" si="83"/>
        <v/>
      </c>
      <c r="IA68" s="9" t="str">
        <f t="shared" ca="1" si="83"/>
        <v/>
      </c>
      <c r="IB68" s="9" t="str">
        <f t="shared" ca="1" si="83"/>
        <v/>
      </c>
      <c r="IC68" s="9" t="str">
        <f t="shared" ca="1" si="83"/>
        <v/>
      </c>
      <c r="ID68" s="9" t="str">
        <f t="shared" ca="1" si="83"/>
        <v/>
      </c>
      <c r="IE68" s="9" t="str">
        <f t="shared" ca="1" si="83"/>
        <v/>
      </c>
      <c r="IF68" s="9" t="str">
        <f t="shared" ca="1" si="83"/>
        <v/>
      </c>
      <c r="IG68" s="9" t="str">
        <f t="shared" ca="1" si="83"/>
        <v/>
      </c>
      <c r="IH68" s="9" t="str">
        <f t="shared" ca="1" si="83"/>
        <v/>
      </c>
      <c r="II68" s="9" t="str">
        <f t="shared" ca="1" si="83"/>
        <v/>
      </c>
      <c r="IJ68" s="9" t="str">
        <f t="shared" ca="1" si="83"/>
        <v/>
      </c>
      <c r="IK68" s="9" t="str">
        <f t="shared" ca="1" si="83"/>
        <v/>
      </c>
      <c r="IL68" s="9" t="str">
        <f t="shared" ca="1" si="83"/>
        <v/>
      </c>
      <c r="IM68" s="9" t="str">
        <f t="shared" ca="1" si="83"/>
        <v/>
      </c>
      <c r="IN68" s="9" t="str">
        <f t="shared" ca="1" si="83"/>
        <v/>
      </c>
      <c r="IO68" s="9" t="str">
        <f t="shared" ca="1" si="83"/>
        <v/>
      </c>
      <c r="IP68" s="9" t="str">
        <f t="shared" ca="1" si="83"/>
        <v/>
      </c>
      <c r="IQ68" s="9" t="str">
        <f t="shared" ca="1" si="83"/>
        <v/>
      </c>
      <c r="IR68" s="9" t="str">
        <f t="shared" ca="1" si="83"/>
        <v/>
      </c>
      <c r="IS68" s="9" t="str">
        <f t="shared" ca="1" si="83"/>
        <v/>
      </c>
      <c r="IT68" s="9" t="str">
        <f t="shared" ca="1" si="83"/>
        <v/>
      </c>
      <c r="IU68" s="9" t="str">
        <f t="shared" ca="1" si="83"/>
        <v/>
      </c>
      <c r="IV68" s="9" t="str">
        <f t="shared" ca="1" si="83"/>
        <v/>
      </c>
      <c r="IW68" s="9" t="str">
        <f t="shared" ca="1" si="83"/>
        <v/>
      </c>
      <c r="IX68" s="9" t="str">
        <f t="shared" ref="IX68:JH68" ca="1" si="84">IF(IX41="","",ABS(IX41))</f>
        <v/>
      </c>
      <c r="IY68" s="9" t="str">
        <f t="shared" ca="1" si="84"/>
        <v/>
      </c>
      <c r="IZ68" s="9" t="str">
        <f t="shared" ca="1" si="84"/>
        <v/>
      </c>
      <c r="JA68" s="9" t="str">
        <f t="shared" ca="1" si="84"/>
        <v/>
      </c>
      <c r="JB68" s="9" t="str">
        <f t="shared" ca="1" si="84"/>
        <v/>
      </c>
      <c r="JC68" s="9" t="str">
        <f t="shared" ca="1" si="84"/>
        <v/>
      </c>
      <c r="JD68" s="9" t="str">
        <f t="shared" ca="1" si="84"/>
        <v/>
      </c>
      <c r="JE68" s="9" t="str">
        <f t="shared" ca="1" si="84"/>
        <v/>
      </c>
      <c r="JF68" s="9" t="str">
        <f t="shared" ca="1" si="84"/>
        <v/>
      </c>
      <c r="JG68" s="9" t="str">
        <f t="shared" ca="1" si="84"/>
        <v/>
      </c>
      <c r="JH68" s="9" t="str">
        <f t="shared" ca="1" si="84"/>
        <v/>
      </c>
      <c r="JI68" s="13">
        <f t="shared" ca="1" si="24"/>
        <v>0.10345716404990357</v>
      </c>
      <c r="JJ68" s="13">
        <f t="shared" ca="1" si="25"/>
        <v>5.6881855418708827E-2</v>
      </c>
      <c r="JK68" s="14">
        <f t="shared" ca="1" si="26"/>
        <v>7.0697693757577878E-3</v>
      </c>
      <c r="JL68" s="17">
        <f t="shared" ca="1" si="34"/>
        <v>8.4081920623626266E-2</v>
      </c>
      <c r="JM68" s="15" t="str">
        <f t="shared" ca="1" si="27"/>
        <v>[ -6,47% ; 27,16% ]</v>
      </c>
      <c r="JN68" s="17">
        <f t="shared" ca="1" si="28"/>
        <v>0.10762485839824162</v>
      </c>
      <c r="LY68" s="1"/>
    </row>
    <row r="70" spans="1:337" hidden="1" x14ac:dyDescent="0.25"/>
    <row r="71" spans="1:337" hidden="1" x14ac:dyDescent="0.25"/>
    <row r="72" spans="1:337" hidden="1" x14ac:dyDescent="0.25"/>
    <row r="73" spans="1:337" hidden="1" x14ac:dyDescent="0.25"/>
    <row r="74" spans="1:337" hidden="1" x14ac:dyDescent="0.25"/>
    <row r="75" spans="1:337" hidden="1" x14ac:dyDescent="0.25"/>
    <row r="76" spans="1:337" hidden="1" x14ac:dyDescent="0.25"/>
    <row r="77" spans="1:337" hidden="1" x14ac:dyDescent="0.25"/>
    <row r="78" spans="1:337" hidden="1" x14ac:dyDescent="0.25"/>
    <row r="79" spans="1:337" hidden="1" x14ac:dyDescent="0.25"/>
    <row r="80" spans="1:337" hidden="1" x14ac:dyDescent="0.25"/>
    <row r="81" spans="1:336" hidden="1" x14ac:dyDescent="0.25"/>
    <row r="82" spans="1:336" x14ac:dyDescent="0.25">
      <c r="A82" s="3" t="s">
        <v>1</v>
      </c>
      <c r="B82" s="7">
        <v>37986</v>
      </c>
      <c r="C82" s="7">
        <v>38017</v>
      </c>
      <c r="D82" s="7">
        <v>38046</v>
      </c>
      <c r="E82" s="7">
        <v>38077</v>
      </c>
      <c r="F82" s="7">
        <v>38107</v>
      </c>
      <c r="G82" s="7">
        <v>38138</v>
      </c>
      <c r="H82" s="7">
        <v>38168</v>
      </c>
      <c r="I82" s="7">
        <v>38199</v>
      </c>
      <c r="J82" s="7">
        <v>38230</v>
      </c>
      <c r="K82" s="7">
        <v>38260</v>
      </c>
      <c r="L82" s="7">
        <v>38291</v>
      </c>
      <c r="M82" s="7">
        <v>38321</v>
      </c>
      <c r="N82" s="7">
        <v>38352</v>
      </c>
      <c r="O82" s="7">
        <v>38383</v>
      </c>
      <c r="P82" s="7">
        <v>38411</v>
      </c>
      <c r="Q82" s="7">
        <v>38442</v>
      </c>
      <c r="R82" s="7">
        <v>38472</v>
      </c>
      <c r="S82" s="7">
        <v>38503</v>
      </c>
      <c r="T82" s="7">
        <v>38533</v>
      </c>
      <c r="U82" s="7">
        <v>38564</v>
      </c>
      <c r="V82" s="7">
        <v>38595</v>
      </c>
      <c r="W82" s="7">
        <v>38625</v>
      </c>
      <c r="X82" s="7">
        <v>38656</v>
      </c>
      <c r="Y82" s="7">
        <v>38686</v>
      </c>
      <c r="Z82" s="7">
        <v>38717</v>
      </c>
      <c r="AA82" s="7">
        <v>38748</v>
      </c>
      <c r="AB82" s="7">
        <v>38776</v>
      </c>
      <c r="AC82" s="7">
        <v>38807</v>
      </c>
      <c r="AD82" s="7">
        <v>38837</v>
      </c>
      <c r="AE82" s="7">
        <v>38868</v>
      </c>
      <c r="AF82" s="7">
        <v>38898</v>
      </c>
      <c r="AG82" s="7">
        <v>38929</v>
      </c>
      <c r="AH82" s="7">
        <v>38960</v>
      </c>
      <c r="AI82" s="7">
        <v>38990</v>
      </c>
      <c r="AJ82" s="7">
        <v>39021</v>
      </c>
      <c r="AK82" s="7">
        <v>39051</v>
      </c>
      <c r="AL82" s="7">
        <v>39082</v>
      </c>
      <c r="AM82" s="7">
        <v>39113</v>
      </c>
      <c r="AN82" s="7">
        <v>39141</v>
      </c>
      <c r="AO82" s="7">
        <v>39172</v>
      </c>
      <c r="AP82" s="7">
        <v>39202</v>
      </c>
      <c r="AQ82" s="7">
        <v>39233</v>
      </c>
      <c r="AR82" s="7">
        <v>39263</v>
      </c>
      <c r="AS82" s="7">
        <v>39294</v>
      </c>
      <c r="AT82" s="7">
        <v>39325</v>
      </c>
      <c r="AU82" s="7">
        <v>39355</v>
      </c>
      <c r="AV82" s="7">
        <v>39386</v>
      </c>
      <c r="AW82" s="7">
        <v>39416</v>
      </c>
      <c r="AX82" s="7">
        <v>39447</v>
      </c>
      <c r="AY82" s="7">
        <v>39478</v>
      </c>
      <c r="AZ82" s="7">
        <v>39507</v>
      </c>
      <c r="BA82" s="7">
        <v>39538</v>
      </c>
      <c r="BB82" s="7">
        <v>39568</v>
      </c>
      <c r="BC82" s="7">
        <v>39599</v>
      </c>
      <c r="BD82" s="7">
        <v>39629</v>
      </c>
      <c r="BE82" s="7">
        <v>39660</v>
      </c>
      <c r="BF82" s="7">
        <v>39691</v>
      </c>
      <c r="BG82" s="7">
        <v>39721</v>
      </c>
      <c r="BH82" s="7">
        <v>39752</v>
      </c>
      <c r="BI82" s="7">
        <v>39782</v>
      </c>
      <c r="BJ82" s="7">
        <v>39813</v>
      </c>
      <c r="BK82" s="7">
        <v>39844</v>
      </c>
      <c r="BL82" s="7">
        <v>39872</v>
      </c>
      <c r="BM82" s="7">
        <v>39903</v>
      </c>
      <c r="BN82" s="7">
        <v>39933</v>
      </c>
      <c r="BO82" s="7">
        <v>39964</v>
      </c>
      <c r="BP82" s="7">
        <v>39994</v>
      </c>
      <c r="BQ82" s="7">
        <v>40025</v>
      </c>
      <c r="BR82" s="7">
        <v>40056</v>
      </c>
      <c r="BS82" s="7">
        <v>40086</v>
      </c>
      <c r="BT82" s="7">
        <v>40117</v>
      </c>
      <c r="BU82" s="7">
        <v>40147</v>
      </c>
      <c r="BV82" s="7">
        <v>40178</v>
      </c>
      <c r="BW82" s="7">
        <v>40209</v>
      </c>
      <c r="BX82" s="7">
        <v>40237</v>
      </c>
      <c r="BY82" s="7">
        <v>40268</v>
      </c>
      <c r="BZ82" s="7">
        <v>40298</v>
      </c>
      <c r="CA82" s="7">
        <v>40329</v>
      </c>
      <c r="CB82" s="7">
        <v>40359</v>
      </c>
      <c r="CC82" s="7">
        <v>40390</v>
      </c>
      <c r="CD82" s="7">
        <v>40421</v>
      </c>
      <c r="CE82" s="7">
        <v>40451</v>
      </c>
      <c r="CF82" s="7">
        <v>40482</v>
      </c>
      <c r="CG82" s="7">
        <v>40512</v>
      </c>
      <c r="CH82" s="7">
        <v>40543</v>
      </c>
      <c r="CI82" s="7">
        <v>40574</v>
      </c>
      <c r="CJ82" s="7">
        <v>40602</v>
      </c>
      <c r="CK82" s="7">
        <v>40633</v>
      </c>
      <c r="CL82" s="7">
        <v>40663</v>
      </c>
      <c r="CM82" s="7">
        <v>40694</v>
      </c>
      <c r="CN82" s="7">
        <v>40724</v>
      </c>
      <c r="CO82" s="7">
        <v>40755</v>
      </c>
      <c r="CP82" s="7">
        <v>40786</v>
      </c>
      <c r="CQ82" s="7">
        <v>40816</v>
      </c>
      <c r="CR82" s="7">
        <v>40847</v>
      </c>
      <c r="CS82" s="7">
        <v>40877</v>
      </c>
      <c r="CT82" s="7">
        <v>40908</v>
      </c>
      <c r="CU82" s="7">
        <v>40939</v>
      </c>
      <c r="CV82" s="7">
        <v>40968</v>
      </c>
      <c r="CW82" s="7">
        <v>40999</v>
      </c>
      <c r="CX82" s="7">
        <v>41029</v>
      </c>
      <c r="CY82" s="7">
        <v>41060</v>
      </c>
      <c r="CZ82" s="7">
        <v>41090</v>
      </c>
      <c r="DA82" s="7">
        <v>41121</v>
      </c>
      <c r="DB82" s="7">
        <v>41152</v>
      </c>
      <c r="DC82" s="7">
        <v>41182</v>
      </c>
      <c r="DD82" s="7">
        <v>41213</v>
      </c>
      <c r="DE82" s="7">
        <v>41243</v>
      </c>
      <c r="DF82" s="7">
        <v>41274</v>
      </c>
      <c r="DG82" s="7">
        <v>41305</v>
      </c>
      <c r="DH82" s="7">
        <v>41333</v>
      </c>
      <c r="DI82" s="7">
        <v>41364</v>
      </c>
      <c r="DJ82" s="7">
        <v>41394</v>
      </c>
      <c r="DK82" s="7">
        <v>41425</v>
      </c>
      <c r="DL82" s="7">
        <v>41455</v>
      </c>
      <c r="DM82" s="7">
        <v>41486</v>
      </c>
      <c r="DN82" s="7">
        <v>41517</v>
      </c>
      <c r="DO82" s="7">
        <v>41547</v>
      </c>
      <c r="DP82" s="7">
        <v>41578</v>
      </c>
      <c r="DQ82" s="7">
        <v>41608</v>
      </c>
      <c r="DR82" s="7">
        <v>41639</v>
      </c>
      <c r="DS82" s="7">
        <v>41670</v>
      </c>
      <c r="DT82" s="7">
        <v>41698</v>
      </c>
      <c r="DU82" s="7">
        <v>41729</v>
      </c>
      <c r="DV82" s="7">
        <v>41759</v>
      </c>
      <c r="DW82" s="7">
        <v>41790</v>
      </c>
      <c r="DX82" s="7">
        <v>41820</v>
      </c>
      <c r="DY82" s="7">
        <v>41851</v>
      </c>
      <c r="DZ82" s="7">
        <v>41882</v>
      </c>
      <c r="EA82" s="7">
        <v>41912</v>
      </c>
      <c r="EB82" s="7">
        <v>41943</v>
      </c>
      <c r="EC82" s="7">
        <v>41973</v>
      </c>
      <c r="ED82" s="7">
        <v>42004</v>
      </c>
      <c r="EE82" s="7">
        <v>42035</v>
      </c>
      <c r="EF82" s="7">
        <v>42063</v>
      </c>
      <c r="EG82" s="7">
        <v>42094</v>
      </c>
      <c r="EH82" s="7">
        <v>42124</v>
      </c>
      <c r="EI82" s="7">
        <v>42155</v>
      </c>
      <c r="EJ82" s="7">
        <v>42185</v>
      </c>
      <c r="EK82" s="7">
        <v>42216</v>
      </c>
      <c r="EL82" s="7">
        <v>42247</v>
      </c>
      <c r="EM82" s="7">
        <v>42277</v>
      </c>
      <c r="EN82" s="7">
        <v>42308</v>
      </c>
      <c r="EO82" s="7">
        <v>42338</v>
      </c>
      <c r="EP82" s="7">
        <v>42369</v>
      </c>
      <c r="EQ82" s="7">
        <v>42400</v>
      </c>
      <c r="ER82" s="7">
        <v>42429</v>
      </c>
      <c r="ES82" s="7">
        <v>42460</v>
      </c>
      <c r="ET82" s="7">
        <v>42490</v>
      </c>
      <c r="EU82" s="7">
        <v>42521</v>
      </c>
      <c r="EV82" s="7">
        <v>42551</v>
      </c>
      <c r="EW82" s="7">
        <v>42582</v>
      </c>
      <c r="EX82" s="7">
        <v>42613</v>
      </c>
      <c r="EY82" s="7">
        <v>42643</v>
      </c>
      <c r="EZ82" s="7">
        <v>42674</v>
      </c>
      <c r="FA82" s="7">
        <v>42704</v>
      </c>
      <c r="FB82" s="7">
        <v>42735</v>
      </c>
      <c r="FC82" s="7">
        <v>42766</v>
      </c>
      <c r="FD82" s="7">
        <v>42794</v>
      </c>
      <c r="FE82" s="7">
        <v>42825</v>
      </c>
      <c r="FF82" s="7">
        <v>42855</v>
      </c>
      <c r="FG82" s="7">
        <v>42886</v>
      </c>
      <c r="FH82" s="7">
        <v>42916</v>
      </c>
      <c r="FI82" s="7">
        <v>42947</v>
      </c>
      <c r="FJ82" s="7">
        <v>42978</v>
      </c>
      <c r="FK82" s="7">
        <v>43008</v>
      </c>
      <c r="FL82" s="7">
        <v>43039</v>
      </c>
      <c r="FM82" s="7">
        <v>43069</v>
      </c>
      <c r="FN82" s="7">
        <v>43100</v>
      </c>
      <c r="FO82" s="7">
        <v>43131</v>
      </c>
      <c r="FP82" s="7">
        <v>43159</v>
      </c>
      <c r="FQ82" s="7">
        <v>43190</v>
      </c>
      <c r="FR82" s="7">
        <v>43220</v>
      </c>
      <c r="FS82" s="7">
        <v>43251</v>
      </c>
      <c r="FT82" s="7">
        <v>43281</v>
      </c>
      <c r="FU82" s="7">
        <v>43312</v>
      </c>
      <c r="FV82" s="7">
        <v>43343</v>
      </c>
      <c r="FW82" s="7">
        <v>43373</v>
      </c>
      <c r="FX82" s="7">
        <v>43404</v>
      </c>
      <c r="FY82" s="7">
        <v>43434</v>
      </c>
      <c r="FZ82" s="7">
        <v>43465</v>
      </c>
      <c r="GA82" s="7">
        <v>43496</v>
      </c>
      <c r="GB82" s="7">
        <v>43524</v>
      </c>
      <c r="GC82" s="7">
        <v>43555</v>
      </c>
      <c r="GD82" s="7">
        <v>43585</v>
      </c>
      <c r="GE82" s="7">
        <v>43616</v>
      </c>
      <c r="GF82" s="7">
        <v>43646</v>
      </c>
      <c r="GG82" s="7">
        <v>43677</v>
      </c>
      <c r="GH82" s="7">
        <v>43708</v>
      </c>
      <c r="GI82" s="7">
        <v>43738</v>
      </c>
      <c r="GJ82" s="7">
        <v>43769</v>
      </c>
      <c r="GK82" s="7">
        <v>43799</v>
      </c>
      <c r="GL82" s="7">
        <v>43830</v>
      </c>
      <c r="GM82" s="7">
        <v>43861</v>
      </c>
      <c r="GN82" s="7">
        <v>43890</v>
      </c>
      <c r="GO82" s="7">
        <v>43921</v>
      </c>
      <c r="GP82" s="7">
        <v>43951</v>
      </c>
      <c r="GQ82" s="7">
        <v>43982</v>
      </c>
      <c r="GR82" s="7">
        <v>44012</v>
      </c>
      <c r="GS82" s="7">
        <v>44043</v>
      </c>
      <c r="GT82" s="7">
        <v>44074</v>
      </c>
      <c r="GU82" s="7">
        <v>44104</v>
      </c>
      <c r="GV82" s="7">
        <v>44135</v>
      </c>
      <c r="GW82" s="7">
        <v>44165</v>
      </c>
      <c r="GX82" s="7">
        <v>44196</v>
      </c>
      <c r="GY82" s="7">
        <v>44227</v>
      </c>
      <c r="GZ82" s="7">
        <v>44255</v>
      </c>
      <c r="HA82" s="7">
        <v>44286</v>
      </c>
      <c r="HB82" s="7">
        <v>44316</v>
      </c>
      <c r="HC82" s="7">
        <v>44347</v>
      </c>
      <c r="HD82" s="7">
        <v>44377</v>
      </c>
      <c r="HE82" s="7">
        <v>44408</v>
      </c>
      <c r="HF82" s="7">
        <v>44439</v>
      </c>
      <c r="HG82" s="7">
        <v>44469</v>
      </c>
      <c r="HH82" s="7">
        <v>44500</v>
      </c>
      <c r="HI82" s="7">
        <v>44530</v>
      </c>
      <c r="HJ82" s="7">
        <v>44561</v>
      </c>
      <c r="HK82" s="7">
        <v>44592</v>
      </c>
      <c r="HL82" s="7">
        <v>44620</v>
      </c>
      <c r="HM82" s="7">
        <v>44651</v>
      </c>
      <c r="HN82" s="7">
        <v>44681</v>
      </c>
      <c r="HO82" s="7">
        <v>44712</v>
      </c>
      <c r="HP82" s="7">
        <v>44742</v>
      </c>
      <c r="HQ82" s="7">
        <v>44773</v>
      </c>
      <c r="HR82" s="7">
        <v>44804</v>
      </c>
      <c r="HS82" s="7">
        <v>44834</v>
      </c>
      <c r="HT82" s="7">
        <v>44865</v>
      </c>
      <c r="HU82" s="7">
        <v>44895</v>
      </c>
      <c r="HV82" s="7">
        <v>44926</v>
      </c>
      <c r="HW82" s="7">
        <v>44957</v>
      </c>
      <c r="HX82" s="7">
        <v>44985</v>
      </c>
      <c r="HY82" s="7">
        <v>45016</v>
      </c>
      <c r="HZ82" s="7">
        <v>45046</v>
      </c>
      <c r="IA82" s="7">
        <v>45077</v>
      </c>
      <c r="IB82" s="7">
        <v>45107</v>
      </c>
      <c r="IC82" s="7">
        <v>45138</v>
      </c>
      <c r="ID82" s="7">
        <v>45169</v>
      </c>
      <c r="IE82" s="7">
        <v>45199</v>
      </c>
      <c r="IF82" s="7">
        <v>45230</v>
      </c>
      <c r="IG82" s="7">
        <v>45260</v>
      </c>
      <c r="IH82" s="7">
        <v>45291</v>
      </c>
      <c r="II82" s="7">
        <v>45322</v>
      </c>
      <c r="IJ82" s="7">
        <v>45351</v>
      </c>
      <c r="IK82" s="7">
        <v>45382</v>
      </c>
      <c r="IL82" s="7">
        <v>45412</v>
      </c>
      <c r="IM82" s="7">
        <v>45443</v>
      </c>
      <c r="IN82" s="7">
        <v>45473</v>
      </c>
      <c r="IO82" s="7">
        <v>45504</v>
      </c>
      <c r="IP82" s="7">
        <v>45535</v>
      </c>
      <c r="IQ82" s="7">
        <v>45565</v>
      </c>
      <c r="IR82" s="7">
        <v>45596</v>
      </c>
      <c r="IS82" s="7">
        <v>45626</v>
      </c>
      <c r="IT82" s="7">
        <v>45657</v>
      </c>
      <c r="IU82" s="7">
        <v>45688</v>
      </c>
      <c r="IV82" s="7">
        <v>45716</v>
      </c>
      <c r="IW82" s="7">
        <v>45747</v>
      </c>
      <c r="IX82" s="7">
        <v>45777</v>
      </c>
      <c r="IY82" s="7">
        <v>45808</v>
      </c>
      <c r="IZ82" s="7">
        <v>45838</v>
      </c>
      <c r="JA82" s="7">
        <v>45869</v>
      </c>
      <c r="JB82" s="7">
        <v>45900</v>
      </c>
      <c r="JC82" s="7">
        <v>45930</v>
      </c>
      <c r="JD82" s="7">
        <v>45961</v>
      </c>
      <c r="JE82" s="7">
        <v>45991</v>
      </c>
      <c r="JF82" s="7">
        <v>46022</v>
      </c>
      <c r="JG82" s="7">
        <v>46053</v>
      </c>
      <c r="JH82" s="7">
        <v>46081</v>
      </c>
      <c r="LT82"/>
      <c r="LU82"/>
      <c r="LV82"/>
      <c r="LW82"/>
      <c r="LX82"/>
    </row>
    <row r="83" spans="1:336" x14ac:dyDescent="0.25"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>
        <f t="shared" ref="AA83:CL83" ca="1" si="85">IF(AA3="","",AVERAGE(Y57:Z57)+CONFIDENCE(0.05,STDEV(B57:Z57),COUNT(B57:Z57)))</f>
        <v>3.9858165190635383E-3</v>
      </c>
      <c r="AB83" s="21">
        <f t="shared" ca="1" si="85"/>
        <v>3.7454496822043734E-3</v>
      </c>
      <c r="AC83" s="21">
        <f t="shared" ca="1" si="85"/>
        <v>5.4738547596740253E-3</v>
      </c>
      <c r="AD83" s="21">
        <f t="shared" ca="1" si="85"/>
        <v>1.1130318084226449E-2</v>
      </c>
      <c r="AE83" s="21">
        <f t="shared" ca="1" si="85"/>
        <v>1.1456058291604636E-2</v>
      </c>
      <c r="AF83" s="21">
        <f t="shared" ca="1" si="85"/>
        <v>8.391690746809323E-3</v>
      </c>
      <c r="AG83" s="21">
        <f t="shared" ca="1" si="85"/>
        <v>6.5335236624358391E-3</v>
      </c>
      <c r="AH83" s="21">
        <f t="shared" ca="1" si="85"/>
        <v>4.825221791690204E-3</v>
      </c>
      <c r="AI83" s="21">
        <f t="shared" ca="1" si="85"/>
        <v>8.6269568938873564E-3</v>
      </c>
      <c r="AJ83" s="21">
        <f t="shared" ca="1" si="85"/>
        <v>1.3523350315909215E-2</v>
      </c>
      <c r="AK83" s="21">
        <f t="shared" ca="1" si="85"/>
        <v>1.2691115979432153E-2</v>
      </c>
      <c r="AL83" s="21">
        <f t="shared" ca="1" si="85"/>
        <v>9.6782944780795955E-3</v>
      </c>
      <c r="AM83" s="21">
        <f t="shared" ca="1" si="85"/>
        <v>5.972564173421846E-3</v>
      </c>
      <c r="AN83" s="21">
        <f t="shared" ca="1" si="85"/>
        <v>3.7245994454140133E-3</v>
      </c>
      <c r="AO83" s="21">
        <f t="shared" ca="1" si="85"/>
        <v>7.1054887762226227E-3</v>
      </c>
      <c r="AP83" s="21">
        <f t="shared" ca="1" si="85"/>
        <v>1.2020904104304963E-2</v>
      </c>
      <c r="AQ83" s="21">
        <f t="shared" ca="1" si="85"/>
        <v>1.3763777832277066E-2</v>
      </c>
      <c r="AR83" s="21">
        <f t="shared" ca="1" si="85"/>
        <v>1.7818913502614522E-2</v>
      </c>
      <c r="AS83" s="21">
        <f t="shared" ca="1" si="85"/>
        <v>1.6924356417200675E-2</v>
      </c>
      <c r="AT83" s="21">
        <f t="shared" ca="1" si="85"/>
        <v>1.5005569431793108E-2</v>
      </c>
      <c r="AU83" s="21">
        <f t="shared" ca="1" si="85"/>
        <v>1.1947708680698083E-2</v>
      </c>
      <c r="AV83" s="21">
        <f t="shared" ca="1" si="85"/>
        <v>6.2808017898061397E-3</v>
      </c>
      <c r="AW83" s="21">
        <f t="shared" ca="1" si="85"/>
        <v>4.9198461571999287E-3</v>
      </c>
      <c r="AX83" s="21">
        <f t="shared" ca="1" si="85"/>
        <v>9.7394239504533867E-3</v>
      </c>
      <c r="AY83" s="21">
        <f t="shared" ca="1" si="85"/>
        <v>2.5273270324233543E-2</v>
      </c>
      <c r="AZ83" s="21">
        <f t="shared" ca="1" si="85"/>
        <v>3.2529383941817452E-2</v>
      </c>
      <c r="BA83" s="21">
        <f t="shared" ca="1" si="85"/>
        <v>1.8232290764853679E-2</v>
      </c>
      <c r="BB83" s="21">
        <f t="shared" ca="1" si="85"/>
        <v>2.0112636479649258E-2</v>
      </c>
      <c r="BC83" s="21">
        <f t="shared" ca="1" si="85"/>
        <v>3.1420059664777657E-2</v>
      </c>
      <c r="BD83" s="21">
        <f t="shared" ca="1" si="85"/>
        <v>2.2652457091986797E-2</v>
      </c>
      <c r="BE83" s="21">
        <f t="shared" ca="1" si="85"/>
        <v>1.33985819512565E-2</v>
      </c>
      <c r="BF83" s="21">
        <f t="shared" ca="1" si="85"/>
        <v>1.4077469679863144E-2</v>
      </c>
      <c r="BG83" s="21">
        <f t="shared" ca="1" si="85"/>
        <v>2.0346915846491315E-2</v>
      </c>
      <c r="BH83" s="21">
        <f t="shared" ca="1" si="85"/>
        <v>2.9565518404086298E-2</v>
      </c>
      <c r="BI83" s="21">
        <f t="shared" ca="1" si="85"/>
        <v>3.2024168559289495E-2</v>
      </c>
      <c r="BJ83" s="21">
        <f t="shared" ca="1" si="85"/>
        <v>1.8361092698909374E-2</v>
      </c>
      <c r="BK83" s="21">
        <f t="shared" ca="1" si="85"/>
        <v>7.0618889548141207E-3</v>
      </c>
      <c r="BL83" s="21">
        <f t="shared" ca="1" si="85"/>
        <v>9.6695019097874074E-3</v>
      </c>
      <c r="BM83" s="21">
        <f t="shared" ca="1" si="85"/>
        <v>1.1281952610083492E-2</v>
      </c>
      <c r="BN83" s="21">
        <f t="shared" ca="1" si="85"/>
        <v>1.2519172417583655E-2</v>
      </c>
      <c r="BO83" s="21">
        <f t="shared" ca="1" si="85"/>
        <v>2.0912915439412788E-2</v>
      </c>
      <c r="BP83" s="21">
        <f t="shared" ca="1" si="85"/>
        <v>3.0927399915360355E-2</v>
      </c>
      <c r="BQ83" s="21">
        <f t="shared" ca="1" si="85"/>
        <v>3.0677581833836273E-2</v>
      </c>
      <c r="BR83" s="21">
        <f t="shared" ca="1" si="85"/>
        <v>1.5457962564346766E-2</v>
      </c>
      <c r="BS83" s="21">
        <f t="shared" ca="1" si="85"/>
        <v>8.9840516524773047E-3</v>
      </c>
      <c r="BT83" s="21">
        <f t="shared" ca="1" si="85"/>
        <v>1.1458539611974393E-2</v>
      </c>
      <c r="BU83" s="21">
        <f t="shared" ca="1" si="85"/>
        <v>1.421799403172299E-2</v>
      </c>
      <c r="BV83" s="21">
        <f t="shared" ca="1" si="85"/>
        <v>1.173365606255598E-2</v>
      </c>
      <c r="BW83" s="21">
        <f t="shared" ca="1" si="85"/>
        <v>7.1206782344717945E-3</v>
      </c>
      <c r="BX83" s="21">
        <f t="shared" ca="1" si="85"/>
        <v>9.4885311887822482E-3</v>
      </c>
      <c r="BY83" s="21">
        <f t="shared" ca="1" si="85"/>
        <v>7.754845924575017E-3</v>
      </c>
      <c r="BZ83" s="21">
        <f t="shared" ca="1" si="85"/>
        <v>8.1432690135316427E-3</v>
      </c>
      <c r="CA83" s="21">
        <f t="shared" ca="1" si="85"/>
        <v>1.1971829461427715E-2</v>
      </c>
      <c r="CB83" s="21">
        <f t="shared" ca="1" si="85"/>
        <v>1.3911109183450301E-2</v>
      </c>
      <c r="CC83" s="21">
        <f t="shared" ca="1" si="85"/>
        <v>1.4262910088512087E-2</v>
      </c>
      <c r="CD83" s="21">
        <f t="shared" ca="1" si="85"/>
        <v>1.3529059524991477E-2</v>
      </c>
      <c r="CE83" s="21">
        <f t="shared" ca="1" si="85"/>
        <v>1.1197396222277521E-2</v>
      </c>
      <c r="CF83" s="21">
        <f t="shared" ca="1" si="85"/>
        <v>7.1934303715009869E-3</v>
      </c>
      <c r="CG83" s="21">
        <f t="shared" ca="1" si="85"/>
        <v>8.5013669512281655E-3</v>
      </c>
      <c r="CH83" s="21">
        <f t="shared" ca="1" si="85"/>
        <v>1.0973725105511183E-2</v>
      </c>
      <c r="CI83" s="21">
        <f t="shared" ca="1" si="85"/>
        <v>1.3195615306018028E-2</v>
      </c>
      <c r="CJ83" s="21">
        <f t="shared" ca="1" si="85"/>
        <v>1.1949283351799907E-2</v>
      </c>
      <c r="CK83" s="21">
        <f t="shared" ca="1" si="85"/>
        <v>9.3502398964641787E-3</v>
      </c>
      <c r="CL83" s="21">
        <f t="shared" ca="1" si="85"/>
        <v>1.1632201172594534E-2</v>
      </c>
      <c r="CM83" s="21">
        <f t="shared" ref="CM83:EX83" ca="1" si="86">IF(CM3="","",AVERAGE(CK57:CL57)+CONFIDENCE(0.05,STDEV(BN57:CL57),COUNT(BN57:CL57)))</f>
        <v>8.3075651353094575E-3</v>
      </c>
      <c r="CN83" s="21">
        <f t="shared" ca="1" si="86"/>
        <v>4.1187444715663239E-3</v>
      </c>
      <c r="CO83" s="21">
        <f t="shared" ca="1" si="86"/>
        <v>3.0583162144845696E-3</v>
      </c>
      <c r="CP83" s="21">
        <f t="shared" ca="1" si="86"/>
        <v>2.7401035759575436E-3</v>
      </c>
      <c r="CQ83" s="21">
        <f t="shared" ca="1" si="86"/>
        <v>1.0119936176547802E-2</v>
      </c>
      <c r="CR83" s="21">
        <f t="shared" ca="1" si="86"/>
        <v>1.418173713637845E-2</v>
      </c>
      <c r="CS83" s="21">
        <f t="shared" ca="1" si="86"/>
        <v>1.0366106652170156E-2</v>
      </c>
      <c r="CT83" s="21">
        <f t="shared" ca="1" si="86"/>
        <v>9.1070857136008685E-3</v>
      </c>
      <c r="CU83" s="21">
        <f t="shared" ca="1" si="86"/>
        <v>1.2945384551739145E-2</v>
      </c>
      <c r="CV83" s="21">
        <f t="shared" ca="1" si="86"/>
        <v>1.1773480754890969E-2</v>
      </c>
      <c r="CW83" s="21">
        <f t="shared" ca="1" si="86"/>
        <v>5.1269692877849472E-3</v>
      </c>
      <c r="CX83" s="21">
        <f t="shared" ca="1" si="86"/>
        <v>4.3026047859520879E-3</v>
      </c>
      <c r="CY83" s="21">
        <f t="shared" ca="1" si="86"/>
        <v>5.5248529811712677E-3</v>
      </c>
      <c r="CZ83" s="21">
        <f t="shared" ca="1" si="86"/>
        <v>1.1807095814716404E-2</v>
      </c>
      <c r="DA83" s="21">
        <f t="shared" ca="1" si="86"/>
        <v>1.1289924437084339E-2</v>
      </c>
      <c r="DB83" s="21">
        <f t="shared" ca="1" si="86"/>
        <v>6.007740081244127E-3</v>
      </c>
      <c r="DC83" s="21">
        <f t="shared" ca="1" si="86"/>
        <v>6.9560649216796489E-3</v>
      </c>
      <c r="DD83" s="21">
        <f t="shared" ca="1" si="86"/>
        <v>6.0702475663809525E-3</v>
      </c>
      <c r="DE83" s="21">
        <f t="shared" ca="1" si="86"/>
        <v>4.0825632702359057E-3</v>
      </c>
      <c r="DF83" s="21">
        <f t="shared" ca="1" si="86"/>
        <v>1.1385345396155707E-2</v>
      </c>
      <c r="DG83" s="21">
        <f t="shared" ca="1" si="86"/>
        <v>1.1149748257808286E-2</v>
      </c>
      <c r="DH83" s="21">
        <f t="shared" ca="1" si="86"/>
        <v>2.1663164620592716E-3</v>
      </c>
      <c r="DI83" s="21">
        <f t="shared" ca="1" si="86"/>
        <v>3.4818112572050164E-3</v>
      </c>
      <c r="DJ83" s="21">
        <f t="shared" ca="1" si="86"/>
        <v>3.9764955343972591E-3</v>
      </c>
      <c r="DK83" s="21">
        <f t="shared" ca="1" si="86"/>
        <v>4.2114251723899959E-3</v>
      </c>
      <c r="DL83" s="21">
        <f t="shared" ca="1" si="86"/>
        <v>6.9530752398431813E-3</v>
      </c>
      <c r="DM83" s="21">
        <f t="shared" ca="1" si="86"/>
        <v>5.7581408252021359E-3</v>
      </c>
      <c r="DN83" s="21">
        <f t="shared" ca="1" si="86"/>
        <v>4.2770312642028173E-3</v>
      </c>
      <c r="DO83" s="21">
        <f t="shared" ca="1" si="86"/>
        <v>4.6430911528708724E-3</v>
      </c>
      <c r="DP83" s="21">
        <f t="shared" ca="1" si="86"/>
        <v>3.770687158411E-3</v>
      </c>
      <c r="DQ83" s="21">
        <f t="shared" ca="1" si="86"/>
        <v>7.533713042327108E-3</v>
      </c>
      <c r="DR83" s="21">
        <f t="shared" ca="1" si="86"/>
        <v>1.2934535121112657E-2</v>
      </c>
      <c r="DS83" s="21">
        <f t="shared" ca="1" si="86"/>
        <v>1.2069331524335702E-2</v>
      </c>
      <c r="DT83" s="21">
        <f t="shared" ca="1" si="86"/>
        <v>8.2746643245267659E-3</v>
      </c>
      <c r="DU83" s="21">
        <f t="shared" ca="1" si="86"/>
        <v>7.7962899800458002E-3</v>
      </c>
      <c r="DV83" s="21">
        <f t="shared" ca="1" si="86"/>
        <v>7.7614155537571051E-3</v>
      </c>
      <c r="DW83" s="21">
        <f t="shared" ca="1" si="86"/>
        <v>5.5370944194558097E-3</v>
      </c>
      <c r="DX83" s="21">
        <f t="shared" ca="1" si="86"/>
        <v>4.2289434587264611E-3</v>
      </c>
      <c r="DY83" s="21">
        <f t="shared" ca="1" si="86"/>
        <v>8.6682242989568874E-3</v>
      </c>
      <c r="DZ83" s="21">
        <f t="shared" ca="1" si="86"/>
        <v>8.0369291113448621E-3</v>
      </c>
      <c r="EA83" s="21">
        <f t="shared" ca="1" si="86"/>
        <v>2.7550482436873676E-3</v>
      </c>
      <c r="EB83" s="21">
        <f t="shared" ca="1" si="86"/>
        <v>2.1070629271030244E-3</v>
      </c>
      <c r="EC83" s="21">
        <f t="shared" ca="1" si="86"/>
        <v>6.6766996556819414E-3</v>
      </c>
      <c r="ED83" s="21">
        <f t="shared" ca="1" si="86"/>
        <v>6.5766203573745666E-3</v>
      </c>
      <c r="EE83" s="21">
        <f t="shared" ca="1" si="86"/>
        <v>4.4846618851645242E-3</v>
      </c>
      <c r="EF83" s="21">
        <f t="shared" ca="1" si="86"/>
        <v>6.2100479011525187E-3</v>
      </c>
      <c r="EG83" s="21">
        <f t="shared" ca="1" si="86"/>
        <v>4.337678690652819E-3</v>
      </c>
      <c r="EH83" s="21">
        <f t="shared" ca="1" si="86"/>
        <v>3.2034154984409789E-3</v>
      </c>
      <c r="EI83" s="21">
        <f t="shared" ca="1" si="86"/>
        <v>3.9002411041177843E-3</v>
      </c>
      <c r="EJ83" s="21">
        <f t="shared" ca="1" si="86"/>
        <v>8.0602585230678241E-3</v>
      </c>
      <c r="EK83" s="21">
        <f t="shared" ca="1" si="86"/>
        <v>9.064629844497258E-3</v>
      </c>
      <c r="EL83" s="21">
        <f t="shared" ca="1" si="86"/>
        <v>7.8470468473288337E-3</v>
      </c>
      <c r="EM83" s="21">
        <f t="shared" ca="1" si="86"/>
        <v>6.4421489739010188E-3</v>
      </c>
      <c r="EN83" s="21">
        <f t="shared" ca="1" si="86"/>
        <v>3.8622898611351845E-3</v>
      </c>
      <c r="EO83" s="21">
        <f t="shared" ca="1" si="86"/>
        <v>6.9402933094841251E-3</v>
      </c>
      <c r="EP83" s="21">
        <f t="shared" ca="1" si="86"/>
        <v>6.7226379641242996E-3</v>
      </c>
      <c r="EQ83" s="21">
        <f t="shared" ca="1" si="86"/>
        <v>5.3547682624467347E-3</v>
      </c>
      <c r="ER83" s="21">
        <f t="shared" ca="1" si="86"/>
        <v>6.2532760225567103E-3</v>
      </c>
      <c r="ES83" s="21">
        <f t="shared" ca="1" si="86"/>
        <v>3.1103382374175386E-3</v>
      </c>
      <c r="ET83" s="21">
        <f t="shared" ca="1" si="86"/>
        <v>3.8714553891586317E-3</v>
      </c>
      <c r="EU83" s="21">
        <f t="shared" ca="1" si="86"/>
        <v>4.0049095449338368E-3</v>
      </c>
      <c r="EV83" s="21">
        <f t="shared" ca="1" si="86"/>
        <v>5.0430926837900037E-3</v>
      </c>
      <c r="EW83" s="21">
        <f t="shared" ca="1" si="86"/>
        <v>6.3002552211211442E-3</v>
      </c>
      <c r="EX83" s="21">
        <f t="shared" ca="1" si="86"/>
        <v>4.2365091543444637E-3</v>
      </c>
      <c r="EY83" s="21">
        <f t="shared" ref="EY83:HJ83" ca="1" si="87">IF(EY3="","",AVERAGE(EW57:EX57)+CONFIDENCE(0.05,STDEV(DZ57:EX57),COUNT(DZ57:EX57)))</f>
        <v>3.6884524996968903E-3</v>
      </c>
      <c r="EZ83" s="21">
        <f t="shared" ca="1" si="87"/>
        <v>4.8447416415873072E-3</v>
      </c>
      <c r="FA83" s="21">
        <f t="shared" ca="1" si="87"/>
        <v>9.8029226876107985E-3</v>
      </c>
      <c r="FB83" s="21">
        <f t="shared" ca="1" si="87"/>
        <v>1.1740240211931836E-2</v>
      </c>
      <c r="FC83" s="21">
        <f t="shared" ca="1" si="87"/>
        <v>7.7302378426180691E-3</v>
      </c>
      <c r="FD83" s="21">
        <f t="shared" ca="1" si="87"/>
        <v>3.1304880083981514E-3</v>
      </c>
      <c r="FE83" s="21">
        <f t="shared" ca="1" si="87"/>
        <v>1.3333207880980641E-3</v>
      </c>
      <c r="FF83" s="21">
        <f t="shared" ca="1" si="87"/>
        <v>5.4575905138610032E-3</v>
      </c>
      <c r="FG83" s="21">
        <f t="shared" ca="1" si="87"/>
        <v>7.0602285717710628E-3</v>
      </c>
      <c r="FH83" s="21">
        <f t="shared" ca="1" si="87"/>
        <v>7.6306465750065116E-3</v>
      </c>
      <c r="FI83" s="21">
        <f t="shared" ca="1" si="87"/>
        <v>1.2579058822275209E-2</v>
      </c>
      <c r="FJ83" s="21">
        <f t="shared" ca="1" si="87"/>
        <v>1.1269284811778307E-2</v>
      </c>
      <c r="FK83" s="21">
        <f t="shared" ca="1" si="87"/>
        <v>7.09725371221863E-3</v>
      </c>
      <c r="FL83" s="21">
        <f t="shared" ca="1" si="87"/>
        <v>6.1118208448784446E-3</v>
      </c>
      <c r="FM83" s="21">
        <f t="shared" ca="1" si="87"/>
        <v>5.6596526413439643E-3</v>
      </c>
      <c r="FN83" s="21">
        <f t="shared" ca="1" si="87"/>
        <v>4.1366445608272233E-3</v>
      </c>
      <c r="FO83" s="21">
        <f t="shared" ca="1" si="87"/>
        <v>3.4538801284642452E-3</v>
      </c>
      <c r="FP83" s="21">
        <f t="shared" ca="1" si="87"/>
        <v>3.5316553278587864E-3</v>
      </c>
      <c r="FQ83" s="21">
        <f t="shared" ca="1" si="87"/>
        <v>3.11025779751283E-3</v>
      </c>
      <c r="FR83" s="21">
        <f t="shared" ca="1" si="87"/>
        <v>2.6401904937162252E-3</v>
      </c>
      <c r="FS83" s="21">
        <f t="shared" ca="1" si="87"/>
        <v>4.6314660085719633E-3</v>
      </c>
      <c r="FT83" s="21">
        <f t="shared" ca="1" si="87"/>
        <v>5.3601013095359419E-3</v>
      </c>
      <c r="FU83" s="21">
        <f t="shared" ca="1" si="87"/>
        <v>4.8125021621500145E-3</v>
      </c>
      <c r="FV83" s="21">
        <f t="shared" ca="1" si="87"/>
        <v>4.5267016324088416E-3</v>
      </c>
      <c r="FW83" s="21">
        <f t="shared" ca="1" si="87"/>
        <v>5.6467387830969658E-3</v>
      </c>
      <c r="FX83" s="21">
        <f t="shared" ca="1" si="87"/>
        <v>6.514125659901014E-3</v>
      </c>
      <c r="FY83" s="21">
        <f t="shared" ca="1" si="87"/>
        <v>4.5884488543302456E-3</v>
      </c>
      <c r="FZ83" s="21">
        <f t="shared" ca="1" si="87"/>
        <v>4.3643404151388846E-3</v>
      </c>
      <c r="GA83" s="21">
        <f t="shared" ca="1" si="87"/>
        <v>4.1173081540048064E-3</v>
      </c>
      <c r="GB83" s="21">
        <f t="shared" ca="1" si="87"/>
        <v>2.7935301683527222E-3</v>
      </c>
      <c r="GC83" s="21">
        <f t="shared" ca="1" si="87"/>
        <v>2.0102822602228254E-3</v>
      </c>
      <c r="GD83" s="21">
        <f t="shared" ca="1" si="87"/>
        <v>3.9327794842866914E-3</v>
      </c>
      <c r="GE83" s="21">
        <f t="shared" ca="1" si="87"/>
        <v>3.5966697476425809E-3</v>
      </c>
      <c r="GF83" s="21">
        <f t="shared" ca="1" si="87"/>
        <v>5.870952159494151E-3</v>
      </c>
      <c r="GG83" s="21">
        <f t="shared" ca="1" si="87"/>
        <v>9.4129096782361241E-3</v>
      </c>
      <c r="GH83" s="21">
        <f t="shared" ca="1" si="87"/>
        <v>4.7566751343069719E-3</v>
      </c>
      <c r="GI83" s="21">
        <f t="shared" ca="1" si="87"/>
        <v>4.956042502888806E-3</v>
      </c>
      <c r="GJ83" s="21">
        <f t="shared" ca="1" si="87"/>
        <v>1.0766433405780719E-2</v>
      </c>
      <c r="GK83" s="21">
        <f t="shared" ca="1" si="87"/>
        <v>8.9308842628613039E-3</v>
      </c>
      <c r="GL83" s="21">
        <f t="shared" ca="1" si="87"/>
        <v>4.3832061661186403E-3</v>
      </c>
      <c r="GM83" s="21">
        <f t="shared" ca="1" si="87"/>
        <v>2.4893130709205094E-3</v>
      </c>
      <c r="GN83" s="21">
        <f t="shared" ca="1" si="87"/>
        <v>5.7511326140026534E-3</v>
      </c>
      <c r="GO83" s="21">
        <f t="shared" ca="1" si="87"/>
        <v>5.9142733993925868E-2</v>
      </c>
      <c r="GP83" s="21">
        <f t="shared" ca="1" si="87"/>
        <v>9.6094846529442904E-2</v>
      </c>
      <c r="GQ83" s="21">
        <f t="shared" ca="1" si="87"/>
        <v>6.3728990816887973E-2</v>
      </c>
      <c r="GR83" s="21">
        <f t="shared" ca="1" si="87"/>
        <v>2.4432615278407305E-2</v>
      </c>
      <c r="GS83" s="21">
        <f t="shared" ca="1" si="87"/>
        <v>2.7912810845626922E-2</v>
      </c>
      <c r="GT83" s="21">
        <f t="shared" ca="1" si="87"/>
        <v>3.7041227498938012E-2</v>
      </c>
      <c r="GU83" s="21">
        <f t="shared" ca="1" si="87"/>
        <v>3.0425057594307033E-2</v>
      </c>
      <c r="GV83" s="21">
        <f t="shared" ca="1" si="87"/>
        <v>2.2014359159723215E-2</v>
      </c>
      <c r="GW83" s="21">
        <f t="shared" ca="1" si="87"/>
        <v>1.253090191194863E-2</v>
      </c>
      <c r="GX83" s="21">
        <f t="shared" ca="1" si="87"/>
        <v>2.0353998400640401E-2</v>
      </c>
      <c r="GY83" s="21">
        <f t="shared" ca="1" si="87"/>
        <v>2.4266817285516183E-2</v>
      </c>
      <c r="GZ83" s="21">
        <f t="shared" ca="1" si="87"/>
        <v>2.2227651703069028E-2</v>
      </c>
      <c r="HA83" s="21" t="str">
        <f t="shared" si="87"/>
        <v/>
      </c>
      <c r="HB83" s="21" t="str">
        <f t="shared" si="87"/>
        <v/>
      </c>
      <c r="HC83" s="21" t="str">
        <f t="shared" si="87"/>
        <v/>
      </c>
      <c r="HD83" s="21" t="str">
        <f t="shared" si="87"/>
        <v/>
      </c>
      <c r="HE83" s="21" t="str">
        <f t="shared" si="87"/>
        <v/>
      </c>
      <c r="HF83" s="21" t="str">
        <f t="shared" si="87"/>
        <v/>
      </c>
      <c r="HG83" s="21" t="str">
        <f t="shared" si="87"/>
        <v/>
      </c>
      <c r="HH83" s="21" t="str">
        <f t="shared" si="87"/>
        <v/>
      </c>
      <c r="HI83" s="21" t="str">
        <f t="shared" si="87"/>
        <v/>
      </c>
      <c r="HJ83" s="21" t="str">
        <f t="shared" si="87"/>
        <v/>
      </c>
      <c r="HK83" s="21" t="str">
        <f t="shared" ref="HK83:JH83" si="88">IF(HK3="","",AVERAGE(HI57:HJ57)+CONFIDENCE(0.05,STDEV(GL57:HJ57),COUNT(GL57:HJ57)))</f>
        <v/>
      </c>
      <c r="HL83" s="21" t="str">
        <f t="shared" si="88"/>
        <v/>
      </c>
      <c r="HM83" s="21" t="str">
        <f t="shared" si="88"/>
        <v/>
      </c>
      <c r="HN83" s="21" t="str">
        <f t="shared" si="88"/>
        <v/>
      </c>
      <c r="HO83" s="21" t="str">
        <f t="shared" si="88"/>
        <v/>
      </c>
      <c r="HP83" s="21" t="str">
        <f t="shared" si="88"/>
        <v/>
      </c>
      <c r="HQ83" s="21" t="str">
        <f t="shared" si="88"/>
        <v/>
      </c>
      <c r="HR83" s="21" t="str">
        <f t="shared" si="88"/>
        <v/>
      </c>
      <c r="HS83" s="21" t="str">
        <f t="shared" si="88"/>
        <v/>
      </c>
      <c r="HT83" s="21" t="str">
        <f t="shared" si="88"/>
        <v/>
      </c>
      <c r="HU83" s="21" t="str">
        <f t="shared" si="88"/>
        <v/>
      </c>
      <c r="HV83" s="21" t="str">
        <f t="shared" si="88"/>
        <v/>
      </c>
      <c r="HW83" s="21" t="str">
        <f t="shared" si="88"/>
        <v/>
      </c>
      <c r="HX83" s="21" t="str">
        <f t="shared" si="88"/>
        <v/>
      </c>
      <c r="HY83" s="21" t="str">
        <f t="shared" si="88"/>
        <v/>
      </c>
      <c r="HZ83" s="21" t="str">
        <f t="shared" si="88"/>
        <v/>
      </c>
      <c r="IA83" s="21" t="str">
        <f t="shared" si="88"/>
        <v/>
      </c>
      <c r="IB83" s="21" t="str">
        <f t="shared" si="88"/>
        <v/>
      </c>
      <c r="IC83" s="21" t="str">
        <f t="shared" si="88"/>
        <v/>
      </c>
      <c r="ID83" s="21" t="str">
        <f t="shared" si="88"/>
        <v/>
      </c>
      <c r="IE83" s="21" t="str">
        <f t="shared" si="88"/>
        <v/>
      </c>
      <c r="IF83" s="21" t="str">
        <f t="shared" si="88"/>
        <v/>
      </c>
      <c r="IG83" s="21" t="str">
        <f t="shared" si="88"/>
        <v/>
      </c>
      <c r="IH83" s="21" t="str">
        <f t="shared" si="88"/>
        <v/>
      </c>
      <c r="II83" s="21" t="str">
        <f t="shared" si="88"/>
        <v/>
      </c>
      <c r="IJ83" s="21" t="str">
        <f t="shared" si="88"/>
        <v/>
      </c>
      <c r="IK83" s="21" t="str">
        <f t="shared" si="88"/>
        <v/>
      </c>
      <c r="IL83" s="21" t="str">
        <f t="shared" si="88"/>
        <v/>
      </c>
      <c r="IM83" s="21" t="str">
        <f t="shared" si="88"/>
        <v/>
      </c>
      <c r="IN83" s="21" t="str">
        <f t="shared" si="88"/>
        <v/>
      </c>
      <c r="IO83" s="21" t="str">
        <f t="shared" si="88"/>
        <v/>
      </c>
      <c r="IP83" s="21" t="str">
        <f t="shared" si="88"/>
        <v/>
      </c>
      <c r="IQ83" s="21" t="str">
        <f t="shared" si="88"/>
        <v/>
      </c>
      <c r="IR83" s="21" t="str">
        <f t="shared" si="88"/>
        <v/>
      </c>
      <c r="IS83" s="21" t="str">
        <f t="shared" si="88"/>
        <v/>
      </c>
      <c r="IT83" s="21" t="str">
        <f t="shared" si="88"/>
        <v/>
      </c>
      <c r="IU83" s="21" t="str">
        <f t="shared" si="88"/>
        <v/>
      </c>
      <c r="IV83" s="21" t="str">
        <f t="shared" si="88"/>
        <v/>
      </c>
      <c r="IW83" s="21" t="str">
        <f t="shared" si="88"/>
        <v/>
      </c>
      <c r="IX83" s="21" t="str">
        <f t="shared" si="88"/>
        <v/>
      </c>
      <c r="IY83" s="21" t="str">
        <f t="shared" si="88"/>
        <v/>
      </c>
      <c r="IZ83" s="21" t="str">
        <f t="shared" si="88"/>
        <v/>
      </c>
      <c r="JA83" s="21" t="str">
        <f t="shared" si="88"/>
        <v/>
      </c>
      <c r="JB83" s="21" t="str">
        <f t="shared" si="88"/>
        <v/>
      </c>
      <c r="JC83" s="21" t="str">
        <f t="shared" si="88"/>
        <v/>
      </c>
      <c r="JD83" s="21" t="str">
        <f t="shared" si="88"/>
        <v/>
      </c>
      <c r="JE83" s="21" t="str">
        <f t="shared" si="88"/>
        <v/>
      </c>
      <c r="JF83" s="21" t="str">
        <f t="shared" si="88"/>
        <v/>
      </c>
      <c r="JG83" s="21" t="str">
        <f t="shared" si="88"/>
        <v/>
      </c>
      <c r="JH83" s="21" t="str">
        <f t="shared" si="88"/>
        <v/>
      </c>
    </row>
    <row r="84" spans="1:336" x14ac:dyDescent="0.25"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>
        <f t="shared" ref="AA84:CL84" ca="1" si="89">IF(AA4="","",AVERAGE(X58:Z58)+CONFIDENCE(0.05,STDEV(B58:Z58),COUNT(B58:Z58)))</f>
        <v>4.558605202549605E-3</v>
      </c>
      <c r="AB84" s="21">
        <f t="shared" ca="1" si="89"/>
        <v>5.6866780686305601E-3</v>
      </c>
      <c r="AC84" s="21">
        <f t="shared" ca="1" si="89"/>
        <v>7.2947752078080545E-3</v>
      </c>
      <c r="AD84" s="21">
        <f t="shared" ca="1" si="89"/>
        <v>1.1481648420165847E-2</v>
      </c>
      <c r="AE84" s="21">
        <f t="shared" ca="1" si="89"/>
        <v>1.2471080166188479E-2</v>
      </c>
      <c r="AF84" s="21">
        <f t="shared" ca="1" si="89"/>
        <v>1.0598728816533967E-2</v>
      </c>
      <c r="AG84" s="21">
        <f t="shared" ca="1" si="89"/>
        <v>7.1571632413105143E-3</v>
      </c>
      <c r="AH84" s="21">
        <f t="shared" ca="1" si="89"/>
        <v>7.693510807782045E-3</v>
      </c>
      <c r="AI84" s="21">
        <f t="shared" ca="1" si="89"/>
        <v>1.3503147211266485E-2</v>
      </c>
      <c r="AJ84" s="21">
        <f t="shared" ca="1" si="89"/>
        <v>1.8115314705544269E-2</v>
      </c>
      <c r="AK84" s="21">
        <f t="shared" ca="1" si="89"/>
        <v>1.8566291505014772E-2</v>
      </c>
      <c r="AL84" s="21">
        <f t="shared" ca="1" si="89"/>
        <v>1.428973410778263E-2</v>
      </c>
      <c r="AM84" s="21">
        <f t="shared" ca="1" si="89"/>
        <v>9.3522937463962359E-3</v>
      </c>
      <c r="AN84" s="21">
        <f t="shared" ca="1" si="89"/>
        <v>8.2532252390955241E-3</v>
      </c>
      <c r="AO84" s="21">
        <f t="shared" ca="1" si="89"/>
        <v>1.252513982165673E-2</v>
      </c>
      <c r="AP84" s="21">
        <f t="shared" ca="1" si="89"/>
        <v>1.9327055231528001E-2</v>
      </c>
      <c r="AQ84" s="21">
        <f t="shared" ca="1" si="89"/>
        <v>2.6460639518328801E-2</v>
      </c>
      <c r="AR84" s="21">
        <f t="shared" ca="1" si="89"/>
        <v>2.9879666609966011E-2</v>
      </c>
      <c r="AS84" s="21">
        <f t="shared" ca="1" si="89"/>
        <v>3.0241513327075566E-2</v>
      </c>
      <c r="AT84" s="21">
        <f t="shared" ca="1" si="89"/>
        <v>2.3809509178986232E-2</v>
      </c>
      <c r="AU84" s="21">
        <f t="shared" ca="1" si="89"/>
        <v>1.745343666164818E-2</v>
      </c>
      <c r="AV84" s="21">
        <f t="shared" ca="1" si="89"/>
        <v>1.0337530795052832E-2</v>
      </c>
      <c r="AW84" s="21">
        <f t="shared" ca="1" si="89"/>
        <v>1.1898403958376319E-2</v>
      </c>
      <c r="AX84" s="21">
        <f t="shared" ca="1" si="89"/>
        <v>2.413484982611868E-2</v>
      </c>
      <c r="AY84" s="21">
        <f t="shared" ca="1" si="89"/>
        <v>4.2900886425510126E-2</v>
      </c>
      <c r="AZ84" s="21">
        <f t="shared" ca="1" si="89"/>
        <v>4.8584520607162757E-2</v>
      </c>
      <c r="BA84" s="21">
        <f t="shared" ca="1" si="89"/>
        <v>4.3636471572292342E-2</v>
      </c>
      <c r="BB84" s="21">
        <f t="shared" ca="1" si="89"/>
        <v>4.7219474463455535E-2</v>
      </c>
      <c r="BC84" s="21">
        <f t="shared" ca="1" si="89"/>
        <v>5.0923150136001336E-2</v>
      </c>
      <c r="BD84" s="21">
        <f t="shared" ca="1" si="89"/>
        <v>4.3336440446855432E-2</v>
      </c>
      <c r="BE84" s="21">
        <f t="shared" ca="1" si="89"/>
        <v>2.7760370522137475E-2</v>
      </c>
      <c r="BF84" s="21">
        <f t="shared" ca="1" si="89"/>
        <v>2.3130785148323188E-2</v>
      </c>
      <c r="BG84" s="21">
        <f t="shared" ca="1" si="89"/>
        <v>3.9811947485381138E-2</v>
      </c>
      <c r="BH84" s="21">
        <f t="shared" ca="1" si="89"/>
        <v>5.1527776608849468E-2</v>
      </c>
      <c r="BI84" s="21">
        <f t="shared" ca="1" si="89"/>
        <v>5.3145857922179733E-2</v>
      </c>
      <c r="BJ84" s="21">
        <f t="shared" ca="1" si="89"/>
        <v>3.9833015734223709E-2</v>
      </c>
      <c r="BK84" s="21">
        <f t="shared" ca="1" si="89"/>
        <v>2.5136395418895466E-2</v>
      </c>
      <c r="BL84" s="21">
        <f t="shared" ca="1" si="89"/>
        <v>1.9440720824137784E-2</v>
      </c>
      <c r="BM84" s="21">
        <f t="shared" ca="1" si="89"/>
        <v>1.683211130796388E-2</v>
      </c>
      <c r="BN84" s="21">
        <f t="shared" ca="1" si="89"/>
        <v>2.7449011931329571E-2</v>
      </c>
      <c r="BO84" s="21">
        <f t="shared" ca="1" si="89"/>
        <v>4.3700129310995803E-2</v>
      </c>
      <c r="BP84" s="21">
        <f t="shared" ca="1" si="89"/>
        <v>6.2646618178303221E-2</v>
      </c>
      <c r="BQ84" s="21">
        <f t="shared" ca="1" si="89"/>
        <v>5.9205225706738342E-2</v>
      </c>
      <c r="BR84" s="21">
        <f t="shared" ca="1" si="89"/>
        <v>4.2293605023342423E-2</v>
      </c>
      <c r="BS84" s="21">
        <f t="shared" ca="1" si="89"/>
        <v>2.2923847178625244E-2</v>
      </c>
      <c r="BT84" s="21">
        <f t="shared" ca="1" si="89"/>
        <v>2.1217491735930911E-2</v>
      </c>
      <c r="BU84" s="21">
        <f t="shared" ca="1" si="89"/>
        <v>2.251230490675965E-2</v>
      </c>
      <c r="BV84" s="21">
        <f t="shared" ca="1" si="89"/>
        <v>2.2015441262535969E-2</v>
      </c>
      <c r="BW84" s="21">
        <f t="shared" ca="1" si="89"/>
        <v>1.583908563054158E-2</v>
      </c>
      <c r="BX84" s="21">
        <f t="shared" ca="1" si="89"/>
        <v>1.2853055000102146E-2</v>
      </c>
      <c r="BY84" s="21">
        <f t="shared" ca="1" si="89"/>
        <v>1.513784790116909E-2</v>
      </c>
      <c r="BZ84" s="21">
        <f t="shared" ca="1" si="89"/>
        <v>2.1161332270011837E-2</v>
      </c>
      <c r="CA84" s="21">
        <f t="shared" ca="1" si="89"/>
        <v>2.6083454933208433E-2</v>
      </c>
      <c r="CB84" s="21">
        <f t="shared" ca="1" si="89"/>
        <v>3.3307036893797805E-2</v>
      </c>
      <c r="CC84" s="21">
        <f t="shared" ca="1" si="89"/>
        <v>2.708287555190388E-2</v>
      </c>
      <c r="CD84" s="21">
        <f t="shared" ca="1" si="89"/>
        <v>2.6274679178204658E-2</v>
      </c>
      <c r="CE84" s="21">
        <f t="shared" ca="1" si="89"/>
        <v>1.8016242200365355E-2</v>
      </c>
      <c r="CF84" s="21">
        <f t="shared" ca="1" si="89"/>
        <v>2.1373138689509449E-2</v>
      </c>
      <c r="CG84" s="21">
        <f t="shared" ca="1" si="89"/>
        <v>2.0095765739413251E-2</v>
      </c>
      <c r="CH84" s="21">
        <f t="shared" ca="1" si="89"/>
        <v>1.9300887767441467E-2</v>
      </c>
      <c r="CI84" s="21">
        <f t="shared" ca="1" si="89"/>
        <v>2.2766914042046914E-2</v>
      </c>
      <c r="CJ84" s="21">
        <f t="shared" ca="1" si="89"/>
        <v>2.1170605407636676E-2</v>
      </c>
      <c r="CK84" s="21">
        <f t="shared" ca="1" si="89"/>
        <v>2.1548848299307956E-2</v>
      </c>
      <c r="CL84" s="21">
        <f t="shared" ca="1" si="89"/>
        <v>1.9148818721371672E-2</v>
      </c>
      <c r="CM84" s="21">
        <f t="shared" ref="CM84:EX84" ca="1" si="90">IF(CM4="","",AVERAGE(CJ58:CL58)+CONFIDENCE(0.05,STDEV(BN58:CL58),COUNT(BN58:CL58)))</f>
        <v>1.4700300445684508E-2</v>
      </c>
      <c r="CN84" s="21">
        <f t="shared" ca="1" si="90"/>
        <v>1.4314758844894294E-2</v>
      </c>
      <c r="CO84" s="21">
        <f t="shared" ca="1" si="90"/>
        <v>7.5863173272830986E-3</v>
      </c>
      <c r="CP84" s="21">
        <f t="shared" ca="1" si="90"/>
        <v>1.3228981287538548E-2</v>
      </c>
      <c r="CQ84" s="21">
        <f t="shared" ca="1" si="90"/>
        <v>2.1907168794696133E-2</v>
      </c>
      <c r="CR84" s="21">
        <f t="shared" ca="1" si="90"/>
        <v>2.2571531521109488E-2</v>
      </c>
      <c r="CS84" s="21">
        <f t="shared" ca="1" si="90"/>
        <v>2.21549227199219E-2</v>
      </c>
      <c r="CT84" s="21">
        <f t="shared" ca="1" si="90"/>
        <v>1.2280671819592134E-2</v>
      </c>
      <c r="CU84" s="21">
        <f t="shared" ca="1" si="90"/>
        <v>1.9562273782412827E-2</v>
      </c>
      <c r="CV84" s="21">
        <f t="shared" ca="1" si="90"/>
        <v>1.6770859880503523E-2</v>
      </c>
      <c r="CW84" s="21">
        <f t="shared" ca="1" si="90"/>
        <v>1.8519402012367837E-2</v>
      </c>
      <c r="CX84" s="21">
        <f t="shared" ca="1" si="90"/>
        <v>1.2677017496761006E-2</v>
      </c>
      <c r="CY84" s="21">
        <f t="shared" ca="1" si="90"/>
        <v>1.3017411831859824E-2</v>
      </c>
      <c r="CZ84" s="21">
        <f t="shared" ca="1" si="90"/>
        <v>1.788771044189999E-2</v>
      </c>
      <c r="DA84" s="21">
        <f t="shared" ca="1" si="90"/>
        <v>1.5043113605858461E-2</v>
      </c>
      <c r="DB84" s="21">
        <f t="shared" ca="1" si="90"/>
        <v>1.2791726792677212E-2</v>
      </c>
      <c r="DC84" s="21">
        <f t="shared" ca="1" si="90"/>
        <v>8.4907432989834511E-3</v>
      </c>
      <c r="DD84" s="21">
        <f t="shared" ca="1" si="90"/>
        <v>1.0106289163152229E-2</v>
      </c>
      <c r="DE84" s="21">
        <f t="shared" ca="1" si="90"/>
        <v>1.4414460755437059E-2</v>
      </c>
      <c r="DF84" s="21">
        <f t="shared" ca="1" si="90"/>
        <v>1.984070426930307E-2</v>
      </c>
      <c r="DG84" s="21">
        <f t="shared" ca="1" si="90"/>
        <v>1.7966453658963013E-2</v>
      </c>
      <c r="DH84" s="21">
        <f t="shared" ca="1" si="90"/>
        <v>1.2069067318588108E-2</v>
      </c>
      <c r="DI84" s="21">
        <f t="shared" ca="1" si="90"/>
        <v>4.4104229036747503E-3</v>
      </c>
      <c r="DJ84" s="21">
        <f t="shared" ca="1" si="90"/>
        <v>5.4797562438876225E-3</v>
      </c>
      <c r="DK84" s="21">
        <f t="shared" ca="1" si="90"/>
        <v>7.1468280844043993E-3</v>
      </c>
      <c r="DL84" s="21">
        <f t="shared" ca="1" si="90"/>
        <v>1.1006808723633384E-2</v>
      </c>
      <c r="DM84" s="21">
        <f t="shared" ca="1" si="90"/>
        <v>1.0870945834796541E-2</v>
      </c>
      <c r="DN84" s="21">
        <f t="shared" ca="1" si="90"/>
        <v>1.0575300825968066E-2</v>
      </c>
      <c r="DO84" s="21">
        <f t="shared" ca="1" si="90"/>
        <v>6.7254555905881521E-3</v>
      </c>
      <c r="DP84" s="21">
        <f t="shared" ca="1" si="90"/>
        <v>6.9033979412437899E-3</v>
      </c>
      <c r="DQ84" s="21">
        <f t="shared" ca="1" si="90"/>
        <v>1.3560005644247673E-2</v>
      </c>
      <c r="DR84" s="21">
        <f t="shared" ca="1" si="90"/>
        <v>1.6022069731137793E-2</v>
      </c>
      <c r="DS84" s="21">
        <f t="shared" ca="1" si="90"/>
        <v>1.6247122531608597E-2</v>
      </c>
      <c r="DT84" s="21">
        <f t="shared" ca="1" si="90"/>
        <v>7.9107337283687469E-3</v>
      </c>
      <c r="DU84" s="21">
        <f t="shared" ca="1" si="90"/>
        <v>6.6082691527006993E-3</v>
      </c>
      <c r="DV84" s="21">
        <f t="shared" ca="1" si="90"/>
        <v>6.4280198304159401E-3</v>
      </c>
      <c r="DW84" s="21">
        <f t="shared" ca="1" si="90"/>
        <v>7.3638204110277206E-3</v>
      </c>
      <c r="DX84" s="21">
        <f t="shared" ca="1" si="90"/>
        <v>1.0992595118764872E-2</v>
      </c>
      <c r="DY84" s="21">
        <f t="shared" ca="1" si="90"/>
        <v>1.3882307406596387E-2</v>
      </c>
      <c r="DZ84" s="21">
        <f t="shared" ca="1" si="90"/>
        <v>1.3885752170884136E-2</v>
      </c>
      <c r="EA84" s="21">
        <f t="shared" ca="1" si="90"/>
        <v>9.101495103256611E-3</v>
      </c>
      <c r="EB84" s="21">
        <f t="shared" ca="1" si="90"/>
        <v>6.8367433368748051E-3</v>
      </c>
      <c r="EC84" s="21">
        <f t="shared" ca="1" si="90"/>
        <v>1.0028405725286038E-2</v>
      </c>
      <c r="ED84" s="21">
        <f t="shared" ca="1" si="90"/>
        <v>1.1117407055172984E-2</v>
      </c>
      <c r="EE84" s="21">
        <f t="shared" ca="1" si="90"/>
        <v>1.1202599633429153E-2</v>
      </c>
      <c r="EF84" s="21">
        <f t="shared" ca="1" si="90"/>
        <v>9.0847740690872241E-3</v>
      </c>
      <c r="EG84" s="21">
        <f t="shared" ca="1" si="90"/>
        <v>1.015474331635533E-2</v>
      </c>
      <c r="EH84" s="21">
        <f t="shared" ca="1" si="90"/>
        <v>7.8429495526606031E-3</v>
      </c>
      <c r="EI84" s="21">
        <f t="shared" ca="1" si="90"/>
        <v>9.6592236818232938E-3</v>
      </c>
      <c r="EJ84" s="21">
        <f t="shared" ca="1" si="90"/>
        <v>9.8612178545658367E-3</v>
      </c>
      <c r="EK84" s="21">
        <f t="shared" ca="1" si="90"/>
        <v>1.0881130882036788E-2</v>
      </c>
      <c r="EL84" s="21">
        <f t="shared" ca="1" si="90"/>
        <v>1.0411827116789597E-2</v>
      </c>
      <c r="EM84" s="21">
        <f t="shared" ca="1" si="90"/>
        <v>9.3764988329767714E-3</v>
      </c>
      <c r="EN84" s="21">
        <f t="shared" ca="1" si="90"/>
        <v>9.5515772865057899E-3</v>
      </c>
      <c r="EO84" s="21">
        <f t="shared" ca="1" si="90"/>
        <v>1.0116266214517266E-2</v>
      </c>
      <c r="EP84" s="21">
        <f t="shared" ca="1" si="90"/>
        <v>9.5996638652516685E-3</v>
      </c>
      <c r="EQ84" s="21">
        <f t="shared" ca="1" si="90"/>
        <v>1.049958589731761E-2</v>
      </c>
      <c r="ER84" s="21">
        <f t="shared" ca="1" si="90"/>
        <v>8.1441760909827712E-3</v>
      </c>
      <c r="ES84" s="21">
        <f t="shared" ca="1" si="90"/>
        <v>7.4782659504703669E-3</v>
      </c>
      <c r="ET84" s="21">
        <f t="shared" ca="1" si="90"/>
        <v>6.7073348361509372E-3</v>
      </c>
      <c r="EU84" s="21">
        <f t="shared" ca="1" si="90"/>
        <v>6.5973274409900978E-3</v>
      </c>
      <c r="EV84" s="21">
        <f t="shared" ca="1" si="90"/>
        <v>9.4646069841932447E-3</v>
      </c>
      <c r="EW84" s="21">
        <f t="shared" ca="1" si="90"/>
        <v>7.5896576210947551E-3</v>
      </c>
      <c r="EX84" s="21">
        <f t="shared" ca="1" si="90"/>
        <v>7.789019198718267E-3</v>
      </c>
      <c r="EY84" s="21">
        <f t="shared" ref="EY84:HJ84" ca="1" si="91">IF(EY4="","",AVERAGE(EV58:EX58)+CONFIDENCE(0.05,STDEV(DZ58:EX58),COUNT(DZ58:EX58)))</f>
        <v>5.050580050255651E-3</v>
      </c>
      <c r="EZ84" s="21">
        <f t="shared" ca="1" si="91"/>
        <v>5.3142790233342589E-3</v>
      </c>
      <c r="FA84" s="21">
        <f t="shared" ca="1" si="91"/>
        <v>5.4305938368615298E-3</v>
      </c>
      <c r="FB84" s="21">
        <f t="shared" ca="1" si="91"/>
        <v>9.860802765852399E-3</v>
      </c>
      <c r="FC84" s="21">
        <f t="shared" ca="1" si="91"/>
        <v>1.0387401333468587E-2</v>
      </c>
      <c r="FD84" s="21">
        <f t="shared" ca="1" si="91"/>
        <v>8.5568288131466393E-3</v>
      </c>
      <c r="FE84" s="21">
        <f t="shared" ca="1" si="91"/>
        <v>5.0776694339679795E-3</v>
      </c>
      <c r="FF84" s="21">
        <f t="shared" ca="1" si="91"/>
        <v>5.9283288047364286E-3</v>
      </c>
      <c r="FG84" s="21">
        <f t="shared" ca="1" si="91"/>
        <v>1.0386604925910618E-2</v>
      </c>
      <c r="FH84" s="21">
        <f t="shared" ca="1" si="91"/>
        <v>1.8211979866283045E-2</v>
      </c>
      <c r="FI84" s="21">
        <f t="shared" ca="1" si="91"/>
        <v>2.3842721137584018E-2</v>
      </c>
      <c r="FJ84" s="21">
        <f t="shared" ca="1" si="91"/>
        <v>2.0124961366924852E-2</v>
      </c>
      <c r="FK84" s="21">
        <f t="shared" ca="1" si="91"/>
        <v>1.5169363020268738E-2</v>
      </c>
      <c r="FL84" s="21">
        <f t="shared" ca="1" si="91"/>
        <v>1.1094760854292314E-2</v>
      </c>
      <c r="FM84" s="21">
        <f t="shared" ca="1" si="91"/>
        <v>1.0971805994602993E-2</v>
      </c>
      <c r="FN84" s="21">
        <f t="shared" ca="1" si="91"/>
        <v>7.8199214751560487E-3</v>
      </c>
      <c r="FO84" s="21">
        <f t="shared" ca="1" si="91"/>
        <v>6.6112517474992954E-3</v>
      </c>
      <c r="FP84" s="21">
        <f t="shared" ca="1" si="91"/>
        <v>5.9453164148626347E-3</v>
      </c>
      <c r="FQ84" s="21">
        <f t="shared" ca="1" si="91"/>
        <v>6.3925512695444005E-3</v>
      </c>
      <c r="FR84" s="21">
        <f t="shared" ca="1" si="91"/>
        <v>8.1164793212389237E-3</v>
      </c>
      <c r="FS84" s="21">
        <f t="shared" ca="1" si="91"/>
        <v>1.0672974312894028E-2</v>
      </c>
      <c r="FT84" s="21">
        <f t="shared" ca="1" si="91"/>
        <v>1.0340114929270183E-2</v>
      </c>
      <c r="FU84" s="21">
        <f t="shared" ca="1" si="91"/>
        <v>9.1564196000565867E-3</v>
      </c>
      <c r="FV84" s="21">
        <f t="shared" ca="1" si="91"/>
        <v>8.3184686414040261E-3</v>
      </c>
      <c r="FW84" s="21">
        <f t="shared" ca="1" si="91"/>
        <v>1.1610496218553683E-2</v>
      </c>
      <c r="FX84" s="21">
        <f t="shared" ca="1" si="91"/>
        <v>1.2160744602380239E-2</v>
      </c>
      <c r="FY84" s="21">
        <f t="shared" ca="1" si="91"/>
        <v>1.0566057556082531E-2</v>
      </c>
      <c r="FZ84" s="21">
        <f t="shared" ca="1" si="91"/>
        <v>8.022372407004796E-3</v>
      </c>
      <c r="GA84" s="21">
        <f t="shared" ca="1" si="91"/>
        <v>5.4389579732434567E-3</v>
      </c>
      <c r="GB84" s="21">
        <f t="shared" ca="1" si="91"/>
        <v>5.4986576492977723E-3</v>
      </c>
      <c r="GC84" s="21">
        <f t="shared" ca="1" si="91"/>
        <v>3.5994077170773118E-3</v>
      </c>
      <c r="GD84" s="21">
        <f t="shared" ca="1" si="91"/>
        <v>3.5694367342942539E-3</v>
      </c>
      <c r="GE84" s="21">
        <f t="shared" ca="1" si="91"/>
        <v>5.6413556865925578E-3</v>
      </c>
      <c r="GF84" s="21">
        <f t="shared" ca="1" si="91"/>
        <v>1.220134845405896E-2</v>
      </c>
      <c r="GG84" s="21">
        <f t="shared" ca="1" si="91"/>
        <v>1.4298649892163156E-2</v>
      </c>
      <c r="GH84" s="21">
        <f t="shared" ca="1" si="91"/>
        <v>1.5083511706585003E-2</v>
      </c>
      <c r="GI84" s="21">
        <f t="shared" ca="1" si="91"/>
        <v>8.9504547919561535E-3</v>
      </c>
      <c r="GJ84" s="21">
        <f t="shared" ca="1" si="91"/>
        <v>9.9433452794076976E-3</v>
      </c>
      <c r="GK84" s="21">
        <f t="shared" ca="1" si="91"/>
        <v>9.1136535129655548E-3</v>
      </c>
      <c r="GL84" s="21">
        <f t="shared" ca="1" si="91"/>
        <v>9.5719427423625342E-3</v>
      </c>
      <c r="GM84" s="21">
        <f t="shared" ca="1" si="91"/>
        <v>8.8219796259956223E-3</v>
      </c>
      <c r="GN84" s="21">
        <f t="shared" ca="1" si="91"/>
        <v>3.9013943773706539E-2</v>
      </c>
      <c r="GO84" s="21">
        <f t="shared" ca="1" si="91"/>
        <v>0.10790339223486743</v>
      </c>
      <c r="GP84" s="21">
        <f t="shared" ca="1" si="91"/>
        <v>0.13822280178071616</v>
      </c>
      <c r="GQ84" s="21">
        <f t="shared" ca="1" si="91"/>
        <v>0.13050362613893121</v>
      </c>
      <c r="GR84" s="21">
        <f t="shared" ca="1" si="91"/>
        <v>8.4414734417365744E-2</v>
      </c>
      <c r="GS84" s="21">
        <f t="shared" ca="1" si="91"/>
        <v>7.1019338443280067E-2</v>
      </c>
      <c r="GT84" s="21">
        <f t="shared" ca="1" si="91"/>
        <v>6.8792264632771521E-2</v>
      </c>
      <c r="GU84" s="21">
        <f t="shared" ca="1" si="91"/>
        <v>6.5625743998937072E-2</v>
      </c>
      <c r="GV84" s="21">
        <f t="shared" ca="1" si="91"/>
        <v>4.7688720150911905E-2</v>
      </c>
      <c r="GW84" s="21">
        <f t="shared" ca="1" si="91"/>
        <v>3.9598756305209579E-2</v>
      </c>
      <c r="GX84" s="21">
        <f t="shared" ca="1" si="91"/>
        <v>3.1958786502500718E-2</v>
      </c>
      <c r="GY84" s="21">
        <f t="shared" ca="1" si="91"/>
        <v>3.8778415749590484E-2</v>
      </c>
      <c r="GZ84" s="21">
        <f t="shared" ca="1" si="91"/>
        <v>3.0908648452001416E-2</v>
      </c>
      <c r="HA84" s="21" t="str">
        <f t="shared" si="91"/>
        <v/>
      </c>
      <c r="HB84" s="21" t="str">
        <f t="shared" si="91"/>
        <v/>
      </c>
      <c r="HC84" s="21" t="str">
        <f t="shared" si="91"/>
        <v/>
      </c>
      <c r="HD84" s="21" t="str">
        <f t="shared" si="91"/>
        <v/>
      </c>
      <c r="HE84" s="21" t="str">
        <f t="shared" si="91"/>
        <v/>
      </c>
      <c r="HF84" s="21" t="str">
        <f t="shared" si="91"/>
        <v/>
      </c>
      <c r="HG84" s="21" t="str">
        <f t="shared" si="91"/>
        <v/>
      </c>
      <c r="HH84" s="21" t="str">
        <f t="shared" si="91"/>
        <v/>
      </c>
      <c r="HI84" s="21" t="str">
        <f t="shared" si="91"/>
        <v/>
      </c>
      <c r="HJ84" s="21" t="str">
        <f t="shared" si="91"/>
        <v/>
      </c>
      <c r="HK84" s="21" t="str">
        <f t="shared" ref="HK84:JH84" si="92">IF(HK4="","",AVERAGE(HH58:HJ58)+CONFIDENCE(0.05,STDEV(GL58:HJ58),COUNT(GL58:HJ58)))</f>
        <v/>
      </c>
      <c r="HL84" s="21" t="str">
        <f t="shared" si="92"/>
        <v/>
      </c>
      <c r="HM84" s="21" t="str">
        <f t="shared" si="92"/>
        <v/>
      </c>
      <c r="HN84" s="21" t="str">
        <f t="shared" si="92"/>
        <v/>
      </c>
      <c r="HO84" s="21" t="str">
        <f t="shared" si="92"/>
        <v/>
      </c>
      <c r="HP84" s="21" t="str">
        <f t="shared" si="92"/>
        <v/>
      </c>
      <c r="HQ84" s="21" t="str">
        <f t="shared" si="92"/>
        <v/>
      </c>
      <c r="HR84" s="21" t="str">
        <f t="shared" si="92"/>
        <v/>
      </c>
      <c r="HS84" s="21" t="str">
        <f t="shared" si="92"/>
        <v/>
      </c>
      <c r="HT84" s="21" t="str">
        <f t="shared" si="92"/>
        <v/>
      </c>
      <c r="HU84" s="21" t="str">
        <f t="shared" si="92"/>
        <v/>
      </c>
      <c r="HV84" s="21" t="str">
        <f t="shared" si="92"/>
        <v/>
      </c>
      <c r="HW84" s="21" t="str">
        <f t="shared" si="92"/>
        <v/>
      </c>
      <c r="HX84" s="21" t="str">
        <f t="shared" si="92"/>
        <v/>
      </c>
      <c r="HY84" s="21" t="str">
        <f t="shared" si="92"/>
        <v/>
      </c>
      <c r="HZ84" s="21" t="str">
        <f t="shared" si="92"/>
        <v/>
      </c>
      <c r="IA84" s="21" t="str">
        <f t="shared" si="92"/>
        <v/>
      </c>
      <c r="IB84" s="21" t="str">
        <f t="shared" si="92"/>
        <v/>
      </c>
      <c r="IC84" s="21" t="str">
        <f t="shared" si="92"/>
        <v/>
      </c>
      <c r="ID84" s="21" t="str">
        <f t="shared" si="92"/>
        <v/>
      </c>
      <c r="IE84" s="21" t="str">
        <f t="shared" si="92"/>
        <v/>
      </c>
      <c r="IF84" s="21" t="str">
        <f t="shared" si="92"/>
        <v/>
      </c>
      <c r="IG84" s="21" t="str">
        <f t="shared" si="92"/>
        <v/>
      </c>
      <c r="IH84" s="21" t="str">
        <f t="shared" si="92"/>
        <v/>
      </c>
      <c r="II84" s="21" t="str">
        <f t="shared" si="92"/>
        <v/>
      </c>
      <c r="IJ84" s="21" t="str">
        <f t="shared" si="92"/>
        <v/>
      </c>
      <c r="IK84" s="21" t="str">
        <f t="shared" si="92"/>
        <v/>
      </c>
      <c r="IL84" s="21" t="str">
        <f t="shared" si="92"/>
        <v/>
      </c>
      <c r="IM84" s="21" t="str">
        <f t="shared" si="92"/>
        <v/>
      </c>
      <c r="IN84" s="21" t="str">
        <f t="shared" si="92"/>
        <v/>
      </c>
      <c r="IO84" s="21" t="str">
        <f t="shared" si="92"/>
        <v/>
      </c>
      <c r="IP84" s="21" t="str">
        <f t="shared" si="92"/>
        <v/>
      </c>
      <c r="IQ84" s="21" t="str">
        <f t="shared" si="92"/>
        <v/>
      </c>
      <c r="IR84" s="21" t="str">
        <f t="shared" si="92"/>
        <v/>
      </c>
      <c r="IS84" s="21" t="str">
        <f t="shared" si="92"/>
        <v/>
      </c>
      <c r="IT84" s="21" t="str">
        <f t="shared" si="92"/>
        <v/>
      </c>
      <c r="IU84" s="21" t="str">
        <f t="shared" si="92"/>
        <v/>
      </c>
      <c r="IV84" s="21" t="str">
        <f t="shared" si="92"/>
        <v/>
      </c>
      <c r="IW84" s="21" t="str">
        <f t="shared" si="92"/>
        <v/>
      </c>
      <c r="IX84" s="21" t="str">
        <f t="shared" si="92"/>
        <v/>
      </c>
      <c r="IY84" s="21" t="str">
        <f t="shared" si="92"/>
        <v/>
      </c>
      <c r="IZ84" s="21" t="str">
        <f t="shared" si="92"/>
        <v/>
      </c>
      <c r="JA84" s="21" t="str">
        <f t="shared" si="92"/>
        <v/>
      </c>
      <c r="JB84" s="21" t="str">
        <f t="shared" si="92"/>
        <v/>
      </c>
      <c r="JC84" s="21" t="str">
        <f t="shared" si="92"/>
        <v/>
      </c>
      <c r="JD84" s="21" t="str">
        <f t="shared" si="92"/>
        <v/>
      </c>
      <c r="JE84" s="21" t="str">
        <f t="shared" si="92"/>
        <v/>
      </c>
      <c r="JF84" s="21" t="str">
        <f t="shared" si="92"/>
        <v/>
      </c>
      <c r="JG84" s="21" t="str">
        <f t="shared" si="92"/>
        <v/>
      </c>
      <c r="JH84" s="21" t="str">
        <f t="shared" si="92"/>
        <v/>
      </c>
    </row>
    <row r="85" spans="1:336" x14ac:dyDescent="0.25"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>
        <f t="shared" ref="AA85:CL85" ca="1" si="93">IF(AA5="","",AVERAGE(W59:Z59)+CONFIDENCE(0.05,STDEV(B59:Z59),COUNT(B59:Z59)))</f>
        <v>7.0149111456481571E-3</v>
      </c>
      <c r="AB85" s="21">
        <f t="shared" ca="1" si="93"/>
        <v>7.2392929080354138E-3</v>
      </c>
      <c r="AC85" s="21">
        <f t="shared" ca="1" si="93"/>
        <v>9.562830161177583E-3</v>
      </c>
      <c r="AD85" s="21">
        <f t="shared" ca="1" si="93"/>
        <v>1.4029385789203111E-2</v>
      </c>
      <c r="AE85" s="21">
        <f t="shared" ca="1" si="93"/>
        <v>1.313287945107987E-2</v>
      </c>
      <c r="AF85" s="21">
        <f t="shared" ca="1" si="93"/>
        <v>1.1595837965553635E-2</v>
      </c>
      <c r="AG85" s="21">
        <f t="shared" ca="1" si="93"/>
        <v>1.1189178057325017E-2</v>
      </c>
      <c r="AH85" s="21">
        <f t="shared" ca="1" si="93"/>
        <v>1.1329408790241772E-2</v>
      </c>
      <c r="AI85" s="21">
        <f t="shared" ca="1" si="93"/>
        <v>1.6312714902677466E-2</v>
      </c>
      <c r="AJ85" s="21">
        <f t="shared" ca="1" si="93"/>
        <v>2.1761570680876283E-2</v>
      </c>
      <c r="AK85" s="21">
        <f t="shared" ca="1" si="93"/>
        <v>2.2454726080512463E-2</v>
      </c>
      <c r="AL85" s="21">
        <f t="shared" ca="1" si="93"/>
        <v>1.9398063985233721E-2</v>
      </c>
      <c r="AM85" s="21">
        <f t="shared" ca="1" si="93"/>
        <v>1.5136870539759983E-2</v>
      </c>
      <c r="AN85" s="21">
        <f t="shared" ca="1" si="93"/>
        <v>1.4202043816768959E-2</v>
      </c>
      <c r="AO85" s="21">
        <f t="shared" ca="1" si="93"/>
        <v>1.8534681984928775E-2</v>
      </c>
      <c r="AP85" s="21">
        <f t="shared" ca="1" si="93"/>
        <v>2.7558498380246856E-2</v>
      </c>
      <c r="AQ85" s="21">
        <f t="shared" ca="1" si="93"/>
        <v>3.5614955705487596E-2</v>
      </c>
      <c r="AR85" s="21">
        <f t="shared" ca="1" si="93"/>
        <v>4.1889414361928813E-2</v>
      </c>
      <c r="AS85" s="21">
        <f t="shared" ca="1" si="93"/>
        <v>3.9221772754505398E-2</v>
      </c>
      <c r="AT85" s="21">
        <f t="shared" ca="1" si="93"/>
        <v>3.0804685281224285E-2</v>
      </c>
      <c r="AU85" s="21">
        <f t="shared" ca="1" si="93"/>
        <v>2.2968041293766703E-2</v>
      </c>
      <c r="AV85" s="21">
        <f t="shared" ca="1" si="93"/>
        <v>1.536011161858245E-2</v>
      </c>
      <c r="AW85" s="21">
        <f t="shared" ca="1" si="93"/>
        <v>2.2301949041282011E-2</v>
      </c>
      <c r="AX85" s="21">
        <f t="shared" ca="1" si="93"/>
        <v>3.8228495724615105E-2</v>
      </c>
      <c r="AY85" s="21">
        <f t="shared" ca="1" si="93"/>
        <v>5.2370613181363795E-2</v>
      </c>
      <c r="AZ85" s="21">
        <f t="shared" ca="1" si="93"/>
        <v>6.7339645481163946E-2</v>
      </c>
      <c r="BA85" s="21">
        <f t="shared" ca="1" si="93"/>
        <v>7.0786846089680361E-2</v>
      </c>
      <c r="BB85" s="21">
        <f t="shared" ca="1" si="93"/>
        <v>7.7820241716840752E-2</v>
      </c>
      <c r="BC85" s="21">
        <f t="shared" ca="1" si="93"/>
        <v>7.4646635277881193E-2</v>
      </c>
      <c r="BD85" s="21">
        <f t="shared" ca="1" si="93"/>
        <v>6.1403380085338528E-2</v>
      </c>
      <c r="BE85" s="21">
        <f t="shared" ca="1" si="93"/>
        <v>5.6927648671503246E-2</v>
      </c>
      <c r="BF85" s="21">
        <f t="shared" ca="1" si="93"/>
        <v>5.2131629794430576E-2</v>
      </c>
      <c r="BG85" s="21">
        <f t="shared" ca="1" si="93"/>
        <v>5.9487771559741762E-2</v>
      </c>
      <c r="BH85" s="21">
        <f t="shared" ca="1" si="93"/>
        <v>7.2581864282125208E-2</v>
      </c>
      <c r="BI85" s="21">
        <f t="shared" ca="1" si="93"/>
        <v>7.2641045890170786E-2</v>
      </c>
      <c r="BJ85" s="21">
        <f t="shared" ca="1" si="93"/>
        <v>6.1559666257805977E-2</v>
      </c>
      <c r="BK85" s="21">
        <f t="shared" ca="1" si="93"/>
        <v>4.706007621965165E-2</v>
      </c>
      <c r="BL85" s="21">
        <f t="shared" ca="1" si="93"/>
        <v>3.2232527380398446E-2</v>
      </c>
      <c r="BM85" s="21">
        <f t="shared" ca="1" si="93"/>
        <v>2.9430518572678345E-2</v>
      </c>
      <c r="BN85" s="21">
        <f t="shared" ca="1" si="93"/>
        <v>4.6127894617410292E-2</v>
      </c>
      <c r="BO85" s="21">
        <f t="shared" ca="1" si="93"/>
        <v>6.8688058385653408E-2</v>
      </c>
      <c r="BP85" s="21">
        <f t="shared" ca="1" si="93"/>
        <v>8.6062146235901693E-2</v>
      </c>
      <c r="BQ85" s="21">
        <f t="shared" ca="1" si="93"/>
        <v>8.5061719589573523E-2</v>
      </c>
      <c r="BR85" s="21">
        <f t="shared" ca="1" si="93"/>
        <v>6.6065800998802715E-2</v>
      </c>
      <c r="BS85" s="21">
        <f t="shared" ca="1" si="93"/>
        <v>4.2924809822455237E-2</v>
      </c>
      <c r="BT85" s="21">
        <f t="shared" ca="1" si="93"/>
        <v>3.2548506524927502E-2</v>
      </c>
      <c r="BU85" s="21">
        <f t="shared" ca="1" si="93"/>
        <v>3.1837114008560451E-2</v>
      </c>
      <c r="BV85" s="21">
        <f t="shared" ca="1" si="93"/>
        <v>3.1157422102083027E-2</v>
      </c>
      <c r="BW85" s="21">
        <f t="shared" ca="1" si="93"/>
        <v>3.0938140257779592E-2</v>
      </c>
      <c r="BX85" s="21">
        <f t="shared" ca="1" si="93"/>
        <v>2.2971150681312766E-2</v>
      </c>
      <c r="BY85" s="21">
        <f t="shared" ca="1" si="93"/>
        <v>2.2645142617984254E-2</v>
      </c>
      <c r="BZ85" s="21">
        <f t="shared" ca="1" si="93"/>
        <v>3.1684262714579858E-2</v>
      </c>
      <c r="CA85" s="21">
        <f t="shared" ca="1" si="93"/>
        <v>4.0053503240031318E-2</v>
      </c>
      <c r="CB85" s="21">
        <f t="shared" ca="1" si="93"/>
        <v>4.5912807357094521E-2</v>
      </c>
      <c r="CC85" s="21">
        <f t="shared" ca="1" si="93"/>
        <v>4.2084396591370934E-2</v>
      </c>
      <c r="CD85" s="21">
        <f t="shared" ca="1" si="93"/>
        <v>3.8300481480994845E-2</v>
      </c>
      <c r="CE85" s="21">
        <f t="shared" ca="1" si="93"/>
        <v>2.7950670128600863E-2</v>
      </c>
      <c r="CF85" s="21">
        <f t="shared" ca="1" si="93"/>
        <v>2.770074202318526E-2</v>
      </c>
      <c r="CG85" s="21">
        <f t="shared" ca="1" si="93"/>
        <v>2.9401620908432534E-2</v>
      </c>
      <c r="CH85" s="21">
        <f t="shared" ca="1" si="93"/>
        <v>2.4478864999156504E-2</v>
      </c>
      <c r="CI85" s="21">
        <f t="shared" ca="1" si="93"/>
        <v>3.2354665150269496E-2</v>
      </c>
      <c r="CJ85" s="21">
        <f t="shared" ca="1" si="93"/>
        <v>2.743281636241636E-2</v>
      </c>
      <c r="CK85" s="21">
        <f t="shared" ca="1" si="93"/>
        <v>2.6164098735305244E-2</v>
      </c>
      <c r="CL85" s="21">
        <f t="shared" ca="1" si="93"/>
        <v>3.053382680195018E-2</v>
      </c>
      <c r="CM85" s="21">
        <f t="shared" ref="CM85:EX85" ca="1" si="94">IF(CM5="","",AVERAGE(CI59:CL59)+CONFIDENCE(0.05,STDEV(BN59:CL59),COUNT(BN59:CL59)))</f>
        <v>2.2032994304311999E-2</v>
      </c>
      <c r="CN85" s="21">
        <f t="shared" ca="1" si="94"/>
        <v>1.8093196351288383E-2</v>
      </c>
      <c r="CO85" s="21">
        <f t="shared" ca="1" si="94"/>
        <v>1.8929927863948343E-2</v>
      </c>
      <c r="CP85" s="21">
        <f t="shared" ca="1" si="94"/>
        <v>2.2253226575893435E-2</v>
      </c>
      <c r="CQ85" s="21">
        <f t="shared" ca="1" si="94"/>
        <v>2.85675902580978E-2</v>
      </c>
      <c r="CR85" s="21">
        <f t="shared" ca="1" si="94"/>
        <v>2.9509632708521447E-2</v>
      </c>
      <c r="CS85" s="21">
        <f t="shared" ca="1" si="94"/>
        <v>2.8444084343140143E-2</v>
      </c>
      <c r="CT85" s="21">
        <f t="shared" ca="1" si="94"/>
        <v>2.1035027337132008E-2</v>
      </c>
      <c r="CU85" s="21">
        <f t="shared" ca="1" si="94"/>
        <v>2.0759740599943028E-2</v>
      </c>
      <c r="CV85" s="21">
        <f t="shared" ca="1" si="94"/>
        <v>2.3278350561778766E-2</v>
      </c>
      <c r="CW85" s="21">
        <f t="shared" ca="1" si="94"/>
        <v>2.0312664325754702E-2</v>
      </c>
      <c r="CX85" s="21">
        <f t="shared" ca="1" si="94"/>
        <v>1.8352381083513277E-2</v>
      </c>
      <c r="CY85" s="21">
        <f t="shared" ca="1" si="94"/>
        <v>1.5164902083703191E-2</v>
      </c>
      <c r="CZ85" s="21">
        <f t="shared" ca="1" si="94"/>
        <v>1.7569473232749173E-2</v>
      </c>
      <c r="DA85" s="21">
        <f t="shared" ca="1" si="94"/>
        <v>1.7294923644571081E-2</v>
      </c>
      <c r="DB85" s="21">
        <f t="shared" ca="1" si="94"/>
        <v>1.8091629260253206E-2</v>
      </c>
      <c r="DC85" s="21">
        <f t="shared" ca="1" si="94"/>
        <v>1.6150373103648637E-2</v>
      </c>
      <c r="DD85" s="21">
        <f t="shared" ca="1" si="94"/>
        <v>1.2006250295676583E-2</v>
      </c>
      <c r="DE85" s="21">
        <f t="shared" ca="1" si="94"/>
        <v>1.7154328697595284E-2</v>
      </c>
      <c r="DF85" s="21">
        <f t="shared" ca="1" si="94"/>
        <v>2.3542440418215793E-2</v>
      </c>
      <c r="DG85" s="21">
        <f t="shared" ca="1" si="94"/>
        <v>2.0869198508132448E-2</v>
      </c>
      <c r="DH85" s="21">
        <f t="shared" ca="1" si="94"/>
        <v>1.9198927895291346E-2</v>
      </c>
      <c r="DI85" s="21">
        <f t="shared" ca="1" si="94"/>
        <v>1.429276636291006E-2</v>
      </c>
      <c r="DJ85" s="21">
        <f t="shared" ca="1" si="94"/>
        <v>8.6607583812798386E-3</v>
      </c>
      <c r="DK85" s="21">
        <f t="shared" ca="1" si="94"/>
        <v>1.1359887809655786E-2</v>
      </c>
      <c r="DL85" s="21">
        <f t="shared" ca="1" si="94"/>
        <v>1.4437753794380264E-2</v>
      </c>
      <c r="DM85" s="21">
        <f t="shared" ca="1" si="94"/>
        <v>1.4501167690273362E-2</v>
      </c>
      <c r="DN85" s="21">
        <f t="shared" ca="1" si="94"/>
        <v>1.4534150070919256E-2</v>
      </c>
      <c r="DO85" s="21">
        <f t="shared" ca="1" si="94"/>
        <v>1.325487972001973E-2</v>
      </c>
      <c r="DP85" s="21">
        <f t="shared" ca="1" si="94"/>
        <v>1.3348603933964131E-2</v>
      </c>
      <c r="DQ85" s="21">
        <f t="shared" ca="1" si="94"/>
        <v>1.7997018960155306E-2</v>
      </c>
      <c r="DR85" s="21">
        <f t="shared" ca="1" si="94"/>
        <v>2.0410708060240208E-2</v>
      </c>
      <c r="DS85" s="21">
        <f t="shared" ca="1" si="94"/>
        <v>2.1249105038984851E-2</v>
      </c>
      <c r="DT85" s="21">
        <f t="shared" ca="1" si="94"/>
        <v>1.827951826051135E-2</v>
      </c>
      <c r="DU85" s="21">
        <f t="shared" ca="1" si="94"/>
        <v>1.3967368546521065E-2</v>
      </c>
      <c r="DV85" s="21">
        <f t="shared" ca="1" si="94"/>
        <v>1.0468930753776822E-2</v>
      </c>
      <c r="DW85" s="21">
        <f t="shared" ca="1" si="94"/>
        <v>1.1460290123966443E-2</v>
      </c>
      <c r="DX85" s="21">
        <f t="shared" ca="1" si="94"/>
        <v>1.4117595123355689E-2</v>
      </c>
      <c r="DY85" s="21">
        <f t="shared" ca="1" si="94"/>
        <v>1.6178613461993899E-2</v>
      </c>
      <c r="DZ85" s="21">
        <f t="shared" ca="1" si="94"/>
        <v>1.7132731712191072E-2</v>
      </c>
      <c r="EA85" s="21">
        <f t="shared" ca="1" si="94"/>
        <v>1.5557538770164577E-2</v>
      </c>
      <c r="EB85" s="21">
        <f t="shared" ca="1" si="94"/>
        <v>1.3519667607973589E-2</v>
      </c>
      <c r="EC85" s="21">
        <f t="shared" ca="1" si="94"/>
        <v>1.4819465649146362E-2</v>
      </c>
      <c r="ED85" s="21">
        <f t="shared" ca="1" si="94"/>
        <v>1.6080141386847536E-2</v>
      </c>
      <c r="EE85" s="21">
        <f t="shared" ca="1" si="94"/>
        <v>1.6777766438551594E-2</v>
      </c>
      <c r="EF85" s="21">
        <f t="shared" ca="1" si="94"/>
        <v>1.7828159162754646E-2</v>
      </c>
      <c r="EG85" s="21">
        <f t="shared" ca="1" si="94"/>
        <v>1.4292147001588498E-2</v>
      </c>
      <c r="EH85" s="21">
        <f t="shared" ca="1" si="94"/>
        <v>1.4260860440746873E-2</v>
      </c>
      <c r="EI85" s="21">
        <f t="shared" ca="1" si="94"/>
        <v>1.3831105009145977E-2</v>
      </c>
      <c r="EJ85" s="21">
        <f t="shared" ca="1" si="94"/>
        <v>1.4229402908985184E-2</v>
      </c>
      <c r="EK85" s="21">
        <f t="shared" ca="1" si="94"/>
        <v>1.3638389018056803E-2</v>
      </c>
      <c r="EL85" s="21">
        <f t="shared" ca="1" si="94"/>
        <v>1.4287653660621335E-2</v>
      </c>
      <c r="EM85" s="21">
        <f t="shared" ca="1" si="94"/>
        <v>1.1898856466241399E-2</v>
      </c>
      <c r="EN85" s="21">
        <f t="shared" ca="1" si="94"/>
        <v>1.064842061166007E-2</v>
      </c>
      <c r="EO85" s="21">
        <f t="shared" ca="1" si="94"/>
        <v>1.5867796516680462E-2</v>
      </c>
      <c r="EP85" s="21">
        <f t="shared" ca="1" si="94"/>
        <v>1.3870293655891892E-2</v>
      </c>
      <c r="EQ85" s="21">
        <f t="shared" ca="1" si="94"/>
        <v>1.5532250303081955E-2</v>
      </c>
      <c r="ER85" s="21">
        <f t="shared" ca="1" si="94"/>
        <v>1.5109510802585237E-2</v>
      </c>
      <c r="ES85" s="21">
        <f t="shared" ca="1" si="94"/>
        <v>1.0610501525375664E-2</v>
      </c>
      <c r="ET85" s="21">
        <f t="shared" ca="1" si="94"/>
        <v>9.8012807896281813E-3</v>
      </c>
      <c r="EU85" s="21">
        <f t="shared" ca="1" si="94"/>
        <v>9.5996189579796703E-3</v>
      </c>
      <c r="EV85" s="21">
        <f t="shared" ca="1" si="94"/>
        <v>9.8525951100443179E-3</v>
      </c>
      <c r="EW85" s="21">
        <f t="shared" ca="1" si="94"/>
        <v>9.1443209690061557E-3</v>
      </c>
      <c r="EX85" s="21">
        <f t="shared" ca="1" si="94"/>
        <v>8.6457829682950356E-3</v>
      </c>
      <c r="EY85" s="21">
        <f t="shared" ref="EY85:HJ85" ca="1" si="95">IF(EY5="","",AVERAGE(EU59:EX59)+CONFIDENCE(0.05,STDEV(DZ59:EX59),COUNT(DZ59:EX59)))</f>
        <v>7.2838969201412251E-3</v>
      </c>
      <c r="EZ85" s="21">
        <f t="shared" ca="1" si="95"/>
        <v>6.0651099504743788E-3</v>
      </c>
      <c r="FA85" s="21">
        <f t="shared" ca="1" si="95"/>
        <v>5.9630298899614482E-3</v>
      </c>
      <c r="FB85" s="21">
        <f t="shared" ca="1" si="95"/>
        <v>1.0969286431740813E-2</v>
      </c>
      <c r="FC85" s="21">
        <f t="shared" ca="1" si="95"/>
        <v>1.0371703993029332E-2</v>
      </c>
      <c r="FD85" s="21">
        <f t="shared" ca="1" si="95"/>
        <v>1.0749200473766001E-2</v>
      </c>
      <c r="FE85" s="21">
        <f t="shared" ca="1" si="95"/>
        <v>1.2147484045911339E-2</v>
      </c>
      <c r="FF85" s="21">
        <f t="shared" ca="1" si="95"/>
        <v>7.9379406505445879E-3</v>
      </c>
      <c r="FG85" s="21">
        <f t="shared" ca="1" si="95"/>
        <v>1.6522800708961612E-2</v>
      </c>
      <c r="FH85" s="21">
        <f t="shared" ca="1" si="95"/>
        <v>2.5748903057836822E-2</v>
      </c>
      <c r="FI85" s="21">
        <f t="shared" ca="1" si="95"/>
        <v>2.9704286059102154E-2</v>
      </c>
      <c r="FJ85" s="21">
        <f t="shared" ca="1" si="95"/>
        <v>2.9603650728828312E-2</v>
      </c>
      <c r="FK85" s="21">
        <f t="shared" ca="1" si="95"/>
        <v>2.6337675959790877E-2</v>
      </c>
      <c r="FL85" s="21">
        <f t="shared" ca="1" si="95"/>
        <v>1.9199875285072401E-2</v>
      </c>
      <c r="FM85" s="21">
        <f t="shared" ca="1" si="95"/>
        <v>1.5622970293180008E-2</v>
      </c>
      <c r="FN85" s="21">
        <f t="shared" ca="1" si="95"/>
        <v>1.6471633793747081E-2</v>
      </c>
      <c r="FO85" s="21">
        <f t="shared" ca="1" si="95"/>
        <v>1.3009663059656427E-2</v>
      </c>
      <c r="FP85" s="21">
        <f t="shared" ca="1" si="95"/>
        <v>1.0357625335188893E-2</v>
      </c>
      <c r="FQ85" s="21">
        <f t="shared" ca="1" si="95"/>
        <v>1.1405071761477596E-2</v>
      </c>
      <c r="FR85" s="21">
        <f t="shared" ca="1" si="95"/>
        <v>1.3291629945881879E-2</v>
      </c>
      <c r="FS85" s="21">
        <f t="shared" ca="1" si="95"/>
        <v>1.4417902880793969E-2</v>
      </c>
      <c r="FT85" s="21">
        <f t="shared" ca="1" si="95"/>
        <v>1.4602258451409694E-2</v>
      </c>
      <c r="FU85" s="21">
        <f t="shared" ca="1" si="95"/>
        <v>1.1842780981609732E-2</v>
      </c>
      <c r="FV85" s="21">
        <f t="shared" ca="1" si="95"/>
        <v>1.1781197534125293E-2</v>
      </c>
      <c r="FW85" s="21">
        <f t="shared" ca="1" si="95"/>
        <v>1.3892096781337866E-2</v>
      </c>
      <c r="FX85" s="21">
        <f t="shared" ca="1" si="95"/>
        <v>1.5842624208952966E-2</v>
      </c>
      <c r="FY85" s="21">
        <f t="shared" ca="1" si="95"/>
        <v>1.5742089730624485E-2</v>
      </c>
      <c r="FZ85" s="21">
        <f t="shared" ca="1" si="95"/>
        <v>1.3713094768824693E-2</v>
      </c>
      <c r="GA85" s="21">
        <f t="shared" ca="1" si="95"/>
        <v>9.5508407849660571E-3</v>
      </c>
      <c r="GB85" s="21">
        <f t="shared" ca="1" si="95"/>
        <v>6.9824070081556996E-3</v>
      </c>
      <c r="GC85" s="21">
        <f t="shared" ca="1" si="95"/>
        <v>7.0647631043152595E-3</v>
      </c>
      <c r="GD85" s="21">
        <f t="shared" ca="1" si="95"/>
        <v>6.765227595082822E-3</v>
      </c>
      <c r="GE85" s="21">
        <f t="shared" ca="1" si="95"/>
        <v>9.7792279847882906E-3</v>
      </c>
      <c r="GF85" s="21">
        <f t="shared" ca="1" si="95"/>
        <v>1.542157695592487E-2</v>
      </c>
      <c r="GG85" s="21">
        <f t="shared" ca="1" si="95"/>
        <v>1.4403653606535768E-2</v>
      </c>
      <c r="GH85" s="21">
        <f t="shared" ca="1" si="95"/>
        <v>1.3601971980526664E-2</v>
      </c>
      <c r="GI85" s="21">
        <f t="shared" ca="1" si="95"/>
        <v>1.0012997118345898E-2</v>
      </c>
      <c r="GJ85" s="21">
        <f t="shared" ca="1" si="95"/>
        <v>6.7873522412821019E-3</v>
      </c>
      <c r="GK85" s="21">
        <f t="shared" ca="1" si="95"/>
        <v>9.3980959944758441E-3</v>
      </c>
      <c r="GL85" s="21">
        <f t="shared" ca="1" si="95"/>
        <v>1.1574856050025778E-2</v>
      </c>
      <c r="GM85" s="21">
        <f t="shared" ca="1" si="95"/>
        <v>3.5512830912211121E-2</v>
      </c>
      <c r="GN85" s="21">
        <f t="shared" ca="1" si="95"/>
        <v>8.3254457910832746E-2</v>
      </c>
      <c r="GO85" s="21">
        <f t="shared" ca="1" si="95"/>
        <v>0.14002021030928233</v>
      </c>
      <c r="GP85" s="21">
        <f t="shared" ca="1" si="95"/>
        <v>0.16304639393019518</v>
      </c>
      <c r="GQ85" s="21">
        <f t="shared" ca="1" si="95"/>
        <v>0.17508611933935295</v>
      </c>
      <c r="GR85" s="21">
        <f t="shared" ca="1" si="95"/>
        <v>0.1499619569955486</v>
      </c>
      <c r="GS85" s="21">
        <f t="shared" ca="1" si="95"/>
        <v>0.11959912846948156</v>
      </c>
      <c r="GT85" s="21">
        <f t="shared" ca="1" si="95"/>
        <v>0.1133915262231374</v>
      </c>
      <c r="GU85" s="21">
        <f t="shared" ca="1" si="95"/>
        <v>9.3980845873155167E-2</v>
      </c>
      <c r="GV85" s="21">
        <f t="shared" ca="1" si="95"/>
        <v>8.2718253084982346E-2</v>
      </c>
      <c r="GW85" s="21">
        <f t="shared" ca="1" si="95"/>
        <v>6.7572457408570444E-2</v>
      </c>
      <c r="GX85" s="21">
        <f t="shared" ca="1" si="95"/>
        <v>5.7739355107357511E-2</v>
      </c>
      <c r="GY85" s="21">
        <f t="shared" ca="1" si="95"/>
        <v>5.16775060075325E-2</v>
      </c>
      <c r="GZ85" s="21">
        <f t="shared" ca="1" si="95"/>
        <v>5.4038883703301961E-2</v>
      </c>
      <c r="HA85" s="21" t="str">
        <f t="shared" si="95"/>
        <v/>
      </c>
      <c r="HB85" s="21" t="str">
        <f t="shared" si="95"/>
        <v/>
      </c>
      <c r="HC85" s="21" t="str">
        <f t="shared" si="95"/>
        <v/>
      </c>
      <c r="HD85" s="21" t="str">
        <f t="shared" si="95"/>
        <v/>
      </c>
      <c r="HE85" s="21" t="str">
        <f t="shared" si="95"/>
        <v/>
      </c>
      <c r="HF85" s="21" t="str">
        <f t="shared" si="95"/>
        <v/>
      </c>
      <c r="HG85" s="21" t="str">
        <f t="shared" si="95"/>
        <v/>
      </c>
      <c r="HH85" s="21" t="str">
        <f t="shared" si="95"/>
        <v/>
      </c>
      <c r="HI85" s="21" t="str">
        <f t="shared" si="95"/>
        <v/>
      </c>
      <c r="HJ85" s="21" t="str">
        <f t="shared" si="95"/>
        <v/>
      </c>
      <c r="HK85" s="21" t="str">
        <f t="shared" ref="HK85:JH85" si="96">IF(HK5="","",AVERAGE(HG59:HJ59)+CONFIDENCE(0.05,STDEV(GL59:HJ59),COUNT(GL59:HJ59)))</f>
        <v/>
      </c>
      <c r="HL85" s="21" t="str">
        <f t="shared" si="96"/>
        <v/>
      </c>
      <c r="HM85" s="21" t="str">
        <f t="shared" si="96"/>
        <v/>
      </c>
      <c r="HN85" s="21" t="str">
        <f t="shared" si="96"/>
        <v/>
      </c>
      <c r="HO85" s="21" t="str">
        <f t="shared" si="96"/>
        <v/>
      </c>
      <c r="HP85" s="21" t="str">
        <f t="shared" si="96"/>
        <v/>
      </c>
      <c r="HQ85" s="21" t="str">
        <f t="shared" si="96"/>
        <v/>
      </c>
      <c r="HR85" s="21" t="str">
        <f t="shared" si="96"/>
        <v/>
      </c>
      <c r="HS85" s="21" t="str">
        <f t="shared" si="96"/>
        <v/>
      </c>
      <c r="HT85" s="21" t="str">
        <f t="shared" si="96"/>
        <v/>
      </c>
      <c r="HU85" s="21" t="str">
        <f t="shared" si="96"/>
        <v/>
      </c>
      <c r="HV85" s="21" t="str">
        <f t="shared" si="96"/>
        <v/>
      </c>
      <c r="HW85" s="21" t="str">
        <f t="shared" si="96"/>
        <v/>
      </c>
      <c r="HX85" s="21" t="str">
        <f t="shared" si="96"/>
        <v/>
      </c>
      <c r="HY85" s="21" t="str">
        <f t="shared" si="96"/>
        <v/>
      </c>
      <c r="HZ85" s="21" t="str">
        <f t="shared" si="96"/>
        <v/>
      </c>
      <c r="IA85" s="21" t="str">
        <f t="shared" si="96"/>
        <v/>
      </c>
      <c r="IB85" s="21" t="str">
        <f t="shared" si="96"/>
        <v/>
      </c>
      <c r="IC85" s="21" t="str">
        <f t="shared" si="96"/>
        <v/>
      </c>
      <c r="ID85" s="21" t="str">
        <f t="shared" si="96"/>
        <v/>
      </c>
      <c r="IE85" s="21" t="str">
        <f t="shared" si="96"/>
        <v/>
      </c>
      <c r="IF85" s="21" t="str">
        <f t="shared" si="96"/>
        <v/>
      </c>
      <c r="IG85" s="21" t="str">
        <f t="shared" si="96"/>
        <v/>
      </c>
      <c r="IH85" s="21" t="str">
        <f t="shared" si="96"/>
        <v/>
      </c>
      <c r="II85" s="21" t="str">
        <f t="shared" si="96"/>
        <v/>
      </c>
      <c r="IJ85" s="21" t="str">
        <f t="shared" si="96"/>
        <v/>
      </c>
      <c r="IK85" s="21" t="str">
        <f t="shared" si="96"/>
        <v/>
      </c>
      <c r="IL85" s="21" t="str">
        <f t="shared" si="96"/>
        <v/>
      </c>
      <c r="IM85" s="21" t="str">
        <f t="shared" si="96"/>
        <v/>
      </c>
      <c r="IN85" s="21" t="str">
        <f t="shared" si="96"/>
        <v/>
      </c>
      <c r="IO85" s="21" t="str">
        <f t="shared" si="96"/>
        <v/>
      </c>
      <c r="IP85" s="21" t="str">
        <f t="shared" si="96"/>
        <v/>
      </c>
      <c r="IQ85" s="21" t="str">
        <f t="shared" si="96"/>
        <v/>
      </c>
      <c r="IR85" s="21" t="str">
        <f t="shared" si="96"/>
        <v/>
      </c>
      <c r="IS85" s="21" t="str">
        <f t="shared" si="96"/>
        <v/>
      </c>
      <c r="IT85" s="21" t="str">
        <f t="shared" si="96"/>
        <v/>
      </c>
      <c r="IU85" s="21" t="str">
        <f t="shared" si="96"/>
        <v/>
      </c>
      <c r="IV85" s="21" t="str">
        <f t="shared" si="96"/>
        <v/>
      </c>
      <c r="IW85" s="21" t="str">
        <f t="shared" si="96"/>
        <v/>
      </c>
      <c r="IX85" s="21" t="str">
        <f t="shared" si="96"/>
        <v/>
      </c>
      <c r="IY85" s="21" t="str">
        <f t="shared" si="96"/>
        <v/>
      </c>
      <c r="IZ85" s="21" t="str">
        <f t="shared" si="96"/>
        <v/>
      </c>
      <c r="JA85" s="21" t="str">
        <f t="shared" si="96"/>
        <v/>
      </c>
      <c r="JB85" s="21" t="str">
        <f t="shared" si="96"/>
        <v/>
      </c>
      <c r="JC85" s="21" t="str">
        <f t="shared" si="96"/>
        <v/>
      </c>
      <c r="JD85" s="21" t="str">
        <f t="shared" si="96"/>
        <v/>
      </c>
      <c r="JE85" s="21" t="str">
        <f t="shared" si="96"/>
        <v/>
      </c>
      <c r="JF85" s="21" t="str">
        <f t="shared" si="96"/>
        <v/>
      </c>
      <c r="JG85" s="21" t="str">
        <f t="shared" si="96"/>
        <v/>
      </c>
      <c r="JH85" s="21" t="str">
        <f t="shared" si="96"/>
        <v/>
      </c>
    </row>
    <row r="86" spans="1:336" x14ac:dyDescent="0.25"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>
        <f t="shared" ref="AA86:CL86" ca="1" si="97">IF(AA6="","",AVERAGE(V60:Z60)+CONFIDENCE(0.05,STDEV(B60:Z60),COUNT(B60:Z60)))</f>
        <v>9.2446640960555746E-3</v>
      </c>
      <c r="AB86" s="21">
        <f t="shared" ca="1" si="97"/>
        <v>9.0752369537382346E-3</v>
      </c>
      <c r="AC86" s="21">
        <f t="shared" ca="1" si="97"/>
        <v>1.1101608385032394E-2</v>
      </c>
      <c r="AD86" s="21">
        <f t="shared" ca="1" si="97"/>
        <v>1.3278873055462628E-2</v>
      </c>
      <c r="AE86" s="21">
        <f t="shared" ca="1" si="97"/>
        <v>1.2875911175061627E-2</v>
      </c>
      <c r="AF86" s="21">
        <f t="shared" ca="1" si="97"/>
        <v>1.4027102107368921E-2</v>
      </c>
      <c r="AG86" s="21">
        <f t="shared" ca="1" si="97"/>
        <v>1.5173123529236872E-2</v>
      </c>
      <c r="AH86" s="21">
        <f t="shared" ca="1" si="97"/>
        <v>1.7406398430449062E-2</v>
      </c>
      <c r="AI86" s="21">
        <f t="shared" ca="1" si="97"/>
        <v>2.0615925868645506E-2</v>
      </c>
      <c r="AJ86" s="21">
        <f t="shared" ca="1" si="97"/>
        <v>2.4086543792702697E-2</v>
      </c>
      <c r="AK86" s="21">
        <f t="shared" ca="1" si="97"/>
        <v>2.4884480890287414E-2</v>
      </c>
      <c r="AL86" s="21">
        <f t="shared" ca="1" si="97"/>
        <v>2.2034024004360095E-2</v>
      </c>
      <c r="AM86" s="21">
        <f t="shared" ca="1" si="97"/>
        <v>2.0334927362908505E-2</v>
      </c>
      <c r="AN86" s="21">
        <f t="shared" ca="1" si="97"/>
        <v>2.0599865740132013E-2</v>
      </c>
      <c r="AO86" s="21">
        <f t="shared" ca="1" si="97"/>
        <v>2.6276650997421363E-2</v>
      </c>
      <c r="AP86" s="21">
        <f t="shared" ca="1" si="97"/>
        <v>3.3766871121195273E-2</v>
      </c>
      <c r="AQ86" s="21">
        <f t="shared" ca="1" si="97"/>
        <v>4.4680046378497783E-2</v>
      </c>
      <c r="AR86" s="21">
        <f t="shared" ca="1" si="97"/>
        <v>4.8536352505939684E-2</v>
      </c>
      <c r="AS86" s="21">
        <f t="shared" ca="1" si="97"/>
        <v>4.5500168824051009E-2</v>
      </c>
      <c r="AT86" s="21">
        <f t="shared" ca="1" si="97"/>
        <v>3.7695232462103767E-2</v>
      </c>
      <c r="AU86" s="21">
        <f t="shared" ca="1" si="97"/>
        <v>2.920872652335205E-2</v>
      </c>
      <c r="AV86" s="21">
        <f t="shared" ca="1" si="97"/>
        <v>2.7029798508970596E-2</v>
      </c>
      <c r="AW86" s="21">
        <f t="shared" ca="1" si="97"/>
        <v>3.4341667033860067E-2</v>
      </c>
      <c r="AX86" s="21">
        <f t="shared" ca="1" si="97"/>
        <v>4.6604521860049687E-2</v>
      </c>
      <c r="AY86" s="21">
        <f t="shared" ca="1" si="97"/>
        <v>6.558059060632275E-2</v>
      </c>
      <c r="AZ86" s="21">
        <f t="shared" ca="1" si="97"/>
        <v>8.5743170028291599E-2</v>
      </c>
      <c r="BA86" s="21">
        <f t="shared" ca="1" si="97"/>
        <v>9.4328664842957724E-2</v>
      </c>
      <c r="BB86" s="21">
        <f t="shared" ca="1" si="97"/>
        <v>0.10282629511334</v>
      </c>
      <c r="BC86" s="21">
        <f t="shared" ca="1" si="97"/>
        <v>0.10058741561380996</v>
      </c>
      <c r="BD86" s="21">
        <f t="shared" ca="1" si="97"/>
        <v>8.7998311066500731E-2</v>
      </c>
      <c r="BE86" s="21">
        <f t="shared" ca="1" si="97"/>
        <v>8.3163673107959551E-2</v>
      </c>
      <c r="BF86" s="21">
        <f t="shared" ca="1" si="97"/>
        <v>8.6205538163342851E-2</v>
      </c>
      <c r="BG86" s="21">
        <f t="shared" ca="1" si="97"/>
        <v>8.3513964205124983E-2</v>
      </c>
      <c r="BH86" s="21">
        <f t="shared" ca="1" si="97"/>
        <v>8.7479453163743087E-2</v>
      </c>
      <c r="BI86" s="21">
        <f t="shared" ca="1" si="97"/>
        <v>9.1646014177047902E-2</v>
      </c>
      <c r="BJ86" s="21">
        <f t="shared" ca="1" si="97"/>
        <v>8.3160949151853333E-2</v>
      </c>
      <c r="BK86" s="21">
        <f t="shared" ca="1" si="97"/>
        <v>6.530054740300055E-2</v>
      </c>
      <c r="BL86" s="21">
        <f t="shared" ca="1" si="97"/>
        <v>5.0114967022792771E-2</v>
      </c>
      <c r="BM86" s="21">
        <f t="shared" ca="1" si="97"/>
        <v>4.9753748699831943E-2</v>
      </c>
      <c r="BN86" s="21">
        <f t="shared" ca="1" si="97"/>
        <v>6.7537064597891147E-2</v>
      </c>
      <c r="BO86" s="21">
        <f t="shared" ca="1" si="97"/>
        <v>8.5214971208479873E-2</v>
      </c>
      <c r="BP86" s="21">
        <f t="shared" ca="1" si="97"/>
        <v>9.9872880309097536E-2</v>
      </c>
      <c r="BQ86" s="21">
        <f t="shared" ca="1" si="97"/>
        <v>0.10395588829396664</v>
      </c>
      <c r="BR86" s="21">
        <f t="shared" ca="1" si="97"/>
        <v>8.9188064325186084E-2</v>
      </c>
      <c r="BS86" s="21">
        <f t="shared" ca="1" si="97"/>
        <v>6.4548004748761462E-2</v>
      </c>
      <c r="BT86" s="21">
        <f t="shared" ca="1" si="97"/>
        <v>4.8537020981642705E-2</v>
      </c>
      <c r="BU86" s="21">
        <f t="shared" ca="1" si="97"/>
        <v>3.7085839331041058E-2</v>
      </c>
      <c r="BV86" s="21">
        <f t="shared" ca="1" si="97"/>
        <v>3.4089648831417463E-2</v>
      </c>
      <c r="BW86" s="21">
        <f t="shared" ca="1" si="97"/>
        <v>3.7235836341884126E-2</v>
      </c>
      <c r="BX86" s="21">
        <f t="shared" ca="1" si="97"/>
        <v>3.6729747925613336E-2</v>
      </c>
      <c r="BY86" s="21">
        <f t="shared" ca="1" si="97"/>
        <v>3.6498800454694308E-2</v>
      </c>
      <c r="BZ86" s="21">
        <f t="shared" ca="1" si="97"/>
        <v>4.6166561894987183E-2</v>
      </c>
      <c r="CA86" s="21">
        <f t="shared" ca="1" si="97"/>
        <v>5.123503898711939E-2</v>
      </c>
      <c r="CB86" s="21">
        <f t="shared" ca="1" si="97"/>
        <v>5.2106107903192027E-2</v>
      </c>
      <c r="CC86" s="21">
        <f t="shared" ca="1" si="97"/>
        <v>5.2529180904928641E-2</v>
      </c>
      <c r="CD86" s="21">
        <f t="shared" ca="1" si="97"/>
        <v>4.880025017229743E-2</v>
      </c>
      <c r="CE86" s="21">
        <f t="shared" ca="1" si="97"/>
        <v>3.7866758186630503E-2</v>
      </c>
      <c r="CF86" s="21">
        <f t="shared" ca="1" si="97"/>
        <v>3.3464664566815128E-2</v>
      </c>
      <c r="CG86" s="21">
        <f t="shared" ca="1" si="97"/>
        <v>3.1531563993862304E-2</v>
      </c>
      <c r="CH86" s="21">
        <f t="shared" ca="1" si="97"/>
        <v>3.2678543264009687E-2</v>
      </c>
      <c r="CI86" s="21">
        <f t="shared" ca="1" si="97"/>
        <v>3.5069379963186473E-2</v>
      </c>
      <c r="CJ86" s="21">
        <f t="shared" ca="1" si="97"/>
        <v>3.2363173388925109E-2</v>
      </c>
      <c r="CK86" s="21">
        <f t="shared" ca="1" si="97"/>
        <v>3.1276163265089939E-2</v>
      </c>
      <c r="CL86" s="21">
        <f t="shared" ca="1" si="97"/>
        <v>3.5108098260803071E-2</v>
      </c>
      <c r="CM86" s="21">
        <f t="shared" ref="CM86:EX86" ca="1" si="98">IF(CM6="","",AVERAGE(CH60:CL60)+CONFIDENCE(0.05,STDEV(BN60:CL60),COUNT(BN60:CL60)))</f>
        <v>2.9427500260450816E-2</v>
      </c>
      <c r="CN86" s="21">
        <f t="shared" ca="1" si="98"/>
        <v>2.2552561296560136E-2</v>
      </c>
      <c r="CO86" s="21">
        <f t="shared" ca="1" si="98"/>
        <v>2.8177352725421798E-2</v>
      </c>
      <c r="CP86" s="21">
        <f t="shared" ca="1" si="98"/>
        <v>3.3285681325538406E-2</v>
      </c>
      <c r="CQ86" s="21">
        <f t="shared" ca="1" si="98"/>
        <v>3.2320796554912594E-2</v>
      </c>
      <c r="CR86" s="21">
        <f t="shared" ca="1" si="98"/>
        <v>3.2860199839969115E-2</v>
      </c>
      <c r="CS86" s="21">
        <f t="shared" ca="1" si="98"/>
        <v>3.0859126793029143E-2</v>
      </c>
      <c r="CT86" s="21">
        <f t="shared" ca="1" si="98"/>
        <v>2.6423101028267518E-2</v>
      </c>
      <c r="CU86" s="21">
        <f t="shared" ca="1" si="98"/>
        <v>2.4896619470770789E-2</v>
      </c>
      <c r="CV86" s="21">
        <f t="shared" ca="1" si="98"/>
        <v>2.221102441511659E-2</v>
      </c>
      <c r="CW86" s="21">
        <f t="shared" ca="1" si="98"/>
        <v>2.3195666063920903E-2</v>
      </c>
      <c r="CX86" s="21">
        <f t="shared" ca="1" si="98"/>
        <v>2.1419095710184258E-2</v>
      </c>
      <c r="CY86" s="21">
        <f t="shared" ca="1" si="98"/>
        <v>2.1942434904718165E-2</v>
      </c>
      <c r="CZ86" s="21">
        <f t="shared" ca="1" si="98"/>
        <v>1.9870053998305982E-2</v>
      </c>
      <c r="DA86" s="21">
        <f t="shared" ca="1" si="98"/>
        <v>1.8307833859483646E-2</v>
      </c>
      <c r="DB86" s="21">
        <f t="shared" ca="1" si="98"/>
        <v>1.6798032173857766E-2</v>
      </c>
      <c r="DC86" s="21">
        <f t="shared" ca="1" si="98"/>
        <v>1.8326246466466994E-2</v>
      </c>
      <c r="DD86" s="21">
        <f t="shared" ca="1" si="98"/>
        <v>1.6870963216364748E-2</v>
      </c>
      <c r="DE86" s="21">
        <f t="shared" ca="1" si="98"/>
        <v>1.7524584132523391E-2</v>
      </c>
      <c r="DF86" s="21">
        <f t="shared" ca="1" si="98"/>
        <v>2.141765300147068E-2</v>
      </c>
      <c r="DG86" s="21">
        <f t="shared" ca="1" si="98"/>
        <v>2.190084505113362E-2</v>
      </c>
      <c r="DH86" s="21">
        <f t="shared" ca="1" si="98"/>
        <v>2.2298803563172778E-2</v>
      </c>
      <c r="DI86" s="21">
        <f t="shared" ca="1" si="98"/>
        <v>2.0998121809820639E-2</v>
      </c>
      <c r="DJ86" s="21">
        <f t="shared" ca="1" si="98"/>
        <v>1.6671859280046265E-2</v>
      </c>
      <c r="DK86" s="21">
        <f t="shared" ca="1" si="98"/>
        <v>1.5753931420664898E-2</v>
      </c>
      <c r="DL86" s="21">
        <f t="shared" ca="1" si="98"/>
        <v>1.8327921698991913E-2</v>
      </c>
      <c r="DM86" s="21">
        <f t="shared" ca="1" si="98"/>
        <v>1.7348981416884908E-2</v>
      </c>
      <c r="DN86" s="21">
        <f t="shared" ca="1" si="98"/>
        <v>1.8101566625199576E-2</v>
      </c>
      <c r="DO86" s="21">
        <f t="shared" ca="1" si="98"/>
        <v>2.0104640672375568E-2</v>
      </c>
      <c r="DP86" s="21">
        <f t="shared" ca="1" si="98"/>
        <v>1.8473979178400247E-2</v>
      </c>
      <c r="DQ86" s="21">
        <f t="shared" ca="1" si="98"/>
        <v>2.1975470492351407E-2</v>
      </c>
      <c r="DR86" s="21">
        <f t="shared" ca="1" si="98"/>
        <v>2.4043091474200799E-2</v>
      </c>
      <c r="DS86" s="21">
        <f t="shared" ca="1" si="98"/>
        <v>2.3806835957426317E-2</v>
      </c>
      <c r="DT86" s="21">
        <f t="shared" ca="1" si="98"/>
        <v>2.1266383725788943E-2</v>
      </c>
      <c r="DU86" s="21">
        <f t="shared" ca="1" si="98"/>
        <v>2.0546787459362746E-2</v>
      </c>
      <c r="DV86" s="21">
        <f t="shared" ca="1" si="98"/>
        <v>1.6222603343879878E-2</v>
      </c>
      <c r="DW86" s="21">
        <f t="shared" ca="1" si="98"/>
        <v>1.7137786178191748E-2</v>
      </c>
      <c r="DX86" s="21">
        <f t="shared" ca="1" si="98"/>
        <v>1.860812858379866E-2</v>
      </c>
      <c r="DY86" s="21">
        <f t="shared" ca="1" si="98"/>
        <v>1.9716455271695545E-2</v>
      </c>
      <c r="DZ86" s="21">
        <f t="shared" ca="1" si="98"/>
        <v>2.0953033444224015E-2</v>
      </c>
      <c r="EA86" s="21">
        <f t="shared" ca="1" si="98"/>
        <v>2.1688789775482532E-2</v>
      </c>
      <c r="EB86" s="21">
        <f t="shared" ca="1" si="98"/>
        <v>2.1291414372811342E-2</v>
      </c>
      <c r="EC86" s="21">
        <f t="shared" ca="1" si="98"/>
        <v>2.2831629435932026E-2</v>
      </c>
      <c r="ED86" s="21">
        <f t="shared" ca="1" si="98"/>
        <v>2.3226640008888185E-2</v>
      </c>
      <c r="EE86" s="21">
        <f t="shared" ca="1" si="98"/>
        <v>2.397464778925323E-2</v>
      </c>
      <c r="EF86" s="21">
        <f t="shared" ca="1" si="98"/>
        <v>2.3545437374276359E-2</v>
      </c>
      <c r="EG86" s="21">
        <f t="shared" ca="1" si="98"/>
        <v>2.0768329496412441E-2</v>
      </c>
      <c r="EH86" s="21">
        <f t="shared" ca="1" si="98"/>
        <v>1.7295425759246044E-2</v>
      </c>
      <c r="EI86" s="21">
        <f t="shared" ca="1" si="98"/>
        <v>1.7773786639406014E-2</v>
      </c>
      <c r="EJ86" s="21">
        <f t="shared" ca="1" si="98"/>
        <v>1.7682868439397783E-2</v>
      </c>
      <c r="EK86" s="21">
        <f t="shared" ca="1" si="98"/>
        <v>1.5291863606230742E-2</v>
      </c>
      <c r="EL86" s="21">
        <f t="shared" ca="1" si="98"/>
        <v>1.6241626638913629E-2</v>
      </c>
      <c r="EM86" s="21">
        <f t="shared" ca="1" si="98"/>
        <v>1.5502655907629849E-2</v>
      </c>
      <c r="EN86" s="21">
        <f t="shared" ca="1" si="98"/>
        <v>1.5119498420789258E-2</v>
      </c>
      <c r="EO86" s="21">
        <f t="shared" ca="1" si="98"/>
        <v>1.6492748478955939E-2</v>
      </c>
      <c r="EP86" s="21">
        <f t="shared" ca="1" si="98"/>
        <v>1.7911779410958572E-2</v>
      </c>
      <c r="EQ86" s="21">
        <f t="shared" ca="1" si="98"/>
        <v>1.7622597325747346E-2</v>
      </c>
      <c r="ER86" s="21">
        <f t="shared" ca="1" si="98"/>
        <v>1.9007467194526537E-2</v>
      </c>
      <c r="ES86" s="21">
        <f t="shared" ca="1" si="98"/>
        <v>1.5428438055903475E-2</v>
      </c>
      <c r="ET86" s="21">
        <f t="shared" ca="1" si="98"/>
        <v>1.013539823301569E-2</v>
      </c>
      <c r="EU86" s="21">
        <f t="shared" ca="1" si="98"/>
        <v>1.0545613649567196E-2</v>
      </c>
      <c r="EV86" s="21">
        <f t="shared" ca="1" si="98"/>
        <v>1.1216177315215447E-2</v>
      </c>
      <c r="EW86" s="21">
        <f t="shared" ca="1" si="98"/>
        <v>9.239771239266413E-3</v>
      </c>
      <c r="EX86" s="21">
        <f t="shared" ca="1" si="98"/>
        <v>1.1353805962755148E-2</v>
      </c>
      <c r="EY86" s="21">
        <f t="shared" ref="EY86:HJ86" ca="1" si="99">IF(EY6="","",AVERAGE(ET60:EX60)+CONFIDENCE(0.05,STDEV(DZ60:EX60),COUNT(DZ60:EX60)))</f>
        <v>1.22171052306922E-2</v>
      </c>
      <c r="EZ86" s="21">
        <f t="shared" ca="1" si="99"/>
        <v>1.2476716741179339E-2</v>
      </c>
      <c r="FA86" s="21">
        <f t="shared" ca="1" si="99"/>
        <v>1.0478381164897511E-2</v>
      </c>
      <c r="FB86" s="21">
        <f t="shared" ca="1" si="99"/>
        <v>1.5022563430823654E-2</v>
      </c>
      <c r="FC86" s="21">
        <f t="shared" ca="1" si="99"/>
        <v>1.3654888688195938E-2</v>
      </c>
      <c r="FD86" s="21">
        <f t="shared" ca="1" si="99"/>
        <v>1.3872424002424829E-2</v>
      </c>
      <c r="FE86" s="21">
        <f t="shared" ca="1" si="99"/>
        <v>1.1556963804809528E-2</v>
      </c>
      <c r="FF86" s="21">
        <f t="shared" ca="1" si="99"/>
        <v>1.5430652149141499E-2</v>
      </c>
      <c r="FG86" s="21">
        <f t="shared" ca="1" si="99"/>
        <v>2.085541067407878E-2</v>
      </c>
      <c r="FH86" s="21">
        <f t="shared" ca="1" si="99"/>
        <v>2.9523135351428371E-2</v>
      </c>
      <c r="FI86" s="21">
        <f t="shared" ca="1" si="99"/>
        <v>3.2164151548706235E-2</v>
      </c>
      <c r="FJ86" s="21">
        <f t="shared" ca="1" si="99"/>
        <v>3.3813396111957883E-2</v>
      </c>
      <c r="FK86" s="21">
        <f t="shared" ca="1" si="99"/>
        <v>3.5263948320489423E-2</v>
      </c>
      <c r="FL86" s="21">
        <f t="shared" ca="1" si="99"/>
        <v>2.9806128836172757E-2</v>
      </c>
      <c r="FM86" s="21">
        <f t="shared" ca="1" si="99"/>
        <v>2.357623919798825E-2</v>
      </c>
      <c r="FN86" s="21">
        <f t="shared" ca="1" si="99"/>
        <v>2.0943935857484844E-2</v>
      </c>
      <c r="FO86" s="21">
        <f t="shared" ca="1" si="99"/>
        <v>1.9885747468164516E-2</v>
      </c>
      <c r="FP86" s="21">
        <f t="shared" ca="1" si="99"/>
        <v>1.675161141412531E-2</v>
      </c>
      <c r="FQ86" s="21">
        <f t="shared" ca="1" si="99"/>
        <v>1.6682050314115425E-2</v>
      </c>
      <c r="FR86" s="21">
        <f t="shared" ca="1" si="99"/>
        <v>1.7568093277587005E-2</v>
      </c>
      <c r="FS86" s="21">
        <f t="shared" ca="1" si="99"/>
        <v>1.9094055884686517E-2</v>
      </c>
      <c r="FT86" s="21">
        <f t="shared" ca="1" si="99"/>
        <v>1.874675357218835E-2</v>
      </c>
      <c r="FU86" s="21">
        <f t="shared" ca="1" si="99"/>
        <v>1.7794803377817994E-2</v>
      </c>
      <c r="FV86" s="21">
        <f t="shared" ca="1" si="99"/>
        <v>1.8046917170604193E-2</v>
      </c>
      <c r="FW86" s="21">
        <f t="shared" ca="1" si="99"/>
        <v>1.8777835665397112E-2</v>
      </c>
      <c r="FX86" s="21">
        <f t="shared" ca="1" si="99"/>
        <v>1.7873088470889045E-2</v>
      </c>
      <c r="FY86" s="21">
        <f t="shared" ca="1" si="99"/>
        <v>1.7614534718693287E-2</v>
      </c>
      <c r="FZ86" s="21">
        <f t="shared" ca="1" si="99"/>
        <v>1.8370476778156467E-2</v>
      </c>
      <c r="GA86" s="21">
        <f t="shared" ca="1" si="99"/>
        <v>1.4898837509826178E-2</v>
      </c>
      <c r="GB86" s="21">
        <f t="shared" ca="1" si="99"/>
        <v>1.0633971284059979E-2</v>
      </c>
      <c r="GC86" s="21">
        <f t="shared" ca="1" si="99"/>
        <v>9.9277435632428856E-3</v>
      </c>
      <c r="GD86" s="21">
        <f t="shared" ca="1" si="99"/>
        <v>1.3314319931396675E-2</v>
      </c>
      <c r="GE86" s="21">
        <f t="shared" ca="1" si="99"/>
        <v>1.6320257340069273E-2</v>
      </c>
      <c r="GF86" s="21">
        <f t="shared" ca="1" si="99"/>
        <v>1.8687361715753012E-2</v>
      </c>
      <c r="GG86" s="21">
        <f t="shared" ca="1" si="99"/>
        <v>1.8717477546491654E-2</v>
      </c>
      <c r="GH86" s="21">
        <f t="shared" ca="1" si="99"/>
        <v>1.7798364114904465E-2</v>
      </c>
      <c r="GI86" s="21">
        <f t="shared" ca="1" si="99"/>
        <v>1.4739497596051416E-2</v>
      </c>
      <c r="GJ86" s="21">
        <f t="shared" ca="1" si="99"/>
        <v>1.1381353748873335E-2</v>
      </c>
      <c r="GK86" s="21">
        <f t="shared" ca="1" si="99"/>
        <v>1.1655062978245086E-2</v>
      </c>
      <c r="GL86" s="21">
        <f t="shared" ca="1" si="99"/>
        <v>2.9306293913376649E-2</v>
      </c>
      <c r="GM86" s="21">
        <f t="shared" ca="1" si="99"/>
        <v>6.9519032119720311E-2</v>
      </c>
      <c r="GN86" s="21">
        <f t="shared" ca="1" si="99"/>
        <v>0.11437203266819999</v>
      </c>
      <c r="GO86" s="21">
        <f t="shared" ca="1" si="99"/>
        <v>0.16471731491245734</v>
      </c>
      <c r="GP86" s="21">
        <f t="shared" ca="1" si="99"/>
        <v>0.17560783199003113</v>
      </c>
      <c r="GQ86" s="21">
        <f t="shared" ca="1" si="99"/>
        <v>0.19479364956836781</v>
      </c>
      <c r="GR86" s="21">
        <f t="shared" ca="1" si="99"/>
        <v>0.18255480054155246</v>
      </c>
      <c r="GS86" s="21">
        <f t="shared" ca="1" si="99"/>
        <v>0.16467461766567654</v>
      </c>
      <c r="GT86" s="21">
        <f t="shared" ca="1" si="99"/>
        <v>0.13449000680294934</v>
      </c>
      <c r="GU86" s="21">
        <f t="shared" ca="1" si="99"/>
        <v>0.12870013426687887</v>
      </c>
      <c r="GV86" s="21">
        <f t="shared" ca="1" si="99"/>
        <v>0.10077148635305767</v>
      </c>
      <c r="GW86" s="21">
        <f t="shared" ca="1" si="99"/>
        <v>9.3854582337890374E-2</v>
      </c>
      <c r="GX86" s="21">
        <f t="shared" ca="1" si="99"/>
        <v>8.0795708549214765E-2</v>
      </c>
      <c r="GY86" s="21">
        <f t="shared" ca="1" si="99"/>
        <v>6.6159707532654793E-2</v>
      </c>
      <c r="GZ86" s="21">
        <f t="shared" ca="1" si="99"/>
        <v>5.6514581237346879E-2</v>
      </c>
      <c r="HA86" s="21" t="str">
        <f t="shared" si="99"/>
        <v/>
      </c>
      <c r="HB86" s="21" t="str">
        <f t="shared" si="99"/>
        <v/>
      </c>
      <c r="HC86" s="21" t="str">
        <f t="shared" si="99"/>
        <v/>
      </c>
      <c r="HD86" s="21" t="str">
        <f t="shared" si="99"/>
        <v/>
      </c>
      <c r="HE86" s="21" t="str">
        <f t="shared" si="99"/>
        <v/>
      </c>
      <c r="HF86" s="21" t="str">
        <f t="shared" si="99"/>
        <v/>
      </c>
      <c r="HG86" s="21" t="str">
        <f t="shared" si="99"/>
        <v/>
      </c>
      <c r="HH86" s="21" t="str">
        <f t="shared" si="99"/>
        <v/>
      </c>
      <c r="HI86" s="21" t="str">
        <f t="shared" si="99"/>
        <v/>
      </c>
      <c r="HJ86" s="21" t="str">
        <f t="shared" si="99"/>
        <v/>
      </c>
      <c r="HK86" s="21" t="str">
        <f t="shared" ref="HK86:JH86" si="100">IF(HK6="","",AVERAGE(HF60:HJ60)+CONFIDENCE(0.05,STDEV(GL60:HJ60),COUNT(GL60:HJ60)))</f>
        <v/>
      </c>
      <c r="HL86" s="21" t="str">
        <f t="shared" si="100"/>
        <v/>
      </c>
      <c r="HM86" s="21" t="str">
        <f t="shared" si="100"/>
        <v/>
      </c>
      <c r="HN86" s="21" t="str">
        <f t="shared" si="100"/>
        <v/>
      </c>
      <c r="HO86" s="21" t="str">
        <f t="shared" si="100"/>
        <v/>
      </c>
      <c r="HP86" s="21" t="str">
        <f t="shared" si="100"/>
        <v/>
      </c>
      <c r="HQ86" s="21" t="str">
        <f t="shared" si="100"/>
        <v/>
      </c>
      <c r="HR86" s="21" t="str">
        <f t="shared" si="100"/>
        <v/>
      </c>
      <c r="HS86" s="21" t="str">
        <f t="shared" si="100"/>
        <v/>
      </c>
      <c r="HT86" s="21" t="str">
        <f t="shared" si="100"/>
        <v/>
      </c>
      <c r="HU86" s="21" t="str">
        <f t="shared" si="100"/>
        <v/>
      </c>
      <c r="HV86" s="21" t="str">
        <f t="shared" si="100"/>
        <v/>
      </c>
      <c r="HW86" s="21" t="str">
        <f t="shared" si="100"/>
        <v/>
      </c>
      <c r="HX86" s="21" t="str">
        <f t="shared" si="100"/>
        <v/>
      </c>
      <c r="HY86" s="21" t="str">
        <f t="shared" si="100"/>
        <v/>
      </c>
      <c r="HZ86" s="21" t="str">
        <f t="shared" si="100"/>
        <v/>
      </c>
      <c r="IA86" s="21" t="str">
        <f t="shared" si="100"/>
        <v/>
      </c>
      <c r="IB86" s="21" t="str">
        <f t="shared" si="100"/>
        <v/>
      </c>
      <c r="IC86" s="21" t="str">
        <f t="shared" si="100"/>
        <v/>
      </c>
      <c r="ID86" s="21" t="str">
        <f t="shared" si="100"/>
        <v/>
      </c>
      <c r="IE86" s="21" t="str">
        <f t="shared" si="100"/>
        <v/>
      </c>
      <c r="IF86" s="21" t="str">
        <f t="shared" si="100"/>
        <v/>
      </c>
      <c r="IG86" s="21" t="str">
        <f t="shared" si="100"/>
        <v/>
      </c>
      <c r="IH86" s="21" t="str">
        <f t="shared" si="100"/>
        <v/>
      </c>
      <c r="II86" s="21" t="str">
        <f t="shared" si="100"/>
        <v/>
      </c>
      <c r="IJ86" s="21" t="str">
        <f t="shared" si="100"/>
        <v/>
      </c>
      <c r="IK86" s="21" t="str">
        <f t="shared" si="100"/>
        <v/>
      </c>
      <c r="IL86" s="21" t="str">
        <f t="shared" si="100"/>
        <v/>
      </c>
      <c r="IM86" s="21" t="str">
        <f t="shared" si="100"/>
        <v/>
      </c>
      <c r="IN86" s="21" t="str">
        <f t="shared" si="100"/>
        <v/>
      </c>
      <c r="IO86" s="21" t="str">
        <f t="shared" si="100"/>
        <v/>
      </c>
      <c r="IP86" s="21" t="str">
        <f t="shared" si="100"/>
        <v/>
      </c>
      <c r="IQ86" s="21" t="str">
        <f t="shared" si="100"/>
        <v/>
      </c>
      <c r="IR86" s="21" t="str">
        <f t="shared" si="100"/>
        <v/>
      </c>
      <c r="IS86" s="21" t="str">
        <f t="shared" si="100"/>
        <v/>
      </c>
      <c r="IT86" s="21" t="str">
        <f t="shared" si="100"/>
        <v/>
      </c>
      <c r="IU86" s="21" t="str">
        <f t="shared" si="100"/>
        <v/>
      </c>
      <c r="IV86" s="21" t="str">
        <f t="shared" si="100"/>
        <v/>
      </c>
      <c r="IW86" s="21" t="str">
        <f t="shared" si="100"/>
        <v/>
      </c>
      <c r="IX86" s="21" t="str">
        <f t="shared" si="100"/>
        <v/>
      </c>
      <c r="IY86" s="21" t="str">
        <f t="shared" si="100"/>
        <v/>
      </c>
      <c r="IZ86" s="21" t="str">
        <f t="shared" si="100"/>
        <v/>
      </c>
      <c r="JA86" s="21" t="str">
        <f t="shared" si="100"/>
        <v/>
      </c>
      <c r="JB86" s="21" t="str">
        <f t="shared" si="100"/>
        <v/>
      </c>
      <c r="JC86" s="21" t="str">
        <f t="shared" si="100"/>
        <v/>
      </c>
      <c r="JD86" s="21" t="str">
        <f t="shared" si="100"/>
        <v/>
      </c>
      <c r="JE86" s="21" t="str">
        <f t="shared" si="100"/>
        <v/>
      </c>
      <c r="JF86" s="21" t="str">
        <f t="shared" si="100"/>
        <v/>
      </c>
      <c r="JG86" s="21" t="str">
        <f t="shared" si="100"/>
        <v/>
      </c>
      <c r="JH86" s="21" t="str">
        <f t="shared" si="100"/>
        <v/>
      </c>
    </row>
    <row r="87" spans="1:336" x14ac:dyDescent="0.25"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>
        <f t="shared" ref="AA87:CL87" ca="1" si="101">IF(AA7="","",AVERAGE(U61:Z61)+CONFIDENCE(0.05,STDEV(B61:Z61),COUNT(B61:Z61)))</f>
        <v>9.8614428136328779E-3</v>
      </c>
      <c r="AB87" s="21">
        <f t="shared" ca="1" si="101"/>
        <v>1.1638315701643094E-2</v>
      </c>
      <c r="AC87" s="21">
        <f t="shared" ca="1" si="101"/>
        <v>1.1655788889455919E-2</v>
      </c>
      <c r="AD87" s="21">
        <f t="shared" ca="1" si="101"/>
        <v>1.3310093662447273E-2</v>
      </c>
      <c r="AE87" s="21">
        <f t="shared" ca="1" si="101"/>
        <v>1.494205245799117E-2</v>
      </c>
      <c r="AF87" s="21">
        <f t="shared" ca="1" si="101"/>
        <v>1.6997533071985309E-2</v>
      </c>
      <c r="AG87" s="21">
        <f t="shared" ca="1" si="101"/>
        <v>1.9305971075690442E-2</v>
      </c>
      <c r="AH87" s="21">
        <f t="shared" ca="1" si="101"/>
        <v>2.2033388934037446E-2</v>
      </c>
      <c r="AI87" s="21">
        <f t="shared" ca="1" si="101"/>
        <v>2.5290918259225977E-2</v>
      </c>
      <c r="AJ87" s="21">
        <f t="shared" ca="1" si="101"/>
        <v>2.7090225918407432E-2</v>
      </c>
      <c r="AK87" s="21">
        <f t="shared" ca="1" si="101"/>
        <v>2.5440157243569645E-2</v>
      </c>
      <c r="AL87" s="21">
        <f t="shared" ca="1" si="101"/>
        <v>2.4361544513584826E-2</v>
      </c>
      <c r="AM87" s="21">
        <f t="shared" ca="1" si="101"/>
        <v>2.5170261629671831E-2</v>
      </c>
      <c r="AN87" s="21">
        <f t="shared" ca="1" si="101"/>
        <v>2.8881486665997567E-2</v>
      </c>
      <c r="AO87" s="21">
        <f t="shared" ca="1" si="101"/>
        <v>3.4353729813565326E-2</v>
      </c>
      <c r="AP87" s="21">
        <f t="shared" ca="1" si="101"/>
        <v>4.1469902968061044E-2</v>
      </c>
      <c r="AQ87" s="21">
        <f t="shared" ca="1" si="101"/>
        <v>4.8679771559853882E-2</v>
      </c>
      <c r="AR87" s="21">
        <f t="shared" ca="1" si="101"/>
        <v>5.1640821009556588E-2</v>
      </c>
      <c r="AS87" s="21">
        <f t="shared" ca="1" si="101"/>
        <v>4.9837261360147343E-2</v>
      </c>
      <c r="AT87" s="21">
        <f t="shared" ca="1" si="101"/>
        <v>4.53945321610673E-2</v>
      </c>
      <c r="AU87" s="21">
        <f t="shared" ca="1" si="101"/>
        <v>4.2011517067919925E-2</v>
      </c>
      <c r="AV87" s="21">
        <f t="shared" ca="1" si="101"/>
        <v>4.2724363236150281E-2</v>
      </c>
      <c r="AW87" s="21">
        <f t="shared" ca="1" si="101"/>
        <v>4.7778859972677029E-2</v>
      </c>
      <c r="AX87" s="21">
        <f t="shared" ca="1" si="101"/>
        <v>6.23185700127247E-2</v>
      </c>
      <c r="AY87" s="21">
        <f t="shared" ca="1" si="101"/>
        <v>8.3385420553593118E-2</v>
      </c>
      <c r="AZ87" s="21">
        <f t="shared" ca="1" si="101"/>
        <v>0.10309729586488077</v>
      </c>
      <c r="BA87" s="21">
        <f t="shared" ca="1" si="101"/>
        <v>0.11325524988175197</v>
      </c>
      <c r="BB87" s="21">
        <f t="shared" ca="1" si="101"/>
        <v>0.12450106841820845</v>
      </c>
      <c r="BC87" s="21">
        <f t="shared" ca="1" si="101"/>
        <v>0.12578498614770386</v>
      </c>
      <c r="BD87" s="21">
        <f t="shared" ca="1" si="101"/>
        <v>0.11947469178550121</v>
      </c>
      <c r="BE87" s="21">
        <f t="shared" ca="1" si="101"/>
        <v>0.11473731477521568</v>
      </c>
      <c r="BF87" s="21">
        <f t="shared" ca="1" si="101"/>
        <v>0.112117458040791</v>
      </c>
      <c r="BG87" s="21">
        <f t="shared" ca="1" si="101"/>
        <v>0.11360966691934857</v>
      </c>
      <c r="BH87" s="21">
        <f t="shared" ca="1" si="101"/>
        <v>0.10951991115897348</v>
      </c>
      <c r="BI87" s="21">
        <f t="shared" ca="1" si="101"/>
        <v>0.10773581364468951</v>
      </c>
      <c r="BJ87" s="21">
        <f t="shared" ca="1" si="101"/>
        <v>9.9785045335083977E-2</v>
      </c>
      <c r="BK87" s="21">
        <f t="shared" ca="1" si="101"/>
        <v>8.6235127999011396E-2</v>
      </c>
      <c r="BL87" s="21">
        <f t="shared" ca="1" si="101"/>
        <v>7.6789776314265479E-2</v>
      </c>
      <c r="BM87" s="21">
        <f t="shared" ca="1" si="101"/>
        <v>8.0672773994185376E-2</v>
      </c>
      <c r="BN87" s="21">
        <f t="shared" ca="1" si="101"/>
        <v>9.3019058620033096E-2</v>
      </c>
      <c r="BO87" s="21">
        <f t="shared" ca="1" si="101"/>
        <v>0.10310394028821585</v>
      </c>
      <c r="BP87" s="21">
        <f t="shared" ca="1" si="101"/>
        <v>0.11466766834202832</v>
      </c>
      <c r="BQ87" s="21">
        <f t="shared" ca="1" si="101"/>
        <v>0.11972116294296553</v>
      </c>
      <c r="BR87" s="21">
        <f t="shared" ca="1" si="101"/>
        <v>0.11116943874635829</v>
      </c>
      <c r="BS87" s="21">
        <f t="shared" ca="1" si="101"/>
        <v>9.4564677892729432E-2</v>
      </c>
      <c r="BT87" s="21">
        <f t="shared" ca="1" si="101"/>
        <v>7.4007193893758372E-2</v>
      </c>
      <c r="BU87" s="21">
        <f t="shared" ca="1" si="101"/>
        <v>5.5679632432371853E-2</v>
      </c>
      <c r="BV87" s="21">
        <f t="shared" ca="1" si="101"/>
        <v>4.3755130137158121E-2</v>
      </c>
      <c r="BW87" s="21">
        <f t="shared" ca="1" si="101"/>
        <v>3.9032728208495779E-2</v>
      </c>
      <c r="BX87" s="21">
        <f t="shared" ca="1" si="101"/>
        <v>4.346944254759149E-2</v>
      </c>
      <c r="BY87" s="21">
        <f t="shared" ca="1" si="101"/>
        <v>5.0105490033310246E-2</v>
      </c>
      <c r="BZ87" s="21">
        <f t="shared" ca="1" si="101"/>
        <v>5.4170177826641866E-2</v>
      </c>
      <c r="CA87" s="21">
        <f t="shared" ca="1" si="101"/>
        <v>5.8124027631016782E-2</v>
      </c>
      <c r="CB87" s="21">
        <f t="shared" ca="1" si="101"/>
        <v>5.8647105813740524E-2</v>
      </c>
      <c r="CC87" s="21">
        <f t="shared" ca="1" si="101"/>
        <v>5.6834452812877537E-2</v>
      </c>
      <c r="CD87" s="21">
        <f t="shared" ca="1" si="101"/>
        <v>5.4327576725153884E-2</v>
      </c>
      <c r="CE87" s="21">
        <f t="shared" ca="1" si="101"/>
        <v>4.4250989142972694E-2</v>
      </c>
      <c r="CF87" s="21">
        <f t="shared" ca="1" si="101"/>
        <v>3.5472638233418043E-2</v>
      </c>
      <c r="CG87" s="21">
        <f t="shared" ca="1" si="101"/>
        <v>2.9138187624139562E-2</v>
      </c>
      <c r="CH87" s="21">
        <f t="shared" ca="1" si="101"/>
        <v>2.7313805707332398E-2</v>
      </c>
      <c r="CI87" s="21">
        <f t="shared" ca="1" si="101"/>
        <v>3.3404388675685591E-2</v>
      </c>
      <c r="CJ87" s="21">
        <f t="shared" ca="1" si="101"/>
        <v>3.2009701965633318E-2</v>
      </c>
      <c r="CK87" s="21">
        <f t="shared" ca="1" si="101"/>
        <v>3.427246329393431E-2</v>
      </c>
      <c r="CL87" s="21">
        <f t="shared" ca="1" si="101"/>
        <v>3.4934991039170499E-2</v>
      </c>
      <c r="CM87" s="21">
        <f t="shared" ref="CM87:EX87" ca="1" si="102">IF(CM7="","",AVERAGE(CG61:CL61)+CONFIDENCE(0.05,STDEV(BN61:CL61),COUNT(BN61:CL61)))</f>
        <v>3.2463805803649756E-2</v>
      </c>
      <c r="CN87" s="21">
        <f t="shared" ca="1" si="102"/>
        <v>3.3703814942522684E-2</v>
      </c>
      <c r="CO87" s="21">
        <f t="shared" ca="1" si="102"/>
        <v>3.143073392538611E-2</v>
      </c>
      <c r="CP87" s="21">
        <f t="shared" ca="1" si="102"/>
        <v>3.6474571564763511E-2</v>
      </c>
      <c r="CQ87" s="21">
        <f t="shared" ca="1" si="102"/>
        <v>3.9893549455246861E-2</v>
      </c>
      <c r="CR87" s="21">
        <f t="shared" ca="1" si="102"/>
        <v>3.7642609024069219E-2</v>
      </c>
      <c r="CS87" s="21">
        <f t="shared" ca="1" si="102"/>
        <v>3.6728729210083792E-2</v>
      </c>
      <c r="CT87" s="21">
        <f t="shared" ca="1" si="102"/>
        <v>3.4425631535814426E-2</v>
      </c>
      <c r="CU87" s="21">
        <f t="shared" ca="1" si="102"/>
        <v>3.5223569486062256E-2</v>
      </c>
      <c r="CV87" s="21">
        <f t="shared" ca="1" si="102"/>
        <v>2.9345281052640892E-2</v>
      </c>
      <c r="CW87" s="21">
        <f t="shared" ca="1" si="102"/>
        <v>2.4014697516056144E-2</v>
      </c>
      <c r="CX87" s="21">
        <f t="shared" ca="1" si="102"/>
        <v>2.2089805944602088E-2</v>
      </c>
      <c r="CY87" s="21">
        <f t="shared" ca="1" si="102"/>
        <v>2.3519939783447082E-2</v>
      </c>
      <c r="CZ87" s="21">
        <f t="shared" ca="1" si="102"/>
        <v>2.3499944780367002E-2</v>
      </c>
      <c r="DA87" s="21">
        <f t="shared" ca="1" si="102"/>
        <v>1.8174507889470698E-2</v>
      </c>
      <c r="DB87" s="21">
        <f t="shared" ca="1" si="102"/>
        <v>2.0744063812940337E-2</v>
      </c>
      <c r="DC87" s="21">
        <f t="shared" ca="1" si="102"/>
        <v>1.9762594372473387E-2</v>
      </c>
      <c r="DD87" s="21">
        <f t="shared" ca="1" si="102"/>
        <v>2.150487832632306E-2</v>
      </c>
      <c r="DE87" s="21">
        <f t="shared" ca="1" si="102"/>
        <v>2.3832877856828177E-2</v>
      </c>
      <c r="DF87" s="21">
        <f t="shared" ca="1" si="102"/>
        <v>2.5800191991207606E-2</v>
      </c>
      <c r="DG87" s="21">
        <f t="shared" ca="1" si="102"/>
        <v>2.4065890702911385E-2</v>
      </c>
      <c r="DH87" s="21">
        <f t="shared" ca="1" si="102"/>
        <v>2.386894462764088E-2</v>
      </c>
      <c r="DI87" s="21">
        <f t="shared" ca="1" si="102"/>
        <v>2.4891803735927087E-2</v>
      </c>
      <c r="DJ87" s="21">
        <f t="shared" ca="1" si="102"/>
        <v>2.4417994440510626E-2</v>
      </c>
      <c r="DK87" s="21">
        <f t="shared" ca="1" si="102"/>
        <v>2.2812081742626805E-2</v>
      </c>
      <c r="DL87" s="21">
        <f t="shared" ca="1" si="102"/>
        <v>1.9402508852455209E-2</v>
      </c>
      <c r="DM87" s="21">
        <f t="shared" ca="1" si="102"/>
        <v>2.1387188089431484E-2</v>
      </c>
      <c r="DN87" s="21">
        <f t="shared" ca="1" si="102"/>
        <v>2.3344613457995104E-2</v>
      </c>
      <c r="DO87" s="21">
        <f t="shared" ca="1" si="102"/>
        <v>2.4704590641800091E-2</v>
      </c>
      <c r="DP87" s="21">
        <f t="shared" ca="1" si="102"/>
        <v>2.5591181710300469E-2</v>
      </c>
      <c r="DQ87" s="21">
        <f t="shared" ca="1" si="102"/>
        <v>2.7163084898908795E-2</v>
      </c>
      <c r="DR87" s="21">
        <f t="shared" ca="1" si="102"/>
        <v>2.8467480818575891E-2</v>
      </c>
      <c r="DS87" s="21">
        <f t="shared" ca="1" si="102"/>
        <v>2.9675952062132298E-2</v>
      </c>
      <c r="DT87" s="21">
        <f t="shared" ca="1" si="102"/>
        <v>2.5766220640627696E-2</v>
      </c>
      <c r="DU87" s="21">
        <f t="shared" ca="1" si="102"/>
        <v>2.627734728617357E-2</v>
      </c>
      <c r="DV87" s="21">
        <f t="shared" ca="1" si="102"/>
        <v>2.4562546357263099E-2</v>
      </c>
      <c r="DW87" s="21">
        <f t="shared" ca="1" si="102"/>
        <v>2.2800250268668928E-2</v>
      </c>
      <c r="DX87" s="21">
        <f t="shared" ca="1" si="102"/>
        <v>2.352386630282409E-2</v>
      </c>
      <c r="DY87" s="21">
        <f t="shared" ca="1" si="102"/>
        <v>2.2346124702459016E-2</v>
      </c>
      <c r="DZ87" s="21">
        <f t="shared" ca="1" si="102"/>
        <v>2.4210917037583705E-2</v>
      </c>
      <c r="EA87" s="21">
        <f t="shared" ca="1" si="102"/>
        <v>2.3098399237554638E-2</v>
      </c>
      <c r="EB87" s="21">
        <f t="shared" ca="1" si="102"/>
        <v>2.5155412551993366E-2</v>
      </c>
      <c r="EC87" s="21">
        <f t="shared" ca="1" si="102"/>
        <v>2.7403999307282909E-2</v>
      </c>
      <c r="ED87" s="21">
        <f t="shared" ca="1" si="102"/>
        <v>2.6911563264328468E-2</v>
      </c>
      <c r="EE87" s="21">
        <f t="shared" ca="1" si="102"/>
        <v>2.8695879953470109E-2</v>
      </c>
      <c r="EF87" s="21">
        <f t="shared" ca="1" si="102"/>
        <v>2.5927620422823677E-2</v>
      </c>
      <c r="EG87" s="21">
        <f t="shared" ca="1" si="102"/>
        <v>2.3743140869946257E-2</v>
      </c>
      <c r="EH87" s="21">
        <f t="shared" ca="1" si="102"/>
        <v>2.1985677898050809E-2</v>
      </c>
      <c r="EI87" s="21">
        <f t="shared" ca="1" si="102"/>
        <v>2.0555354267906351E-2</v>
      </c>
      <c r="EJ87" s="21">
        <f t="shared" ca="1" si="102"/>
        <v>2.151368319795088E-2</v>
      </c>
      <c r="EK87" s="21">
        <f t="shared" ca="1" si="102"/>
        <v>1.947536112683456E-2</v>
      </c>
      <c r="EL87" s="21">
        <f t="shared" ca="1" si="102"/>
        <v>1.9556355214350434E-2</v>
      </c>
      <c r="EM87" s="21">
        <f t="shared" ca="1" si="102"/>
        <v>2.1500403534266344E-2</v>
      </c>
      <c r="EN87" s="21">
        <f t="shared" ca="1" si="102"/>
        <v>2.244971363266763E-2</v>
      </c>
      <c r="EO87" s="21">
        <f t="shared" ca="1" si="102"/>
        <v>2.4187381337243401E-2</v>
      </c>
      <c r="EP87" s="21">
        <f t="shared" ca="1" si="102"/>
        <v>2.0370079710879729E-2</v>
      </c>
      <c r="EQ87" s="21">
        <f t="shared" ca="1" si="102"/>
        <v>2.0008650779984254E-2</v>
      </c>
      <c r="ER87" s="21">
        <f t="shared" ca="1" si="102"/>
        <v>2.1013071948742804E-2</v>
      </c>
      <c r="ES87" s="21">
        <f t="shared" ca="1" si="102"/>
        <v>1.882237020043092E-2</v>
      </c>
      <c r="ET87" s="21">
        <f t="shared" ca="1" si="102"/>
        <v>1.5580907821930851E-2</v>
      </c>
      <c r="EU87" s="21">
        <f t="shared" ca="1" si="102"/>
        <v>1.1259313469375396E-2</v>
      </c>
      <c r="EV87" s="21">
        <f t="shared" ca="1" si="102"/>
        <v>1.3562626546984303E-2</v>
      </c>
      <c r="EW87" s="21">
        <f t="shared" ca="1" si="102"/>
        <v>1.319211715731851E-2</v>
      </c>
      <c r="EX87" s="21">
        <f t="shared" ca="1" si="102"/>
        <v>1.1899817914072897E-2</v>
      </c>
      <c r="EY87" s="21">
        <f t="shared" ref="EY87:HJ87" ca="1" si="103">IF(EY7="","",AVERAGE(ES61:EX61)+CONFIDENCE(0.05,STDEV(DZ61:EX61),COUNT(DZ61:EX61)))</f>
        <v>1.3432619099387137E-2</v>
      </c>
      <c r="EZ87" s="21">
        <f t="shared" ca="1" si="103"/>
        <v>1.5815250852307908E-2</v>
      </c>
      <c r="FA87" s="21">
        <f t="shared" ca="1" si="103"/>
        <v>1.4400044154635677E-2</v>
      </c>
      <c r="FB87" s="21">
        <f t="shared" ca="1" si="103"/>
        <v>1.7040433338347712E-2</v>
      </c>
      <c r="FC87" s="21">
        <f t="shared" ca="1" si="103"/>
        <v>1.6551496079454962E-2</v>
      </c>
      <c r="FD87" s="21">
        <f t="shared" ca="1" si="103"/>
        <v>1.6573690764652038E-2</v>
      </c>
      <c r="FE87" s="21">
        <f t="shared" ca="1" si="103"/>
        <v>1.766240868755092E-2</v>
      </c>
      <c r="FF87" s="21">
        <f t="shared" ca="1" si="103"/>
        <v>2.064364286680738E-2</v>
      </c>
      <c r="FG87" s="21">
        <f t="shared" ca="1" si="103"/>
        <v>3.0172802600109783E-2</v>
      </c>
      <c r="FH87" s="21">
        <f t="shared" ca="1" si="103"/>
        <v>3.2380811611789961E-2</v>
      </c>
      <c r="FI87" s="21">
        <f t="shared" ca="1" si="103"/>
        <v>3.4543158512199898E-2</v>
      </c>
      <c r="FJ87" s="21">
        <f t="shared" ca="1" si="103"/>
        <v>3.6531339989235849E-2</v>
      </c>
      <c r="FK87" s="21">
        <f t="shared" ca="1" si="103"/>
        <v>3.9427938101110262E-2</v>
      </c>
      <c r="FL87" s="21">
        <f t="shared" ca="1" si="103"/>
        <v>3.7981507326396498E-2</v>
      </c>
      <c r="FM87" s="21">
        <f t="shared" ca="1" si="103"/>
        <v>3.2193477569817816E-2</v>
      </c>
      <c r="FN87" s="21">
        <f t="shared" ca="1" si="103"/>
        <v>2.5043756157180002E-2</v>
      </c>
      <c r="FO87" s="21">
        <f t="shared" ca="1" si="103"/>
        <v>2.2739075046409332E-2</v>
      </c>
      <c r="FP87" s="21">
        <f t="shared" ca="1" si="103"/>
        <v>2.3186371165858005E-2</v>
      </c>
      <c r="FQ87" s="21">
        <f t="shared" ca="1" si="103"/>
        <v>2.198642722813381E-2</v>
      </c>
      <c r="FR87" s="21">
        <f t="shared" ca="1" si="103"/>
        <v>2.1598762391420834E-2</v>
      </c>
      <c r="FS87" s="21">
        <f t="shared" ca="1" si="103"/>
        <v>2.0387248080670821E-2</v>
      </c>
      <c r="FT87" s="21">
        <f t="shared" ca="1" si="103"/>
        <v>2.0881585430503467E-2</v>
      </c>
      <c r="FU87" s="21">
        <f t="shared" ca="1" si="103"/>
        <v>2.2364025991058564E-2</v>
      </c>
      <c r="FV87" s="21">
        <f t="shared" ca="1" si="103"/>
        <v>2.414136575493165E-2</v>
      </c>
      <c r="FW87" s="21">
        <f t="shared" ca="1" si="103"/>
        <v>2.3284220980790828E-2</v>
      </c>
      <c r="FX87" s="21">
        <f t="shared" ca="1" si="103"/>
        <v>2.122961831281445E-2</v>
      </c>
      <c r="FY87" s="21">
        <f t="shared" ca="1" si="103"/>
        <v>1.9337484588964834E-2</v>
      </c>
      <c r="FZ87" s="21">
        <f t="shared" ca="1" si="103"/>
        <v>1.9597059532698073E-2</v>
      </c>
      <c r="GA87" s="21">
        <f t="shared" ca="1" si="103"/>
        <v>1.833744822304071E-2</v>
      </c>
      <c r="GB87" s="21">
        <f t="shared" ca="1" si="103"/>
        <v>1.5035075967801608E-2</v>
      </c>
      <c r="GC87" s="21">
        <f t="shared" ca="1" si="103"/>
        <v>1.4171371050522512E-2</v>
      </c>
      <c r="GD87" s="21">
        <f t="shared" ca="1" si="103"/>
        <v>1.6509833361930216E-2</v>
      </c>
      <c r="GE87" s="21">
        <f t="shared" ca="1" si="103"/>
        <v>1.9964065800059442E-2</v>
      </c>
      <c r="GF87" s="21">
        <f t="shared" ca="1" si="103"/>
        <v>2.2693038726766233E-2</v>
      </c>
      <c r="GG87" s="21">
        <f t="shared" ca="1" si="103"/>
        <v>2.1877960380056523E-2</v>
      </c>
      <c r="GH87" s="21">
        <f t="shared" ca="1" si="103"/>
        <v>2.1755009878315867E-2</v>
      </c>
      <c r="GI87" s="21">
        <f t="shared" ca="1" si="103"/>
        <v>1.9076367093638049E-2</v>
      </c>
      <c r="GJ87" s="21">
        <f t="shared" ca="1" si="103"/>
        <v>1.5526757869933063E-2</v>
      </c>
      <c r="GK87" s="21">
        <f t="shared" ca="1" si="103"/>
        <v>2.6101394508753085E-2</v>
      </c>
      <c r="GL87" s="21">
        <f t="shared" ca="1" si="103"/>
        <v>5.5748938577743948E-2</v>
      </c>
      <c r="GM87" s="21">
        <f t="shared" ca="1" si="103"/>
        <v>9.2713747037466016E-2</v>
      </c>
      <c r="GN87" s="21">
        <f t="shared" ca="1" si="103"/>
        <v>0.13273849839938279</v>
      </c>
      <c r="GO87" s="21">
        <f t="shared" ca="1" si="103"/>
        <v>0.17305503938731159</v>
      </c>
      <c r="GP87" s="21">
        <f t="shared" ca="1" si="103"/>
        <v>0.18354771922380672</v>
      </c>
      <c r="GQ87" s="21">
        <f t="shared" ca="1" si="103"/>
        <v>0.20987050236615906</v>
      </c>
      <c r="GR87" s="21">
        <f t="shared" ca="1" si="103"/>
        <v>0.20392038520584227</v>
      </c>
      <c r="GS87" s="21">
        <f t="shared" ca="1" si="103"/>
        <v>0.19304766652515115</v>
      </c>
      <c r="GT87" s="21">
        <f t="shared" ca="1" si="103"/>
        <v>0.16899496686814178</v>
      </c>
      <c r="GU87" s="21">
        <f t="shared" ca="1" si="103"/>
        <v>0.14086937513626058</v>
      </c>
      <c r="GV87" s="21">
        <f t="shared" ca="1" si="103"/>
        <v>0.1505500911626533</v>
      </c>
      <c r="GW87" s="21">
        <f t="shared" ca="1" si="103"/>
        <v>0.12794404640320722</v>
      </c>
      <c r="GX87" s="21">
        <f t="shared" ca="1" si="103"/>
        <v>0.11786316522006271</v>
      </c>
      <c r="GY87" s="21">
        <f t="shared" ca="1" si="103"/>
        <v>9.7490775959915954E-2</v>
      </c>
      <c r="GZ87" s="21">
        <f t="shared" ca="1" si="103"/>
        <v>8.8029221553908424E-2</v>
      </c>
      <c r="HA87" s="21" t="str">
        <f t="shared" si="103"/>
        <v/>
      </c>
      <c r="HB87" s="21" t="str">
        <f t="shared" si="103"/>
        <v/>
      </c>
      <c r="HC87" s="21" t="str">
        <f t="shared" si="103"/>
        <v/>
      </c>
      <c r="HD87" s="21" t="str">
        <f t="shared" si="103"/>
        <v/>
      </c>
      <c r="HE87" s="21" t="str">
        <f t="shared" si="103"/>
        <v/>
      </c>
      <c r="HF87" s="21" t="str">
        <f t="shared" si="103"/>
        <v/>
      </c>
      <c r="HG87" s="21" t="str">
        <f t="shared" si="103"/>
        <v/>
      </c>
      <c r="HH87" s="21" t="str">
        <f t="shared" si="103"/>
        <v/>
      </c>
      <c r="HI87" s="21" t="str">
        <f t="shared" si="103"/>
        <v/>
      </c>
      <c r="HJ87" s="21" t="str">
        <f t="shared" si="103"/>
        <v/>
      </c>
      <c r="HK87" s="21" t="str">
        <f t="shared" ref="HK87:JH87" si="104">IF(HK7="","",AVERAGE(HE61:HJ61)+CONFIDENCE(0.05,STDEV(GL61:HJ61),COUNT(GL61:HJ61)))</f>
        <v/>
      </c>
      <c r="HL87" s="21" t="str">
        <f t="shared" si="104"/>
        <v/>
      </c>
      <c r="HM87" s="21" t="str">
        <f t="shared" si="104"/>
        <v/>
      </c>
      <c r="HN87" s="21" t="str">
        <f t="shared" si="104"/>
        <v/>
      </c>
      <c r="HO87" s="21" t="str">
        <f t="shared" si="104"/>
        <v/>
      </c>
      <c r="HP87" s="21" t="str">
        <f t="shared" si="104"/>
        <v/>
      </c>
      <c r="HQ87" s="21" t="str">
        <f t="shared" si="104"/>
        <v/>
      </c>
      <c r="HR87" s="21" t="str">
        <f t="shared" si="104"/>
        <v/>
      </c>
      <c r="HS87" s="21" t="str">
        <f t="shared" si="104"/>
        <v/>
      </c>
      <c r="HT87" s="21" t="str">
        <f t="shared" si="104"/>
        <v/>
      </c>
      <c r="HU87" s="21" t="str">
        <f t="shared" si="104"/>
        <v/>
      </c>
      <c r="HV87" s="21" t="str">
        <f t="shared" si="104"/>
        <v/>
      </c>
      <c r="HW87" s="21" t="str">
        <f t="shared" si="104"/>
        <v/>
      </c>
      <c r="HX87" s="21" t="str">
        <f t="shared" si="104"/>
        <v/>
      </c>
      <c r="HY87" s="21" t="str">
        <f t="shared" si="104"/>
        <v/>
      </c>
      <c r="HZ87" s="21" t="str">
        <f t="shared" si="104"/>
        <v/>
      </c>
      <c r="IA87" s="21" t="str">
        <f t="shared" si="104"/>
        <v/>
      </c>
      <c r="IB87" s="21" t="str">
        <f t="shared" si="104"/>
        <v/>
      </c>
      <c r="IC87" s="21" t="str">
        <f t="shared" si="104"/>
        <v/>
      </c>
      <c r="ID87" s="21" t="str">
        <f t="shared" si="104"/>
        <v/>
      </c>
      <c r="IE87" s="21" t="str">
        <f t="shared" si="104"/>
        <v/>
      </c>
      <c r="IF87" s="21" t="str">
        <f t="shared" si="104"/>
        <v/>
      </c>
      <c r="IG87" s="21" t="str">
        <f t="shared" si="104"/>
        <v/>
      </c>
      <c r="IH87" s="21" t="str">
        <f t="shared" si="104"/>
        <v/>
      </c>
      <c r="II87" s="21" t="str">
        <f t="shared" si="104"/>
        <v/>
      </c>
      <c r="IJ87" s="21" t="str">
        <f t="shared" si="104"/>
        <v/>
      </c>
      <c r="IK87" s="21" t="str">
        <f t="shared" si="104"/>
        <v/>
      </c>
      <c r="IL87" s="21" t="str">
        <f t="shared" si="104"/>
        <v/>
      </c>
      <c r="IM87" s="21" t="str">
        <f t="shared" si="104"/>
        <v/>
      </c>
      <c r="IN87" s="21" t="str">
        <f t="shared" si="104"/>
        <v/>
      </c>
      <c r="IO87" s="21" t="str">
        <f t="shared" si="104"/>
        <v/>
      </c>
      <c r="IP87" s="21" t="str">
        <f t="shared" si="104"/>
        <v/>
      </c>
      <c r="IQ87" s="21" t="str">
        <f t="shared" si="104"/>
        <v/>
      </c>
      <c r="IR87" s="21" t="str">
        <f t="shared" si="104"/>
        <v/>
      </c>
      <c r="IS87" s="21" t="str">
        <f t="shared" si="104"/>
        <v/>
      </c>
      <c r="IT87" s="21" t="str">
        <f t="shared" si="104"/>
        <v/>
      </c>
      <c r="IU87" s="21" t="str">
        <f t="shared" si="104"/>
        <v/>
      </c>
      <c r="IV87" s="21" t="str">
        <f t="shared" si="104"/>
        <v/>
      </c>
      <c r="IW87" s="21" t="str">
        <f t="shared" si="104"/>
        <v/>
      </c>
      <c r="IX87" s="21" t="str">
        <f t="shared" si="104"/>
        <v/>
      </c>
      <c r="IY87" s="21" t="str">
        <f t="shared" si="104"/>
        <v/>
      </c>
      <c r="IZ87" s="21" t="str">
        <f t="shared" si="104"/>
        <v/>
      </c>
      <c r="JA87" s="21" t="str">
        <f t="shared" si="104"/>
        <v/>
      </c>
      <c r="JB87" s="21" t="str">
        <f t="shared" si="104"/>
        <v/>
      </c>
      <c r="JC87" s="21" t="str">
        <f t="shared" si="104"/>
        <v/>
      </c>
      <c r="JD87" s="21" t="str">
        <f t="shared" si="104"/>
        <v/>
      </c>
      <c r="JE87" s="21" t="str">
        <f t="shared" si="104"/>
        <v/>
      </c>
      <c r="JF87" s="21" t="str">
        <f t="shared" si="104"/>
        <v/>
      </c>
      <c r="JG87" s="21" t="str">
        <f t="shared" si="104"/>
        <v/>
      </c>
      <c r="JH87" s="21" t="str">
        <f t="shared" si="104"/>
        <v/>
      </c>
    </row>
    <row r="88" spans="1:336" x14ac:dyDescent="0.25"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>
        <f t="shared" ref="AA88:CL88" ca="1" si="105">IF(AA8="","",AVERAGE(T62:Z62)+CONFIDENCE(0.05,STDEV(B62:Z62),COUNT(B62:Z62)))</f>
        <v>1.3988855680739135E-2</v>
      </c>
      <c r="AB88" s="21">
        <f t="shared" ca="1" si="105"/>
        <v>1.2408060188556447E-2</v>
      </c>
      <c r="AC88" s="21">
        <f t="shared" ca="1" si="105"/>
        <v>1.3018922017241759E-2</v>
      </c>
      <c r="AD88" s="21">
        <f t="shared" ca="1" si="105"/>
        <v>1.5633816948079853E-2</v>
      </c>
      <c r="AE88" s="21">
        <f t="shared" ca="1" si="105"/>
        <v>1.8422919851588167E-2</v>
      </c>
      <c r="AF88" s="21">
        <f t="shared" ca="1" si="105"/>
        <v>2.0507537919319935E-2</v>
      </c>
      <c r="AG88" s="21">
        <f t="shared" ca="1" si="105"/>
        <v>2.3029344161276857E-2</v>
      </c>
      <c r="AH88" s="21">
        <f t="shared" ca="1" si="105"/>
        <v>2.5371396794718858E-2</v>
      </c>
      <c r="AI88" s="21">
        <f t="shared" ca="1" si="105"/>
        <v>2.8602699999102629E-2</v>
      </c>
      <c r="AJ88" s="21">
        <f t="shared" ca="1" si="105"/>
        <v>2.9342135400966411E-2</v>
      </c>
      <c r="AK88" s="21">
        <f t="shared" ca="1" si="105"/>
        <v>2.5968740749037572E-2</v>
      </c>
      <c r="AL88" s="21">
        <f t="shared" ca="1" si="105"/>
        <v>2.5908082457674092E-2</v>
      </c>
      <c r="AM88" s="21">
        <f t="shared" ca="1" si="105"/>
        <v>2.9595623281614306E-2</v>
      </c>
      <c r="AN88" s="21">
        <f t="shared" ca="1" si="105"/>
        <v>3.4756525563302158E-2</v>
      </c>
      <c r="AO88" s="21">
        <f t="shared" ca="1" si="105"/>
        <v>4.1857819611736811E-2</v>
      </c>
      <c r="AP88" s="21">
        <f t="shared" ca="1" si="105"/>
        <v>4.6481707410213575E-2</v>
      </c>
      <c r="AQ88" s="21">
        <f t="shared" ca="1" si="105"/>
        <v>5.0261363956470927E-2</v>
      </c>
      <c r="AR88" s="21">
        <f t="shared" ca="1" si="105"/>
        <v>5.4294962466036004E-2</v>
      </c>
      <c r="AS88" s="21">
        <f t="shared" ca="1" si="105"/>
        <v>5.5356764079267491E-2</v>
      </c>
      <c r="AT88" s="21">
        <f t="shared" ca="1" si="105"/>
        <v>5.6191909022718207E-2</v>
      </c>
      <c r="AU88" s="21">
        <f t="shared" ca="1" si="105"/>
        <v>5.6962401130034618E-2</v>
      </c>
      <c r="AV88" s="21">
        <f t="shared" ca="1" si="105"/>
        <v>5.7221824666962906E-2</v>
      </c>
      <c r="AW88" s="21">
        <f t="shared" ca="1" si="105"/>
        <v>6.5717681564450237E-2</v>
      </c>
      <c r="AX88" s="21">
        <f t="shared" ca="1" si="105"/>
        <v>8.2044668931963396E-2</v>
      </c>
      <c r="AY88" s="21">
        <f t="shared" ca="1" si="105"/>
        <v>0.10232841284557904</v>
      </c>
      <c r="AZ88" s="21">
        <f t="shared" ca="1" si="105"/>
        <v>0.12040180539496619</v>
      </c>
      <c r="BA88" s="21">
        <f t="shared" ca="1" si="105"/>
        <v>0.13003886033686804</v>
      </c>
      <c r="BB88" s="21">
        <f t="shared" ca="1" si="105"/>
        <v>0.14503445209130328</v>
      </c>
      <c r="BC88" s="21">
        <f t="shared" ca="1" si="105"/>
        <v>0.15230465805590665</v>
      </c>
      <c r="BD88" s="21">
        <f t="shared" ca="1" si="105"/>
        <v>0.14988145172414696</v>
      </c>
      <c r="BE88" s="21">
        <f t="shared" ca="1" si="105"/>
        <v>0.14721916848081373</v>
      </c>
      <c r="BF88" s="21">
        <f t="shared" ca="1" si="105"/>
        <v>0.14402897975961521</v>
      </c>
      <c r="BG88" s="21">
        <f t="shared" ca="1" si="105"/>
        <v>0.14062057608283407</v>
      </c>
      <c r="BH88" s="21">
        <f t="shared" ca="1" si="105"/>
        <v>0.14100110973165178</v>
      </c>
      <c r="BI88" s="21">
        <f t="shared" ca="1" si="105"/>
        <v>0.1280664920703195</v>
      </c>
      <c r="BJ88" s="21">
        <f t="shared" ca="1" si="105"/>
        <v>0.11129108595598046</v>
      </c>
      <c r="BK88" s="21">
        <f t="shared" ca="1" si="105"/>
        <v>0.10659235640318393</v>
      </c>
      <c r="BL88" s="21">
        <f t="shared" ca="1" si="105"/>
        <v>0.10289054509976091</v>
      </c>
      <c r="BM88" s="21">
        <f t="shared" ca="1" si="105"/>
        <v>0.10608287535595903</v>
      </c>
      <c r="BN88" s="21">
        <f t="shared" ca="1" si="105"/>
        <v>0.11623221131749294</v>
      </c>
      <c r="BO88" s="21">
        <f t="shared" ca="1" si="105"/>
        <v>0.12036561845508456</v>
      </c>
      <c r="BP88" s="21">
        <f t="shared" ca="1" si="105"/>
        <v>0.1267837130444624</v>
      </c>
      <c r="BQ88" s="21">
        <f t="shared" ca="1" si="105"/>
        <v>0.13482430965553177</v>
      </c>
      <c r="BR88" s="21">
        <f t="shared" ca="1" si="105"/>
        <v>0.12663342697823521</v>
      </c>
      <c r="BS88" s="21">
        <f t="shared" ca="1" si="105"/>
        <v>0.1160808295095857</v>
      </c>
      <c r="BT88" s="21">
        <f t="shared" ca="1" si="105"/>
        <v>0.10066277096756533</v>
      </c>
      <c r="BU88" s="21">
        <f t="shared" ca="1" si="105"/>
        <v>7.8166804443713184E-2</v>
      </c>
      <c r="BV88" s="21">
        <f t="shared" ca="1" si="105"/>
        <v>6.0438702707575682E-2</v>
      </c>
      <c r="BW88" s="21">
        <f t="shared" ca="1" si="105"/>
        <v>4.572750879853181E-2</v>
      </c>
      <c r="BX88" s="21">
        <f t="shared" ca="1" si="105"/>
        <v>4.4019286054419952E-2</v>
      </c>
      <c r="BY88" s="21">
        <f t="shared" ca="1" si="105"/>
        <v>5.3099321001303261E-2</v>
      </c>
      <c r="BZ88" s="21">
        <f t="shared" ca="1" si="105"/>
        <v>6.0077366633705345E-2</v>
      </c>
      <c r="CA88" s="21">
        <f t="shared" ca="1" si="105"/>
        <v>6.0552207583896234E-2</v>
      </c>
      <c r="CB88" s="21">
        <f t="shared" ca="1" si="105"/>
        <v>6.2004862681422565E-2</v>
      </c>
      <c r="CC88" s="21">
        <f t="shared" ca="1" si="105"/>
        <v>6.1546791285486367E-2</v>
      </c>
      <c r="CD88" s="21">
        <f t="shared" ca="1" si="105"/>
        <v>6.3363470707730352E-2</v>
      </c>
      <c r="CE88" s="21">
        <f t="shared" ca="1" si="105"/>
        <v>5.6162345380521443E-2</v>
      </c>
      <c r="CF88" s="21">
        <f t="shared" ca="1" si="105"/>
        <v>4.7400682399609678E-2</v>
      </c>
      <c r="CG88" s="21">
        <f t="shared" ca="1" si="105"/>
        <v>3.9648756772398402E-2</v>
      </c>
      <c r="CH88" s="21">
        <f t="shared" ca="1" si="105"/>
        <v>3.3770265806910969E-2</v>
      </c>
      <c r="CI88" s="21">
        <f t="shared" ca="1" si="105"/>
        <v>3.542125674152953E-2</v>
      </c>
      <c r="CJ88" s="21">
        <f t="shared" ca="1" si="105"/>
        <v>3.602797567598847E-2</v>
      </c>
      <c r="CK88" s="21">
        <f t="shared" ca="1" si="105"/>
        <v>3.5712721740346037E-2</v>
      </c>
      <c r="CL88" s="21">
        <f t="shared" ca="1" si="105"/>
        <v>3.5607107516001477E-2</v>
      </c>
      <c r="CM88" s="21">
        <f t="shared" ref="CM88:EX88" ca="1" si="106">IF(CM8="","",AVERAGE(CF62:CL62)+CONFIDENCE(0.05,STDEV(BN62:CL62),COUNT(BN62:CL62)))</f>
        <v>3.4556491526133715E-2</v>
      </c>
      <c r="CN88" s="21">
        <f t="shared" ca="1" si="106"/>
        <v>3.4406788725122921E-2</v>
      </c>
      <c r="CO88" s="21">
        <f t="shared" ca="1" si="106"/>
        <v>3.5870167870607844E-2</v>
      </c>
      <c r="CP88" s="21">
        <f t="shared" ca="1" si="106"/>
        <v>3.7660043717896864E-2</v>
      </c>
      <c r="CQ88" s="21">
        <f t="shared" ca="1" si="106"/>
        <v>4.38815862477391E-2</v>
      </c>
      <c r="CR88" s="21">
        <f t="shared" ca="1" si="106"/>
        <v>4.2703904915985524E-2</v>
      </c>
      <c r="CS88" s="21">
        <f t="shared" ca="1" si="106"/>
        <v>4.1601348742480629E-2</v>
      </c>
      <c r="CT88" s="21">
        <f t="shared" ca="1" si="106"/>
        <v>4.10936148320626E-2</v>
      </c>
      <c r="CU88" s="21">
        <f t="shared" ca="1" si="106"/>
        <v>4.0517823365363574E-2</v>
      </c>
      <c r="CV88" s="21">
        <f t="shared" ca="1" si="106"/>
        <v>3.5829212956719897E-2</v>
      </c>
      <c r="CW88" s="21">
        <f t="shared" ca="1" si="106"/>
        <v>2.9969463472486038E-2</v>
      </c>
      <c r="CX88" s="21">
        <f t="shared" ca="1" si="106"/>
        <v>2.3014737858552001E-2</v>
      </c>
      <c r="CY88" s="21">
        <f t="shared" ca="1" si="106"/>
        <v>2.2492156273355633E-2</v>
      </c>
      <c r="CZ88" s="21">
        <f t="shared" ca="1" si="106"/>
        <v>2.455250439459572E-2</v>
      </c>
      <c r="DA88" s="21">
        <f t="shared" ca="1" si="106"/>
        <v>2.1432265640360996E-2</v>
      </c>
      <c r="DB88" s="21">
        <f t="shared" ca="1" si="106"/>
        <v>1.9590226737772082E-2</v>
      </c>
      <c r="DC88" s="21">
        <f t="shared" ca="1" si="106"/>
        <v>2.0931568840329488E-2</v>
      </c>
      <c r="DD88" s="21">
        <f t="shared" ca="1" si="106"/>
        <v>2.1670943107821469E-2</v>
      </c>
      <c r="DE88" s="21">
        <f t="shared" ca="1" si="106"/>
        <v>2.6708885509419068E-2</v>
      </c>
      <c r="DF88" s="21">
        <f t="shared" ca="1" si="106"/>
        <v>3.0328376429126738E-2</v>
      </c>
      <c r="DG88" s="21">
        <f t="shared" ca="1" si="106"/>
        <v>2.7977160921726391E-2</v>
      </c>
      <c r="DH88" s="21">
        <f t="shared" ca="1" si="106"/>
        <v>3.0100313015255196E-2</v>
      </c>
      <c r="DI88" s="21">
        <f t="shared" ca="1" si="106"/>
        <v>2.8936635957679029E-2</v>
      </c>
      <c r="DJ88" s="21">
        <f t="shared" ca="1" si="106"/>
        <v>3.0467336919492483E-2</v>
      </c>
      <c r="DK88" s="21">
        <f t="shared" ca="1" si="106"/>
        <v>3.0337612586668398E-2</v>
      </c>
      <c r="DL88" s="21">
        <f t="shared" ca="1" si="106"/>
        <v>2.7385054089648919E-2</v>
      </c>
      <c r="DM88" s="21">
        <f t="shared" ca="1" si="106"/>
        <v>2.5655031147620681E-2</v>
      </c>
      <c r="DN88" s="21">
        <f t="shared" ca="1" si="106"/>
        <v>2.8282377961224296E-2</v>
      </c>
      <c r="DO88" s="21">
        <f t="shared" ca="1" si="106"/>
        <v>2.8420440898999359E-2</v>
      </c>
      <c r="DP88" s="21">
        <f t="shared" ca="1" si="106"/>
        <v>2.9186232091364343E-2</v>
      </c>
      <c r="DQ88" s="21">
        <f t="shared" ca="1" si="106"/>
        <v>3.3493145768594718E-2</v>
      </c>
      <c r="DR88" s="21">
        <f t="shared" ca="1" si="106"/>
        <v>3.2672693606553595E-2</v>
      </c>
      <c r="DS88" s="21">
        <f t="shared" ca="1" si="106"/>
        <v>3.2288561512069477E-2</v>
      </c>
      <c r="DT88" s="21">
        <f t="shared" ca="1" si="106"/>
        <v>2.8249370437942976E-2</v>
      </c>
      <c r="DU88" s="21">
        <f t="shared" ca="1" si="106"/>
        <v>2.8130017471722439E-2</v>
      </c>
      <c r="DV88" s="21">
        <f t="shared" ca="1" si="106"/>
        <v>2.660395725276684E-2</v>
      </c>
      <c r="DW88" s="21">
        <f t="shared" ca="1" si="106"/>
        <v>2.7504249445495128E-2</v>
      </c>
      <c r="DX88" s="21">
        <f t="shared" ca="1" si="106"/>
        <v>2.3778104197393318E-2</v>
      </c>
      <c r="DY88" s="21">
        <f t="shared" ca="1" si="106"/>
        <v>2.3213663977539829E-2</v>
      </c>
      <c r="DZ88" s="21">
        <f t="shared" ca="1" si="106"/>
        <v>2.4368174165815146E-2</v>
      </c>
      <c r="EA88" s="21">
        <f t="shared" ca="1" si="106"/>
        <v>2.7586580855666749E-2</v>
      </c>
      <c r="EB88" s="21">
        <f t="shared" ca="1" si="106"/>
        <v>2.9092570876103049E-2</v>
      </c>
      <c r="EC88" s="21">
        <f t="shared" ca="1" si="106"/>
        <v>3.3926912291791698E-2</v>
      </c>
      <c r="ED88" s="21">
        <f t="shared" ca="1" si="106"/>
        <v>3.2705868654019345E-2</v>
      </c>
      <c r="EE88" s="21">
        <f t="shared" ca="1" si="106"/>
        <v>3.2211705518788623E-2</v>
      </c>
      <c r="EF88" s="21">
        <f t="shared" ca="1" si="106"/>
        <v>3.1346585389336934E-2</v>
      </c>
      <c r="EG88" s="21">
        <f t="shared" ca="1" si="106"/>
        <v>2.8628022844397864E-2</v>
      </c>
      <c r="EH88" s="21">
        <f t="shared" ca="1" si="106"/>
        <v>2.8413854904810912E-2</v>
      </c>
      <c r="EI88" s="21">
        <f t="shared" ca="1" si="106"/>
        <v>2.8325000217316078E-2</v>
      </c>
      <c r="EJ88" s="21">
        <f t="shared" ca="1" si="106"/>
        <v>2.5162696011037503E-2</v>
      </c>
      <c r="EK88" s="21">
        <f t="shared" ca="1" si="106"/>
        <v>2.3599954743781525E-2</v>
      </c>
      <c r="EL88" s="21">
        <f t="shared" ca="1" si="106"/>
        <v>2.1717822632552928E-2</v>
      </c>
      <c r="EM88" s="21">
        <f t="shared" ca="1" si="106"/>
        <v>2.2442990144878765E-2</v>
      </c>
      <c r="EN88" s="21">
        <f t="shared" ca="1" si="106"/>
        <v>2.5040491507778609E-2</v>
      </c>
      <c r="EO88" s="21">
        <f t="shared" ca="1" si="106"/>
        <v>2.682711766667974E-2</v>
      </c>
      <c r="EP88" s="21">
        <f t="shared" ca="1" si="106"/>
        <v>2.2440177203535205E-2</v>
      </c>
      <c r="EQ88" s="21">
        <f t="shared" ca="1" si="106"/>
        <v>2.1367421948194402E-2</v>
      </c>
      <c r="ER88" s="21">
        <f t="shared" ca="1" si="106"/>
        <v>2.0499973969944889E-2</v>
      </c>
      <c r="ES88" s="21">
        <f t="shared" ca="1" si="106"/>
        <v>1.9868270246147707E-2</v>
      </c>
      <c r="ET88" s="21">
        <f t="shared" ca="1" si="106"/>
        <v>1.8570657374248775E-2</v>
      </c>
      <c r="EU88" s="21">
        <f t="shared" ca="1" si="106"/>
        <v>1.7034435384287956E-2</v>
      </c>
      <c r="EV88" s="21">
        <f t="shared" ca="1" si="106"/>
        <v>1.3472490584752334E-2</v>
      </c>
      <c r="EW88" s="21">
        <f t="shared" ca="1" si="106"/>
        <v>1.2860030946306521E-2</v>
      </c>
      <c r="EX88" s="21">
        <f t="shared" ca="1" si="106"/>
        <v>1.0860582367534379E-2</v>
      </c>
      <c r="EY88" s="21">
        <f t="shared" ref="EY88:HJ88" ca="1" si="107">IF(EY8="","",AVERAGE(ER62:EX62)+CONFIDENCE(0.05,STDEV(DZ62:EX62),COUNT(DZ62:EX62)))</f>
        <v>1.17322179906213E-2</v>
      </c>
      <c r="EZ88" s="21">
        <f t="shared" ca="1" si="107"/>
        <v>1.400071328360751E-2</v>
      </c>
      <c r="FA88" s="21">
        <f t="shared" ca="1" si="107"/>
        <v>1.5093436912083825E-2</v>
      </c>
      <c r="FB88" s="21">
        <f t="shared" ca="1" si="107"/>
        <v>1.8568475299762459E-2</v>
      </c>
      <c r="FC88" s="21">
        <f t="shared" ca="1" si="107"/>
        <v>1.7121898738637124E-2</v>
      </c>
      <c r="FD88" s="21">
        <f t="shared" ca="1" si="107"/>
        <v>1.8863369536326658E-2</v>
      </c>
      <c r="FE88" s="21">
        <f t="shared" ca="1" si="107"/>
        <v>2.3190668124613789E-2</v>
      </c>
      <c r="FF88" s="21">
        <f t="shared" ca="1" si="107"/>
        <v>2.6780663590580886E-2</v>
      </c>
      <c r="FG88" s="21">
        <f t="shared" ca="1" si="107"/>
        <v>3.3263146111715762E-2</v>
      </c>
      <c r="FH88" s="21">
        <f t="shared" ca="1" si="107"/>
        <v>3.8924801007995731E-2</v>
      </c>
      <c r="FI88" s="21">
        <f t="shared" ca="1" si="107"/>
        <v>3.5429414828877397E-2</v>
      </c>
      <c r="FJ88" s="21">
        <f t="shared" ca="1" si="107"/>
        <v>3.843028781825774E-2</v>
      </c>
      <c r="FK88" s="21">
        <f t="shared" ca="1" si="107"/>
        <v>4.2756723490867496E-2</v>
      </c>
      <c r="FL88" s="21">
        <f t="shared" ca="1" si="107"/>
        <v>4.229858202583494E-2</v>
      </c>
      <c r="FM88" s="21">
        <f t="shared" ca="1" si="107"/>
        <v>3.9614513201216908E-2</v>
      </c>
      <c r="FN88" s="21">
        <f t="shared" ca="1" si="107"/>
        <v>3.1951900578392756E-2</v>
      </c>
      <c r="FO88" s="21">
        <f t="shared" ca="1" si="107"/>
        <v>2.5837068609988217E-2</v>
      </c>
      <c r="FP88" s="21">
        <f t="shared" ca="1" si="107"/>
        <v>2.6126245068631704E-2</v>
      </c>
      <c r="FQ88" s="21">
        <f t="shared" ca="1" si="107"/>
        <v>2.7294738403570558E-2</v>
      </c>
      <c r="FR88" s="21">
        <f t="shared" ca="1" si="107"/>
        <v>2.438402697805573E-2</v>
      </c>
      <c r="FS88" s="21">
        <f t="shared" ca="1" si="107"/>
        <v>2.2133907664342069E-2</v>
      </c>
      <c r="FT88" s="21">
        <f t="shared" ca="1" si="107"/>
        <v>2.1992989847155316E-2</v>
      </c>
      <c r="FU88" s="21">
        <f t="shared" ca="1" si="107"/>
        <v>2.3674507361703279E-2</v>
      </c>
      <c r="FV88" s="21">
        <f t="shared" ca="1" si="107"/>
        <v>2.5480805638951266E-2</v>
      </c>
      <c r="FW88" s="21">
        <f t="shared" ca="1" si="107"/>
        <v>2.5442845429497523E-2</v>
      </c>
      <c r="FX88" s="21">
        <f t="shared" ca="1" si="107"/>
        <v>2.2458903723922011E-2</v>
      </c>
      <c r="FY88" s="21">
        <f t="shared" ca="1" si="107"/>
        <v>1.9466921368902691E-2</v>
      </c>
      <c r="FZ88" s="21">
        <f t="shared" ca="1" si="107"/>
        <v>1.9635364606032293E-2</v>
      </c>
      <c r="GA88" s="21">
        <f t="shared" ca="1" si="107"/>
        <v>1.9323714299823522E-2</v>
      </c>
      <c r="GB88" s="21">
        <f t="shared" ca="1" si="107"/>
        <v>1.9567641756030672E-2</v>
      </c>
      <c r="GC88" s="21">
        <f t="shared" ca="1" si="107"/>
        <v>2.051445904792841E-2</v>
      </c>
      <c r="GD88" s="21">
        <f t="shared" ca="1" si="107"/>
        <v>2.0319183461499322E-2</v>
      </c>
      <c r="GE88" s="21">
        <f t="shared" ca="1" si="107"/>
        <v>2.4071337039698045E-2</v>
      </c>
      <c r="GF88" s="21">
        <f t="shared" ca="1" si="107"/>
        <v>2.7805570971607508E-2</v>
      </c>
      <c r="GG88" s="21">
        <f t="shared" ca="1" si="107"/>
        <v>2.6355367331202247E-2</v>
      </c>
      <c r="GH88" s="21">
        <f t="shared" ca="1" si="107"/>
        <v>2.4875249498126452E-2</v>
      </c>
      <c r="GI88" s="21">
        <f t="shared" ca="1" si="107"/>
        <v>2.4035334137469597E-2</v>
      </c>
      <c r="GJ88" s="21">
        <f t="shared" ca="1" si="107"/>
        <v>3.7274477249712716E-2</v>
      </c>
      <c r="GK88" s="21">
        <f t="shared" ca="1" si="107"/>
        <v>6.1879183503806987E-2</v>
      </c>
      <c r="GL88" s="21">
        <f t="shared" ca="1" si="107"/>
        <v>8.9666175854153124E-2</v>
      </c>
      <c r="GM88" s="21">
        <f t="shared" ca="1" si="107"/>
        <v>0.12007601336899132</v>
      </c>
      <c r="GN88" s="21">
        <f t="shared" ca="1" si="107"/>
        <v>0.15061444654999639</v>
      </c>
      <c r="GO88" s="21">
        <f t="shared" ca="1" si="107"/>
        <v>0.18378187876199054</v>
      </c>
      <c r="GP88" s="21">
        <f t="shared" ca="1" si="107"/>
        <v>0.18836494242299051</v>
      </c>
      <c r="GQ88" s="21">
        <f t="shared" ca="1" si="107"/>
        <v>0.21330012847653318</v>
      </c>
      <c r="GR88" s="21">
        <f t="shared" ca="1" si="107"/>
        <v>0.21263798301938142</v>
      </c>
      <c r="GS88" s="21">
        <f t="shared" ca="1" si="107"/>
        <v>0.20494133220030547</v>
      </c>
      <c r="GT88" s="21">
        <f t="shared" ca="1" si="107"/>
        <v>0.1863470592573192</v>
      </c>
      <c r="GU88" s="21">
        <f t="shared" ca="1" si="107"/>
        <v>0.17973052647304039</v>
      </c>
      <c r="GV88" s="21">
        <f t="shared" ca="1" si="107"/>
        <v>0.16697680653628133</v>
      </c>
      <c r="GW88" s="21">
        <f t="shared" ca="1" si="107"/>
        <v>0.18994859155164262</v>
      </c>
      <c r="GX88" s="21">
        <f t="shared" ca="1" si="107"/>
        <v>0.15952415435665662</v>
      </c>
      <c r="GY88" s="21">
        <f t="shared" ca="1" si="107"/>
        <v>0.14813915426179908</v>
      </c>
      <c r="GZ88" s="21">
        <f t="shared" ca="1" si="107"/>
        <v>0.12284505427085268</v>
      </c>
      <c r="HA88" s="21" t="str">
        <f t="shared" si="107"/>
        <v/>
      </c>
      <c r="HB88" s="21" t="str">
        <f t="shared" si="107"/>
        <v/>
      </c>
      <c r="HC88" s="21" t="str">
        <f t="shared" si="107"/>
        <v/>
      </c>
      <c r="HD88" s="21" t="str">
        <f t="shared" si="107"/>
        <v/>
      </c>
      <c r="HE88" s="21" t="str">
        <f t="shared" si="107"/>
        <v/>
      </c>
      <c r="HF88" s="21" t="str">
        <f t="shared" si="107"/>
        <v/>
      </c>
      <c r="HG88" s="21" t="str">
        <f t="shared" si="107"/>
        <v/>
      </c>
      <c r="HH88" s="21" t="str">
        <f t="shared" si="107"/>
        <v/>
      </c>
      <c r="HI88" s="21" t="str">
        <f t="shared" si="107"/>
        <v/>
      </c>
      <c r="HJ88" s="21" t="str">
        <f t="shared" si="107"/>
        <v/>
      </c>
      <c r="HK88" s="21" t="str">
        <f t="shared" ref="HK88:JH88" si="108">IF(HK8="","",AVERAGE(HD62:HJ62)+CONFIDENCE(0.05,STDEV(GL62:HJ62),COUNT(GL62:HJ62)))</f>
        <v/>
      </c>
      <c r="HL88" s="21" t="str">
        <f t="shared" si="108"/>
        <v/>
      </c>
      <c r="HM88" s="21" t="str">
        <f t="shared" si="108"/>
        <v/>
      </c>
      <c r="HN88" s="21" t="str">
        <f t="shared" si="108"/>
        <v/>
      </c>
      <c r="HO88" s="21" t="str">
        <f t="shared" si="108"/>
        <v/>
      </c>
      <c r="HP88" s="21" t="str">
        <f t="shared" si="108"/>
        <v/>
      </c>
      <c r="HQ88" s="21" t="str">
        <f t="shared" si="108"/>
        <v/>
      </c>
      <c r="HR88" s="21" t="str">
        <f t="shared" si="108"/>
        <v/>
      </c>
      <c r="HS88" s="21" t="str">
        <f t="shared" si="108"/>
        <v/>
      </c>
      <c r="HT88" s="21" t="str">
        <f t="shared" si="108"/>
        <v/>
      </c>
      <c r="HU88" s="21" t="str">
        <f t="shared" si="108"/>
        <v/>
      </c>
      <c r="HV88" s="21" t="str">
        <f t="shared" si="108"/>
        <v/>
      </c>
      <c r="HW88" s="21" t="str">
        <f t="shared" si="108"/>
        <v/>
      </c>
      <c r="HX88" s="21" t="str">
        <f t="shared" si="108"/>
        <v/>
      </c>
      <c r="HY88" s="21" t="str">
        <f t="shared" si="108"/>
        <v/>
      </c>
      <c r="HZ88" s="21" t="str">
        <f t="shared" si="108"/>
        <v/>
      </c>
      <c r="IA88" s="21" t="str">
        <f t="shared" si="108"/>
        <v/>
      </c>
      <c r="IB88" s="21" t="str">
        <f t="shared" si="108"/>
        <v/>
      </c>
      <c r="IC88" s="21" t="str">
        <f t="shared" si="108"/>
        <v/>
      </c>
      <c r="ID88" s="21" t="str">
        <f t="shared" si="108"/>
        <v/>
      </c>
      <c r="IE88" s="21" t="str">
        <f t="shared" si="108"/>
        <v/>
      </c>
      <c r="IF88" s="21" t="str">
        <f t="shared" si="108"/>
        <v/>
      </c>
      <c r="IG88" s="21" t="str">
        <f t="shared" si="108"/>
        <v/>
      </c>
      <c r="IH88" s="21" t="str">
        <f t="shared" si="108"/>
        <v/>
      </c>
      <c r="II88" s="21" t="str">
        <f t="shared" si="108"/>
        <v/>
      </c>
      <c r="IJ88" s="21" t="str">
        <f t="shared" si="108"/>
        <v/>
      </c>
      <c r="IK88" s="21" t="str">
        <f t="shared" si="108"/>
        <v/>
      </c>
      <c r="IL88" s="21" t="str">
        <f t="shared" si="108"/>
        <v/>
      </c>
      <c r="IM88" s="21" t="str">
        <f t="shared" si="108"/>
        <v/>
      </c>
      <c r="IN88" s="21" t="str">
        <f t="shared" si="108"/>
        <v/>
      </c>
      <c r="IO88" s="21" t="str">
        <f t="shared" si="108"/>
        <v/>
      </c>
      <c r="IP88" s="21" t="str">
        <f t="shared" si="108"/>
        <v/>
      </c>
      <c r="IQ88" s="21" t="str">
        <f t="shared" si="108"/>
        <v/>
      </c>
      <c r="IR88" s="21" t="str">
        <f t="shared" si="108"/>
        <v/>
      </c>
      <c r="IS88" s="21" t="str">
        <f t="shared" si="108"/>
        <v/>
      </c>
      <c r="IT88" s="21" t="str">
        <f t="shared" si="108"/>
        <v/>
      </c>
      <c r="IU88" s="21" t="str">
        <f t="shared" si="108"/>
        <v/>
      </c>
      <c r="IV88" s="21" t="str">
        <f t="shared" si="108"/>
        <v/>
      </c>
      <c r="IW88" s="21" t="str">
        <f t="shared" si="108"/>
        <v/>
      </c>
      <c r="IX88" s="21" t="str">
        <f t="shared" si="108"/>
        <v/>
      </c>
      <c r="IY88" s="21" t="str">
        <f t="shared" si="108"/>
        <v/>
      </c>
      <c r="IZ88" s="21" t="str">
        <f t="shared" si="108"/>
        <v/>
      </c>
      <c r="JA88" s="21" t="str">
        <f t="shared" si="108"/>
        <v/>
      </c>
      <c r="JB88" s="21" t="str">
        <f t="shared" si="108"/>
        <v/>
      </c>
      <c r="JC88" s="21" t="str">
        <f t="shared" si="108"/>
        <v/>
      </c>
      <c r="JD88" s="21" t="str">
        <f t="shared" si="108"/>
        <v/>
      </c>
      <c r="JE88" s="21" t="str">
        <f t="shared" si="108"/>
        <v/>
      </c>
      <c r="JF88" s="21" t="str">
        <f t="shared" si="108"/>
        <v/>
      </c>
      <c r="JG88" s="21" t="str">
        <f t="shared" si="108"/>
        <v/>
      </c>
      <c r="JH88" s="21" t="str">
        <f t="shared" si="108"/>
        <v/>
      </c>
    </row>
    <row r="89" spans="1:336" x14ac:dyDescent="0.25"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>
        <f t="shared" ref="AA89:CL89" ca="1" si="109">IF(AA9="","",AVERAGE(S63:Z63)+CONFIDENCE(0.05,STDEV(B63:Z63),COUNT(B63:Z63)))</f>
        <v>1.6293181866490383E-2</v>
      </c>
      <c r="AB89" s="21">
        <f t="shared" ca="1" si="109"/>
        <v>1.5138417366418879E-2</v>
      </c>
      <c r="AC89" s="21">
        <f t="shared" ca="1" si="109"/>
        <v>1.4841918668660498E-2</v>
      </c>
      <c r="AD89" s="21">
        <f t="shared" ca="1" si="109"/>
        <v>1.8755839902866708E-2</v>
      </c>
      <c r="AE89" s="21">
        <f t="shared" ca="1" si="109"/>
        <v>2.194614527319386E-2</v>
      </c>
      <c r="AF89" s="21">
        <f t="shared" ca="1" si="109"/>
        <v>2.4139812541773883E-2</v>
      </c>
      <c r="AG89" s="21">
        <f t="shared" ca="1" si="109"/>
        <v>2.5779004564279728E-2</v>
      </c>
      <c r="AH89" s="21">
        <f t="shared" ca="1" si="109"/>
        <v>2.8348695557198628E-2</v>
      </c>
      <c r="AI89" s="21">
        <f t="shared" ca="1" si="109"/>
        <v>3.0122172046084861E-2</v>
      </c>
      <c r="AJ89" s="21">
        <f t="shared" ca="1" si="109"/>
        <v>3.0298197437033873E-2</v>
      </c>
      <c r="AK89" s="21">
        <f t="shared" ca="1" si="109"/>
        <v>2.8923912632784862E-2</v>
      </c>
      <c r="AL89" s="21">
        <f t="shared" ca="1" si="109"/>
        <v>2.9728906211814302E-2</v>
      </c>
      <c r="AM89" s="21">
        <f t="shared" ca="1" si="109"/>
        <v>3.3899826556665749E-2</v>
      </c>
      <c r="AN89" s="21">
        <f t="shared" ca="1" si="109"/>
        <v>4.1057072467090817E-2</v>
      </c>
      <c r="AO89" s="21">
        <f t="shared" ca="1" si="109"/>
        <v>4.7046251594151288E-2</v>
      </c>
      <c r="AP89" s="21">
        <f t="shared" ca="1" si="109"/>
        <v>5.0168598660281422E-2</v>
      </c>
      <c r="AQ89" s="21">
        <f t="shared" ca="1" si="109"/>
        <v>5.2939361253733275E-2</v>
      </c>
      <c r="AR89" s="21">
        <f t="shared" ca="1" si="109"/>
        <v>5.6747353403056908E-2</v>
      </c>
      <c r="AS89" s="21">
        <f t="shared" ca="1" si="109"/>
        <v>6.2891994980528595E-2</v>
      </c>
      <c r="AT89" s="21">
        <f t="shared" ca="1" si="109"/>
        <v>6.7487744092914359E-2</v>
      </c>
      <c r="AU89" s="21">
        <f t="shared" ca="1" si="109"/>
        <v>6.8832984202470748E-2</v>
      </c>
      <c r="AV89" s="21">
        <f t="shared" ca="1" si="109"/>
        <v>7.3990400225993763E-2</v>
      </c>
      <c r="AW89" s="21">
        <f t="shared" ca="1" si="109"/>
        <v>8.5738931206395586E-2</v>
      </c>
      <c r="AX89" s="21">
        <f t="shared" ca="1" si="109"/>
        <v>0.10226231539644859</v>
      </c>
      <c r="AY89" s="21">
        <f t="shared" ca="1" si="109"/>
        <v>0.12017592973701682</v>
      </c>
      <c r="AZ89" s="21">
        <f t="shared" ca="1" si="109"/>
        <v>0.13692973240090542</v>
      </c>
      <c r="BA89" s="21">
        <f t="shared" ca="1" si="109"/>
        <v>0.14860213978907733</v>
      </c>
      <c r="BB89" s="21">
        <f t="shared" ca="1" si="109"/>
        <v>0.16683254519172147</v>
      </c>
      <c r="BC89" s="21">
        <f t="shared" ca="1" si="109"/>
        <v>0.17682166097271351</v>
      </c>
      <c r="BD89" s="21">
        <f t="shared" ca="1" si="109"/>
        <v>0.177519965579302</v>
      </c>
      <c r="BE89" s="21">
        <f t="shared" ca="1" si="109"/>
        <v>0.17776444596087421</v>
      </c>
      <c r="BF89" s="21">
        <f t="shared" ca="1" si="109"/>
        <v>0.17601696234773523</v>
      </c>
      <c r="BG89" s="21">
        <f t="shared" ca="1" si="109"/>
        <v>0.17225537365503113</v>
      </c>
      <c r="BH89" s="21">
        <f t="shared" ca="1" si="109"/>
        <v>0.1657874995426295</v>
      </c>
      <c r="BI89" s="21">
        <f t="shared" ca="1" si="109"/>
        <v>0.15345856152864107</v>
      </c>
      <c r="BJ89" s="21">
        <f t="shared" ca="1" si="109"/>
        <v>0.13289791027759423</v>
      </c>
      <c r="BK89" s="21">
        <f t="shared" ca="1" si="109"/>
        <v>0.12798967155249097</v>
      </c>
      <c r="BL89" s="21">
        <f t="shared" ca="1" si="109"/>
        <v>0.12846042595084783</v>
      </c>
      <c r="BM89" s="21">
        <f t="shared" ca="1" si="109"/>
        <v>0.13262417977878968</v>
      </c>
      <c r="BN89" s="21">
        <f t="shared" ca="1" si="109"/>
        <v>0.14029861515134329</v>
      </c>
      <c r="BO89" s="21">
        <f t="shared" ca="1" si="109"/>
        <v>0.14408347178587491</v>
      </c>
      <c r="BP89" s="21">
        <f t="shared" ca="1" si="109"/>
        <v>0.14474430088661069</v>
      </c>
      <c r="BQ89" s="21">
        <f t="shared" ca="1" si="109"/>
        <v>0.14654006598918337</v>
      </c>
      <c r="BR89" s="21">
        <f t="shared" ca="1" si="109"/>
        <v>0.14392709195455983</v>
      </c>
      <c r="BS89" s="21">
        <f t="shared" ca="1" si="109"/>
        <v>0.1334452843508071</v>
      </c>
      <c r="BT89" s="21">
        <f t="shared" ca="1" si="109"/>
        <v>0.12446136507237522</v>
      </c>
      <c r="BU89" s="21">
        <f t="shared" ca="1" si="109"/>
        <v>0.10744464724752795</v>
      </c>
      <c r="BV89" s="21">
        <f t="shared" ca="1" si="109"/>
        <v>8.3977203493183328E-2</v>
      </c>
      <c r="BW89" s="21">
        <f t="shared" ca="1" si="109"/>
        <v>6.4091365867441241E-2</v>
      </c>
      <c r="BX89" s="21">
        <f t="shared" ca="1" si="109"/>
        <v>5.3322050429002815E-2</v>
      </c>
      <c r="BY89" s="21">
        <f t="shared" ca="1" si="109"/>
        <v>5.1869422645498021E-2</v>
      </c>
      <c r="BZ89" s="21">
        <f t="shared" ca="1" si="109"/>
        <v>5.9531258364137619E-2</v>
      </c>
      <c r="CA89" s="21">
        <f t="shared" ca="1" si="109"/>
        <v>6.4655842729004376E-2</v>
      </c>
      <c r="CB89" s="21">
        <f t="shared" ca="1" si="109"/>
        <v>6.4245443628923302E-2</v>
      </c>
      <c r="CC89" s="21">
        <f t="shared" ca="1" si="109"/>
        <v>6.2366400381391421E-2</v>
      </c>
      <c r="CD89" s="21">
        <f t="shared" ca="1" si="109"/>
        <v>6.6356310674978145E-2</v>
      </c>
      <c r="CE89" s="21">
        <f t="shared" ca="1" si="109"/>
        <v>6.5928312639601583E-2</v>
      </c>
      <c r="CF89" s="21">
        <f t="shared" ca="1" si="109"/>
        <v>6.1345257596989042E-2</v>
      </c>
      <c r="CG89" s="21">
        <f t="shared" ca="1" si="109"/>
        <v>5.5668598450070925E-2</v>
      </c>
      <c r="CH89" s="21">
        <f t="shared" ca="1" si="109"/>
        <v>4.7533877113354467E-2</v>
      </c>
      <c r="CI89" s="21">
        <f t="shared" ca="1" si="109"/>
        <v>4.5034388296618058E-2</v>
      </c>
      <c r="CJ89" s="21">
        <f t="shared" ca="1" si="109"/>
        <v>4.110287788068246E-2</v>
      </c>
      <c r="CK89" s="21">
        <f t="shared" ca="1" si="109"/>
        <v>4.1505659335994476E-2</v>
      </c>
      <c r="CL89" s="21">
        <f t="shared" ca="1" si="109"/>
        <v>3.4862554998746728E-2</v>
      </c>
      <c r="CM89" s="21">
        <f t="shared" ref="CM89:EX89" ca="1" si="110">IF(CM9="","",AVERAGE(CE63:CL63)+CONFIDENCE(0.05,STDEV(BN63:CL63),COUNT(BN63:CL63)))</f>
        <v>3.3736510086958035E-2</v>
      </c>
      <c r="CN89" s="21">
        <f t="shared" ca="1" si="110"/>
        <v>3.1781958000405619E-2</v>
      </c>
      <c r="CO89" s="21">
        <f t="shared" ca="1" si="110"/>
        <v>3.2343077454748181E-2</v>
      </c>
      <c r="CP89" s="21">
        <f t="shared" ca="1" si="110"/>
        <v>4.082981645505445E-2</v>
      </c>
      <c r="CQ89" s="21">
        <f t="shared" ca="1" si="110"/>
        <v>4.2756030109855812E-2</v>
      </c>
      <c r="CR89" s="21">
        <f t="shared" ca="1" si="110"/>
        <v>4.3924773750424903E-2</v>
      </c>
      <c r="CS89" s="21">
        <f t="shared" ca="1" si="110"/>
        <v>4.2753263462181106E-2</v>
      </c>
      <c r="CT89" s="21">
        <f t="shared" ca="1" si="110"/>
        <v>4.4307996300448356E-2</v>
      </c>
      <c r="CU89" s="21">
        <f t="shared" ca="1" si="110"/>
        <v>4.4545023079432006E-2</v>
      </c>
      <c r="CV89" s="21">
        <f t="shared" ca="1" si="110"/>
        <v>4.0785191705717413E-2</v>
      </c>
      <c r="CW89" s="21">
        <f t="shared" ca="1" si="110"/>
        <v>3.671618195950857E-2</v>
      </c>
      <c r="CX89" s="21">
        <f t="shared" ca="1" si="110"/>
        <v>2.8660270553175729E-2</v>
      </c>
      <c r="CY89" s="21">
        <f t="shared" ca="1" si="110"/>
        <v>2.3124561880875222E-2</v>
      </c>
      <c r="CZ89" s="21">
        <f t="shared" ca="1" si="110"/>
        <v>2.5485659532446431E-2</v>
      </c>
      <c r="DA89" s="21">
        <f t="shared" ca="1" si="110"/>
        <v>2.6161258098950473E-2</v>
      </c>
      <c r="DB89" s="21">
        <f t="shared" ca="1" si="110"/>
        <v>2.8274356753436754E-2</v>
      </c>
      <c r="DC89" s="21">
        <f t="shared" ca="1" si="110"/>
        <v>2.5946001525230671E-2</v>
      </c>
      <c r="DD89" s="21">
        <f t="shared" ca="1" si="110"/>
        <v>2.9442726638523563E-2</v>
      </c>
      <c r="DE89" s="21">
        <f t="shared" ca="1" si="110"/>
        <v>3.3781406909137328E-2</v>
      </c>
      <c r="DF89" s="21">
        <f t="shared" ca="1" si="110"/>
        <v>4.0758377051892114E-2</v>
      </c>
      <c r="DG89" s="21">
        <f t="shared" ca="1" si="110"/>
        <v>3.9121892680224132E-2</v>
      </c>
      <c r="DH89" s="21">
        <f t="shared" ca="1" si="110"/>
        <v>3.6603897280200789E-2</v>
      </c>
      <c r="DI89" s="21">
        <f t="shared" ca="1" si="110"/>
        <v>3.7773647561028571E-2</v>
      </c>
      <c r="DJ89" s="21">
        <f t="shared" ca="1" si="110"/>
        <v>3.6887078982998055E-2</v>
      </c>
      <c r="DK89" s="21">
        <f t="shared" ca="1" si="110"/>
        <v>3.891274700462162E-2</v>
      </c>
      <c r="DL89" s="21">
        <f t="shared" ca="1" si="110"/>
        <v>4.1543678567870015E-2</v>
      </c>
      <c r="DM89" s="21">
        <f t="shared" ca="1" si="110"/>
        <v>3.8282423664036412E-2</v>
      </c>
      <c r="DN89" s="21">
        <f t="shared" ca="1" si="110"/>
        <v>3.4344465593858016E-2</v>
      </c>
      <c r="DO89" s="21">
        <f t="shared" ca="1" si="110"/>
        <v>3.5380581381233067E-2</v>
      </c>
      <c r="DP89" s="21">
        <f t="shared" ca="1" si="110"/>
        <v>3.6467257974294467E-2</v>
      </c>
      <c r="DQ89" s="21">
        <f t="shared" ca="1" si="110"/>
        <v>4.0524690941731174E-2</v>
      </c>
      <c r="DR89" s="21">
        <f t="shared" ca="1" si="110"/>
        <v>3.9578775486368435E-2</v>
      </c>
      <c r="DS89" s="21">
        <f t="shared" ca="1" si="110"/>
        <v>3.8922059076868409E-2</v>
      </c>
      <c r="DT89" s="21">
        <f t="shared" ca="1" si="110"/>
        <v>3.3931038588993462E-2</v>
      </c>
      <c r="DU89" s="21">
        <f t="shared" ca="1" si="110"/>
        <v>3.393820550403908E-2</v>
      </c>
      <c r="DV89" s="21">
        <f t="shared" ca="1" si="110"/>
        <v>3.1837115201657738E-2</v>
      </c>
      <c r="DW89" s="21">
        <f t="shared" ca="1" si="110"/>
        <v>3.2220251515382665E-2</v>
      </c>
      <c r="DX89" s="21">
        <f t="shared" ca="1" si="110"/>
        <v>3.0440058446370093E-2</v>
      </c>
      <c r="DY89" s="21">
        <f t="shared" ca="1" si="110"/>
        <v>2.6102866478463778E-2</v>
      </c>
      <c r="DZ89" s="21">
        <f t="shared" ca="1" si="110"/>
        <v>2.8457554173481586E-2</v>
      </c>
      <c r="EA89" s="21">
        <f t="shared" ca="1" si="110"/>
        <v>2.9143472730673626E-2</v>
      </c>
      <c r="EB89" s="21">
        <f t="shared" ca="1" si="110"/>
        <v>3.4414647283199748E-2</v>
      </c>
      <c r="EC89" s="21">
        <f t="shared" ca="1" si="110"/>
        <v>3.7468807237715424E-2</v>
      </c>
      <c r="ED89" s="21">
        <f t="shared" ca="1" si="110"/>
        <v>3.8319249143946701E-2</v>
      </c>
      <c r="EE89" s="21">
        <f t="shared" ca="1" si="110"/>
        <v>3.7025374293939588E-2</v>
      </c>
      <c r="EF89" s="21">
        <f t="shared" ca="1" si="110"/>
        <v>3.4823871030942803E-2</v>
      </c>
      <c r="EG89" s="21">
        <f t="shared" ca="1" si="110"/>
        <v>3.5542726678048572E-2</v>
      </c>
      <c r="EH89" s="21">
        <f t="shared" ca="1" si="110"/>
        <v>3.453637890775945E-2</v>
      </c>
      <c r="EI89" s="21">
        <f t="shared" ca="1" si="110"/>
        <v>3.3642483899679387E-2</v>
      </c>
      <c r="EJ89" s="21">
        <f t="shared" ca="1" si="110"/>
        <v>3.0291333841427261E-2</v>
      </c>
      <c r="EK89" s="21">
        <f t="shared" ca="1" si="110"/>
        <v>2.6379991416035052E-2</v>
      </c>
      <c r="EL89" s="21">
        <f t="shared" ca="1" si="110"/>
        <v>2.4763976724752248E-2</v>
      </c>
      <c r="EM89" s="21">
        <f t="shared" ca="1" si="110"/>
        <v>2.3862982831485736E-2</v>
      </c>
      <c r="EN89" s="21">
        <f t="shared" ca="1" si="110"/>
        <v>2.6956158142269412E-2</v>
      </c>
      <c r="EO89" s="21">
        <f t="shared" ca="1" si="110"/>
        <v>2.981930165931735E-2</v>
      </c>
      <c r="EP89" s="21">
        <f t="shared" ca="1" si="110"/>
        <v>2.7282073747630659E-2</v>
      </c>
      <c r="EQ89" s="21">
        <f t="shared" ca="1" si="110"/>
        <v>2.6315992749431978E-2</v>
      </c>
      <c r="ER89" s="21">
        <f t="shared" ca="1" si="110"/>
        <v>2.4332758831236818E-2</v>
      </c>
      <c r="ES89" s="21">
        <f t="shared" ca="1" si="110"/>
        <v>2.1804510488612802E-2</v>
      </c>
      <c r="ET89" s="21">
        <f t="shared" ca="1" si="110"/>
        <v>2.1676293192733707E-2</v>
      </c>
      <c r="EU89" s="21">
        <f t="shared" ca="1" si="110"/>
        <v>2.1325520542662409E-2</v>
      </c>
      <c r="EV89" s="21">
        <f t="shared" ca="1" si="110"/>
        <v>2.0285734590947645E-2</v>
      </c>
      <c r="EW89" s="21">
        <f t="shared" ca="1" si="110"/>
        <v>1.5761479743179953E-2</v>
      </c>
      <c r="EX89" s="21">
        <f t="shared" ca="1" si="110"/>
        <v>1.4432817002790942E-2</v>
      </c>
      <c r="EY89" s="21">
        <f t="shared" ref="EY89:HJ89" ca="1" si="111">IF(EY9="","",AVERAGE(EQ63:EX63)+CONFIDENCE(0.05,STDEV(DZ63:EX63),COUNT(DZ63:EX63)))</f>
        <v>1.3192397373644933E-2</v>
      </c>
      <c r="EZ89" s="21">
        <f t="shared" ca="1" si="111"/>
        <v>1.6242157429943099E-2</v>
      </c>
      <c r="FA89" s="21">
        <f t="shared" ca="1" si="111"/>
        <v>1.7015167835259318E-2</v>
      </c>
      <c r="FB89" s="21">
        <f t="shared" ca="1" si="111"/>
        <v>2.16269084138439E-2</v>
      </c>
      <c r="FC89" s="21">
        <f t="shared" ca="1" si="111"/>
        <v>2.1934588703516684E-2</v>
      </c>
      <c r="FD89" s="21">
        <f t="shared" ca="1" si="111"/>
        <v>2.2475842789714352E-2</v>
      </c>
      <c r="FE89" s="21">
        <f t="shared" ca="1" si="111"/>
        <v>2.6388114438508727E-2</v>
      </c>
      <c r="FF89" s="21">
        <f t="shared" ca="1" si="111"/>
        <v>3.1020024055737658E-2</v>
      </c>
      <c r="FG89" s="21">
        <f t="shared" ca="1" si="111"/>
        <v>3.7788311805586103E-2</v>
      </c>
      <c r="FH89" s="21">
        <f t="shared" ca="1" si="111"/>
        <v>4.073646671948862E-2</v>
      </c>
      <c r="FI89" s="21">
        <f t="shared" ca="1" si="111"/>
        <v>4.1569208454865954E-2</v>
      </c>
      <c r="FJ89" s="21">
        <f t="shared" ca="1" si="111"/>
        <v>3.9760262000653183E-2</v>
      </c>
      <c r="FK89" s="21">
        <f t="shared" ca="1" si="111"/>
        <v>4.4206060440220005E-2</v>
      </c>
      <c r="FL89" s="21">
        <f t="shared" ca="1" si="111"/>
        <v>4.4615858997489023E-2</v>
      </c>
      <c r="FM89" s="21">
        <f t="shared" ca="1" si="111"/>
        <v>4.2036858320743678E-2</v>
      </c>
      <c r="FN89" s="21">
        <f t="shared" ca="1" si="111"/>
        <v>3.7828825295229331E-2</v>
      </c>
      <c r="FO89" s="21">
        <f t="shared" ca="1" si="111"/>
        <v>3.1568346253368768E-2</v>
      </c>
      <c r="FP89" s="21">
        <f t="shared" ca="1" si="111"/>
        <v>2.8401713200023212E-2</v>
      </c>
      <c r="FQ89" s="21">
        <f t="shared" ca="1" si="111"/>
        <v>2.9545144827239016E-2</v>
      </c>
      <c r="FR89" s="21">
        <f t="shared" ca="1" si="111"/>
        <v>2.8185067317437116E-2</v>
      </c>
      <c r="FS89" s="21">
        <f t="shared" ca="1" si="111"/>
        <v>2.2424870855487496E-2</v>
      </c>
      <c r="FT89" s="21">
        <f t="shared" ca="1" si="111"/>
        <v>2.2523140190225222E-2</v>
      </c>
      <c r="FU89" s="21">
        <f t="shared" ca="1" si="111"/>
        <v>2.2913742394840311E-2</v>
      </c>
      <c r="FV89" s="21">
        <f t="shared" ca="1" si="111"/>
        <v>2.5262155023862726E-2</v>
      </c>
      <c r="FW89" s="21">
        <f t="shared" ca="1" si="111"/>
        <v>2.6828508824216994E-2</v>
      </c>
      <c r="FX89" s="21">
        <f t="shared" ca="1" si="111"/>
        <v>2.5202424116751328E-2</v>
      </c>
      <c r="FY89" s="21">
        <f t="shared" ca="1" si="111"/>
        <v>2.2343818224545686E-2</v>
      </c>
      <c r="FZ89" s="21">
        <f t="shared" ca="1" si="111"/>
        <v>2.2955056702851136E-2</v>
      </c>
      <c r="GA89" s="21">
        <f t="shared" ca="1" si="111"/>
        <v>2.564111922708235E-2</v>
      </c>
      <c r="GB89" s="21">
        <f t="shared" ca="1" si="111"/>
        <v>2.5287099384520527E-2</v>
      </c>
      <c r="GC89" s="21">
        <f t="shared" ca="1" si="111"/>
        <v>2.6469440216020455E-2</v>
      </c>
      <c r="GD89" s="21">
        <f t="shared" ca="1" si="111"/>
        <v>2.7807742287816274E-2</v>
      </c>
      <c r="GE89" s="21">
        <f t="shared" ca="1" si="111"/>
        <v>2.8809053756761169E-2</v>
      </c>
      <c r="GF89" s="21">
        <f t="shared" ca="1" si="111"/>
        <v>3.1317895140079807E-2</v>
      </c>
      <c r="GG89" s="21">
        <f t="shared" ca="1" si="111"/>
        <v>3.1417117350908297E-2</v>
      </c>
      <c r="GH89" s="21">
        <f t="shared" ca="1" si="111"/>
        <v>2.9896825599113119E-2</v>
      </c>
      <c r="GI89" s="21">
        <f t="shared" ca="1" si="111"/>
        <v>3.8969909204553392E-2</v>
      </c>
      <c r="GJ89" s="21">
        <f t="shared" ca="1" si="111"/>
        <v>6.5777306543344807E-2</v>
      </c>
      <c r="GK89" s="21">
        <f t="shared" ca="1" si="111"/>
        <v>8.9169791574183893E-2</v>
      </c>
      <c r="GL89" s="21">
        <f t="shared" ca="1" si="111"/>
        <v>0.1153164340056024</v>
      </c>
      <c r="GM89" s="21">
        <f t="shared" ca="1" si="111"/>
        <v>0.13903547730152158</v>
      </c>
      <c r="GN89" s="21">
        <f t="shared" ca="1" si="111"/>
        <v>0.16124311869554042</v>
      </c>
      <c r="GO89" s="21">
        <f t="shared" ca="1" si="111"/>
        <v>0.18835043360213974</v>
      </c>
      <c r="GP89" s="21">
        <f t="shared" ca="1" si="111"/>
        <v>0.19060824698376083</v>
      </c>
      <c r="GQ89" s="21">
        <f t="shared" ca="1" si="111"/>
        <v>0.21771756658079819</v>
      </c>
      <c r="GR89" s="21">
        <f t="shared" ca="1" si="111"/>
        <v>0.21424712272661395</v>
      </c>
      <c r="GS89" s="21">
        <f t="shared" ca="1" si="111"/>
        <v>0.21167591151879023</v>
      </c>
      <c r="GT89" s="21">
        <f t="shared" ca="1" si="111"/>
        <v>0.20828306121089429</v>
      </c>
      <c r="GU89" s="21">
        <f t="shared" ca="1" si="111"/>
        <v>0.20493820517612976</v>
      </c>
      <c r="GV89" s="21">
        <f t="shared" ca="1" si="111"/>
        <v>0.20034943414476894</v>
      </c>
      <c r="GW89" s="21">
        <f t="shared" ca="1" si="111"/>
        <v>0.19067138842529696</v>
      </c>
      <c r="GX89" s="21">
        <f t="shared" ca="1" si="111"/>
        <v>0.2313976733512835</v>
      </c>
      <c r="GY89" s="21">
        <f t="shared" ca="1" si="111"/>
        <v>0.19468070159605208</v>
      </c>
      <c r="GZ89" s="21">
        <f t="shared" ca="1" si="111"/>
        <v>0.19614939885326033</v>
      </c>
      <c r="HA89" s="21" t="str">
        <f t="shared" si="111"/>
        <v/>
      </c>
      <c r="HB89" s="21" t="str">
        <f t="shared" si="111"/>
        <v/>
      </c>
      <c r="HC89" s="21" t="str">
        <f t="shared" si="111"/>
        <v/>
      </c>
      <c r="HD89" s="21" t="str">
        <f t="shared" si="111"/>
        <v/>
      </c>
      <c r="HE89" s="21" t="str">
        <f t="shared" si="111"/>
        <v/>
      </c>
      <c r="HF89" s="21" t="str">
        <f t="shared" si="111"/>
        <v/>
      </c>
      <c r="HG89" s="21" t="str">
        <f t="shared" si="111"/>
        <v/>
      </c>
      <c r="HH89" s="21" t="str">
        <f t="shared" si="111"/>
        <v/>
      </c>
      <c r="HI89" s="21" t="str">
        <f t="shared" si="111"/>
        <v/>
      </c>
      <c r="HJ89" s="21" t="str">
        <f t="shared" si="111"/>
        <v/>
      </c>
      <c r="HK89" s="21" t="str">
        <f t="shared" ref="HK89:JH89" si="112">IF(HK9="","",AVERAGE(HC63:HJ63)+CONFIDENCE(0.05,STDEV(GL63:HJ63),COUNT(GL63:HJ63)))</f>
        <v/>
      </c>
      <c r="HL89" s="21" t="str">
        <f t="shared" si="112"/>
        <v/>
      </c>
      <c r="HM89" s="21" t="str">
        <f t="shared" si="112"/>
        <v/>
      </c>
      <c r="HN89" s="21" t="str">
        <f t="shared" si="112"/>
        <v/>
      </c>
      <c r="HO89" s="21" t="str">
        <f t="shared" si="112"/>
        <v/>
      </c>
      <c r="HP89" s="21" t="str">
        <f t="shared" si="112"/>
        <v/>
      </c>
      <c r="HQ89" s="21" t="str">
        <f t="shared" si="112"/>
        <v/>
      </c>
      <c r="HR89" s="21" t="str">
        <f t="shared" si="112"/>
        <v/>
      </c>
      <c r="HS89" s="21" t="str">
        <f t="shared" si="112"/>
        <v/>
      </c>
      <c r="HT89" s="21" t="str">
        <f t="shared" si="112"/>
        <v/>
      </c>
      <c r="HU89" s="21" t="str">
        <f t="shared" si="112"/>
        <v/>
      </c>
      <c r="HV89" s="21" t="str">
        <f t="shared" si="112"/>
        <v/>
      </c>
      <c r="HW89" s="21" t="str">
        <f t="shared" si="112"/>
        <v/>
      </c>
      <c r="HX89" s="21" t="str">
        <f t="shared" si="112"/>
        <v/>
      </c>
      <c r="HY89" s="21" t="str">
        <f t="shared" si="112"/>
        <v/>
      </c>
      <c r="HZ89" s="21" t="str">
        <f t="shared" si="112"/>
        <v/>
      </c>
      <c r="IA89" s="21" t="str">
        <f t="shared" si="112"/>
        <v/>
      </c>
      <c r="IB89" s="21" t="str">
        <f t="shared" si="112"/>
        <v/>
      </c>
      <c r="IC89" s="21" t="str">
        <f t="shared" si="112"/>
        <v/>
      </c>
      <c r="ID89" s="21" t="str">
        <f t="shared" si="112"/>
        <v/>
      </c>
      <c r="IE89" s="21" t="str">
        <f t="shared" si="112"/>
        <v/>
      </c>
      <c r="IF89" s="21" t="str">
        <f t="shared" si="112"/>
        <v/>
      </c>
      <c r="IG89" s="21" t="str">
        <f t="shared" si="112"/>
        <v/>
      </c>
      <c r="IH89" s="21" t="str">
        <f t="shared" si="112"/>
        <v/>
      </c>
      <c r="II89" s="21" t="str">
        <f t="shared" si="112"/>
        <v/>
      </c>
      <c r="IJ89" s="21" t="str">
        <f t="shared" si="112"/>
        <v/>
      </c>
      <c r="IK89" s="21" t="str">
        <f t="shared" si="112"/>
        <v/>
      </c>
      <c r="IL89" s="21" t="str">
        <f t="shared" si="112"/>
        <v/>
      </c>
      <c r="IM89" s="21" t="str">
        <f t="shared" si="112"/>
        <v/>
      </c>
      <c r="IN89" s="21" t="str">
        <f t="shared" si="112"/>
        <v/>
      </c>
      <c r="IO89" s="21" t="str">
        <f t="shared" si="112"/>
        <v/>
      </c>
      <c r="IP89" s="21" t="str">
        <f t="shared" si="112"/>
        <v/>
      </c>
      <c r="IQ89" s="21" t="str">
        <f t="shared" si="112"/>
        <v/>
      </c>
      <c r="IR89" s="21" t="str">
        <f t="shared" si="112"/>
        <v/>
      </c>
      <c r="IS89" s="21" t="str">
        <f t="shared" si="112"/>
        <v/>
      </c>
      <c r="IT89" s="21" t="str">
        <f t="shared" si="112"/>
        <v/>
      </c>
      <c r="IU89" s="21" t="str">
        <f t="shared" si="112"/>
        <v/>
      </c>
      <c r="IV89" s="21" t="str">
        <f t="shared" si="112"/>
        <v/>
      </c>
      <c r="IW89" s="21" t="str">
        <f t="shared" si="112"/>
        <v/>
      </c>
      <c r="IX89" s="21" t="str">
        <f t="shared" si="112"/>
        <v/>
      </c>
      <c r="IY89" s="21" t="str">
        <f t="shared" si="112"/>
        <v/>
      </c>
      <c r="IZ89" s="21" t="str">
        <f t="shared" si="112"/>
        <v/>
      </c>
      <c r="JA89" s="21" t="str">
        <f t="shared" si="112"/>
        <v/>
      </c>
      <c r="JB89" s="21" t="str">
        <f t="shared" si="112"/>
        <v/>
      </c>
      <c r="JC89" s="21" t="str">
        <f t="shared" si="112"/>
        <v/>
      </c>
      <c r="JD89" s="21" t="str">
        <f t="shared" si="112"/>
        <v/>
      </c>
      <c r="JE89" s="21" t="str">
        <f t="shared" si="112"/>
        <v/>
      </c>
      <c r="JF89" s="21" t="str">
        <f t="shared" si="112"/>
        <v/>
      </c>
      <c r="JG89" s="21" t="str">
        <f t="shared" si="112"/>
        <v/>
      </c>
      <c r="JH89" s="21" t="str">
        <f t="shared" si="112"/>
        <v/>
      </c>
    </row>
    <row r="90" spans="1:336" x14ac:dyDescent="0.25"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>
        <f t="shared" ref="AA90:CL90" ca="1" si="113">IF(AA10="","",AVERAGE(R64:Z64)+CONFIDENCE(0.05,STDEV(B64:Z64),COUNT(B64:Z64)))</f>
        <v>1.882389419275099E-2</v>
      </c>
      <c r="AB90" s="21">
        <f t="shared" ca="1" si="113"/>
        <v>2.0894270576090297E-2</v>
      </c>
      <c r="AC90" s="21">
        <f t="shared" ca="1" si="113"/>
        <v>2.1650677914542803E-2</v>
      </c>
      <c r="AD90" s="21">
        <f t="shared" ca="1" si="113"/>
        <v>2.3651639516361078E-2</v>
      </c>
      <c r="AE90" s="21">
        <f t="shared" ca="1" si="113"/>
        <v>2.5839768107516557E-2</v>
      </c>
      <c r="AF90" s="21">
        <f t="shared" ca="1" si="113"/>
        <v>2.6887906343604173E-2</v>
      </c>
      <c r="AG90" s="21">
        <f t="shared" ca="1" si="113"/>
        <v>2.8604441870426441E-2</v>
      </c>
      <c r="AH90" s="21">
        <f t="shared" ca="1" si="113"/>
        <v>2.9582732814687693E-2</v>
      </c>
      <c r="AI90" s="21">
        <f t="shared" ca="1" si="113"/>
        <v>3.0621919245190005E-2</v>
      </c>
      <c r="AJ90" s="21">
        <f t="shared" ca="1" si="113"/>
        <v>3.0266424468711216E-2</v>
      </c>
      <c r="AK90" s="21">
        <f t="shared" ca="1" si="113"/>
        <v>3.0615734821787269E-2</v>
      </c>
      <c r="AL90" s="21">
        <f t="shared" ca="1" si="113"/>
        <v>3.324668245357236E-2</v>
      </c>
      <c r="AM90" s="21">
        <f t="shared" ca="1" si="113"/>
        <v>3.739079118490668E-2</v>
      </c>
      <c r="AN90" s="21">
        <f t="shared" ca="1" si="113"/>
        <v>4.2891174740418106E-2</v>
      </c>
      <c r="AO90" s="21">
        <f t="shared" ca="1" si="113"/>
        <v>4.7798704487708225E-2</v>
      </c>
      <c r="AP90" s="21">
        <f t="shared" ca="1" si="113"/>
        <v>5.1236531960028801E-2</v>
      </c>
      <c r="AQ90" s="21">
        <f t="shared" ca="1" si="113"/>
        <v>5.5031124890825261E-2</v>
      </c>
      <c r="AR90" s="21">
        <f t="shared" ca="1" si="113"/>
        <v>6.1421992209081525E-2</v>
      </c>
      <c r="AS90" s="21">
        <f t="shared" ca="1" si="113"/>
        <v>7.0675355461610703E-2</v>
      </c>
      <c r="AT90" s="21">
        <f t="shared" ca="1" si="113"/>
        <v>7.6688890068677615E-2</v>
      </c>
      <c r="AU90" s="21">
        <f t="shared" ca="1" si="113"/>
        <v>8.3131886722835141E-2</v>
      </c>
      <c r="AV90" s="21">
        <f t="shared" ca="1" si="113"/>
        <v>9.3032741948639877E-2</v>
      </c>
      <c r="AW90" s="21">
        <f t="shared" ca="1" si="113"/>
        <v>0.10660947748959798</v>
      </c>
      <c r="AX90" s="21">
        <f t="shared" ca="1" si="113"/>
        <v>0.12203062058099906</v>
      </c>
      <c r="AY90" s="21">
        <f t="shared" ca="1" si="113"/>
        <v>0.13893729824845985</v>
      </c>
      <c r="AZ90" s="21">
        <f t="shared" ca="1" si="113"/>
        <v>0.15592959047236521</v>
      </c>
      <c r="BA90" s="21">
        <f t="shared" ca="1" si="113"/>
        <v>0.17041049109601358</v>
      </c>
      <c r="BB90" s="21">
        <f t="shared" ca="1" si="113"/>
        <v>0.18949179294210602</v>
      </c>
      <c r="BC90" s="21">
        <f t="shared" ca="1" si="113"/>
        <v>0.19986095465120426</v>
      </c>
      <c r="BD90" s="21">
        <f t="shared" ca="1" si="113"/>
        <v>0.20222639124566921</v>
      </c>
      <c r="BE90" s="21">
        <f t="shared" ca="1" si="113"/>
        <v>0.20581390559902765</v>
      </c>
      <c r="BF90" s="21">
        <f t="shared" ca="1" si="113"/>
        <v>0.20617448896316731</v>
      </c>
      <c r="BG90" s="21">
        <f t="shared" ca="1" si="113"/>
        <v>0.20141040595855436</v>
      </c>
      <c r="BH90" s="21">
        <f t="shared" ca="1" si="113"/>
        <v>0.19106600910214178</v>
      </c>
      <c r="BI90" s="21">
        <f t="shared" ca="1" si="113"/>
        <v>0.17122606539846166</v>
      </c>
      <c r="BJ90" s="21">
        <f t="shared" ca="1" si="113"/>
        <v>0.15795873372259872</v>
      </c>
      <c r="BK90" s="21">
        <f t="shared" ca="1" si="113"/>
        <v>0.14589836944689352</v>
      </c>
      <c r="BL90" s="21">
        <f t="shared" ca="1" si="113"/>
        <v>0.14237875559857399</v>
      </c>
      <c r="BM90" s="21">
        <f t="shared" ca="1" si="113"/>
        <v>0.15025961968850604</v>
      </c>
      <c r="BN90" s="21">
        <f t="shared" ca="1" si="113"/>
        <v>0.1587595624211911</v>
      </c>
      <c r="BO90" s="21">
        <f t="shared" ca="1" si="113"/>
        <v>0.16120856815132203</v>
      </c>
      <c r="BP90" s="21">
        <f t="shared" ca="1" si="113"/>
        <v>0.16095475647483004</v>
      </c>
      <c r="BQ90" s="21">
        <f t="shared" ca="1" si="113"/>
        <v>0.15706663469439464</v>
      </c>
      <c r="BR90" s="21">
        <f t="shared" ca="1" si="113"/>
        <v>0.15794281831664986</v>
      </c>
      <c r="BS90" s="21">
        <f t="shared" ca="1" si="113"/>
        <v>0.15207171408792688</v>
      </c>
      <c r="BT90" s="21">
        <f t="shared" ca="1" si="113"/>
        <v>0.14437780036550349</v>
      </c>
      <c r="BU90" s="21">
        <f t="shared" ca="1" si="113"/>
        <v>0.13481378308822167</v>
      </c>
      <c r="BV90" s="21">
        <f t="shared" ca="1" si="113"/>
        <v>0.11623496848536052</v>
      </c>
      <c r="BW90" s="21">
        <f t="shared" ca="1" si="113"/>
        <v>9.2358441952274634E-2</v>
      </c>
      <c r="BX90" s="21">
        <f t="shared" ca="1" si="113"/>
        <v>7.5713983504270541E-2</v>
      </c>
      <c r="BY90" s="21">
        <f t="shared" ca="1" si="113"/>
        <v>6.6128938932532105E-2</v>
      </c>
      <c r="BZ90" s="21">
        <f t="shared" ca="1" si="113"/>
        <v>6.6887315003800241E-2</v>
      </c>
      <c r="CA90" s="21">
        <f t="shared" ca="1" si="113"/>
        <v>7.2745364579837268E-2</v>
      </c>
      <c r="CB90" s="21">
        <f t="shared" ca="1" si="113"/>
        <v>7.5439271106114883E-2</v>
      </c>
      <c r="CC90" s="21">
        <f t="shared" ca="1" si="113"/>
        <v>7.1955855952608755E-2</v>
      </c>
      <c r="CD90" s="21">
        <f t="shared" ca="1" si="113"/>
        <v>7.2326964034775565E-2</v>
      </c>
      <c r="CE90" s="21">
        <f t="shared" ca="1" si="113"/>
        <v>7.1391478015116638E-2</v>
      </c>
      <c r="CF90" s="21">
        <f t="shared" ca="1" si="113"/>
        <v>7.224019445611099E-2</v>
      </c>
      <c r="CG90" s="21">
        <f t="shared" ca="1" si="113"/>
        <v>7.0427050806160046E-2</v>
      </c>
      <c r="CH90" s="21">
        <f t="shared" ca="1" si="113"/>
        <v>6.3061032553335436E-2</v>
      </c>
      <c r="CI90" s="21">
        <f t="shared" ca="1" si="113"/>
        <v>5.9559870253030583E-2</v>
      </c>
      <c r="CJ90" s="21">
        <f t="shared" ca="1" si="113"/>
        <v>5.1142112604689142E-2</v>
      </c>
      <c r="CK90" s="21">
        <f t="shared" ca="1" si="113"/>
        <v>4.7149725836791515E-2</v>
      </c>
      <c r="CL90" s="21">
        <f t="shared" ca="1" si="113"/>
        <v>4.3505193510988305E-2</v>
      </c>
      <c r="CM90" s="21">
        <f t="shared" ref="CM90:EX90" ca="1" si="114">IF(CM10="","",AVERAGE(CD64:CL64)+CONFIDENCE(0.05,STDEV(BN64:CL64),COUNT(BN64:CL64)))</f>
        <v>3.4787350991310223E-2</v>
      </c>
      <c r="CN90" s="21">
        <f t="shared" ca="1" si="114"/>
        <v>3.4662814125568875E-2</v>
      </c>
      <c r="CO90" s="21">
        <f t="shared" ca="1" si="114"/>
        <v>3.5954215928015419E-2</v>
      </c>
      <c r="CP90" s="21">
        <f t="shared" ca="1" si="114"/>
        <v>4.1521686905723734E-2</v>
      </c>
      <c r="CQ90" s="21">
        <f t="shared" ca="1" si="114"/>
        <v>4.9343077817850162E-2</v>
      </c>
      <c r="CR90" s="21">
        <f t="shared" ca="1" si="114"/>
        <v>4.586545163852495E-2</v>
      </c>
      <c r="CS90" s="21">
        <f t="shared" ca="1" si="114"/>
        <v>4.6753157197558827E-2</v>
      </c>
      <c r="CT90" s="21">
        <f t="shared" ca="1" si="114"/>
        <v>4.7974983520353454E-2</v>
      </c>
      <c r="CU90" s="21">
        <f t="shared" ca="1" si="114"/>
        <v>5.0875560552100567E-2</v>
      </c>
      <c r="CV90" s="21">
        <f t="shared" ca="1" si="114"/>
        <v>4.8876237285155465E-2</v>
      </c>
      <c r="CW90" s="21">
        <f t="shared" ca="1" si="114"/>
        <v>4.5900130362718443E-2</v>
      </c>
      <c r="CX90" s="21">
        <f t="shared" ca="1" si="114"/>
        <v>3.9865752324916591E-2</v>
      </c>
      <c r="CY90" s="21">
        <f t="shared" ca="1" si="114"/>
        <v>3.4894777920198149E-2</v>
      </c>
      <c r="CZ90" s="21">
        <f t="shared" ca="1" si="114"/>
        <v>3.1170140264604809E-2</v>
      </c>
      <c r="DA90" s="21">
        <f t="shared" ca="1" si="114"/>
        <v>2.9842366556231605E-2</v>
      </c>
      <c r="DB90" s="21">
        <f t="shared" ca="1" si="114"/>
        <v>3.2697581978998996E-2</v>
      </c>
      <c r="DC90" s="21">
        <f t="shared" ca="1" si="114"/>
        <v>3.3712021108918216E-2</v>
      </c>
      <c r="DD90" s="21">
        <f t="shared" ca="1" si="114"/>
        <v>3.4475611916032198E-2</v>
      </c>
      <c r="DE90" s="21">
        <f t="shared" ca="1" si="114"/>
        <v>4.2272241540340677E-2</v>
      </c>
      <c r="DF90" s="21">
        <f t="shared" ca="1" si="114"/>
        <v>4.829393168871414E-2</v>
      </c>
      <c r="DG90" s="21">
        <f t="shared" ca="1" si="114"/>
        <v>4.8605524366187008E-2</v>
      </c>
      <c r="DH90" s="21">
        <f t="shared" ca="1" si="114"/>
        <v>4.6709156974771592E-2</v>
      </c>
      <c r="DI90" s="21">
        <f t="shared" ca="1" si="114"/>
        <v>4.310009128851626E-2</v>
      </c>
      <c r="DJ90" s="21">
        <f t="shared" ca="1" si="114"/>
        <v>4.5350854061945334E-2</v>
      </c>
      <c r="DK90" s="21">
        <f t="shared" ca="1" si="114"/>
        <v>4.723680222066886E-2</v>
      </c>
      <c r="DL90" s="21">
        <f t="shared" ca="1" si="114"/>
        <v>4.9589689096008506E-2</v>
      </c>
      <c r="DM90" s="21">
        <f t="shared" ca="1" si="114"/>
        <v>4.9198369106481586E-2</v>
      </c>
      <c r="DN90" s="21">
        <f t="shared" ca="1" si="114"/>
        <v>4.5015322312894984E-2</v>
      </c>
      <c r="DO90" s="21">
        <f t="shared" ca="1" si="114"/>
        <v>3.9620541673864119E-2</v>
      </c>
      <c r="DP90" s="21">
        <f t="shared" ca="1" si="114"/>
        <v>4.1451091547679182E-2</v>
      </c>
      <c r="DQ90" s="21">
        <f t="shared" ca="1" si="114"/>
        <v>4.4121093935794359E-2</v>
      </c>
      <c r="DR90" s="21">
        <f t="shared" ca="1" si="114"/>
        <v>4.3808267606059534E-2</v>
      </c>
      <c r="DS90" s="21">
        <f t="shared" ca="1" si="114"/>
        <v>4.3461831827283672E-2</v>
      </c>
      <c r="DT90" s="21">
        <f t="shared" ca="1" si="114"/>
        <v>3.8734175927439413E-2</v>
      </c>
      <c r="DU90" s="21">
        <f t="shared" ca="1" si="114"/>
        <v>3.7455361565586556E-2</v>
      </c>
      <c r="DV90" s="21">
        <f t="shared" ca="1" si="114"/>
        <v>3.4601986749356675E-2</v>
      </c>
      <c r="DW90" s="21">
        <f t="shared" ca="1" si="114"/>
        <v>3.4213495950924419E-2</v>
      </c>
      <c r="DX90" s="21">
        <f t="shared" ca="1" si="114"/>
        <v>3.3045357169397258E-2</v>
      </c>
      <c r="DY90" s="21">
        <f t="shared" ca="1" si="114"/>
        <v>2.9711346785941187E-2</v>
      </c>
      <c r="DZ90" s="21">
        <f t="shared" ca="1" si="114"/>
        <v>2.9707286316631984E-2</v>
      </c>
      <c r="EA90" s="21">
        <f t="shared" ca="1" si="114"/>
        <v>3.4186625608153019E-2</v>
      </c>
      <c r="EB90" s="21">
        <f t="shared" ca="1" si="114"/>
        <v>3.6308786587417249E-2</v>
      </c>
      <c r="EC90" s="21">
        <f t="shared" ca="1" si="114"/>
        <v>4.0256362630686333E-2</v>
      </c>
      <c r="ED90" s="21">
        <f t="shared" ca="1" si="114"/>
        <v>3.8653942653059561E-2</v>
      </c>
      <c r="EE90" s="21">
        <f t="shared" ca="1" si="114"/>
        <v>3.9504891109156962E-2</v>
      </c>
      <c r="EF90" s="21">
        <f t="shared" ca="1" si="114"/>
        <v>3.6544949324650536E-2</v>
      </c>
      <c r="EG90" s="21">
        <f t="shared" ca="1" si="114"/>
        <v>3.7213479490244616E-2</v>
      </c>
      <c r="EH90" s="21">
        <f t="shared" ca="1" si="114"/>
        <v>3.88065665313767E-2</v>
      </c>
      <c r="EI90" s="21">
        <f t="shared" ca="1" si="114"/>
        <v>3.6711311439652859E-2</v>
      </c>
      <c r="EJ90" s="21">
        <f t="shared" ca="1" si="114"/>
        <v>3.278413223932572E-2</v>
      </c>
      <c r="EK90" s="21">
        <f t="shared" ca="1" si="114"/>
        <v>2.9336077838329526E-2</v>
      </c>
      <c r="EL90" s="21">
        <f t="shared" ca="1" si="114"/>
        <v>2.482606117976148E-2</v>
      </c>
      <c r="EM90" s="21">
        <f t="shared" ca="1" si="114"/>
        <v>2.3495318583269503E-2</v>
      </c>
      <c r="EN90" s="21">
        <f t="shared" ca="1" si="114"/>
        <v>2.5209889577561883E-2</v>
      </c>
      <c r="EO90" s="21">
        <f t="shared" ca="1" si="114"/>
        <v>3.0657273473721328E-2</v>
      </c>
      <c r="EP90" s="21">
        <f t="shared" ca="1" si="114"/>
        <v>2.9866545760193441E-2</v>
      </c>
      <c r="EQ90" s="21">
        <f t="shared" ca="1" si="114"/>
        <v>2.9703772477331469E-2</v>
      </c>
      <c r="ER90" s="21">
        <f t="shared" ca="1" si="114"/>
        <v>2.7471564427790713E-2</v>
      </c>
      <c r="ES90" s="21">
        <f t="shared" ca="1" si="114"/>
        <v>2.6680521895326777E-2</v>
      </c>
      <c r="ET90" s="21">
        <f t="shared" ca="1" si="114"/>
        <v>2.5001655581485753E-2</v>
      </c>
      <c r="EU90" s="21">
        <f t="shared" ca="1" si="114"/>
        <v>2.7096008630929397E-2</v>
      </c>
      <c r="EV90" s="21">
        <f t="shared" ca="1" si="114"/>
        <v>2.8171735186318343E-2</v>
      </c>
      <c r="EW90" s="21">
        <f t="shared" ca="1" si="114"/>
        <v>2.476102600666228E-2</v>
      </c>
      <c r="EX90" s="21">
        <f t="shared" ca="1" si="114"/>
        <v>1.959888708836853E-2</v>
      </c>
      <c r="EY90" s="21">
        <f t="shared" ref="EY90:HJ90" ca="1" si="115">IF(EY10="","",AVERAGE(EP64:EX64)+CONFIDENCE(0.05,STDEV(DZ64:EX64),COUNT(DZ64:EX64)))</f>
        <v>1.9753168429470822E-2</v>
      </c>
      <c r="EZ90" s="21">
        <f t="shared" ca="1" si="115"/>
        <v>2.0890015234269865E-2</v>
      </c>
      <c r="FA90" s="21">
        <f t="shared" ca="1" si="115"/>
        <v>2.0006682175608765E-2</v>
      </c>
      <c r="FB90" s="21">
        <f t="shared" ca="1" si="115"/>
        <v>2.26792799421974E-2</v>
      </c>
      <c r="FC90" s="21">
        <f t="shared" ca="1" si="115"/>
        <v>2.4722539230467116E-2</v>
      </c>
      <c r="FD90" s="21">
        <f t="shared" ca="1" si="115"/>
        <v>2.5267372469276211E-2</v>
      </c>
      <c r="FE90" s="21">
        <f t="shared" ca="1" si="115"/>
        <v>2.6083651074926634E-2</v>
      </c>
      <c r="FF90" s="21">
        <f t="shared" ca="1" si="115"/>
        <v>3.0246030223182705E-2</v>
      </c>
      <c r="FG90" s="21">
        <f t="shared" ca="1" si="115"/>
        <v>3.887759207227022E-2</v>
      </c>
      <c r="FH90" s="21">
        <f t="shared" ca="1" si="115"/>
        <v>4.1835034626472895E-2</v>
      </c>
      <c r="FI90" s="21">
        <f t="shared" ca="1" si="115"/>
        <v>3.9766831391916488E-2</v>
      </c>
      <c r="FJ90" s="21">
        <f t="shared" ca="1" si="115"/>
        <v>4.2941927042348144E-2</v>
      </c>
      <c r="FK90" s="21">
        <f t="shared" ca="1" si="115"/>
        <v>4.4670569368107489E-2</v>
      </c>
      <c r="FL90" s="21">
        <f t="shared" ca="1" si="115"/>
        <v>4.4819054938344614E-2</v>
      </c>
      <c r="FM90" s="21">
        <f t="shared" ca="1" si="115"/>
        <v>4.2496434571176883E-2</v>
      </c>
      <c r="FN90" s="21">
        <f t="shared" ca="1" si="115"/>
        <v>3.9813584446200811E-2</v>
      </c>
      <c r="FO90" s="21">
        <f t="shared" ca="1" si="115"/>
        <v>3.7026500350595251E-2</v>
      </c>
      <c r="FP90" s="21">
        <f t="shared" ca="1" si="115"/>
        <v>3.2075228608100657E-2</v>
      </c>
      <c r="FQ90" s="21">
        <f t="shared" ca="1" si="115"/>
        <v>2.9309059141063305E-2</v>
      </c>
      <c r="FR90" s="21">
        <f t="shared" ca="1" si="115"/>
        <v>2.9239459853519858E-2</v>
      </c>
      <c r="FS90" s="21">
        <f t="shared" ca="1" si="115"/>
        <v>2.5581067302278528E-2</v>
      </c>
      <c r="FT90" s="21">
        <f t="shared" ca="1" si="115"/>
        <v>2.2012542742653476E-2</v>
      </c>
      <c r="FU90" s="21">
        <f t="shared" ca="1" si="115"/>
        <v>2.1125248686144887E-2</v>
      </c>
      <c r="FV90" s="21">
        <f t="shared" ca="1" si="115"/>
        <v>2.2665863879217582E-2</v>
      </c>
      <c r="FW90" s="21">
        <f t="shared" ca="1" si="115"/>
        <v>2.4563485188928286E-2</v>
      </c>
      <c r="FX90" s="21">
        <f t="shared" ca="1" si="115"/>
        <v>2.5185545316973652E-2</v>
      </c>
      <c r="FY90" s="21">
        <f t="shared" ca="1" si="115"/>
        <v>2.4319208794502382E-2</v>
      </c>
      <c r="FZ90" s="21">
        <f t="shared" ca="1" si="115"/>
        <v>2.613782897445421E-2</v>
      </c>
      <c r="GA90" s="21">
        <f t="shared" ca="1" si="115"/>
        <v>2.7656005092017592E-2</v>
      </c>
      <c r="GB90" s="21">
        <f t="shared" ca="1" si="115"/>
        <v>3.0089628113428218E-2</v>
      </c>
      <c r="GC90" s="21">
        <f t="shared" ca="1" si="115"/>
        <v>3.2353462595343593E-2</v>
      </c>
      <c r="GD90" s="21">
        <f t="shared" ca="1" si="115"/>
        <v>3.4519677286747597E-2</v>
      </c>
      <c r="GE90" s="21">
        <f t="shared" ca="1" si="115"/>
        <v>3.5821542402908288E-2</v>
      </c>
      <c r="GF90" s="21">
        <f t="shared" ca="1" si="115"/>
        <v>3.5702694133554945E-2</v>
      </c>
      <c r="GG90" s="21">
        <f t="shared" ca="1" si="115"/>
        <v>3.4149866963559095E-2</v>
      </c>
      <c r="GH90" s="21">
        <f t="shared" ca="1" si="115"/>
        <v>4.2843174736341416E-2</v>
      </c>
      <c r="GI90" s="21">
        <f t="shared" ca="1" si="115"/>
        <v>6.3282538588132237E-2</v>
      </c>
      <c r="GJ90" s="21">
        <f t="shared" ca="1" si="115"/>
        <v>8.9064102347229543E-2</v>
      </c>
      <c r="GK90" s="21">
        <f t="shared" ca="1" si="115"/>
        <v>0.11159736160467726</v>
      </c>
      <c r="GL90" s="21">
        <f t="shared" ca="1" si="115"/>
        <v>0.1320379150714836</v>
      </c>
      <c r="GM90" s="21">
        <f t="shared" ca="1" si="115"/>
        <v>0.15129853420092015</v>
      </c>
      <c r="GN90" s="21">
        <f t="shared" ca="1" si="115"/>
        <v>0.16898659816916045</v>
      </c>
      <c r="GO90" s="21">
        <f t="shared" ca="1" si="115"/>
        <v>0.18803298633531554</v>
      </c>
      <c r="GP90" s="21">
        <f t="shared" ca="1" si="115"/>
        <v>0.18993238163153436</v>
      </c>
      <c r="GQ90" s="21">
        <f t="shared" ca="1" si="115"/>
        <v>0.21410402106427354</v>
      </c>
      <c r="GR90" s="21">
        <f t="shared" ca="1" si="115"/>
        <v>0.21457335901390778</v>
      </c>
      <c r="GS90" s="21">
        <f t="shared" ca="1" si="115"/>
        <v>0.21200280359425389</v>
      </c>
      <c r="GT90" s="21">
        <f t="shared" ca="1" si="115"/>
        <v>0.21062456231160348</v>
      </c>
      <c r="GU90" s="21">
        <f t="shared" ca="1" si="115"/>
        <v>0.20807999986206402</v>
      </c>
      <c r="GV90" s="21">
        <f t="shared" ca="1" si="115"/>
        <v>0.20496343650452203</v>
      </c>
      <c r="GW90" s="21">
        <f t="shared" ca="1" si="115"/>
        <v>0.20187648948233095</v>
      </c>
      <c r="GX90" s="21">
        <f t="shared" ca="1" si="115"/>
        <v>0.19207559859298418</v>
      </c>
      <c r="GY90" s="21">
        <f t="shared" ca="1" si="115"/>
        <v>0.26043014121589481</v>
      </c>
      <c r="GZ90" s="21">
        <f t="shared" ca="1" si="115"/>
        <v>0.21414549378625294</v>
      </c>
      <c r="HA90" s="21" t="str">
        <f t="shared" si="115"/>
        <v/>
      </c>
      <c r="HB90" s="21" t="str">
        <f t="shared" si="115"/>
        <v/>
      </c>
      <c r="HC90" s="21" t="str">
        <f t="shared" si="115"/>
        <v/>
      </c>
      <c r="HD90" s="21" t="str">
        <f t="shared" si="115"/>
        <v/>
      </c>
      <c r="HE90" s="21" t="str">
        <f t="shared" si="115"/>
        <v/>
      </c>
      <c r="HF90" s="21" t="str">
        <f t="shared" si="115"/>
        <v/>
      </c>
      <c r="HG90" s="21" t="str">
        <f t="shared" si="115"/>
        <v/>
      </c>
      <c r="HH90" s="21" t="str">
        <f t="shared" si="115"/>
        <v/>
      </c>
      <c r="HI90" s="21" t="str">
        <f t="shared" si="115"/>
        <v/>
      </c>
      <c r="HJ90" s="21" t="str">
        <f t="shared" si="115"/>
        <v/>
      </c>
      <c r="HK90" s="21" t="str">
        <f t="shared" ref="HK90:JH90" si="116">IF(HK10="","",AVERAGE(HB64:HJ64)+CONFIDENCE(0.05,STDEV(GL64:HJ64),COUNT(GL64:HJ64)))</f>
        <v/>
      </c>
      <c r="HL90" s="21" t="str">
        <f t="shared" si="116"/>
        <v/>
      </c>
      <c r="HM90" s="21" t="str">
        <f t="shared" si="116"/>
        <v/>
      </c>
      <c r="HN90" s="21" t="str">
        <f t="shared" si="116"/>
        <v/>
      </c>
      <c r="HO90" s="21" t="str">
        <f t="shared" si="116"/>
        <v/>
      </c>
      <c r="HP90" s="21" t="str">
        <f t="shared" si="116"/>
        <v/>
      </c>
      <c r="HQ90" s="21" t="str">
        <f t="shared" si="116"/>
        <v/>
      </c>
      <c r="HR90" s="21" t="str">
        <f t="shared" si="116"/>
        <v/>
      </c>
      <c r="HS90" s="21" t="str">
        <f t="shared" si="116"/>
        <v/>
      </c>
      <c r="HT90" s="21" t="str">
        <f t="shared" si="116"/>
        <v/>
      </c>
      <c r="HU90" s="21" t="str">
        <f t="shared" si="116"/>
        <v/>
      </c>
      <c r="HV90" s="21" t="str">
        <f t="shared" si="116"/>
        <v/>
      </c>
      <c r="HW90" s="21" t="str">
        <f t="shared" si="116"/>
        <v/>
      </c>
      <c r="HX90" s="21" t="str">
        <f t="shared" si="116"/>
        <v/>
      </c>
      <c r="HY90" s="21" t="str">
        <f t="shared" si="116"/>
        <v/>
      </c>
      <c r="HZ90" s="21" t="str">
        <f t="shared" si="116"/>
        <v/>
      </c>
      <c r="IA90" s="21" t="str">
        <f t="shared" si="116"/>
        <v/>
      </c>
      <c r="IB90" s="21" t="str">
        <f t="shared" si="116"/>
        <v/>
      </c>
      <c r="IC90" s="21" t="str">
        <f t="shared" si="116"/>
        <v/>
      </c>
      <c r="ID90" s="21" t="str">
        <f t="shared" si="116"/>
        <v/>
      </c>
      <c r="IE90" s="21" t="str">
        <f t="shared" si="116"/>
        <v/>
      </c>
      <c r="IF90" s="21" t="str">
        <f t="shared" si="116"/>
        <v/>
      </c>
      <c r="IG90" s="21" t="str">
        <f t="shared" si="116"/>
        <v/>
      </c>
      <c r="IH90" s="21" t="str">
        <f t="shared" si="116"/>
        <v/>
      </c>
      <c r="II90" s="21" t="str">
        <f t="shared" si="116"/>
        <v/>
      </c>
      <c r="IJ90" s="21" t="str">
        <f t="shared" si="116"/>
        <v/>
      </c>
      <c r="IK90" s="21" t="str">
        <f t="shared" si="116"/>
        <v/>
      </c>
      <c r="IL90" s="21" t="str">
        <f t="shared" si="116"/>
        <v/>
      </c>
      <c r="IM90" s="21" t="str">
        <f t="shared" si="116"/>
        <v/>
      </c>
      <c r="IN90" s="21" t="str">
        <f t="shared" si="116"/>
        <v/>
      </c>
      <c r="IO90" s="21" t="str">
        <f t="shared" si="116"/>
        <v/>
      </c>
      <c r="IP90" s="21" t="str">
        <f t="shared" si="116"/>
        <v/>
      </c>
      <c r="IQ90" s="21" t="str">
        <f t="shared" si="116"/>
        <v/>
      </c>
      <c r="IR90" s="21" t="str">
        <f t="shared" si="116"/>
        <v/>
      </c>
      <c r="IS90" s="21" t="str">
        <f t="shared" si="116"/>
        <v/>
      </c>
      <c r="IT90" s="21" t="str">
        <f t="shared" si="116"/>
        <v/>
      </c>
      <c r="IU90" s="21" t="str">
        <f t="shared" si="116"/>
        <v/>
      </c>
      <c r="IV90" s="21" t="str">
        <f t="shared" si="116"/>
        <v/>
      </c>
      <c r="IW90" s="21" t="str">
        <f t="shared" si="116"/>
        <v/>
      </c>
      <c r="IX90" s="21" t="str">
        <f t="shared" si="116"/>
        <v/>
      </c>
      <c r="IY90" s="21" t="str">
        <f t="shared" si="116"/>
        <v/>
      </c>
      <c r="IZ90" s="21" t="str">
        <f t="shared" si="116"/>
        <v/>
      </c>
      <c r="JA90" s="21" t="str">
        <f t="shared" si="116"/>
        <v/>
      </c>
      <c r="JB90" s="21" t="str">
        <f t="shared" si="116"/>
        <v/>
      </c>
      <c r="JC90" s="21" t="str">
        <f t="shared" si="116"/>
        <v/>
      </c>
      <c r="JD90" s="21" t="str">
        <f t="shared" si="116"/>
        <v/>
      </c>
      <c r="JE90" s="21" t="str">
        <f t="shared" si="116"/>
        <v/>
      </c>
      <c r="JF90" s="21" t="str">
        <f t="shared" si="116"/>
        <v/>
      </c>
      <c r="JG90" s="21" t="str">
        <f t="shared" si="116"/>
        <v/>
      </c>
      <c r="JH90" s="21" t="str">
        <f t="shared" si="116"/>
        <v/>
      </c>
    </row>
    <row r="91" spans="1:336" x14ac:dyDescent="0.25"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>
        <f t="shared" ref="AA91:CL91" ca="1" si="117">IF(AA11="","",AVERAGE(Q65:Z65)+CONFIDENCE(0.05,STDEV(B65:Z65),COUNT(B65:Z65)))</f>
        <v>2.1286616663478791E-2</v>
      </c>
      <c r="AB91" s="21">
        <f t="shared" ca="1" si="117"/>
        <v>2.3018718221729718E-2</v>
      </c>
      <c r="AC91" s="21">
        <f t="shared" ca="1" si="117"/>
        <v>2.5910881115518633E-2</v>
      </c>
      <c r="AD91" s="21">
        <f t="shared" ca="1" si="117"/>
        <v>2.8188898215007304E-2</v>
      </c>
      <c r="AE91" s="21">
        <f t="shared" ca="1" si="117"/>
        <v>2.7898658684342492E-2</v>
      </c>
      <c r="AF91" s="21">
        <f t="shared" ca="1" si="117"/>
        <v>3.0805024842187674E-2</v>
      </c>
      <c r="AG91" s="21">
        <f t="shared" ca="1" si="117"/>
        <v>3.0892864789831866E-2</v>
      </c>
      <c r="AH91" s="21">
        <f t="shared" ca="1" si="117"/>
        <v>3.1070609390862699E-2</v>
      </c>
      <c r="AI91" s="21">
        <f t="shared" ca="1" si="117"/>
        <v>3.0811603561385431E-2</v>
      </c>
      <c r="AJ91" s="21">
        <f t="shared" ca="1" si="117"/>
        <v>3.0561362989932672E-2</v>
      </c>
      <c r="AK91" s="21">
        <f t="shared" ca="1" si="117"/>
        <v>3.2333489437389257E-2</v>
      </c>
      <c r="AL91" s="21">
        <f t="shared" ca="1" si="117"/>
        <v>3.7085016451462394E-2</v>
      </c>
      <c r="AM91" s="21">
        <f t="shared" ca="1" si="117"/>
        <v>4.0651999581840674E-2</v>
      </c>
      <c r="AN91" s="21">
        <f t="shared" ca="1" si="117"/>
        <v>4.3811637550031424E-2</v>
      </c>
      <c r="AO91" s="21">
        <f t="shared" ca="1" si="117"/>
        <v>4.8542683638810376E-2</v>
      </c>
      <c r="AP91" s="21">
        <f t="shared" ca="1" si="117"/>
        <v>5.3269327437364594E-2</v>
      </c>
      <c r="AQ91" s="21">
        <f t="shared" ca="1" si="117"/>
        <v>6.0618468215013731E-2</v>
      </c>
      <c r="AR91" s="21">
        <f t="shared" ca="1" si="117"/>
        <v>6.8686604014711924E-2</v>
      </c>
      <c r="AS91" s="21">
        <f t="shared" ca="1" si="117"/>
        <v>7.7075780004627378E-2</v>
      </c>
      <c r="AT91" s="21">
        <f t="shared" ca="1" si="117"/>
        <v>8.8417248160103837E-2</v>
      </c>
      <c r="AU91" s="21">
        <f t="shared" ca="1" si="117"/>
        <v>9.9228802293019391E-2</v>
      </c>
      <c r="AV91" s="21">
        <f t="shared" ca="1" si="117"/>
        <v>0.11161653333947984</v>
      </c>
      <c r="AW91" s="21">
        <f t="shared" ca="1" si="117"/>
        <v>0.12575591395606819</v>
      </c>
      <c r="AX91" s="21">
        <f t="shared" ca="1" si="117"/>
        <v>0.14137183917661864</v>
      </c>
      <c r="AY91" s="21">
        <f t="shared" ca="1" si="117"/>
        <v>0.15870235736599481</v>
      </c>
      <c r="AZ91" s="21">
        <f t="shared" ca="1" si="117"/>
        <v>0.17793359628886593</v>
      </c>
      <c r="BA91" s="21">
        <f t="shared" ca="1" si="117"/>
        <v>0.1929179858119287</v>
      </c>
      <c r="BB91" s="21">
        <f t="shared" ca="1" si="117"/>
        <v>0.21210918074131987</v>
      </c>
      <c r="BC91" s="21">
        <f t="shared" ca="1" si="117"/>
        <v>0.22196093082417692</v>
      </c>
      <c r="BD91" s="21">
        <f t="shared" ca="1" si="117"/>
        <v>0.22473661827259361</v>
      </c>
      <c r="BE91" s="21">
        <f t="shared" ca="1" si="117"/>
        <v>0.23077191090044333</v>
      </c>
      <c r="BF91" s="21">
        <f t="shared" ca="1" si="117"/>
        <v>0.23149618073803929</v>
      </c>
      <c r="BG91" s="21">
        <f t="shared" ca="1" si="117"/>
        <v>0.22535154792709688</v>
      </c>
      <c r="BH91" s="21">
        <f t="shared" ca="1" si="117"/>
        <v>0.21204334193312574</v>
      </c>
      <c r="BI91" s="21">
        <f t="shared" ca="1" si="117"/>
        <v>0.1910687130795346</v>
      </c>
      <c r="BJ91" s="21">
        <f t="shared" ca="1" si="117"/>
        <v>0.17619621913409603</v>
      </c>
      <c r="BK91" s="21">
        <f t="shared" ca="1" si="117"/>
        <v>0.16750300601071055</v>
      </c>
      <c r="BL91" s="21">
        <f t="shared" ca="1" si="117"/>
        <v>0.15695982658498175</v>
      </c>
      <c r="BM91" s="21">
        <f t="shared" ca="1" si="117"/>
        <v>0.16147153564473421</v>
      </c>
      <c r="BN91" s="21">
        <f t="shared" ca="1" si="117"/>
        <v>0.17470412872512303</v>
      </c>
      <c r="BO91" s="21">
        <f t="shared" ca="1" si="117"/>
        <v>0.17646357121140965</v>
      </c>
      <c r="BP91" s="21">
        <f t="shared" ca="1" si="117"/>
        <v>0.17342915658831584</v>
      </c>
      <c r="BQ91" s="21">
        <f t="shared" ca="1" si="117"/>
        <v>0.16786493078358683</v>
      </c>
      <c r="BR91" s="21">
        <f t="shared" ca="1" si="117"/>
        <v>0.16305480929492414</v>
      </c>
      <c r="BS91" s="21">
        <f t="shared" ca="1" si="117"/>
        <v>0.16536617144825622</v>
      </c>
      <c r="BT91" s="21">
        <f t="shared" ca="1" si="117"/>
        <v>0.16328205588277353</v>
      </c>
      <c r="BU91" s="21">
        <f t="shared" ca="1" si="117"/>
        <v>0.15645602811726997</v>
      </c>
      <c r="BV91" s="21">
        <f t="shared" ca="1" si="117"/>
        <v>0.14296888959020651</v>
      </c>
      <c r="BW91" s="21">
        <f t="shared" ca="1" si="117"/>
        <v>0.12269264635261237</v>
      </c>
      <c r="BX91" s="21">
        <f t="shared" ca="1" si="117"/>
        <v>0.10073109487315428</v>
      </c>
      <c r="BY91" s="21">
        <f t="shared" ca="1" si="117"/>
        <v>8.6599660276420659E-2</v>
      </c>
      <c r="BZ91" s="21">
        <f t="shared" ca="1" si="117"/>
        <v>8.0918291840710393E-2</v>
      </c>
      <c r="CA91" s="21">
        <f t="shared" ca="1" si="117"/>
        <v>7.971010643097777E-2</v>
      </c>
      <c r="CB91" s="21">
        <f t="shared" ca="1" si="117"/>
        <v>8.149558183891227E-2</v>
      </c>
      <c r="CC91" s="21">
        <f t="shared" ca="1" si="117"/>
        <v>8.3607152019821995E-2</v>
      </c>
      <c r="CD91" s="21">
        <f t="shared" ca="1" si="117"/>
        <v>8.1028096487581122E-2</v>
      </c>
      <c r="CE91" s="21">
        <f t="shared" ca="1" si="117"/>
        <v>7.5456831431157889E-2</v>
      </c>
      <c r="CF91" s="21">
        <f t="shared" ca="1" si="117"/>
        <v>7.7707145904934827E-2</v>
      </c>
      <c r="CG91" s="21">
        <f t="shared" ca="1" si="117"/>
        <v>8.0130812610261393E-2</v>
      </c>
      <c r="CH91" s="21">
        <f t="shared" ca="1" si="117"/>
        <v>7.5409452934502158E-2</v>
      </c>
      <c r="CI91" s="21">
        <f t="shared" ca="1" si="117"/>
        <v>7.4282756189764557E-2</v>
      </c>
      <c r="CJ91" s="21">
        <f t="shared" ca="1" si="117"/>
        <v>6.5556825678155212E-2</v>
      </c>
      <c r="CK91" s="21">
        <f t="shared" ca="1" si="117"/>
        <v>5.719929225264303E-2</v>
      </c>
      <c r="CL91" s="21">
        <f t="shared" ca="1" si="117"/>
        <v>5.2697075309042468E-2</v>
      </c>
      <c r="CM91" s="21">
        <f t="shared" ref="CM91:EX91" ca="1" si="118">IF(CM11="","",AVERAGE(CC65:CL65)+CONFIDENCE(0.05,STDEV(BN65:CL65),COUNT(BN65:CL65)))</f>
        <v>4.8022047262566925E-2</v>
      </c>
      <c r="CN91" s="21">
        <f t="shared" ca="1" si="118"/>
        <v>4.3609201436861943E-2</v>
      </c>
      <c r="CO91" s="21">
        <f t="shared" ca="1" si="118"/>
        <v>4.6594552321340556E-2</v>
      </c>
      <c r="CP91" s="21">
        <f t="shared" ca="1" si="118"/>
        <v>5.2583088491380672E-2</v>
      </c>
      <c r="CQ91" s="21">
        <f t="shared" ca="1" si="118"/>
        <v>5.7837558913958732E-2</v>
      </c>
      <c r="CR91" s="21">
        <f t="shared" ca="1" si="118"/>
        <v>5.9055103530688879E-2</v>
      </c>
      <c r="CS91" s="21">
        <f t="shared" ca="1" si="118"/>
        <v>5.3101261868126415E-2</v>
      </c>
      <c r="CT91" s="21">
        <f t="shared" ca="1" si="118"/>
        <v>5.178968664905189E-2</v>
      </c>
      <c r="CU91" s="21">
        <f t="shared" ca="1" si="118"/>
        <v>5.456353859008925E-2</v>
      </c>
      <c r="CV91" s="21">
        <f t="shared" ca="1" si="118"/>
        <v>5.3511962949433368E-2</v>
      </c>
      <c r="CW91" s="21">
        <f t="shared" ca="1" si="118"/>
        <v>5.1930276766902699E-2</v>
      </c>
      <c r="CX91" s="21">
        <f t="shared" ca="1" si="118"/>
        <v>4.898228575359985E-2</v>
      </c>
      <c r="CY91" s="21">
        <f t="shared" ca="1" si="118"/>
        <v>4.5033632588555729E-2</v>
      </c>
      <c r="CZ91" s="21">
        <f t="shared" ca="1" si="118"/>
        <v>4.0525825594384342E-2</v>
      </c>
      <c r="DA91" s="21">
        <f t="shared" ca="1" si="118"/>
        <v>3.4210081611857616E-2</v>
      </c>
      <c r="DB91" s="21">
        <f t="shared" ca="1" si="118"/>
        <v>3.6768139825785764E-2</v>
      </c>
      <c r="DC91" s="21">
        <f t="shared" ca="1" si="118"/>
        <v>3.7926113740037494E-2</v>
      </c>
      <c r="DD91" s="21">
        <f t="shared" ca="1" si="118"/>
        <v>4.160577592246785E-2</v>
      </c>
      <c r="DE91" s="21">
        <f t="shared" ca="1" si="118"/>
        <v>4.6506673748442084E-2</v>
      </c>
      <c r="DF91" s="21">
        <f t="shared" ca="1" si="118"/>
        <v>5.4545565355379529E-2</v>
      </c>
      <c r="DG91" s="21">
        <f t="shared" ca="1" si="118"/>
        <v>5.3635199348524551E-2</v>
      </c>
      <c r="DH91" s="21">
        <f t="shared" ca="1" si="118"/>
        <v>5.2069105539814184E-2</v>
      </c>
      <c r="DI91" s="21">
        <f t="shared" ca="1" si="118"/>
        <v>5.0670688400792668E-2</v>
      </c>
      <c r="DJ91" s="21">
        <f t="shared" ca="1" si="118"/>
        <v>5.1156596717438524E-2</v>
      </c>
      <c r="DK91" s="21">
        <f t="shared" ca="1" si="118"/>
        <v>5.4747729728152464E-2</v>
      </c>
      <c r="DL91" s="21">
        <f t="shared" ca="1" si="118"/>
        <v>5.6082316049766989E-2</v>
      </c>
      <c r="DM91" s="21">
        <f t="shared" ca="1" si="118"/>
        <v>5.6647753220449182E-2</v>
      </c>
      <c r="DN91" s="21">
        <f t="shared" ca="1" si="118"/>
        <v>5.5237809548662219E-2</v>
      </c>
      <c r="DO91" s="21">
        <f t="shared" ca="1" si="118"/>
        <v>5.0409034076503129E-2</v>
      </c>
      <c r="DP91" s="21">
        <f t="shared" ca="1" si="118"/>
        <v>4.6263896759534295E-2</v>
      </c>
      <c r="DQ91" s="21">
        <f t="shared" ca="1" si="118"/>
        <v>4.8515954028600344E-2</v>
      </c>
      <c r="DR91" s="21">
        <f t="shared" ca="1" si="118"/>
        <v>4.7190022112716022E-2</v>
      </c>
      <c r="DS91" s="21">
        <f t="shared" ca="1" si="118"/>
        <v>4.7977964740173559E-2</v>
      </c>
      <c r="DT91" s="21">
        <f t="shared" ca="1" si="118"/>
        <v>4.4529804798367711E-2</v>
      </c>
      <c r="DU91" s="21">
        <f t="shared" ca="1" si="118"/>
        <v>4.0790900535610561E-2</v>
      </c>
      <c r="DV91" s="21">
        <f t="shared" ca="1" si="118"/>
        <v>3.6167231178496101E-2</v>
      </c>
      <c r="DW91" s="21">
        <f t="shared" ca="1" si="118"/>
        <v>3.5459033127697499E-2</v>
      </c>
      <c r="DX91" s="21">
        <f t="shared" ca="1" si="118"/>
        <v>3.3601394337623748E-2</v>
      </c>
      <c r="DY91" s="21">
        <f t="shared" ca="1" si="118"/>
        <v>3.0431511078349759E-2</v>
      </c>
      <c r="DZ91" s="21">
        <f t="shared" ca="1" si="118"/>
        <v>3.2340897276165299E-2</v>
      </c>
      <c r="EA91" s="21">
        <f t="shared" ca="1" si="118"/>
        <v>3.3358092857308168E-2</v>
      </c>
      <c r="EB91" s="21">
        <f t="shared" ca="1" si="118"/>
        <v>3.7779456822730415E-2</v>
      </c>
      <c r="EC91" s="21">
        <f t="shared" ca="1" si="118"/>
        <v>3.9435928611519636E-2</v>
      </c>
      <c r="ED91" s="21">
        <f t="shared" ca="1" si="118"/>
        <v>3.9556262685140897E-2</v>
      </c>
      <c r="EE91" s="21">
        <f t="shared" ca="1" si="118"/>
        <v>3.7828211386181927E-2</v>
      </c>
      <c r="EF91" s="21">
        <f t="shared" ca="1" si="118"/>
        <v>3.8361793022246557E-2</v>
      </c>
      <c r="EG91" s="21">
        <f t="shared" ca="1" si="118"/>
        <v>3.7548327818065247E-2</v>
      </c>
      <c r="EH91" s="21">
        <f t="shared" ca="1" si="118"/>
        <v>3.8568171353485128E-2</v>
      </c>
      <c r="EI91" s="21">
        <f t="shared" ca="1" si="118"/>
        <v>4.0780233629952464E-2</v>
      </c>
      <c r="EJ91" s="21">
        <f t="shared" ca="1" si="118"/>
        <v>3.6005561718599803E-2</v>
      </c>
      <c r="EK91" s="21">
        <f t="shared" ca="1" si="118"/>
        <v>3.3176832521378569E-2</v>
      </c>
      <c r="EL91" s="21">
        <f t="shared" ca="1" si="118"/>
        <v>2.8608598301754141E-2</v>
      </c>
      <c r="EM91" s="21">
        <f t="shared" ca="1" si="118"/>
        <v>2.4824712432436159E-2</v>
      </c>
      <c r="EN91" s="21">
        <f t="shared" ca="1" si="118"/>
        <v>2.6696620618536882E-2</v>
      </c>
      <c r="EO91" s="21">
        <f t="shared" ca="1" si="118"/>
        <v>3.0999372563323552E-2</v>
      </c>
      <c r="EP91" s="21">
        <f t="shared" ca="1" si="118"/>
        <v>3.259707991445681E-2</v>
      </c>
      <c r="EQ91" s="21">
        <f t="shared" ca="1" si="118"/>
        <v>3.3057774362192496E-2</v>
      </c>
      <c r="ER91" s="21">
        <f t="shared" ca="1" si="118"/>
        <v>3.1432925708117773E-2</v>
      </c>
      <c r="ES91" s="21">
        <f t="shared" ca="1" si="118"/>
        <v>2.9483452844142985E-2</v>
      </c>
      <c r="ET91" s="21">
        <f t="shared" ca="1" si="118"/>
        <v>2.8176025957535336E-2</v>
      </c>
      <c r="EU91" s="21">
        <f t="shared" ca="1" si="118"/>
        <v>2.8323130532528322E-2</v>
      </c>
      <c r="EV91" s="21">
        <f t="shared" ca="1" si="118"/>
        <v>3.0400647133714685E-2</v>
      </c>
      <c r="EW91" s="21">
        <f t="shared" ca="1" si="118"/>
        <v>2.878721420188135E-2</v>
      </c>
      <c r="EX91" s="21">
        <f t="shared" ca="1" si="118"/>
        <v>2.524046687682038E-2</v>
      </c>
      <c r="EY91" s="21">
        <f t="shared" ref="EY91:HJ91" ca="1" si="119">IF(EY11="","",AVERAGE(EO65:EX65)+CONFIDENCE(0.05,STDEV(DZ65:EX65),COUNT(DZ65:EX65)))</f>
        <v>2.1723930432120647E-2</v>
      </c>
      <c r="EZ91" s="21">
        <f t="shared" ca="1" si="119"/>
        <v>2.2613301513929027E-2</v>
      </c>
      <c r="FA91" s="21">
        <f t="shared" ca="1" si="119"/>
        <v>2.0524525348397181E-2</v>
      </c>
      <c r="FB91" s="21">
        <f t="shared" ca="1" si="119"/>
        <v>2.1633520900582362E-2</v>
      </c>
      <c r="FC91" s="21">
        <f t="shared" ca="1" si="119"/>
        <v>2.4283801506608988E-2</v>
      </c>
      <c r="FD91" s="21">
        <f t="shared" ca="1" si="119"/>
        <v>2.7638156580277712E-2</v>
      </c>
      <c r="FE91" s="21">
        <f t="shared" ca="1" si="119"/>
        <v>2.7738023680064321E-2</v>
      </c>
      <c r="FF91" s="21">
        <f t="shared" ca="1" si="119"/>
        <v>2.9300342622579134E-2</v>
      </c>
      <c r="FG91" s="21">
        <f t="shared" ca="1" si="119"/>
        <v>3.6853903109996484E-2</v>
      </c>
      <c r="FH91" s="21">
        <f t="shared" ca="1" si="119"/>
        <v>4.0808411502518883E-2</v>
      </c>
      <c r="FI91" s="21">
        <f t="shared" ca="1" si="119"/>
        <v>4.0129921531412531E-2</v>
      </c>
      <c r="FJ91" s="21">
        <f t="shared" ca="1" si="119"/>
        <v>4.0360682261552795E-2</v>
      </c>
      <c r="FK91" s="21">
        <f t="shared" ca="1" si="119"/>
        <v>4.4495228422256325E-2</v>
      </c>
      <c r="FL91" s="21">
        <f t="shared" ca="1" si="119"/>
        <v>4.5069744392069164E-2</v>
      </c>
      <c r="FM91" s="21">
        <f t="shared" ca="1" si="119"/>
        <v>4.2426906831142398E-2</v>
      </c>
      <c r="FN91" s="21">
        <f t="shared" ca="1" si="119"/>
        <v>4.0278241181925301E-2</v>
      </c>
      <c r="FO91" s="21">
        <f t="shared" ca="1" si="119"/>
        <v>3.7955573297284058E-2</v>
      </c>
      <c r="FP91" s="21">
        <f t="shared" ca="1" si="119"/>
        <v>3.5818292299924469E-2</v>
      </c>
      <c r="FQ91" s="21">
        <f t="shared" ca="1" si="119"/>
        <v>3.112227264326756E-2</v>
      </c>
      <c r="FR91" s="21">
        <f t="shared" ca="1" si="119"/>
        <v>2.7683041843230227E-2</v>
      </c>
      <c r="FS91" s="21">
        <f t="shared" ca="1" si="119"/>
        <v>2.5879804618316682E-2</v>
      </c>
      <c r="FT91" s="21">
        <f t="shared" ca="1" si="119"/>
        <v>2.4152908317141484E-2</v>
      </c>
      <c r="FU91" s="21">
        <f t="shared" ca="1" si="119"/>
        <v>2.1521296258521037E-2</v>
      </c>
      <c r="FV91" s="21">
        <f t="shared" ca="1" si="119"/>
        <v>2.0851015428087261E-2</v>
      </c>
      <c r="FW91" s="21">
        <f t="shared" ca="1" si="119"/>
        <v>2.3917743944876738E-2</v>
      </c>
      <c r="FX91" s="21">
        <f t="shared" ca="1" si="119"/>
        <v>2.337112746234293E-2</v>
      </c>
      <c r="FY91" s="21">
        <f t="shared" ca="1" si="119"/>
        <v>2.5414864210747328E-2</v>
      </c>
      <c r="FZ91" s="21">
        <f t="shared" ca="1" si="119"/>
        <v>2.8516045488960872E-2</v>
      </c>
      <c r="GA91" s="21">
        <f t="shared" ca="1" si="119"/>
        <v>2.9298457370975296E-2</v>
      </c>
      <c r="GB91" s="21">
        <f t="shared" ca="1" si="119"/>
        <v>3.0810584181165498E-2</v>
      </c>
      <c r="GC91" s="21">
        <f t="shared" ca="1" si="119"/>
        <v>3.4501811045437134E-2</v>
      </c>
      <c r="GD91" s="21">
        <f t="shared" ca="1" si="119"/>
        <v>3.6737085386520076E-2</v>
      </c>
      <c r="GE91" s="21">
        <f t="shared" ca="1" si="119"/>
        <v>3.8326170174547564E-2</v>
      </c>
      <c r="GF91" s="21">
        <f t="shared" ca="1" si="119"/>
        <v>3.8176185775971885E-2</v>
      </c>
      <c r="GG91" s="21">
        <f t="shared" ca="1" si="119"/>
        <v>4.5497703214217998E-2</v>
      </c>
      <c r="GH91" s="21">
        <f t="shared" ca="1" si="119"/>
        <v>6.7328224467123818E-2</v>
      </c>
      <c r="GI91" s="21">
        <f t="shared" ca="1" si="119"/>
        <v>8.8703598217632615E-2</v>
      </c>
      <c r="GJ91" s="21">
        <f t="shared" ca="1" si="119"/>
        <v>0.11210351217363684</v>
      </c>
      <c r="GK91" s="21">
        <f t="shared" ca="1" si="119"/>
        <v>0.12930880937768371</v>
      </c>
      <c r="GL91" s="21">
        <f t="shared" ca="1" si="119"/>
        <v>0.14777895797631804</v>
      </c>
      <c r="GM91" s="21">
        <f t="shared" ca="1" si="119"/>
        <v>0.16289458036221949</v>
      </c>
      <c r="GN91" s="21">
        <f t="shared" ca="1" si="119"/>
        <v>0.17698553180793367</v>
      </c>
      <c r="GO91" s="21">
        <f t="shared" ca="1" si="119"/>
        <v>0.19391288273613608</v>
      </c>
      <c r="GP91" s="21">
        <f t="shared" ca="1" si="119"/>
        <v>0.19227699472047366</v>
      </c>
      <c r="GQ91" s="21">
        <f t="shared" ca="1" si="119"/>
        <v>0.21522715767954093</v>
      </c>
      <c r="GR91" s="21">
        <f t="shared" ca="1" si="119"/>
        <v>0.21737858395537463</v>
      </c>
      <c r="GS91" s="21">
        <f t="shared" ca="1" si="119"/>
        <v>0.21705049534242465</v>
      </c>
      <c r="GT91" s="21">
        <f t="shared" ca="1" si="119"/>
        <v>0.21111266927460587</v>
      </c>
      <c r="GU91" s="21">
        <f t="shared" ca="1" si="119"/>
        <v>0.2112920181377001</v>
      </c>
      <c r="GV91" s="21">
        <f t="shared" ca="1" si="119"/>
        <v>0.20797926549866685</v>
      </c>
      <c r="GW91" s="21">
        <f t="shared" ca="1" si="119"/>
        <v>0.20645214562376793</v>
      </c>
      <c r="GX91" s="21">
        <f t="shared" ca="1" si="119"/>
        <v>0.20548495820785898</v>
      </c>
      <c r="GY91" s="21">
        <f t="shared" ca="1" si="119"/>
        <v>0.19179940043978014</v>
      </c>
      <c r="GZ91" s="21">
        <f t="shared" ca="1" si="119"/>
        <v>0.32701974426441083</v>
      </c>
      <c r="HA91" s="21" t="str">
        <f t="shared" si="119"/>
        <v/>
      </c>
      <c r="HB91" s="21" t="str">
        <f t="shared" si="119"/>
        <v/>
      </c>
      <c r="HC91" s="21" t="str">
        <f t="shared" si="119"/>
        <v/>
      </c>
      <c r="HD91" s="21" t="str">
        <f t="shared" si="119"/>
        <v/>
      </c>
      <c r="HE91" s="21" t="str">
        <f t="shared" si="119"/>
        <v/>
      </c>
      <c r="HF91" s="21" t="str">
        <f t="shared" si="119"/>
        <v/>
      </c>
      <c r="HG91" s="21" t="str">
        <f t="shared" si="119"/>
        <v/>
      </c>
      <c r="HH91" s="21" t="str">
        <f t="shared" si="119"/>
        <v/>
      </c>
      <c r="HI91" s="21" t="str">
        <f t="shared" si="119"/>
        <v/>
      </c>
      <c r="HJ91" s="21" t="str">
        <f t="shared" si="119"/>
        <v/>
      </c>
      <c r="HK91" s="21" t="str">
        <f t="shared" ref="HK91:JH91" si="120">IF(HK11="","",AVERAGE(HA65:HJ65)+CONFIDENCE(0.05,STDEV(GL65:HJ65),COUNT(GL65:HJ65)))</f>
        <v/>
      </c>
      <c r="HL91" s="21" t="str">
        <f t="shared" si="120"/>
        <v/>
      </c>
      <c r="HM91" s="21" t="str">
        <f t="shared" si="120"/>
        <v/>
      </c>
      <c r="HN91" s="21" t="str">
        <f t="shared" si="120"/>
        <v/>
      </c>
      <c r="HO91" s="21" t="str">
        <f t="shared" si="120"/>
        <v/>
      </c>
      <c r="HP91" s="21" t="str">
        <f t="shared" si="120"/>
        <v/>
      </c>
      <c r="HQ91" s="21" t="str">
        <f t="shared" si="120"/>
        <v/>
      </c>
      <c r="HR91" s="21" t="str">
        <f t="shared" si="120"/>
        <v/>
      </c>
      <c r="HS91" s="21" t="str">
        <f t="shared" si="120"/>
        <v/>
      </c>
      <c r="HT91" s="21" t="str">
        <f t="shared" si="120"/>
        <v/>
      </c>
      <c r="HU91" s="21" t="str">
        <f t="shared" si="120"/>
        <v/>
      </c>
      <c r="HV91" s="21" t="str">
        <f t="shared" si="120"/>
        <v/>
      </c>
      <c r="HW91" s="21" t="str">
        <f t="shared" si="120"/>
        <v/>
      </c>
      <c r="HX91" s="21" t="str">
        <f t="shared" si="120"/>
        <v/>
      </c>
      <c r="HY91" s="21" t="str">
        <f t="shared" si="120"/>
        <v/>
      </c>
      <c r="HZ91" s="21" t="str">
        <f t="shared" si="120"/>
        <v/>
      </c>
      <c r="IA91" s="21" t="str">
        <f t="shared" si="120"/>
        <v/>
      </c>
      <c r="IB91" s="21" t="str">
        <f t="shared" si="120"/>
        <v/>
      </c>
      <c r="IC91" s="21" t="str">
        <f t="shared" si="120"/>
        <v/>
      </c>
      <c r="ID91" s="21" t="str">
        <f t="shared" si="120"/>
        <v/>
      </c>
      <c r="IE91" s="21" t="str">
        <f t="shared" si="120"/>
        <v/>
      </c>
      <c r="IF91" s="21" t="str">
        <f t="shared" si="120"/>
        <v/>
      </c>
      <c r="IG91" s="21" t="str">
        <f t="shared" si="120"/>
        <v/>
      </c>
      <c r="IH91" s="21" t="str">
        <f t="shared" si="120"/>
        <v/>
      </c>
      <c r="II91" s="21" t="str">
        <f t="shared" si="120"/>
        <v/>
      </c>
      <c r="IJ91" s="21" t="str">
        <f t="shared" si="120"/>
        <v/>
      </c>
      <c r="IK91" s="21" t="str">
        <f t="shared" si="120"/>
        <v/>
      </c>
      <c r="IL91" s="21" t="str">
        <f t="shared" si="120"/>
        <v/>
      </c>
      <c r="IM91" s="21" t="str">
        <f t="shared" si="120"/>
        <v/>
      </c>
      <c r="IN91" s="21" t="str">
        <f t="shared" si="120"/>
        <v/>
      </c>
      <c r="IO91" s="21" t="str">
        <f t="shared" si="120"/>
        <v/>
      </c>
      <c r="IP91" s="21" t="str">
        <f t="shared" si="120"/>
        <v/>
      </c>
      <c r="IQ91" s="21" t="str">
        <f t="shared" si="120"/>
        <v/>
      </c>
      <c r="IR91" s="21" t="str">
        <f t="shared" si="120"/>
        <v/>
      </c>
      <c r="IS91" s="21" t="str">
        <f t="shared" si="120"/>
        <v/>
      </c>
      <c r="IT91" s="21" t="str">
        <f t="shared" si="120"/>
        <v/>
      </c>
      <c r="IU91" s="21" t="str">
        <f t="shared" si="120"/>
        <v/>
      </c>
      <c r="IV91" s="21" t="str">
        <f t="shared" si="120"/>
        <v/>
      </c>
      <c r="IW91" s="21" t="str">
        <f t="shared" si="120"/>
        <v/>
      </c>
      <c r="IX91" s="21" t="str">
        <f t="shared" si="120"/>
        <v/>
      </c>
      <c r="IY91" s="21" t="str">
        <f t="shared" si="120"/>
        <v/>
      </c>
      <c r="IZ91" s="21" t="str">
        <f t="shared" si="120"/>
        <v/>
      </c>
      <c r="JA91" s="21" t="str">
        <f t="shared" si="120"/>
        <v/>
      </c>
      <c r="JB91" s="21" t="str">
        <f t="shared" si="120"/>
        <v/>
      </c>
      <c r="JC91" s="21" t="str">
        <f t="shared" si="120"/>
        <v/>
      </c>
      <c r="JD91" s="21" t="str">
        <f t="shared" si="120"/>
        <v/>
      </c>
      <c r="JE91" s="21" t="str">
        <f t="shared" si="120"/>
        <v/>
      </c>
      <c r="JF91" s="21" t="str">
        <f t="shared" si="120"/>
        <v/>
      </c>
      <c r="JG91" s="21" t="str">
        <f t="shared" si="120"/>
        <v/>
      </c>
      <c r="JH91" s="21" t="str">
        <f t="shared" si="120"/>
        <v/>
      </c>
    </row>
    <row r="92" spans="1:336" x14ac:dyDescent="0.25"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>
        <f t="shared" ref="AA92:CL92" ca="1" si="121">IF(AA12="","",AVERAGE(P66:Z66)+CONFIDENCE(0.05,STDEV(B66:Z66),COUNT(B66:Z66)))</f>
        <v>2.4692337138903078E-2</v>
      </c>
      <c r="AB92" s="21">
        <f t="shared" ca="1" si="121"/>
        <v>2.5209693181164589E-2</v>
      </c>
      <c r="AC92" s="21">
        <f t="shared" ca="1" si="121"/>
        <v>2.7668060299502049E-2</v>
      </c>
      <c r="AD92" s="21">
        <f t="shared" ca="1" si="121"/>
        <v>3.144026226130342E-2</v>
      </c>
      <c r="AE92" s="21">
        <f t="shared" ca="1" si="121"/>
        <v>3.1325013941553813E-2</v>
      </c>
      <c r="AF92" s="21">
        <f t="shared" ca="1" si="121"/>
        <v>3.1157694994318683E-2</v>
      </c>
      <c r="AG92" s="21">
        <f t="shared" ca="1" si="121"/>
        <v>3.2257688234238094E-2</v>
      </c>
      <c r="AH92" s="21">
        <f t="shared" ca="1" si="121"/>
        <v>3.1076108855196485E-2</v>
      </c>
      <c r="AI92" s="21">
        <f t="shared" ca="1" si="121"/>
        <v>3.0063964472810716E-2</v>
      </c>
      <c r="AJ92" s="21">
        <f t="shared" ca="1" si="121"/>
        <v>3.0251444388514837E-2</v>
      </c>
      <c r="AK92" s="21">
        <f t="shared" ca="1" si="121"/>
        <v>3.394953806845516E-2</v>
      </c>
      <c r="AL92" s="21">
        <f t="shared" ca="1" si="121"/>
        <v>3.7879692667872188E-2</v>
      </c>
      <c r="AM92" s="21">
        <f t="shared" ca="1" si="121"/>
        <v>4.1031665578714391E-2</v>
      </c>
      <c r="AN92" s="21">
        <f t="shared" ca="1" si="121"/>
        <v>4.4743619637731144E-2</v>
      </c>
      <c r="AO92" s="21">
        <f t="shared" ca="1" si="121"/>
        <v>4.9453735310571088E-2</v>
      </c>
      <c r="AP92" s="21">
        <f t="shared" ca="1" si="121"/>
        <v>5.7249447490702071E-2</v>
      </c>
      <c r="AQ92" s="21">
        <f t="shared" ca="1" si="121"/>
        <v>6.6560104382571275E-2</v>
      </c>
      <c r="AR92" s="21">
        <f t="shared" ca="1" si="121"/>
        <v>7.4786317287936208E-2</v>
      </c>
      <c r="AS92" s="21">
        <f t="shared" ca="1" si="121"/>
        <v>8.5774034384001205E-2</v>
      </c>
      <c r="AT92" s="21">
        <f t="shared" ca="1" si="121"/>
        <v>0.10025314275125453</v>
      </c>
      <c r="AU92" s="21">
        <f t="shared" ca="1" si="121"/>
        <v>0.11444862612731493</v>
      </c>
      <c r="AV92" s="21">
        <f t="shared" ca="1" si="121"/>
        <v>0.12824962538822393</v>
      </c>
      <c r="AW92" s="21">
        <f t="shared" ca="1" si="121"/>
        <v>0.14326276904446614</v>
      </c>
      <c r="AX92" s="21">
        <f t="shared" ca="1" si="121"/>
        <v>0.16109142926259448</v>
      </c>
      <c r="AY92" s="21">
        <f t="shared" ca="1" si="121"/>
        <v>0.18134970569241182</v>
      </c>
      <c r="AZ92" s="21">
        <f t="shared" ca="1" si="121"/>
        <v>0.20069614614873285</v>
      </c>
      <c r="BA92" s="21">
        <f t="shared" ca="1" si="121"/>
        <v>0.21615325823773857</v>
      </c>
      <c r="BB92" s="21">
        <f t="shared" ca="1" si="121"/>
        <v>0.23399221694028602</v>
      </c>
      <c r="BC92" s="21">
        <f t="shared" ca="1" si="121"/>
        <v>0.24408919698863429</v>
      </c>
      <c r="BD92" s="21">
        <f t="shared" ca="1" si="121"/>
        <v>0.24782967974119349</v>
      </c>
      <c r="BE92" s="21">
        <f t="shared" ca="1" si="121"/>
        <v>0.25273697689046071</v>
      </c>
      <c r="BF92" s="21">
        <f t="shared" ca="1" si="121"/>
        <v>0.25305834206839856</v>
      </c>
      <c r="BG92" s="21">
        <f t="shared" ca="1" si="121"/>
        <v>0.2448775099347274</v>
      </c>
      <c r="BH92" s="21">
        <f t="shared" ca="1" si="121"/>
        <v>0.23061211426742884</v>
      </c>
      <c r="BI92" s="21">
        <f t="shared" ca="1" si="121"/>
        <v>0.21169862280282903</v>
      </c>
      <c r="BJ92" s="21">
        <f t="shared" ca="1" si="121"/>
        <v>0.19713987713901074</v>
      </c>
      <c r="BK92" s="21">
        <f t="shared" ca="1" si="121"/>
        <v>0.18659559732689085</v>
      </c>
      <c r="BL92" s="21">
        <f t="shared" ca="1" si="121"/>
        <v>0.18038119483157353</v>
      </c>
      <c r="BM92" s="21">
        <f t="shared" ca="1" si="121"/>
        <v>0.17817818306145022</v>
      </c>
      <c r="BN92" s="21">
        <f t="shared" ca="1" si="121"/>
        <v>0.18559242834338682</v>
      </c>
      <c r="BO92" s="21">
        <f t="shared" ca="1" si="121"/>
        <v>0.19072498873023022</v>
      </c>
      <c r="BP92" s="21">
        <f t="shared" ca="1" si="121"/>
        <v>0.1857833790358977</v>
      </c>
      <c r="BQ92" s="21">
        <f t="shared" ca="1" si="121"/>
        <v>0.17726511432325659</v>
      </c>
      <c r="BR92" s="21">
        <f t="shared" ca="1" si="121"/>
        <v>0.17128204854674883</v>
      </c>
      <c r="BS92" s="21">
        <f t="shared" ca="1" si="121"/>
        <v>0.17046673196969497</v>
      </c>
      <c r="BT92" s="21">
        <f t="shared" ca="1" si="121"/>
        <v>0.17773782290363138</v>
      </c>
      <c r="BU92" s="21">
        <f t="shared" ca="1" si="121"/>
        <v>0.1748090156038089</v>
      </c>
      <c r="BV92" s="21">
        <f t="shared" ca="1" si="121"/>
        <v>0.16267739410188217</v>
      </c>
      <c r="BW92" s="21">
        <f t="shared" ca="1" si="121"/>
        <v>0.14833815805964923</v>
      </c>
      <c r="BX92" s="21">
        <f t="shared" ca="1" si="121"/>
        <v>0.13025334877414949</v>
      </c>
      <c r="BY92" s="21">
        <f t="shared" ca="1" si="121"/>
        <v>0.11284595567151817</v>
      </c>
      <c r="BZ92" s="21">
        <f t="shared" ca="1" si="121"/>
        <v>9.9822918072966241E-2</v>
      </c>
      <c r="CA92" s="21">
        <f t="shared" ca="1" si="121"/>
        <v>9.0512788979265457E-2</v>
      </c>
      <c r="CB92" s="21">
        <f t="shared" ca="1" si="121"/>
        <v>8.5890949629721158E-2</v>
      </c>
      <c r="CC92" s="21">
        <f t="shared" ca="1" si="121"/>
        <v>8.7094633813862454E-2</v>
      </c>
      <c r="CD92" s="21">
        <f t="shared" ca="1" si="121"/>
        <v>8.9032444392924279E-2</v>
      </c>
      <c r="CE92" s="21">
        <f t="shared" ca="1" si="121"/>
        <v>8.1531603147889334E-2</v>
      </c>
      <c r="CF92" s="21">
        <f t="shared" ca="1" si="121"/>
        <v>7.9170667834964015E-2</v>
      </c>
      <c r="CG92" s="21">
        <f t="shared" ca="1" si="121"/>
        <v>8.1822837144967187E-2</v>
      </c>
      <c r="CH92" s="21">
        <f t="shared" ca="1" si="121"/>
        <v>8.1334351935319377E-2</v>
      </c>
      <c r="CI92" s="21">
        <f t="shared" ca="1" si="121"/>
        <v>8.4066156152770605E-2</v>
      </c>
      <c r="CJ92" s="21">
        <f t="shared" ca="1" si="121"/>
        <v>7.6208647544262001E-2</v>
      </c>
      <c r="CK92" s="21">
        <f t="shared" ca="1" si="121"/>
        <v>6.7070271567055945E-2</v>
      </c>
      <c r="CL92" s="21">
        <f t="shared" ca="1" si="121"/>
        <v>5.6987143015123538E-2</v>
      </c>
      <c r="CM92" s="21">
        <f t="shared" ref="CM92:EX92" ca="1" si="122">IF(CM12="","",AVERAGE(CB66:CL66)+CONFIDENCE(0.05,STDEV(BN66:CL66),COUNT(BN66:CL66)))</f>
        <v>5.2765445178340975E-2</v>
      </c>
      <c r="CN92" s="21">
        <f t="shared" ca="1" si="122"/>
        <v>5.1574194622234101E-2</v>
      </c>
      <c r="CO92" s="21">
        <f t="shared" ca="1" si="122"/>
        <v>5.1176179230918016E-2</v>
      </c>
      <c r="CP92" s="21">
        <f t="shared" ca="1" si="122"/>
        <v>5.9395414492183524E-2</v>
      </c>
      <c r="CQ92" s="21">
        <f t="shared" ca="1" si="122"/>
        <v>6.3120375856175706E-2</v>
      </c>
      <c r="CR92" s="21">
        <f t="shared" ca="1" si="122"/>
        <v>6.1525686937954134E-2</v>
      </c>
      <c r="CS92" s="21">
        <f t="shared" ca="1" si="122"/>
        <v>6.114411930526932E-2</v>
      </c>
      <c r="CT92" s="21">
        <f t="shared" ca="1" si="122"/>
        <v>5.3542963194979788E-2</v>
      </c>
      <c r="CU92" s="21">
        <f t="shared" ca="1" si="122"/>
        <v>5.4831478365163833E-2</v>
      </c>
      <c r="CV92" s="21">
        <f t="shared" ca="1" si="122"/>
        <v>5.4854131037300982E-2</v>
      </c>
      <c r="CW92" s="21">
        <f t="shared" ca="1" si="122"/>
        <v>5.8319830965384976E-2</v>
      </c>
      <c r="CX92" s="21">
        <f t="shared" ca="1" si="122"/>
        <v>5.5753937724874636E-2</v>
      </c>
      <c r="CY92" s="21">
        <f t="shared" ca="1" si="122"/>
        <v>5.30372385463126E-2</v>
      </c>
      <c r="CZ92" s="21">
        <f t="shared" ca="1" si="122"/>
        <v>5.087245130016857E-2</v>
      </c>
      <c r="DA92" s="21">
        <f t="shared" ca="1" si="122"/>
        <v>4.4360224648943555E-2</v>
      </c>
      <c r="DB92" s="21">
        <f t="shared" ca="1" si="122"/>
        <v>4.116881360735105E-2</v>
      </c>
      <c r="DC92" s="21">
        <f t="shared" ca="1" si="122"/>
        <v>4.3160798608395237E-2</v>
      </c>
      <c r="DD92" s="21">
        <f t="shared" ca="1" si="122"/>
        <v>4.616742611739838E-2</v>
      </c>
      <c r="DE92" s="21">
        <f t="shared" ca="1" si="122"/>
        <v>5.3995058353551839E-2</v>
      </c>
      <c r="DF92" s="21">
        <f t="shared" ca="1" si="122"/>
        <v>5.7899140992066347E-2</v>
      </c>
      <c r="DG92" s="21">
        <f t="shared" ca="1" si="122"/>
        <v>5.9659040151427117E-2</v>
      </c>
      <c r="DH92" s="21">
        <f t="shared" ca="1" si="122"/>
        <v>5.82829813015346E-2</v>
      </c>
      <c r="DI92" s="21">
        <f t="shared" ca="1" si="122"/>
        <v>6.0378073840062947E-2</v>
      </c>
      <c r="DJ92" s="21">
        <f t="shared" ca="1" si="122"/>
        <v>6.1110483864295018E-2</v>
      </c>
      <c r="DK92" s="21">
        <f t="shared" ca="1" si="122"/>
        <v>6.1432430615409955E-2</v>
      </c>
      <c r="DL92" s="21">
        <f t="shared" ca="1" si="122"/>
        <v>6.4087505484911142E-2</v>
      </c>
      <c r="DM92" s="21">
        <f t="shared" ca="1" si="122"/>
        <v>6.3585506360758076E-2</v>
      </c>
      <c r="DN92" s="21">
        <f t="shared" ca="1" si="122"/>
        <v>6.3354269284339987E-2</v>
      </c>
      <c r="DO92" s="21">
        <f t="shared" ca="1" si="122"/>
        <v>6.1602197777885004E-2</v>
      </c>
      <c r="DP92" s="21">
        <f t="shared" ca="1" si="122"/>
        <v>5.6516548281658481E-2</v>
      </c>
      <c r="DQ92" s="21">
        <f t="shared" ca="1" si="122"/>
        <v>5.3252033075405235E-2</v>
      </c>
      <c r="DR92" s="21">
        <f t="shared" ca="1" si="122"/>
        <v>5.2392514173051893E-2</v>
      </c>
      <c r="DS92" s="21">
        <f t="shared" ca="1" si="122"/>
        <v>5.3081863198755026E-2</v>
      </c>
      <c r="DT92" s="21">
        <f t="shared" ca="1" si="122"/>
        <v>4.9369829463766286E-2</v>
      </c>
      <c r="DU92" s="21">
        <f t="shared" ca="1" si="122"/>
        <v>4.5679672154817094E-2</v>
      </c>
      <c r="DV92" s="21">
        <f t="shared" ca="1" si="122"/>
        <v>4.1170254715783519E-2</v>
      </c>
      <c r="DW92" s="21">
        <f t="shared" ca="1" si="122"/>
        <v>3.8211021859027902E-2</v>
      </c>
      <c r="DX92" s="21">
        <f t="shared" ca="1" si="122"/>
        <v>3.5464037713235204E-2</v>
      </c>
      <c r="DY92" s="21">
        <f t="shared" ca="1" si="122"/>
        <v>3.3133293537407502E-2</v>
      </c>
      <c r="DZ92" s="21">
        <f t="shared" ca="1" si="122"/>
        <v>3.5209042542548766E-2</v>
      </c>
      <c r="EA92" s="21">
        <f t="shared" ca="1" si="122"/>
        <v>3.6583767268699344E-2</v>
      </c>
      <c r="EB92" s="21">
        <f t="shared" ca="1" si="122"/>
        <v>3.7696130081124976E-2</v>
      </c>
      <c r="EC92" s="21">
        <f t="shared" ca="1" si="122"/>
        <v>4.1856922813896226E-2</v>
      </c>
      <c r="ED92" s="21">
        <f t="shared" ca="1" si="122"/>
        <v>3.8779699250384263E-2</v>
      </c>
      <c r="EE92" s="21">
        <f t="shared" ca="1" si="122"/>
        <v>3.7875400837179649E-2</v>
      </c>
      <c r="EF92" s="21">
        <f t="shared" ca="1" si="122"/>
        <v>3.6615075105396792E-2</v>
      </c>
      <c r="EG92" s="21">
        <f t="shared" ca="1" si="122"/>
        <v>3.7427040666937555E-2</v>
      </c>
      <c r="EH92" s="21">
        <f t="shared" ca="1" si="122"/>
        <v>3.6760847619395819E-2</v>
      </c>
      <c r="EI92" s="21">
        <f t="shared" ca="1" si="122"/>
        <v>3.8343720413053783E-2</v>
      </c>
      <c r="EJ92" s="21">
        <f t="shared" ca="1" si="122"/>
        <v>3.842014324404748E-2</v>
      </c>
      <c r="EK92" s="21">
        <f t="shared" ca="1" si="122"/>
        <v>3.4599646675910305E-2</v>
      </c>
      <c r="EL92" s="21">
        <f t="shared" ca="1" si="122"/>
        <v>3.0197752363508641E-2</v>
      </c>
      <c r="EM92" s="21">
        <f t="shared" ca="1" si="122"/>
        <v>2.7536892408270897E-2</v>
      </c>
      <c r="EN92" s="21">
        <f t="shared" ca="1" si="122"/>
        <v>2.760309851207619E-2</v>
      </c>
      <c r="EO92" s="21">
        <f t="shared" ca="1" si="122"/>
        <v>3.0977363154953357E-2</v>
      </c>
      <c r="EP92" s="21">
        <f t="shared" ca="1" si="122"/>
        <v>3.1695086927599529E-2</v>
      </c>
      <c r="EQ92" s="21">
        <f t="shared" ca="1" si="122"/>
        <v>3.3990710753074443E-2</v>
      </c>
      <c r="ER92" s="21">
        <f t="shared" ca="1" si="122"/>
        <v>3.3205496910571383E-2</v>
      </c>
      <c r="ES92" s="21">
        <f t="shared" ca="1" si="122"/>
        <v>3.247506279557294E-2</v>
      </c>
      <c r="ET92" s="21">
        <f t="shared" ca="1" si="122"/>
        <v>3.0786875851219645E-2</v>
      </c>
      <c r="EU92" s="21">
        <f t="shared" ca="1" si="122"/>
        <v>3.2933416708514157E-2</v>
      </c>
      <c r="EV92" s="21">
        <f t="shared" ca="1" si="122"/>
        <v>3.3228791958045567E-2</v>
      </c>
      <c r="EW92" s="21">
        <f t="shared" ca="1" si="122"/>
        <v>3.3876390002149766E-2</v>
      </c>
      <c r="EX92" s="21">
        <f t="shared" ca="1" si="122"/>
        <v>3.2391640399036921E-2</v>
      </c>
      <c r="EY92" s="21">
        <f t="shared" ref="EY92:HJ92" ca="1" si="123">IF(EY12="","",AVERAGE(EN66:EX66)+CONFIDENCE(0.05,STDEV(DZ66:EX66),COUNT(DZ66:EX66)))</f>
        <v>2.9130932357957925E-2</v>
      </c>
      <c r="EZ92" s="21">
        <f t="shared" ca="1" si="123"/>
        <v>2.5688563759085351E-2</v>
      </c>
      <c r="FA92" s="21">
        <f t="shared" ca="1" si="123"/>
        <v>2.4959780860628278E-2</v>
      </c>
      <c r="FB92" s="21">
        <f t="shared" ca="1" si="123"/>
        <v>2.3319107804050519E-2</v>
      </c>
      <c r="FC92" s="21">
        <f t="shared" ca="1" si="123"/>
        <v>2.5248925166582302E-2</v>
      </c>
      <c r="FD92" s="21">
        <f t="shared" ca="1" si="123"/>
        <v>2.7621156628002772E-2</v>
      </c>
      <c r="FE92" s="21">
        <f t="shared" ca="1" si="123"/>
        <v>3.0560337188997186E-2</v>
      </c>
      <c r="FF92" s="21">
        <f t="shared" ca="1" si="123"/>
        <v>3.0716059429682502E-2</v>
      </c>
      <c r="FG92" s="21">
        <f t="shared" ca="1" si="123"/>
        <v>3.4792555655424703E-2</v>
      </c>
      <c r="FH92" s="21">
        <f t="shared" ca="1" si="123"/>
        <v>3.8828290746114769E-2</v>
      </c>
      <c r="FI92" s="21">
        <f t="shared" ca="1" si="123"/>
        <v>3.9429099675437576E-2</v>
      </c>
      <c r="FJ92" s="21">
        <f t="shared" ca="1" si="123"/>
        <v>4.0002997292691876E-2</v>
      </c>
      <c r="FK92" s="21">
        <f t="shared" ca="1" si="123"/>
        <v>4.2341187024360433E-2</v>
      </c>
      <c r="FL92" s="21">
        <f t="shared" ca="1" si="123"/>
        <v>4.3146615919098193E-2</v>
      </c>
      <c r="FM92" s="21">
        <f t="shared" ca="1" si="123"/>
        <v>4.1393209073179255E-2</v>
      </c>
      <c r="FN92" s="21">
        <f t="shared" ca="1" si="123"/>
        <v>3.9257761342237497E-2</v>
      </c>
      <c r="FO92" s="21">
        <f t="shared" ca="1" si="123"/>
        <v>3.7001746858363535E-2</v>
      </c>
      <c r="FP92" s="21">
        <f t="shared" ca="1" si="123"/>
        <v>3.5073740125939702E-2</v>
      </c>
      <c r="FQ92" s="21">
        <f t="shared" ca="1" si="123"/>
        <v>3.4048301274516753E-2</v>
      </c>
      <c r="FR92" s="21">
        <f t="shared" ca="1" si="123"/>
        <v>2.9750452453351121E-2</v>
      </c>
      <c r="FS92" s="21">
        <f t="shared" ca="1" si="123"/>
        <v>2.550396901030548E-2</v>
      </c>
      <c r="FT92" s="21">
        <f t="shared" ca="1" si="123"/>
        <v>2.5194760148197326E-2</v>
      </c>
      <c r="FU92" s="21">
        <f t="shared" ca="1" si="123"/>
        <v>2.4504915662948889E-2</v>
      </c>
      <c r="FV92" s="21">
        <f t="shared" ca="1" si="123"/>
        <v>2.2320678244669916E-2</v>
      </c>
      <c r="FW92" s="21">
        <f t="shared" ca="1" si="123"/>
        <v>2.2734024586108258E-2</v>
      </c>
      <c r="FX92" s="21">
        <f t="shared" ca="1" si="123"/>
        <v>2.3030579496659147E-2</v>
      </c>
      <c r="FY92" s="21">
        <f t="shared" ca="1" si="123"/>
        <v>2.5232703542587775E-2</v>
      </c>
      <c r="FZ92" s="21">
        <f t="shared" ca="1" si="123"/>
        <v>2.8987487325891743E-2</v>
      </c>
      <c r="GA92" s="21">
        <f t="shared" ca="1" si="123"/>
        <v>3.1470460138695644E-2</v>
      </c>
      <c r="GB92" s="21">
        <f t="shared" ca="1" si="123"/>
        <v>3.1955046191564133E-2</v>
      </c>
      <c r="GC92" s="21">
        <f t="shared" ca="1" si="123"/>
        <v>3.4246754895967825E-2</v>
      </c>
      <c r="GD92" s="21">
        <f t="shared" ca="1" si="123"/>
        <v>3.7772187187474333E-2</v>
      </c>
      <c r="GE92" s="21">
        <f t="shared" ca="1" si="123"/>
        <v>3.9098753787790888E-2</v>
      </c>
      <c r="GF92" s="21">
        <f t="shared" ca="1" si="123"/>
        <v>5.1604039023082235E-2</v>
      </c>
      <c r="GG92" s="21">
        <f t="shared" ca="1" si="123"/>
        <v>7.0381502297478651E-2</v>
      </c>
      <c r="GH92" s="21">
        <f t="shared" ca="1" si="123"/>
        <v>8.9437048680368822E-2</v>
      </c>
      <c r="GI92" s="21">
        <f t="shared" ca="1" si="123"/>
        <v>0.11177078425425918</v>
      </c>
      <c r="GJ92" s="21">
        <f t="shared" ca="1" si="123"/>
        <v>0.13181222691467276</v>
      </c>
      <c r="GK92" s="21">
        <f t="shared" ca="1" si="123"/>
        <v>0.14558538275661603</v>
      </c>
      <c r="GL92" s="21">
        <f t="shared" ca="1" si="123"/>
        <v>0.15948155682564075</v>
      </c>
      <c r="GM92" s="21">
        <f t="shared" ca="1" si="123"/>
        <v>0.17214760162973655</v>
      </c>
      <c r="GN92" s="21">
        <f t="shared" ca="1" si="123"/>
        <v>0.18403273063088371</v>
      </c>
      <c r="GO92" s="21">
        <f t="shared" ca="1" si="123"/>
        <v>0.20077102393926918</v>
      </c>
      <c r="GP92" s="21">
        <f t="shared" ca="1" si="123"/>
        <v>0.19890603548303143</v>
      </c>
      <c r="GQ92" s="21">
        <f t="shared" ca="1" si="123"/>
        <v>0.20382653568368647</v>
      </c>
      <c r="GR92" s="21">
        <f t="shared" ca="1" si="123"/>
        <v>0.203707717963309</v>
      </c>
      <c r="GS92" s="21">
        <f t="shared" ca="1" si="123"/>
        <v>0.2017271660968098</v>
      </c>
      <c r="GT92" s="21">
        <f t="shared" ca="1" si="123"/>
        <v>0.1970599082496991</v>
      </c>
      <c r="GU92" s="21">
        <f t="shared" ca="1" si="123"/>
        <v>0.18886116046401025</v>
      </c>
      <c r="GV92" s="21">
        <f t="shared" ca="1" si="123"/>
        <v>0.18469945433901158</v>
      </c>
      <c r="GW92" s="21">
        <f t="shared" ca="1" si="123"/>
        <v>0.17629081216027664</v>
      </c>
      <c r="GX92" s="21">
        <f t="shared" ca="1" si="123"/>
        <v>0.16873935093376519</v>
      </c>
      <c r="GY92" s="21">
        <f t="shared" ca="1" si="123"/>
        <v>0.15004969828910439</v>
      </c>
      <c r="GZ92" s="21">
        <f t="shared" ca="1" si="123"/>
        <v>5.0118375230913413E-2</v>
      </c>
      <c r="HA92" s="21" t="str">
        <f t="shared" si="123"/>
        <v/>
      </c>
      <c r="HB92" s="21" t="str">
        <f t="shared" si="123"/>
        <v/>
      </c>
      <c r="HC92" s="21" t="str">
        <f t="shared" si="123"/>
        <v/>
      </c>
      <c r="HD92" s="21" t="str">
        <f t="shared" si="123"/>
        <v/>
      </c>
      <c r="HE92" s="21" t="str">
        <f t="shared" si="123"/>
        <v/>
      </c>
      <c r="HF92" s="21" t="str">
        <f t="shared" si="123"/>
        <v/>
      </c>
      <c r="HG92" s="21" t="str">
        <f t="shared" si="123"/>
        <v/>
      </c>
      <c r="HH92" s="21" t="str">
        <f t="shared" si="123"/>
        <v/>
      </c>
      <c r="HI92" s="21" t="str">
        <f t="shared" si="123"/>
        <v/>
      </c>
      <c r="HJ92" s="21" t="str">
        <f t="shared" si="123"/>
        <v/>
      </c>
      <c r="HK92" s="21" t="str">
        <f t="shared" ref="HK92:JH92" si="124">IF(HK12="","",AVERAGE(GZ66:HJ66)+CONFIDENCE(0.05,STDEV(GL66:HJ66),COUNT(GL66:HJ66)))</f>
        <v/>
      </c>
      <c r="HL92" s="21" t="str">
        <f t="shared" si="124"/>
        <v/>
      </c>
      <c r="HM92" s="21" t="str">
        <f t="shared" si="124"/>
        <v/>
      </c>
      <c r="HN92" s="21" t="str">
        <f t="shared" si="124"/>
        <v/>
      </c>
      <c r="HO92" s="21" t="str">
        <f t="shared" si="124"/>
        <v/>
      </c>
      <c r="HP92" s="21" t="str">
        <f t="shared" si="124"/>
        <v/>
      </c>
      <c r="HQ92" s="21" t="str">
        <f t="shared" si="124"/>
        <v/>
      </c>
      <c r="HR92" s="21" t="str">
        <f t="shared" si="124"/>
        <v/>
      </c>
      <c r="HS92" s="21" t="str">
        <f t="shared" si="124"/>
        <v/>
      </c>
      <c r="HT92" s="21" t="str">
        <f t="shared" si="124"/>
        <v/>
      </c>
      <c r="HU92" s="21" t="str">
        <f t="shared" si="124"/>
        <v/>
      </c>
      <c r="HV92" s="21" t="str">
        <f t="shared" si="124"/>
        <v/>
      </c>
      <c r="HW92" s="21" t="str">
        <f t="shared" si="124"/>
        <v/>
      </c>
      <c r="HX92" s="21" t="str">
        <f t="shared" si="124"/>
        <v/>
      </c>
      <c r="HY92" s="21" t="str">
        <f t="shared" si="124"/>
        <v/>
      </c>
      <c r="HZ92" s="21" t="str">
        <f t="shared" si="124"/>
        <v/>
      </c>
      <c r="IA92" s="21" t="str">
        <f t="shared" si="124"/>
        <v/>
      </c>
      <c r="IB92" s="21" t="str">
        <f t="shared" si="124"/>
        <v/>
      </c>
      <c r="IC92" s="21" t="str">
        <f t="shared" si="124"/>
        <v/>
      </c>
      <c r="ID92" s="21" t="str">
        <f t="shared" si="124"/>
        <v/>
      </c>
      <c r="IE92" s="21" t="str">
        <f t="shared" si="124"/>
        <v/>
      </c>
      <c r="IF92" s="21" t="str">
        <f t="shared" si="124"/>
        <v/>
      </c>
      <c r="IG92" s="21" t="str">
        <f t="shared" si="124"/>
        <v/>
      </c>
      <c r="IH92" s="21" t="str">
        <f t="shared" si="124"/>
        <v/>
      </c>
      <c r="II92" s="21" t="str">
        <f t="shared" si="124"/>
        <v/>
      </c>
      <c r="IJ92" s="21" t="str">
        <f t="shared" si="124"/>
        <v/>
      </c>
      <c r="IK92" s="21" t="str">
        <f t="shared" si="124"/>
        <v/>
      </c>
      <c r="IL92" s="21" t="str">
        <f t="shared" si="124"/>
        <v/>
      </c>
      <c r="IM92" s="21" t="str">
        <f t="shared" si="124"/>
        <v/>
      </c>
      <c r="IN92" s="21" t="str">
        <f t="shared" si="124"/>
        <v/>
      </c>
      <c r="IO92" s="21" t="str">
        <f t="shared" si="124"/>
        <v/>
      </c>
      <c r="IP92" s="21" t="str">
        <f t="shared" si="124"/>
        <v/>
      </c>
      <c r="IQ92" s="21" t="str">
        <f t="shared" si="124"/>
        <v/>
      </c>
      <c r="IR92" s="21" t="str">
        <f t="shared" si="124"/>
        <v/>
      </c>
      <c r="IS92" s="21" t="str">
        <f t="shared" si="124"/>
        <v/>
      </c>
      <c r="IT92" s="21" t="str">
        <f t="shared" si="124"/>
        <v/>
      </c>
      <c r="IU92" s="21" t="str">
        <f t="shared" si="124"/>
        <v/>
      </c>
      <c r="IV92" s="21" t="str">
        <f t="shared" si="124"/>
        <v/>
      </c>
      <c r="IW92" s="21" t="str">
        <f t="shared" si="124"/>
        <v/>
      </c>
      <c r="IX92" s="21" t="str">
        <f t="shared" si="124"/>
        <v/>
      </c>
      <c r="IY92" s="21" t="str">
        <f t="shared" si="124"/>
        <v/>
      </c>
      <c r="IZ92" s="21" t="str">
        <f t="shared" si="124"/>
        <v/>
      </c>
      <c r="JA92" s="21" t="str">
        <f t="shared" si="124"/>
        <v/>
      </c>
      <c r="JB92" s="21" t="str">
        <f t="shared" si="124"/>
        <v/>
      </c>
      <c r="JC92" s="21" t="str">
        <f t="shared" si="124"/>
        <v/>
      </c>
      <c r="JD92" s="21" t="str">
        <f t="shared" si="124"/>
        <v/>
      </c>
      <c r="JE92" s="21" t="str">
        <f t="shared" si="124"/>
        <v/>
      </c>
      <c r="JF92" s="21" t="str">
        <f t="shared" si="124"/>
        <v/>
      </c>
      <c r="JG92" s="21" t="str">
        <f t="shared" si="124"/>
        <v/>
      </c>
      <c r="JH92" s="21" t="str">
        <f t="shared" si="124"/>
        <v/>
      </c>
    </row>
    <row r="93" spans="1:336" x14ac:dyDescent="0.25"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>
        <f t="shared" ref="AA93:CL93" ca="1" si="125">IF(AA13="","",AVERAGE(O67:Z67)+CONFIDENCE(0.05,STDEV(B67:Z67),COUNT(B67:Z67)))</f>
        <v>2.7706365865340907E-2</v>
      </c>
      <c r="AB93" s="21">
        <f t="shared" ca="1" si="125"/>
        <v>2.9039848947199187E-2</v>
      </c>
      <c r="AC93" s="21">
        <f t="shared" ca="1" si="125"/>
        <v>2.9129083110866098E-2</v>
      </c>
      <c r="AD93" s="21">
        <f t="shared" ca="1" si="125"/>
        <v>3.2010556261827992E-2</v>
      </c>
      <c r="AE93" s="21">
        <f t="shared" ca="1" si="125"/>
        <v>3.3184917923546525E-2</v>
      </c>
      <c r="AF93" s="21">
        <f t="shared" ca="1" si="125"/>
        <v>3.2785257632772839E-2</v>
      </c>
      <c r="AG93" s="21">
        <f t="shared" ca="1" si="125"/>
        <v>3.161485471008852E-2</v>
      </c>
      <c r="AH93" s="21">
        <f t="shared" ca="1" si="125"/>
        <v>3.0821167260624678E-2</v>
      </c>
      <c r="AI93" s="21">
        <f t="shared" ca="1" si="125"/>
        <v>2.9868621293350214E-2</v>
      </c>
      <c r="AJ93" s="21">
        <f t="shared" ca="1" si="125"/>
        <v>3.1823411234140439E-2</v>
      </c>
      <c r="AK93" s="21">
        <f t="shared" ca="1" si="125"/>
        <v>3.4267886326958187E-2</v>
      </c>
      <c r="AL93" s="21">
        <f t="shared" ca="1" si="125"/>
        <v>3.7411740580845732E-2</v>
      </c>
      <c r="AM93" s="21">
        <f t="shared" ca="1" si="125"/>
        <v>4.0756364398404153E-2</v>
      </c>
      <c r="AN93" s="21">
        <f t="shared" ca="1" si="125"/>
        <v>4.6047635583937332E-2</v>
      </c>
      <c r="AO93" s="21">
        <f t="shared" ca="1" si="125"/>
        <v>5.4342200123170106E-2</v>
      </c>
      <c r="AP93" s="21">
        <f t="shared" ca="1" si="125"/>
        <v>6.2582048312194855E-2</v>
      </c>
      <c r="AQ93" s="21">
        <f t="shared" ca="1" si="125"/>
        <v>7.1481334787353787E-2</v>
      </c>
      <c r="AR93" s="21">
        <f t="shared" ca="1" si="125"/>
        <v>8.2841658403031815E-2</v>
      </c>
      <c r="AS93" s="21">
        <f t="shared" ca="1" si="125"/>
        <v>9.6810921975549372E-2</v>
      </c>
      <c r="AT93" s="21">
        <f t="shared" ca="1" si="125"/>
        <v>0.11313280621251143</v>
      </c>
      <c r="AU93" s="21">
        <f t="shared" ca="1" si="125"/>
        <v>0.12781561890449919</v>
      </c>
      <c r="AV93" s="21">
        <f t="shared" ca="1" si="125"/>
        <v>0.14345338485606826</v>
      </c>
      <c r="AW93" s="21">
        <f t="shared" ca="1" si="125"/>
        <v>0.16130768139958862</v>
      </c>
      <c r="AX93" s="21">
        <f t="shared" ca="1" si="125"/>
        <v>0.18243420529183352</v>
      </c>
      <c r="AY93" s="21">
        <f t="shared" ca="1" si="125"/>
        <v>0.20424827315037986</v>
      </c>
      <c r="AZ93" s="21">
        <f t="shared" ca="1" si="125"/>
        <v>0.22458834911614603</v>
      </c>
      <c r="BA93" s="21">
        <f t="shared" ca="1" si="125"/>
        <v>0.23921026856237829</v>
      </c>
      <c r="BB93" s="21">
        <f t="shared" ca="1" si="125"/>
        <v>0.25710105012423889</v>
      </c>
      <c r="BC93" s="21">
        <f t="shared" ca="1" si="125"/>
        <v>0.26717874756488541</v>
      </c>
      <c r="BD93" s="21">
        <f t="shared" ca="1" si="125"/>
        <v>0.26905119572218911</v>
      </c>
      <c r="BE93" s="21">
        <f t="shared" ca="1" si="125"/>
        <v>0.27258467147467691</v>
      </c>
      <c r="BF93" s="21">
        <f t="shared" ca="1" si="125"/>
        <v>0.26975736707528686</v>
      </c>
      <c r="BG93" s="21">
        <f t="shared" ca="1" si="125"/>
        <v>0.26045371571384518</v>
      </c>
      <c r="BH93" s="21">
        <f t="shared" ca="1" si="125"/>
        <v>0.24732948320271142</v>
      </c>
      <c r="BI93" s="21">
        <f t="shared" ca="1" si="125"/>
        <v>0.23084488510497864</v>
      </c>
      <c r="BJ93" s="21">
        <f t="shared" ca="1" si="125"/>
        <v>0.21780317641429298</v>
      </c>
      <c r="BK93" s="21">
        <f t="shared" ca="1" si="125"/>
        <v>0.20863862811578943</v>
      </c>
      <c r="BL93" s="21">
        <f t="shared" ca="1" si="125"/>
        <v>0.20118333335985369</v>
      </c>
      <c r="BM93" s="21">
        <f t="shared" ca="1" si="125"/>
        <v>0.20104536537206252</v>
      </c>
      <c r="BN93" s="21">
        <f t="shared" ca="1" si="125"/>
        <v>0.20082669957515875</v>
      </c>
      <c r="BO93" s="21">
        <f t="shared" ca="1" si="125"/>
        <v>0.20060374654612856</v>
      </c>
      <c r="BP93" s="21">
        <f t="shared" ca="1" si="125"/>
        <v>0.19994666272644376</v>
      </c>
      <c r="BQ93" s="21">
        <f t="shared" ca="1" si="125"/>
        <v>0.19070750660098645</v>
      </c>
      <c r="BR93" s="21">
        <f t="shared" ca="1" si="125"/>
        <v>0.18083260040344118</v>
      </c>
      <c r="BS93" s="21">
        <f t="shared" ca="1" si="125"/>
        <v>0.17946192734383148</v>
      </c>
      <c r="BT93" s="21">
        <f t="shared" ca="1" si="125"/>
        <v>0.18441740441317195</v>
      </c>
      <c r="BU93" s="21">
        <f t="shared" ca="1" si="125"/>
        <v>0.18848845025958805</v>
      </c>
      <c r="BV93" s="21">
        <f t="shared" ca="1" si="125"/>
        <v>0.18063103602681946</v>
      </c>
      <c r="BW93" s="21">
        <f t="shared" ca="1" si="125"/>
        <v>0.16866475259143179</v>
      </c>
      <c r="BX93" s="21">
        <f t="shared" ca="1" si="125"/>
        <v>0.15633436811728985</v>
      </c>
      <c r="BY93" s="21">
        <f t="shared" ca="1" si="125"/>
        <v>0.14027805662937853</v>
      </c>
      <c r="BZ93" s="21">
        <f t="shared" ca="1" si="125"/>
        <v>0.12187217714851237</v>
      </c>
      <c r="CA93" s="21">
        <f t="shared" ca="1" si="125"/>
        <v>0.10589286940798884</v>
      </c>
      <c r="CB93" s="21">
        <f t="shared" ca="1" si="125"/>
        <v>9.4605043691833215E-2</v>
      </c>
      <c r="CC93" s="21">
        <f t="shared" ca="1" si="125"/>
        <v>8.9452712244664695E-2</v>
      </c>
      <c r="CD93" s="21">
        <f t="shared" ca="1" si="125"/>
        <v>9.333244119821113E-2</v>
      </c>
      <c r="CE93" s="21">
        <f t="shared" ca="1" si="125"/>
        <v>9.0910249345535252E-2</v>
      </c>
      <c r="CF93" s="21">
        <f t="shared" ca="1" si="125"/>
        <v>8.5668813159149898E-2</v>
      </c>
      <c r="CG93" s="21">
        <f t="shared" ca="1" si="125"/>
        <v>8.1862265689476965E-2</v>
      </c>
      <c r="CH93" s="21">
        <f t="shared" ca="1" si="125"/>
        <v>8.3802483629773827E-2</v>
      </c>
      <c r="CI93" s="21">
        <f t="shared" ca="1" si="125"/>
        <v>8.8014236259177564E-2</v>
      </c>
      <c r="CJ93" s="21">
        <f t="shared" ca="1" si="125"/>
        <v>8.2078566061614858E-2</v>
      </c>
      <c r="CK93" s="21">
        <f t="shared" ca="1" si="125"/>
        <v>7.3613757107270666E-2</v>
      </c>
      <c r="CL93" s="21">
        <f t="shared" ca="1" si="125"/>
        <v>6.3630175976944259E-2</v>
      </c>
      <c r="CM93" s="21">
        <f t="shared" ref="CM93:EX93" ca="1" si="126">IF(CM13="","",AVERAGE(CA67:CL67)+CONFIDENCE(0.05,STDEV(BN67:CL67),COUNT(BN67:CL67)))</f>
        <v>5.4967131819617709E-2</v>
      </c>
      <c r="CN93" s="21">
        <f t="shared" ca="1" si="126"/>
        <v>5.2188896053620475E-2</v>
      </c>
      <c r="CO93" s="21">
        <f t="shared" ca="1" si="126"/>
        <v>5.5112134893631988E-2</v>
      </c>
      <c r="CP93" s="21">
        <f t="shared" ca="1" si="126"/>
        <v>5.8201596830177602E-2</v>
      </c>
      <c r="CQ93" s="21">
        <f t="shared" ca="1" si="126"/>
        <v>6.3644269760806532E-2</v>
      </c>
      <c r="CR93" s="21">
        <f t="shared" ca="1" si="126"/>
        <v>6.1811846638511747E-2</v>
      </c>
      <c r="CS93" s="21">
        <f t="shared" ca="1" si="126"/>
        <v>6.1245971302233471E-2</v>
      </c>
      <c r="CT93" s="21">
        <f t="shared" ca="1" si="126"/>
        <v>5.9485646665149675E-2</v>
      </c>
      <c r="CU93" s="21">
        <f t="shared" ca="1" si="126"/>
        <v>5.4643909199506312E-2</v>
      </c>
      <c r="CV93" s="21">
        <f t="shared" ca="1" si="126"/>
        <v>5.5149718479393123E-2</v>
      </c>
      <c r="CW93" s="21">
        <f t="shared" ca="1" si="126"/>
        <v>5.8299807937329376E-2</v>
      </c>
      <c r="CX93" s="21">
        <f t="shared" ca="1" si="126"/>
        <v>5.9548971879907001E-2</v>
      </c>
      <c r="CY93" s="21">
        <f t="shared" ca="1" si="126"/>
        <v>5.8624458055322702E-2</v>
      </c>
      <c r="CZ93" s="21">
        <f t="shared" ca="1" si="126"/>
        <v>5.7798773639140363E-2</v>
      </c>
      <c r="DA93" s="21">
        <f t="shared" ca="1" si="126"/>
        <v>5.3696912021238802E-2</v>
      </c>
      <c r="DB93" s="21">
        <f t="shared" ca="1" si="126"/>
        <v>5.0724655426867084E-2</v>
      </c>
      <c r="DC93" s="21">
        <f t="shared" ca="1" si="126"/>
        <v>4.7501348978769127E-2</v>
      </c>
      <c r="DD93" s="21">
        <f t="shared" ca="1" si="126"/>
        <v>5.2015172830880113E-2</v>
      </c>
      <c r="DE93" s="21">
        <f t="shared" ca="1" si="126"/>
        <v>5.9257314855271852E-2</v>
      </c>
      <c r="DF93" s="21">
        <f t="shared" ca="1" si="126"/>
        <v>6.4964416969229388E-2</v>
      </c>
      <c r="DG93" s="21">
        <f t="shared" ca="1" si="126"/>
        <v>6.4061063889518183E-2</v>
      </c>
      <c r="DH93" s="21">
        <f t="shared" ca="1" si="126"/>
        <v>6.6493156223500771E-2</v>
      </c>
      <c r="DI93" s="21">
        <f t="shared" ca="1" si="126"/>
        <v>6.6800962131049274E-2</v>
      </c>
      <c r="DJ93" s="21">
        <f t="shared" ca="1" si="126"/>
        <v>6.8790120687137427E-2</v>
      </c>
      <c r="DK93" s="21">
        <f t="shared" ca="1" si="126"/>
        <v>6.9510601767090216E-2</v>
      </c>
      <c r="DL93" s="21">
        <f t="shared" ca="1" si="126"/>
        <v>7.0092080497007991E-2</v>
      </c>
      <c r="DM93" s="21">
        <f t="shared" ca="1" si="126"/>
        <v>7.0763884976245903E-2</v>
      </c>
      <c r="DN93" s="21">
        <f t="shared" ca="1" si="126"/>
        <v>6.9405942905265972E-2</v>
      </c>
      <c r="DO93" s="21">
        <f t="shared" ca="1" si="126"/>
        <v>6.8442401799672786E-2</v>
      </c>
      <c r="DP93" s="21">
        <f t="shared" ca="1" si="126"/>
        <v>6.6142428398026115E-2</v>
      </c>
      <c r="DQ93" s="21">
        <f t="shared" ca="1" si="126"/>
        <v>6.1834496706171797E-2</v>
      </c>
      <c r="DR93" s="21">
        <f t="shared" ca="1" si="126"/>
        <v>5.6432183282142737E-2</v>
      </c>
      <c r="DS93" s="21">
        <f t="shared" ca="1" si="126"/>
        <v>5.6485721833963928E-2</v>
      </c>
      <c r="DT93" s="21">
        <f t="shared" ca="1" si="126"/>
        <v>5.3318149398396866E-2</v>
      </c>
      <c r="DU93" s="21">
        <f t="shared" ca="1" si="126"/>
        <v>4.9837634001980519E-2</v>
      </c>
      <c r="DV93" s="21">
        <f t="shared" ca="1" si="126"/>
        <v>4.5788769818535621E-2</v>
      </c>
      <c r="DW93" s="21">
        <f t="shared" ca="1" si="126"/>
        <v>4.1710079595043789E-2</v>
      </c>
      <c r="DX93" s="21">
        <f t="shared" ca="1" si="126"/>
        <v>3.6740650460417891E-2</v>
      </c>
      <c r="DY93" s="21">
        <f t="shared" ca="1" si="126"/>
        <v>3.3978301910638969E-2</v>
      </c>
      <c r="DZ93" s="21">
        <f t="shared" ca="1" si="126"/>
        <v>3.5651959875415612E-2</v>
      </c>
      <c r="EA93" s="21">
        <f t="shared" ca="1" si="126"/>
        <v>3.7559138048269422E-2</v>
      </c>
      <c r="EB93" s="21">
        <f t="shared" ca="1" si="126"/>
        <v>3.9337165528073675E-2</v>
      </c>
      <c r="EC93" s="21">
        <f t="shared" ca="1" si="126"/>
        <v>3.9545491139761496E-2</v>
      </c>
      <c r="ED93" s="21">
        <f t="shared" ca="1" si="126"/>
        <v>3.9722823524055012E-2</v>
      </c>
      <c r="EE93" s="21">
        <f t="shared" ca="1" si="126"/>
        <v>3.7357464000902757E-2</v>
      </c>
      <c r="EF93" s="21">
        <f t="shared" ca="1" si="126"/>
        <v>3.7373177515051294E-2</v>
      </c>
      <c r="EG93" s="21">
        <f t="shared" ca="1" si="126"/>
        <v>3.7107977881490992E-2</v>
      </c>
      <c r="EH93" s="21">
        <f t="shared" ca="1" si="126"/>
        <v>3.6899139254930033E-2</v>
      </c>
      <c r="EI93" s="21">
        <f t="shared" ca="1" si="126"/>
        <v>3.7025697865492778E-2</v>
      </c>
      <c r="EJ93" s="21">
        <f t="shared" ca="1" si="126"/>
        <v>3.7361996845188102E-2</v>
      </c>
      <c r="EK93" s="21">
        <f t="shared" ca="1" si="126"/>
        <v>3.8497481867928944E-2</v>
      </c>
      <c r="EL93" s="21">
        <f t="shared" ca="1" si="126"/>
        <v>3.4067597052068292E-2</v>
      </c>
      <c r="EM93" s="21">
        <f t="shared" ca="1" si="126"/>
        <v>3.2441677147501145E-2</v>
      </c>
      <c r="EN93" s="21">
        <f t="shared" ca="1" si="126"/>
        <v>3.2185173630384263E-2</v>
      </c>
      <c r="EO93" s="21">
        <f t="shared" ca="1" si="126"/>
        <v>3.2753455144276987E-2</v>
      </c>
      <c r="EP93" s="21">
        <f t="shared" ca="1" si="126"/>
        <v>3.2758889421075764E-2</v>
      </c>
      <c r="EQ93" s="21">
        <f t="shared" ca="1" si="126"/>
        <v>3.3182373001868673E-2</v>
      </c>
      <c r="ER93" s="21">
        <f t="shared" ca="1" si="126"/>
        <v>3.2712712924159316E-2</v>
      </c>
      <c r="ES93" s="21">
        <f t="shared" ca="1" si="126"/>
        <v>3.2844012257185362E-2</v>
      </c>
      <c r="ET93" s="21">
        <f t="shared" ca="1" si="126"/>
        <v>3.2304471107916705E-2</v>
      </c>
      <c r="EU93" s="21">
        <f t="shared" ca="1" si="126"/>
        <v>3.3791927445801367E-2</v>
      </c>
      <c r="EV93" s="21">
        <f t="shared" ca="1" si="126"/>
        <v>3.6233685500861104E-2</v>
      </c>
      <c r="EW93" s="21">
        <f t="shared" ca="1" si="126"/>
        <v>3.4488552637565728E-2</v>
      </c>
      <c r="EX93" s="21">
        <f t="shared" ca="1" si="126"/>
        <v>3.4779551991119803E-2</v>
      </c>
      <c r="EY93" s="21">
        <f t="shared" ref="EY93:HJ93" ca="1" si="127">IF(EY13="","",AVERAGE(EM67:EX67)+CONFIDENCE(0.05,STDEV(DZ67:EX67),COUNT(DZ67:EX67)))</f>
        <v>3.2245767322990629E-2</v>
      </c>
      <c r="EZ93" s="21">
        <f t="shared" ca="1" si="127"/>
        <v>2.8324157167144152E-2</v>
      </c>
      <c r="FA93" s="21">
        <f t="shared" ca="1" si="127"/>
        <v>2.4425809480269324E-2</v>
      </c>
      <c r="FB93" s="21">
        <f t="shared" ca="1" si="127"/>
        <v>2.3721472738300699E-2</v>
      </c>
      <c r="FC93" s="21">
        <f t="shared" ca="1" si="127"/>
        <v>2.4293793775600599E-2</v>
      </c>
      <c r="FD93" s="21">
        <f t="shared" ca="1" si="127"/>
        <v>2.6878997409964002E-2</v>
      </c>
      <c r="FE93" s="21">
        <f t="shared" ca="1" si="127"/>
        <v>2.8448012673745894E-2</v>
      </c>
      <c r="FF93" s="21">
        <f t="shared" ca="1" si="127"/>
        <v>3.0709830961780159E-2</v>
      </c>
      <c r="FG93" s="21">
        <f t="shared" ca="1" si="127"/>
        <v>3.3698320185091675E-2</v>
      </c>
      <c r="FH93" s="21">
        <f t="shared" ca="1" si="127"/>
        <v>3.5222502692236216E-2</v>
      </c>
      <c r="FI93" s="21">
        <f t="shared" ca="1" si="127"/>
        <v>3.6816852433098006E-2</v>
      </c>
      <c r="FJ93" s="21">
        <f t="shared" ca="1" si="127"/>
        <v>3.8401113892286551E-2</v>
      </c>
      <c r="FK93" s="21">
        <f t="shared" ca="1" si="127"/>
        <v>4.1507205114397087E-2</v>
      </c>
      <c r="FL93" s="21">
        <f t="shared" ca="1" si="127"/>
        <v>4.2367998794747647E-2</v>
      </c>
      <c r="FM93" s="21">
        <f t="shared" ca="1" si="127"/>
        <v>4.0939142585849304E-2</v>
      </c>
      <c r="FN93" s="21">
        <f t="shared" ca="1" si="127"/>
        <v>3.9168842982273674E-2</v>
      </c>
      <c r="FO93" s="21">
        <f t="shared" ca="1" si="127"/>
        <v>3.7037900697575947E-2</v>
      </c>
      <c r="FP93" s="21">
        <f t="shared" ca="1" si="127"/>
        <v>3.5932215039511176E-2</v>
      </c>
      <c r="FQ93" s="21">
        <f t="shared" ca="1" si="127"/>
        <v>3.5654940142641131E-2</v>
      </c>
      <c r="FR93" s="21">
        <f t="shared" ca="1" si="127"/>
        <v>3.4392493116139865E-2</v>
      </c>
      <c r="FS93" s="21">
        <f t="shared" ca="1" si="127"/>
        <v>2.9373742895539907E-2</v>
      </c>
      <c r="FT93" s="21">
        <f t="shared" ca="1" si="127"/>
        <v>2.6604490332725186E-2</v>
      </c>
      <c r="FU93" s="21">
        <f t="shared" ca="1" si="127"/>
        <v>2.5907484694892052E-2</v>
      </c>
      <c r="FV93" s="21">
        <f t="shared" ca="1" si="127"/>
        <v>2.5053317557457478E-2</v>
      </c>
      <c r="FW93" s="21">
        <f t="shared" ca="1" si="127"/>
        <v>2.2832834509472162E-2</v>
      </c>
      <c r="FX93" s="21">
        <f t="shared" ca="1" si="127"/>
        <v>2.1702017814655618E-2</v>
      </c>
      <c r="FY93" s="21">
        <f t="shared" ca="1" si="127"/>
        <v>2.4132652251247902E-2</v>
      </c>
      <c r="FZ93" s="21">
        <f t="shared" ca="1" si="127"/>
        <v>2.8470530595111548E-2</v>
      </c>
      <c r="GA93" s="21">
        <f t="shared" ca="1" si="127"/>
        <v>3.2111049256327524E-2</v>
      </c>
      <c r="GB93" s="21">
        <f t="shared" ca="1" si="127"/>
        <v>3.3641216360797498E-2</v>
      </c>
      <c r="GC93" s="21">
        <f t="shared" ca="1" si="127"/>
        <v>3.4825493357598401E-2</v>
      </c>
      <c r="GD93" s="21">
        <f t="shared" ca="1" si="127"/>
        <v>3.6183814937612399E-2</v>
      </c>
      <c r="GE93" s="21">
        <f t="shared" ca="1" si="127"/>
        <v>4.9835505973047978E-2</v>
      </c>
      <c r="GF93" s="21">
        <f t="shared" ca="1" si="127"/>
        <v>7.2072915921019859E-2</v>
      </c>
      <c r="GG93" s="21">
        <f t="shared" ca="1" si="127"/>
        <v>9.1382699001345685E-2</v>
      </c>
      <c r="GH93" s="21">
        <f t="shared" ca="1" si="127"/>
        <v>0.11035463428802481</v>
      </c>
      <c r="GI93" s="21">
        <f t="shared" ca="1" si="127"/>
        <v>0.12617619117870729</v>
      </c>
      <c r="GJ93" s="21">
        <f t="shared" ca="1" si="127"/>
        <v>0.14568309825220491</v>
      </c>
      <c r="GK93" s="21">
        <f t="shared" ca="1" si="127"/>
        <v>0.15754719340998533</v>
      </c>
      <c r="GL93" s="21">
        <f t="shared" ca="1" si="127"/>
        <v>0.16812123251268424</v>
      </c>
      <c r="GM93" s="21">
        <f t="shared" ca="1" si="127"/>
        <v>0.17844656616020621</v>
      </c>
      <c r="GN93" s="21">
        <f t="shared" ca="1" si="127"/>
        <v>0.19076026821141792</v>
      </c>
      <c r="GO93" s="21">
        <f t="shared" ca="1" si="127"/>
        <v>0.20494933296847345</v>
      </c>
      <c r="GP93" s="21">
        <f t="shared" ca="1" si="127"/>
        <v>0.21834341329051152</v>
      </c>
      <c r="GQ93" s="21">
        <f t="shared" ca="1" si="127"/>
        <v>0.22495470556362679</v>
      </c>
      <c r="GR93" s="21">
        <f t="shared" ca="1" si="127"/>
        <v>0.22338934254487111</v>
      </c>
      <c r="GS93" s="21">
        <f t="shared" ca="1" si="127"/>
        <v>0.22220693684676313</v>
      </c>
      <c r="GT93" s="21">
        <f t="shared" ca="1" si="127"/>
        <v>0.2197732282548952</v>
      </c>
      <c r="GU93" s="21">
        <f t="shared" ca="1" si="127"/>
        <v>0.2194351854783172</v>
      </c>
      <c r="GV93" s="21">
        <f t="shared" ca="1" si="127"/>
        <v>0.21422777536951421</v>
      </c>
      <c r="GW93" s="21">
        <f t="shared" ca="1" si="127"/>
        <v>0.21712436588651263</v>
      </c>
      <c r="GX93" s="21">
        <f t="shared" ca="1" si="127"/>
        <v>0.21951885818834491</v>
      </c>
      <c r="GY93" s="21">
        <f t="shared" ca="1" si="127"/>
        <v>0.22964578231630672</v>
      </c>
      <c r="GZ93" s="21">
        <f t="shared" ca="1" si="127"/>
        <v>0.24118797020454474</v>
      </c>
      <c r="HA93" s="21" t="str">
        <f t="shared" si="127"/>
        <v/>
      </c>
      <c r="HB93" s="21" t="str">
        <f t="shared" si="127"/>
        <v/>
      </c>
      <c r="HC93" s="21" t="str">
        <f t="shared" si="127"/>
        <v/>
      </c>
      <c r="HD93" s="21" t="str">
        <f t="shared" si="127"/>
        <v/>
      </c>
      <c r="HE93" s="21" t="str">
        <f t="shared" si="127"/>
        <v/>
      </c>
      <c r="HF93" s="21" t="str">
        <f t="shared" si="127"/>
        <v/>
      </c>
      <c r="HG93" s="21" t="str">
        <f t="shared" si="127"/>
        <v/>
      </c>
      <c r="HH93" s="21" t="str">
        <f t="shared" si="127"/>
        <v/>
      </c>
      <c r="HI93" s="21" t="str">
        <f t="shared" si="127"/>
        <v/>
      </c>
      <c r="HJ93" s="21" t="str">
        <f t="shared" si="127"/>
        <v/>
      </c>
      <c r="HK93" s="21" t="str">
        <f t="shared" ref="HK93:JH93" si="128">IF(HK13="","",AVERAGE(GY67:HJ67)+CONFIDENCE(0.05,STDEV(GL67:HJ67),COUNT(GL67:HJ67)))</f>
        <v/>
      </c>
      <c r="HL93" s="21" t="str">
        <f t="shared" si="128"/>
        <v/>
      </c>
      <c r="HM93" s="21" t="str">
        <f t="shared" si="128"/>
        <v/>
      </c>
      <c r="HN93" s="21" t="str">
        <f t="shared" si="128"/>
        <v/>
      </c>
      <c r="HO93" s="21" t="str">
        <f t="shared" si="128"/>
        <v/>
      </c>
      <c r="HP93" s="21" t="str">
        <f t="shared" si="128"/>
        <v/>
      </c>
      <c r="HQ93" s="21" t="str">
        <f t="shared" si="128"/>
        <v/>
      </c>
      <c r="HR93" s="21" t="str">
        <f t="shared" si="128"/>
        <v/>
      </c>
      <c r="HS93" s="21" t="str">
        <f t="shared" si="128"/>
        <v/>
      </c>
      <c r="HT93" s="21" t="str">
        <f t="shared" si="128"/>
        <v/>
      </c>
      <c r="HU93" s="21" t="str">
        <f t="shared" si="128"/>
        <v/>
      </c>
      <c r="HV93" s="21" t="str">
        <f t="shared" si="128"/>
        <v/>
      </c>
      <c r="HW93" s="21" t="str">
        <f t="shared" si="128"/>
        <v/>
      </c>
      <c r="HX93" s="21" t="str">
        <f t="shared" si="128"/>
        <v/>
      </c>
      <c r="HY93" s="21" t="str">
        <f t="shared" si="128"/>
        <v/>
      </c>
      <c r="HZ93" s="21" t="str">
        <f t="shared" si="128"/>
        <v/>
      </c>
      <c r="IA93" s="21" t="str">
        <f t="shared" si="128"/>
        <v/>
      </c>
      <c r="IB93" s="21" t="str">
        <f t="shared" si="128"/>
        <v/>
      </c>
      <c r="IC93" s="21" t="str">
        <f t="shared" si="128"/>
        <v/>
      </c>
      <c r="ID93" s="21" t="str">
        <f t="shared" si="128"/>
        <v/>
      </c>
      <c r="IE93" s="21" t="str">
        <f t="shared" si="128"/>
        <v/>
      </c>
      <c r="IF93" s="21" t="str">
        <f t="shared" si="128"/>
        <v/>
      </c>
      <c r="IG93" s="21" t="str">
        <f t="shared" si="128"/>
        <v/>
      </c>
      <c r="IH93" s="21" t="str">
        <f t="shared" si="128"/>
        <v/>
      </c>
      <c r="II93" s="21" t="str">
        <f t="shared" si="128"/>
        <v/>
      </c>
      <c r="IJ93" s="21" t="str">
        <f t="shared" si="128"/>
        <v/>
      </c>
      <c r="IK93" s="21" t="str">
        <f t="shared" si="128"/>
        <v/>
      </c>
      <c r="IL93" s="21" t="str">
        <f t="shared" si="128"/>
        <v/>
      </c>
      <c r="IM93" s="21" t="str">
        <f t="shared" si="128"/>
        <v/>
      </c>
      <c r="IN93" s="21" t="str">
        <f t="shared" si="128"/>
        <v/>
      </c>
      <c r="IO93" s="21" t="str">
        <f t="shared" si="128"/>
        <v/>
      </c>
      <c r="IP93" s="21" t="str">
        <f t="shared" si="128"/>
        <v/>
      </c>
      <c r="IQ93" s="21" t="str">
        <f t="shared" si="128"/>
        <v/>
      </c>
      <c r="IR93" s="21" t="str">
        <f t="shared" si="128"/>
        <v/>
      </c>
      <c r="IS93" s="21" t="str">
        <f t="shared" si="128"/>
        <v/>
      </c>
      <c r="IT93" s="21" t="str">
        <f t="shared" si="128"/>
        <v/>
      </c>
      <c r="IU93" s="21" t="str">
        <f t="shared" si="128"/>
        <v/>
      </c>
      <c r="IV93" s="21" t="str">
        <f t="shared" si="128"/>
        <v/>
      </c>
      <c r="IW93" s="21" t="str">
        <f t="shared" si="128"/>
        <v/>
      </c>
      <c r="IX93" s="21" t="str">
        <f t="shared" si="128"/>
        <v/>
      </c>
      <c r="IY93" s="21" t="str">
        <f t="shared" si="128"/>
        <v/>
      </c>
      <c r="IZ93" s="21" t="str">
        <f t="shared" si="128"/>
        <v/>
      </c>
      <c r="JA93" s="21" t="str">
        <f t="shared" si="128"/>
        <v/>
      </c>
      <c r="JB93" s="21" t="str">
        <f t="shared" si="128"/>
        <v/>
      </c>
      <c r="JC93" s="21" t="str">
        <f t="shared" si="128"/>
        <v/>
      </c>
      <c r="JD93" s="21" t="str">
        <f t="shared" si="128"/>
        <v/>
      </c>
      <c r="JE93" s="21" t="str">
        <f t="shared" si="128"/>
        <v/>
      </c>
      <c r="JF93" s="21" t="str">
        <f t="shared" si="128"/>
        <v/>
      </c>
      <c r="JG93" s="21" t="str">
        <f t="shared" si="128"/>
        <v/>
      </c>
      <c r="JH93" s="21" t="str">
        <f t="shared" si="128"/>
        <v/>
      </c>
    </row>
    <row r="94" spans="1:336" x14ac:dyDescent="0.25"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>
        <f t="shared" ref="AA94:CL94" ca="1" si="129">IF(AA14="","",AVERAGE(N68:Z68)+CONFIDENCE(0.05,STDEV(B68:Z68),COUNT(B68:Z68)))</f>
        <v>3.022390413608219E-2</v>
      </c>
      <c r="AB94" s="21">
        <f t="shared" ca="1" si="129"/>
        <v>3.1544907073183304E-2</v>
      </c>
      <c r="AC94" s="21">
        <f t="shared" ca="1" si="129"/>
        <v>3.2497558223280022E-2</v>
      </c>
      <c r="AD94" s="21">
        <f t="shared" ca="1" si="129"/>
        <v>3.3023223016195175E-2</v>
      </c>
      <c r="AE94" s="21">
        <f t="shared" ca="1" si="129"/>
        <v>3.2535421794641237E-2</v>
      </c>
      <c r="AF94" s="21">
        <f t="shared" ca="1" si="129"/>
        <v>3.3212914494534646E-2</v>
      </c>
      <c r="AG94" s="21">
        <f t="shared" ca="1" si="129"/>
        <v>3.1698607739842628E-2</v>
      </c>
      <c r="AH94" s="21">
        <f t="shared" ca="1" si="129"/>
        <v>3.0414633865577159E-2</v>
      </c>
      <c r="AI94" s="21">
        <f t="shared" ca="1" si="129"/>
        <v>3.262821681354619E-2</v>
      </c>
      <c r="AJ94" s="21">
        <f t="shared" ca="1" si="129"/>
        <v>3.3198339386478301E-2</v>
      </c>
      <c r="AK94" s="21">
        <f t="shared" ca="1" si="129"/>
        <v>3.4867609144953141E-2</v>
      </c>
      <c r="AL94" s="21">
        <f t="shared" ca="1" si="129"/>
        <v>3.779465187904596E-2</v>
      </c>
      <c r="AM94" s="21">
        <f t="shared" ca="1" si="129"/>
        <v>4.249180820251152E-2</v>
      </c>
      <c r="AN94" s="21">
        <f t="shared" ca="1" si="129"/>
        <v>5.1093148080911609E-2</v>
      </c>
      <c r="AO94" s="21">
        <f t="shared" ca="1" si="129"/>
        <v>6.1256484744491892E-2</v>
      </c>
      <c r="AP94" s="21">
        <f t="shared" ca="1" si="129"/>
        <v>6.9674684751819371E-2</v>
      </c>
      <c r="AQ94" s="21">
        <f t="shared" ca="1" si="129"/>
        <v>8.0377333753427954E-2</v>
      </c>
      <c r="AR94" s="21">
        <f t="shared" ca="1" si="129"/>
        <v>9.3885365999793996E-2</v>
      </c>
      <c r="AS94" s="21">
        <f t="shared" ca="1" si="129"/>
        <v>0.10905979513109409</v>
      </c>
      <c r="AT94" s="21">
        <f t="shared" ca="1" si="129"/>
        <v>0.12501581390389122</v>
      </c>
      <c r="AU94" s="21">
        <f t="shared" ca="1" si="129"/>
        <v>0.1403115064288202</v>
      </c>
      <c r="AV94" s="21">
        <f t="shared" ca="1" si="129"/>
        <v>0.15793061839873229</v>
      </c>
      <c r="AW94" s="21">
        <f t="shared" ca="1" si="129"/>
        <v>0.17978858453775504</v>
      </c>
      <c r="AX94" s="21">
        <f t="shared" ca="1" si="129"/>
        <v>0.2027978157386999</v>
      </c>
      <c r="AY94" s="21">
        <f t="shared" ca="1" si="129"/>
        <v>0.22578977361424091</v>
      </c>
      <c r="AZ94" s="21">
        <f t="shared" ca="1" si="129"/>
        <v>0.24650083340302503</v>
      </c>
      <c r="BA94" s="21">
        <f t="shared" ca="1" si="129"/>
        <v>0.26217762107210435</v>
      </c>
      <c r="BB94" s="21">
        <f t="shared" ca="1" si="129"/>
        <v>0.28014718721005522</v>
      </c>
      <c r="BC94" s="21">
        <f t="shared" ca="1" si="129"/>
        <v>0.28903582207641443</v>
      </c>
      <c r="BD94" s="21">
        <f t="shared" ca="1" si="129"/>
        <v>0.28828372584230888</v>
      </c>
      <c r="BE94" s="21">
        <f t="shared" ca="1" si="129"/>
        <v>0.28881141560308093</v>
      </c>
      <c r="BF94" s="21">
        <f t="shared" ca="1" si="129"/>
        <v>0.28420067234695601</v>
      </c>
      <c r="BG94" s="21">
        <f t="shared" ca="1" si="129"/>
        <v>0.27421552174059804</v>
      </c>
      <c r="BH94" s="21">
        <f t="shared" ca="1" si="129"/>
        <v>0.26257325194396958</v>
      </c>
      <c r="BI94" s="21">
        <f t="shared" ca="1" si="129"/>
        <v>0.24789308017280359</v>
      </c>
      <c r="BJ94" s="21">
        <f t="shared" ca="1" si="129"/>
        <v>0.23746050187467777</v>
      </c>
      <c r="BK94" s="21">
        <f t="shared" ca="1" si="129"/>
        <v>0.22992129825501223</v>
      </c>
      <c r="BL94" s="21">
        <f t="shared" ca="1" si="129"/>
        <v>0.22237619217410873</v>
      </c>
      <c r="BM94" s="21">
        <f t="shared" ca="1" si="129"/>
        <v>0.22008848740666281</v>
      </c>
      <c r="BN94" s="21">
        <f t="shared" ca="1" si="129"/>
        <v>0.22274942615995774</v>
      </c>
      <c r="BO94" s="21">
        <f t="shared" ca="1" si="129"/>
        <v>0.21685449824000125</v>
      </c>
      <c r="BP94" s="21">
        <f t="shared" ca="1" si="129"/>
        <v>0.21181332684613177</v>
      </c>
      <c r="BQ94" s="21">
        <f t="shared" ca="1" si="129"/>
        <v>0.20855052266489918</v>
      </c>
      <c r="BR94" s="21">
        <f t="shared" ca="1" si="129"/>
        <v>0.19804244494990467</v>
      </c>
      <c r="BS94" s="21">
        <f t="shared" ca="1" si="129"/>
        <v>0.19269185124816432</v>
      </c>
      <c r="BT94" s="21">
        <f t="shared" ca="1" si="129"/>
        <v>0.19549985510116416</v>
      </c>
      <c r="BU94" s="21">
        <f t="shared" ca="1" si="129"/>
        <v>0.19893896547503115</v>
      </c>
      <c r="BV94" s="21">
        <f t="shared" ca="1" si="129"/>
        <v>0.19919987799817754</v>
      </c>
      <c r="BW94" s="21">
        <f t="shared" ca="1" si="129"/>
        <v>0.19191661386689049</v>
      </c>
      <c r="BX94" s="21">
        <f t="shared" ca="1" si="129"/>
        <v>0.17976578451678663</v>
      </c>
      <c r="BY94" s="21">
        <f t="shared" ca="1" si="129"/>
        <v>0.16748962001344486</v>
      </c>
      <c r="BZ94" s="21">
        <f t="shared" ca="1" si="129"/>
        <v>0.1510209401518301</v>
      </c>
      <c r="CA94" s="21">
        <f t="shared" ca="1" si="129"/>
        <v>0.13012369239989763</v>
      </c>
      <c r="CB94" s="21">
        <f t="shared" ca="1" si="129"/>
        <v>0.11254178805431445</v>
      </c>
      <c r="CC94" s="21">
        <f t="shared" ca="1" si="129"/>
        <v>0.10045816934160534</v>
      </c>
      <c r="CD94" s="21">
        <f t="shared" ca="1" si="129"/>
        <v>9.6301152697041148E-2</v>
      </c>
      <c r="CE94" s="21">
        <f t="shared" ca="1" si="129"/>
        <v>9.6071295380220717E-2</v>
      </c>
      <c r="CF94" s="21">
        <f t="shared" ca="1" si="129"/>
        <v>9.423074243722436E-2</v>
      </c>
      <c r="CG94" s="21">
        <f t="shared" ca="1" si="129"/>
        <v>8.7044727197166077E-2</v>
      </c>
      <c r="CH94" s="21">
        <f t="shared" ca="1" si="129"/>
        <v>8.380957891909567E-2</v>
      </c>
      <c r="CI94" s="21">
        <f t="shared" ca="1" si="129"/>
        <v>8.8673231877259992E-2</v>
      </c>
      <c r="CJ94" s="21">
        <f t="shared" ca="1" si="129"/>
        <v>8.5610221487569901E-2</v>
      </c>
      <c r="CK94" s="21">
        <f t="shared" ca="1" si="129"/>
        <v>8.0585718819506491E-2</v>
      </c>
      <c r="CL94" s="21">
        <f t="shared" ca="1" si="129"/>
        <v>7.1574574369318023E-2</v>
      </c>
      <c r="CM94" s="21">
        <f t="shared" ref="CM94:EX94" ca="1" si="130">IF(CM14="","",AVERAGE(BZ68:CL68)+CONFIDENCE(0.05,STDEV(BN68:CL68),COUNT(BN68:CL68)))</f>
        <v>6.2059151513092631E-2</v>
      </c>
      <c r="CN94" s="21">
        <f t="shared" ca="1" si="130"/>
        <v>5.4392133360691056E-2</v>
      </c>
      <c r="CO94" s="21">
        <f t="shared" ca="1" si="130"/>
        <v>5.3375173265273752E-2</v>
      </c>
      <c r="CP94" s="21">
        <f t="shared" ca="1" si="130"/>
        <v>5.8951285092192253E-2</v>
      </c>
      <c r="CQ94" s="21">
        <f t="shared" ca="1" si="130"/>
        <v>6.0198820105997482E-2</v>
      </c>
      <c r="CR94" s="21">
        <f t="shared" ca="1" si="130"/>
        <v>6.1462307454762839E-2</v>
      </c>
      <c r="CS94" s="21">
        <f t="shared" ca="1" si="130"/>
        <v>6.0661529741799572E-2</v>
      </c>
      <c r="CT94" s="21">
        <f t="shared" ca="1" si="130"/>
        <v>6.1253665480805346E-2</v>
      </c>
      <c r="CU94" s="21">
        <f t="shared" ca="1" si="130"/>
        <v>6.0488717661730487E-2</v>
      </c>
      <c r="CV94" s="21">
        <f t="shared" ca="1" si="130"/>
        <v>5.560219816055615E-2</v>
      </c>
      <c r="CW94" s="21">
        <f t="shared" ca="1" si="130"/>
        <v>5.7399858689218299E-2</v>
      </c>
      <c r="CX94" s="21">
        <f t="shared" ca="1" si="130"/>
        <v>5.8741009919941439E-2</v>
      </c>
      <c r="CY94" s="21">
        <f t="shared" ca="1" si="130"/>
        <v>6.128314464717062E-2</v>
      </c>
      <c r="CZ94" s="21">
        <f t="shared" ca="1" si="130"/>
        <v>6.2076626833656029E-2</v>
      </c>
      <c r="DA94" s="21">
        <f t="shared" ca="1" si="130"/>
        <v>5.9394501264635746E-2</v>
      </c>
      <c r="DB94" s="21">
        <f t="shared" ca="1" si="130"/>
        <v>5.8417365633774754E-2</v>
      </c>
      <c r="DC94" s="21">
        <f t="shared" ca="1" si="130"/>
        <v>5.5422214993972388E-2</v>
      </c>
      <c r="DD94" s="21">
        <f t="shared" ca="1" si="130"/>
        <v>5.4398337195775304E-2</v>
      </c>
      <c r="DE94" s="21">
        <f t="shared" ca="1" si="130"/>
        <v>6.0924305538783932E-2</v>
      </c>
      <c r="DF94" s="21">
        <f t="shared" ca="1" si="130"/>
        <v>6.7072499976766842E-2</v>
      </c>
      <c r="DG94" s="21">
        <f t="shared" ca="1" si="130"/>
        <v>7.0172900213558098E-2</v>
      </c>
      <c r="DH94" s="21">
        <f t="shared" ca="1" si="130"/>
        <v>7.1971675249125136E-2</v>
      </c>
      <c r="DI94" s="21">
        <f t="shared" ca="1" si="130"/>
        <v>7.4704699552625889E-2</v>
      </c>
      <c r="DJ94" s="21">
        <f t="shared" ca="1" si="130"/>
        <v>7.5408246357185738E-2</v>
      </c>
      <c r="DK94" s="21">
        <f t="shared" ca="1" si="130"/>
        <v>7.7947206713032902E-2</v>
      </c>
      <c r="DL94" s="21">
        <f t="shared" ca="1" si="130"/>
        <v>7.9446733227633196E-2</v>
      </c>
      <c r="DM94" s="21">
        <f t="shared" ca="1" si="130"/>
        <v>7.7165965920962434E-2</v>
      </c>
      <c r="DN94" s="21">
        <f t="shared" ca="1" si="130"/>
        <v>7.6486929247881252E-2</v>
      </c>
      <c r="DO94" s="21">
        <f t="shared" ca="1" si="130"/>
        <v>7.3687407872746025E-2</v>
      </c>
      <c r="DP94" s="21">
        <f t="shared" ca="1" si="130"/>
        <v>7.2577362551922056E-2</v>
      </c>
      <c r="DQ94" s="21">
        <f t="shared" ca="1" si="130"/>
        <v>7.0785078652778596E-2</v>
      </c>
      <c r="DR94" s="21">
        <f t="shared" ca="1" si="130"/>
        <v>6.5054198180506909E-2</v>
      </c>
      <c r="DS94" s="21">
        <f t="shared" ca="1" si="130"/>
        <v>5.9488984884323443E-2</v>
      </c>
      <c r="DT94" s="21">
        <f t="shared" ca="1" si="130"/>
        <v>5.6867075858328495E-2</v>
      </c>
      <c r="DU94" s="21">
        <f t="shared" ca="1" si="130"/>
        <v>5.3917543811450565E-2</v>
      </c>
      <c r="DV94" s="21">
        <f t="shared" ca="1" si="130"/>
        <v>5.1012017662029778E-2</v>
      </c>
      <c r="DW94" s="21">
        <f t="shared" ca="1" si="130"/>
        <v>4.677953931447406E-2</v>
      </c>
      <c r="DX94" s="21">
        <f t="shared" ca="1" si="130"/>
        <v>4.1446788188912634E-2</v>
      </c>
      <c r="DY94" s="21">
        <f t="shared" ca="1" si="130"/>
        <v>3.6040722725635584E-2</v>
      </c>
      <c r="DZ94" s="21">
        <f t="shared" ca="1" si="130"/>
        <v>3.7816905468163686E-2</v>
      </c>
      <c r="EA94" s="21">
        <f t="shared" ca="1" si="130"/>
        <v>3.9118600998075334E-2</v>
      </c>
      <c r="EB94" s="21">
        <f t="shared" ca="1" si="130"/>
        <v>4.0943530125253827E-2</v>
      </c>
      <c r="EC94" s="21">
        <f t="shared" ca="1" si="130"/>
        <v>4.1792945514074552E-2</v>
      </c>
      <c r="ED94" s="21">
        <f t="shared" ca="1" si="130"/>
        <v>3.9636882506777188E-2</v>
      </c>
      <c r="EE94" s="21">
        <f t="shared" ca="1" si="130"/>
        <v>3.8965996137402654E-2</v>
      </c>
      <c r="EF94" s="21">
        <f t="shared" ca="1" si="130"/>
        <v>3.8155487109061678E-2</v>
      </c>
      <c r="EG94" s="21">
        <f t="shared" ca="1" si="130"/>
        <v>3.8713767091923021E-2</v>
      </c>
      <c r="EH94" s="21">
        <f t="shared" ca="1" si="130"/>
        <v>3.8605321711414453E-2</v>
      </c>
      <c r="EI94" s="21">
        <f t="shared" ca="1" si="130"/>
        <v>3.8301640350680191E-2</v>
      </c>
      <c r="EJ94" s="21">
        <f t="shared" ca="1" si="130"/>
        <v>3.7834460710207372E-2</v>
      </c>
      <c r="EK94" s="21">
        <f t="shared" ca="1" si="130"/>
        <v>3.9211349831286747E-2</v>
      </c>
      <c r="EL94" s="21">
        <f t="shared" ca="1" si="130"/>
        <v>3.9769278288932869E-2</v>
      </c>
      <c r="EM94" s="21">
        <f t="shared" ca="1" si="130"/>
        <v>3.7460901631709162E-2</v>
      </c>
      <c r="EN94" s="21">
        <f t="shared" ca="1" si="130"/>
        <v>3.7457621030911846E-2</v>
      </c>
      <c r="EO94" s="21">
        <f t="shared" ca="1" si="130"/>
        <v>3.8598011314453652E-2</v>
      </c>
      <c r="EP94" s="21">
        <f t="shared" ca="1" si="130"/>
        <v>3.5904251431051679E-2</v>
      </c>
      <c r="EQ94" s="21">
        <f t="shared" ca="1" si="130"/>
        <v>3.5633645807182555E-2</v>
      </c>
      <c r="ER94" s="21">
        <f t="shared" ca="1" si="130"/>
        <v>3.4582155051494576E-2</v>
      </c>
      <c r="ES94" s="21">
        <f t="shared" ca="1" si="130"/>
        <v>3.4621294757226896E-2</v>
      </c>
      <c r="ET94" s="21">
        <f t="shared" ca="1" si="130"/>
        <v>3.4306325819713934E-2</v>
      </c>
      <c r="EU94" s="21">
        <f t="shared" ca="1" si="130"/>
        <v>3.7791922597294081E-2</v>
      </c>
      <c r="EV94" s="21">
        <f t="shared" ca="1" si="130"/>
        <v>3.9367668371660385E-2</v>
      </c>
      <c r="EW94" s="21">
        <f t="shared" ca="1" si="130"/>
        <v>3.9196395730712916E-2</v>
      </c>
      <c r="EX94" s="21">
        <f t="shared" ca="1" si="130"/>
        <v>3.6623889439533854E-2</v>
      </c>
      <c r="EY94" s="21">
        <f t="shared" ref="EY94:HJ94" ca="1" si="131">IF(EY14="","",AVERAGE(EL68:EX68)+CONFIDENCE(0.05,STDEV(DZ68:EX68),COUNT(DZ68:EX68)))</f>
        <v>3.538019346305063E-2</v>
      </c>
      <c r="EZ94" s="21">
        <f t="shared" ca="1" si="131"/>
        <v>3.2846120986420563E-2</v>
      </c>
      <c r="FA94" s="21">
        <f t="shared" ca="1" si="131"/>
        <v>2.9667182181788161E-2</v>
      </c>
      <c r="FB94" s="21">
        <f t="shared" ca="1" si="131"/>
        <v>2.6269207111753665E-2</v>
      </c>
      <c r="FC94" s="21">
        <f t="shared" ca="1" si="131"/>
        <v>2.6356041801261922E-2</v>
      </c>
      <c r="FD94" s="21">
        <f t="shared" ca="1" si="131"/>
        <v>2.6253168345184642E-2</v>
      </c>
      <c r="FE94" s="21">
        <f t="shared" ca="1" si="131"/>
        <v>2.7952083107764231E-2</v>
      </c>
      <c r="FF94" s="21">
        <f t="shared" ca="1" si="131"/>
        <v>2.8920445937261341E-2</v>
      </c>
      <c r="FG94" s="21">
        <f t="shared" ca="1" si="131"/>
        <v>3.4701467597022924E-2</v>
      </c>
      <c r="FH94" s="21">
        <f t="shared" ca="1" si="131"/>
        <v>3.6324626420430869E-2</v>
      </c>
      <c r="FI94" s="21">
        <f t="shared" ca="1" si="131"/>
        <v>3.5347810800516896E-2</v>
      </c>
      <c r="FJ94" s="21">
        <f t="shared" ca="1" si="131"/>
        <v>3.716932685143947E-2</v>
      </c>
      <c r="FK94" s="21">
        <f t="shared" ca="1" si="131"/>
        <v>4.1072559358625874E-2</v>
      </c>
      <c r="FL94" s="21">
        <f t="shared" ca="1" si="131"/>
        <v>4.2452412452912085E-2</v>
      </c>
      <c r="FM94" s="21">
        <f t="shared" ca="1" si="131"/>
        <v>4.2217678670300601E-2</v>
      </c>
      <c r="FN94" s="21">
        <f t="shared" ca="1" si="131"/>
        <v>4.0683385158854939E-2</v>
      </c>
      <c r="FO94" s="21">
        <f t="shared" ca="1" si="131"/>
        <v>3.8910053155412468E-2</v>
      </c>
      <c r="FP94" s="21">
        <f t="shared" ca="1" si="131"/>
        <v>3.8532909639167022E-2</v>
      </c>
      <c r="FQ94" s="21">
        <f t="shared" ca="1" si="131"/>
        <v>3.8735168963850458E-2</v>
      </c>
      <c r="FR94" s="21">
        <f t="shared" ca="1" si="131"/>
        <v>3.8049522125380715E-2</v>
      </c>
      <c r="FS94" s="21">
        <f t="shared" ca="1" si="131"/>
        <v>3.5890938290670658E-2</v>
      </c>
      <c r="FT94" s="21">
        <f t="shared" ca="1" si="131"/>
        <v>3.1665762849856893E-2</v>
      </c>
      <c r="FU94" s="21">
        <f t="shared" ca="1" si="131"/>
        <v>2.7657444246645225E-2</v>
      </c>
      <c r="FV94" s="21">
        <f t="shared" ca="1" si="131"/>
        <v>2.6189558741685867E-2</v>
      </c>
      <c r="FW94" s="21">
        <f t="shared" ca="1" si="131"/>
        <v>2.5012741522562883E-2</v>
      </c>
      <c r="FX94" s="21">
        <f t="shared" ca="1" si="131"/>
        <v>2.1320831494117013E-2</v>
      </c>
      <c r="FY94" s="21">
        <f t="shared" ca="1" si="131"/>
        <v>2.2510303001527676E-2</v>
      </c>
      <c r="FZ94" s="21">
        <f t="shared" ca="1" si="131"/>
        <v>2.6655230457558125E-2</v>
      </c>
      <c r="GA94" s="21">
        <f t="shared" ca="1" si="131"/>
        <v>3.02249057552972E-2</v>
      </c>
      <c r="GB94" s="21">
        <f t="shared" ca="1" si="131"/>
        <v>3.2819074713314501E-2</v>
      </c>
      <c r="GC94" s="21">
        <f t="shared" ca="1" si="131"/>
        <v>3.4408826218814408E-2</v>
      </c>
      <c r="GD94" s="21">
        <f t="shared" ca="1" si="131"/>
        <v>4.4619447582555365E-2</v>
      </c>
      <c r="GE94" s="21">
        <f t="shared" ca="1" si="131"/>
        <v>6.6037409793483326E-2</v>
      </c>
      <c r="GF94" s="21">
        <f t="shared" ca="1" si="131"/>
        <v>8.9605585120568002E-2</v>
      </c>
      <c r="GG94" s="21">
        <f t="shared" ca="1" si="131"/>
        <v>0.1092570136188194</v>
      </c>
      <c r="GH94" s="21">
        <f t="shared" ca="1" si="131"/>
        <v>0.12489922897188639</v>
      </c>
      <c r="GI94" s="21">
        <f t="shared" ca="1" si="131"/>
        <v>0.13945668948905288</v>
      </c>
      <c r="GJ94" s="21">
        <f t="shared" ca="1" si="131"/>
        <v>0.15507349840202844</v>
      </c>
      <c r="GK94" s="21">
        <f t="shared" ca="1" si="131"/>
        <v>0.16734224113193563</v>
      </c>
      <c r="GL94" s="21">
        <f t="shared" ca="1" si="131"/>
        <v>0.17765893765773072</v>
      </c>
      <c r="GM94" s="21">
        <f t="shared" ca="1" si="131"/>
        <v>0.18763615577548193</v>
      </c>
      <c r="GN94" s="21">
        <f t="shared" ca="1" si="131"/>
        <v>0.19795180915461352</v>
      </c>
      <c r="GO94" s="21">
        <f t="shared" ca="1" si="131"/>
        <v>0.20951669245612672</v>
      </c>
      <c r="GP94" s="21">
        <f t="shared" ca="1" si="131"/>
        <v>0.22291199076988649</v>
      </c>
      <c r="GQ94" s="21">
        <f t="shared" ca="1" si="131"/>
        <v>0.22991729778556394</v>
      </c>
      <c r="GR94" s="21">
        <f t="shared" ca="1" si="131"/>
        <v>0.22848019542109221</v>
      </c>
      <c r="GS94" s="21">
        <f t="shared" ca="1" si="131"/>
        <v>0.22382459759012413</v>
      </c>
      <c r="GT94" s="21">
        <f t="shared" ca="1" si="131"/>
        <v>0.21868117685834346</v>
      </c>
      <c r="GU94" s="21">
        <f t="shared" ca="1" si="131"/>
        <v>0.21712910817330172</v>
      </c>
      <c r="GV94" s="21">
        <f t="shared" ca="1" si="131"/>
        <v>0.21581904994071344</v>
      </c>
      <c r="GW94" s="21">
        <f t="shared" ca="1" si="131"/>
        <v>0.20911756902433651</v>
      </c>
      <c r="GX94" s="21">
        <f t="shared" ca="1" si="131"/>
        <v>0.21425836327183603</v>
      </c>
      <c r="GY94" s="21">
        <f t="shared" ca="1" si="131"/>
        <v>0.21827124236076406</v>
      </c>
      <c r="GZ94" s="21">
        <f t="shared" ca="1" si="131"/>
        <v>0.215304218489206</v>
      </c>
      <c r="HA94" s="21" t="str">
        <f t="shared" si="131"/>
        <v/>
      </c>
      <c r="HB94" s="21" t="str">
        <f t="shared" si="131"/>
        <v/>
      </c>
      <c r="HC94" s="21" t="str">
        <f t="shared" si="131"/>
        <v/>
      </c>
      <c r="HD94" s="21" t="str">
        <f t="shared" si="131"/>
        <v/>
      </c>
      <c r="HE94" s="21" t="str">
        <f t="shared" si="131"/>
        <v/>
      </c>
      <c r="HF94" s="21" t="str">
        <f t="shared" si="131"/>
        <v/>
      </c>
      <c r="HG94" s="21" t="str">
        <f t="shared" si="131"/>
        <v/>
      </c>
      <c r="HH94" s="21" t="str">
        <f t="shared" si="131"/>
        <v/>
      </c>
      <c r="HI94" s="21" t="str">
        <f t="shared" si="131"/>
        <v/>
      </c>
      <c r="HJ94" s="21" t="str">
        <f t="shared" si="131"/>
        <v/>
      </c>
      <c r="HK94" s="21" t="str">
        <f t="shared" ref="HK94:JH94" si="132">IF(HK14="","",AVERAGE(GX68:HJ68)+CONFIDENCE(0.05,STDEV(GL68:HJ68),COUNT(GL68:HJ68)))</f>
        <v/>
      </c>
      <c r="HL94" s="21" t="str">
        <f t="shared" si="132"/>
        <v/>
      </c>
      <c r="HM94" s="21" t="str">
        <f t="shared" si="132"/>
        <v/>
      </c>
      <c r="HN94" s="21" t="str">
        <f t="shared" si="132"/>
        <v/>
      </c>
      <c r="HO94" s="21" t="str">
        <f t="shared" si="132"/>
        <v/>
      </c>
      <c r="HP94" s="21" t="str">
        <f t="shared" si="132"/>
        <v/>
      </c>
      <c r="HQ94" s="21" t="str">
        <f t="shared" si="132"/>
        <v/>
      </c>
      <c r="HR94" s="21" t="str">
        <f t="shared" si="132"/>
        <v/>
      </c>
      <c r="HS94" s="21" t="str">
        <f t="shared" si="132"/>
        <v/>
      </c>
      <c r="HT94" s="21" t="str">
        <f t="shared" si="132"/>
        <v/>
      </c>
      <c r="HU94" s="21" t="str">
        <f t="shared" si="132"/>
        <v/>
      </c>
      <c r="HV94" s="21" t="str">
        <f t="shared" si="132"/>
        <v/>
      </c>
      <c r="HW94" s="21" t="str">
        <f t="shared" si="132"/>
        <v/>
      </c>
      <c r="HX94" s="21" t="str">
        <f t="shared" si="132"/>
        <v/>
      </c>
      <c r="HY94" s="21" t="str">
        <f t="shared" si="132"/>
        <v/>
      </c>
      <c r="HZ94" s="21" t="str">
        <f t="shared" si="132"/>
        <v/>
      </c>
      <c r="IA94" s="21" t="str">
        <f t="shared" si="132"/>
        <v/>
      </c>
      <c r="IB94" s="21" t="str">
        <f t="shared" si="132"/>
        <v/>
      </c>
      <c r="IC94" s="21" t="str">
        <f t="shared" si="132"/>
        <v/>
      </c>
      <c r="ID94" s="21" t="str">
        <f t="shared" si="132"/>
        <v/>
      </c>
      <c r="IE94" s="21" t="str">
        <f t="shared" si="132"/>
        <v/>
      </c>
      <c r="IF94" s="21" t="str">
        <f t="shared" si="132"/>
        <v/>
      </c>
      <c r="IG94" s="21" t="str">
        <f t="shared" si="132"/>
        <v/>
      </c>
      <c r="IH94" s="21" t="str">
        <f t="shared" si="132"/>
        <v/>
      </c>
      <c r="II94" s="21" t="str">
        <f t="shared" si="132"/>
        <v/>
      </c>
      <c r="IJ94" s="21" t="str">
        <f t="shared" si="132"/>
        <v/>
      </c>
      <c r="IK94" s="21" t="str">
        <f t="shared" si="132"/>
        <v/>
      </c>
      <c r="IL94" s="21" t="str">
        <f t="shared" si="132"/>
        <v/>
      </c>
      <c r="IM94" s="21" t="str">
        <f t="shared" si="132"/>
        <v/>
      </c>
      <c r="IN94" s="21" t="str">
        <f t="shared" si="132"/>
        <v/>
      </c>
      <c r="IO94" s="21" t="str">
        <f t="shared" si="132"/>
        <v/>
      </c>
      <c r="IP94" s="21" t="str">
        <f t="shared" si="132"/>
        <v/>
      </c>
      <c r="IQ94" s="21" t="str">
        <f t="shared" si="132"/>
        <v/>
      </c>
      <c r="IR94" s="21" t="str">
        <f t="shared" si="132"/>
        <v/>
      </c>
      <c r="IS94" s="21" t="str">
        <f t="shared" si="132"/>
        <v/>
      </c>
      <c r="IT94" s="21" t="str">
        <f t="shared" si="132"/>
        <v/>
      </c>
      <c r="IU94" s="21" t="str">
        <f t="shared" si="132"/>
        <v/>
      </c>
      <c r="IV94" s="21" t="str">
        <f t="shared" si="132"/>
        <v/>
      </c>
      <c r="IW94" s="21" t="str">
        <f t="shared" si="132"/>
        <v/>
      </c>
      <c r="IX94" s="21" t="str">
        <f t="shared" si="132"/>
        <v/>
      </c>
      <c r="IY94" s="21" t="str">
        <f t="shared" si="132"/>
        <v/>
      </c>
      <c r="IZ94" s="21" t="str">
        <f t="shared" si="132"/>
        <v/>
      </c>
      <c r="JA94" s="21" t="str">
        <f t="shared" si="132"/>
        <v/>
      </c>
      <c r="JB94" s="21" t="str">
        <f t="shared" si="132"/>
        <v/>
      </c>
      <c r="JC94" s="21" t="str">
        <f t="shared" si="132"/>
        <v/>
      </c>
      <c r="JD94" s="21" t="str">
        <f t="shared" si="132"/>
        <v/>
      </c>
      <c r="JE94" s="21" t="str">
        <f t="shared" si="132"/>
        <v/>
      </c>
      <c r="JF94" s="21" t="str">
        <f t="shared" si="132"/>
        <v/>
      </c>
      <c r="JG94" s="21" t="str">
        <f t="shared" si="132"/>
        <v/>
      </c>
      <c r="JH94" s="21" t="str">
        <f t="shared" si="132"/>
        <v/>
      </c>
    </row>
  </sheetData>
  <conditionalFormatting sqref="B30:JH41">
    <cfRule type="expression" dxfId="3" priority="13">
      <formula>B30&lt;-$JN30</formula>
    </cfRule>
    <cfRule type="expression" dxfId="2" priority="14">
      <formula>B30&gt;$JN30</formula>
    </cfRule>
  </conditionalFormatting>
  <conditionalFormatting sqref="B30:JH41 B57:JH68">
    <cfRule type="cellIs" dxfId="1" priority="12" operator="equal">
      <formula>""</formula>
    </cfRule>
  </conditionalFormatting>
  <conditionalFormatting sqref="B57:JH68">
    <cfRule type="expression" dxfId="0" priority="15">
      <formula>B57&gt;$CB57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445"/>
  <sheetViews>
    <sheetView workbookViewId="0">
      <selection activeCell="D3" sqref="D3"/>
    </sheetView>
  </sheetViews>
  <sheetFormatPr baseColWidth="10" defaultRowHeight="15" x14ac:dyDescent="0.25"/>
  <cols>
    <col min="1" max="1" width="10.7109375" style="2" bestFit="1" customWidth="1"/>
    <col min="2" max="2" width="11.7109375" bestFit="1" customWidth="1"/>
  </cols>
  <sheetData>
    <row r="1" spans="1:5" x14ac:dyDescent="0.25">
      <c r="A1" s="2" t="s">
        <v>0</v>
      </c>
      <c r="B1" t="s">
        <v>7</v>
      </c>
      <c r="D1" t="s">
        <v>8</v>
      </c>
      <c r="E1" t="s">
        <v>9</v>
      </c>
    </row>
    <row r="2" spans="1:5" x14ac:dyDescent="0.25">
      <c r="A2" s="2">
        <v>35095</v>
      </c>
      <c r="B2" s="1">
        <f>IF([1]Rseries!B7="","",[1]Rseries!B7)</f>
        <v>2995774</v>
      </c>
      <c r="D2">
        <f>COUNT(Mediana!3:3)-Amplitud</f>
        <v>172</v>
      </c>
      <c r="E2">
        <v>36</v>
      </c>
    </row>
    <row r="3" spans="1:5" x14ac:dyDescent="0.25">
      <c r="A3" s="2">
        <v>35124</v>
      </c>
      <c r="B3" s="1">
        <f>IF([1]Rseries!B8="","",[1]Rseries!B8)</f>
        <v>2994922</v>
      </c>
    </row>
    <row r="4" spans="1:5" x14ac:dyDescent="0.25">
      <c r="A4" s="2">
        <v>35155</v>
      </c>
      <c r="B4" s="1">
        <f>IF([1]Rseries!B9="","",[1]Rseries!B9)</f>
        <v>2969472</v>
      </c>
    </row>
    <row r="5" spans="1:5" x14ac:dyDescent="0.25">
      <c r="A5" s="2">
        <v>35185</v>
      </c>
      <c r="B5" s="1">
        <f>IF([1]Rseries!B10="","",[1]Rseries!B10)</f>
        <v>2891580</v>
      </c>
    </row>
    <row r="6" spans="1:5" x14ac:dyDescent="0.25">
      <c r="A6" s="2">
        <v>35216</v>
      </c>
      <c r="B6" s="1">
        <f>IF([1]Rseries!B11="","",[1]Rseries!B11)</f>
        <v>2813180</v>
      </c>
    </row>
    <row r="7" spans="1:5" x14ac:dyDescent="0.25">
      <c r="A7" s="2">
        <v>35246</v>
      </c>
      <c r="B7" s="1">
        <f>IF([1]Rseries!B12="","",[1]Rseries!B12)</f>
        <v>2783076</v>
      </c>
    </row>
    <row r="8" spans="1:5" x14ac:dyDescent="0.25">
      <c r="A8" s="2">
        <v>35277</v>
      </c>
      <c r="B8" s="1">
        <f>IF([1]Rseries!B13="","",[1]Rseries!B13)</f>
        <v>2712456</v>
      </c>
    </row>
    <row r="9" spans="1:5" x14ac:dyDescent="0.25">
      <c r="A9" s="2">
        <v>35308</v>
      </c>
      <c r="B9" s="1">
        <f>IF([1]Rseries!B14="","",[1]Rseries!B14)</f>
        <v>2677610</v>
      </c>
    </row>
    <row r="10" spans="1:5" x14ac:dyDescent="0.25">
      <c r="A10" s="2">
        <v>35338</v>
      </c>
      <c r="B10" s="1">
        <f>IF([1]Rseries!B15="","",[1]Rseries!B15)</f>
        <v>2735843</v>
      </c>
    </row>
    <row r="11" spans="1:5" x14ac:dyDescent="0.25">
      <c r="A11" s="2">
        <v>35369</v>
      </c>
      <c r="B11" s="1">
        <f>IF([1]Rseries!B16="","",[1]Rseries!B16)</f>
        <v>2775951</v>
      </c>
    </row>
    <row r="12" spans="1:5" x14ac:dyDescent="0.25">
      <c r="A12" s="2">
        <v>35399</v>
      </c>
      <c r="B12" s="1">
        <f>IF([1]Rseries!B17="","",[1]Rseries!B17)</f>
        <v>2796229</v>
      </c>
    </row>
    <row r="13" spans="1:5" x14ac:dyDescent="0.25">
      <c r="A13" s="2">
        <v>35430</v>
      </c>
      <c r="B13" s="1">
        <f>IF([1]Rseries!B18="","",[1]Rseries!B18)</f>
        <v>2747049</v>
      </c>
    </row>
    <row r="14" spans="1:5" x14ac:dyDescent="0.25">
      <c r="A14" s="2">
        <v>35461</v>
      </c>
      <c r="B14" s="1">
        <f>IF([1]Rseries!B19="","",[1]Rseries!B19)</f>
        <v>2782276</v>
      </c>
    </row>
    <row r="15" spans="1:5" x14ac:dyDescent="0.25">
      <c r="A15" s="2">
        <v>35489</v>
      </c>
      <c r="B15" s="1">
        <f>IF([1]Rseries!B20="","",[1]Rseries!B20)</f>
        <v>2787662</v>
      </c>
    </row>
    <row r="16" spans="1:5" x14ac:dyDescent="0.25">
      <c r="A16" s="2">
        <v>35520</v>
      </c>
      <c r="B16" s="1">
        <f>IF([1]Rseries!B21="","",[1]Rseries!B21)</f>
        <v>2751554</v>
      </c>
    </row>
    <row r="17" spans="1:2" x14ac:dyDescent="0.25">
      <c r="A17" s="2">
        <v>35550</v>
      </c>
      <c r="B17" s="1">
        <f>IF([1]Rseries!B22="","",[1]Rseries!B22)</f>
        <v>2699192</v>
      </c>
    </row>
    <row r="18" spans="1:2" x14ac:dyDescent="0.25">
      <c r="A18" s="2">
        <v>35581</v>
      </c>
      <c r="B18" s="1">
        <f>IF([1]Rseries!B23="","",[1]Rseries!B23)</f>
        <v>2638519</v>
      </c>
    </row>
    <row r="19" spans="1:2" x14ac:dyDescent="0.25">
      <c r="A19" s="2">
        <v>35611</v>
      </c>
      <c r="B19" s="1">
        <f>IF([1]Rseries!B24="","",[1]Rseries!B24)</f>
        <v>2614285</v>
      </c>
    </row>
    <row r="20" spans="1:2" x14ac:dyDescent="0.25">
      <c r="A20" s="2">
        <v>35642</v>
      </c>
      <c r="B20" s="1">
        <f>IF([1]Rseries!B25="","",[1]Rseries!B25)</f>
        <v>2519688</v>
      </c>
    </row>
    <row r="21" spans="1:2" x14ac:dyDescent="0.25">
      <c r="A21" s="2">
        <v>35673</v>
      </c>
      <c r="B21" s="1">
        <f>IF([1]Rseries!B26="","",[1]Rseries!B26)</f>
        <v>2491577</v>
      </c>
    </row>
    <row r="22" spans="1:2" x14ac:dyDescent="0.25">
      <c r="A22" s="2">
        <v>35703</v>
      </c>
      <c r="B22" s="1">
        <f>IF([1]Rseries!B27="","",[1]Rseries!B27)</f>
        <v>2550636</v>
      </c>
    </row>
    <row r="23" spans="1:2" x14ac:dyDescent="0.25">
      <c r="A23" s="2">
        <v>35734</v>
      </c>
      <c r="B23" s="1">
        <f>IF([1]Rseries!B28="","",[1]Rseries!B28)</f>
        <v>2577052</v>
      </c>
    </row>
    <row r="24" spans="1:2" x14ac:dyDescent="0.25">
      <c r="A24" s="2">
        <v>35764</v>
      </c>
      <c r="B24" s="1">
        <f>IF([1]Rseries!B29="","",[1]Rseries!B29)</f>
        <v>2600732</v>
      </c>
    </row>
    <row r="25" spans="1:2" x14ac:dyDescent="0.25">
      <c r="A25" s="2">
        <v>35795</v>
      </c>
      <c r="B25" s="1">
        <f>IF([1]Rseries!B30="","",[1]Rseries!B30)</f>
        <v>2566904</v>
      </c>
    </row>
    <row r="26" spans="1:2" x14ac:dyDescent="0.25">
      <c r="A26" s="2">
        <v>35826</v>
      </c>
      <c r="B26" s="1">
        <f>IF([1]Rseries!B31="","",[1]Rseries!B31)</f>
        <v>2577189</v>
      </c>
    </row>
    <row r="27" spans="1:2" x14ac:dyDescent="0.25">
      <c r="A27" s="2">
        <v>35854</v>
      </c>
      <c r="B27" s="1">
        <f>IF([1]Rseries!B32="","",[1]Rseries!B32)</f>
        <v>2553346</v>
      </c>
    </row>
    <row r="28" spans="1:2" x14ac:dyDescent="0.25">
      <c r="A28" s="2">
        <v>35885</v>
      </c>
      <c r="B28" s="1">
        <f>IF([1]Rseries!B33="","",[1]Rseries!B33)</f>
        <v>2524004</v>
      </c>
    </row>
    <row r="29" spans="1:2" x14ac:dyDescent="0.25">
      <c r="A29" s="2">
        <v>35915</v>
      </c>
      <c r="B29" s="1">
        <f>IF([1]Rseries!B34="","",[1]Rseries!B34)</f>
        <v>2442803</v>
      </c>
    </row>
    <row r="30" spans="1:2" x14ac:dyDescent="0.25">
      <c r="A30" s="2">
        <v>35946</v>
      </c>
      <c r="B30" s="1">
        <f>IF([1]Rseries!B35="","",[1]Rseries!B35)</f>
        <v>2369889</v>
      </c>
    </row>
    <row r="31" spans="1:2" x14ac:dyDescent="0.25">
      <c r="A31" s="2">
        <v>35976</v>
      </c>
      <c r="B31" s="1">
        <f>IF([1]Rseries!B36="","",[1]Rseries!B36)</f>
        <v>2332016</v>
      </c>
    </row>
    <row r="32" spans="1:2" x14ac:dyDescent="0.25">
      <c r="A32" s="2">
        <v>36007</v>
      </c>
      <c r="B32" s="1">
        <f>IF([1]Rseries!B37="","",[1]Rseries!B37)</f>
        <v>2250015</v>
      </c>
    </row>
    <row r="33" spans="1:2" x14ac:dyDescent="0.25">
      <c r="A33" s="2">
        <v>36038</v>
      </c>
      <c r="B33" s="1">
        <f>IF([1]Rseries!B38="","",[1]Rseries!B38)</f>
        <v>2235296</v>
      </c>
    </row>
    <row r="34" spans="1:2" x14ac:dyDescent="0.25">
      <c r="A34" s="2">
        <v>36068</v>
      </c>
      <c r="B34" s="1">
        <f>IF([1]Rseries!B39="","",[1]Rseries!B39)</f>
        <v>2256328</v>
      </c>
    </row>
    <row r="35" spans="1:2" x14ac:dyDescent="0.25">
      <c r="A35" s="2">
        <v>36099</v>
      </c>
      <c r="B35" s="1">
        <f>IF([1]Rseries!B40="","",[1]Rseries!B40)</f>
        <v>2267925</v>
      </c>
    </row>
    <row r="36" spans="1:2" x14ac:dyDescent="0.25">
      <c r="A36" s="2">
        <v>36129</v>
      </c>
      <c r="B36" s="1">
        <f>IF([1]Rseries!B41="","",[1]Rseries!B41)</f>
        <v>2270240</v>
      </c>
    </row>
    <row r="37" spans="1:2" x14ac:dyDescent="0.25">
      <c r="A37" s="2">
        <v>36160</v>
      </c>
      <c r="B37" s="1">
        <f>IF([1]Rseries!B42="","",[1]Rseries!B42)</f>
        <v>2233259</v>
      </c>
    </row>
    <row r="38" spans="1:2" x14ac:dyDescent="0.25">
      <c r="A38" s="2">
        <v>36191</v>
      </c>
      <c r="B38" s="1">
        <f>IF([1]Rseries!B43="","",[1]Rseries!B43)</f>
        <v>2251728</v>
      </c>
    </row>
    <row r="39" spans="1:2" x14ac:dyDescent="0.25">
      <c r="A39" s="2">
        <v>36219</v>
      </c>
      <c r="B39" s="1">
        <f>IF([1]Rseries!B44="","",[1]Rseries!B44)</f>
        <v>2233082</v>
      </c>
    </row>
    <row r="40" spans="1:2" x14ac:dyDescent="0.25">
      <c r="A40" s="2">
        <v>36250</v>
      </c>
      <c r="B40" s="1">
        <f>IF([1]Rseries!B45="","",[1]Rseries!B45)</f>
        <v>2202337</v>
      </c>
    </row>
    <row r="41" spans="1:2" x14ac:dyDescent="0.25">
      <c r="A41" s="2">
        <v>36280</v>
      </c>
      <c r="B41" s="1">
        <f>IF([1]Rseries!B46="","",[1]Rseries!B46)</f>
        <v>2144375</v>
      </c>
    </row>
    <row r="42" spans="1:2" x14ac:dyDescent="0.25">
      <c r="A42" s="2">
        <v>36311</v>
      </c>
      <c r="B42" s="1">
        <f>IF([1]Rseries!B47="","",[1]Rseries!B47)</f>
        <v>2076942</v>
      </c>
    </row>
    <row r="43" spans="1:2" x14ac:dyDescent="0.25">
      <c r="A43" s="2">
        <v>36341</v>
      </c>
      <c r="B43" s="1">
        <f>IF([1]Rseries!B48="","",[1]Rseries!B48)</f>
        <v>2045950</v>
      </c>
    </row>
    <row r="44" spans="1:2" x14ac:dyDescent="0.25">
      <c r="A44" s="2">
        <v>36372</v>
      </c>
      <c r="B44" s="1">
        <f>IF([1]Rseries!B49="","",[1]Rseries!B49)</f>
        <v>1980957</v>
      </c>
    </row>
    <row r="45" spans="1:2" x14ac:dyDescent="0.25">
      <c r="A45" s="2">
        <v>36403</v>
      </c>
      <c r="B45" s="1">
        <f>IF([1]Rseries!B50="","",[1]Rseries!B50)</f>
        <v>1980966</v>
      </c>
    </row>
    <row r="46" spans="1:2" x14ac:dyDescent="0.25">
      <c r="A46" s="2">
        <v>36433</v>
      </c>
      <c r="B46" s="1">
        <f>IF([1]Rseries!B51="","",[1]Rseries!B51)</f>
        <v>2002552</v>
      </c>
    </row>
    <row r="47" spans="1:2" x14ac:dyDescent="0.25">
      <c r="A47" s="2">
        <v>36464</v>
      </c>
      <c r="B47" s="1">
        <f>IF([1]Rseries!B52="","",[1]Rseries!B52)</f>
        <v>2019968</v>
      </c>
    </row>
    <row r="48" spans="1:2" x14ac:dyDescent="0.25">
      <c r="A48" s="2">
        <v>36494</v>
      </c>
      <c r="B48" s="1">
        <f>IF([1]Rseries!B53="","",[1]Rseries!B53)</f>
        <v>2055809</v>
      </c>
    </row>
    <row r="49" spans="1:2" x14ac:dyDescent="0.25">
      <c r="A49" s="2">
        <v>36525</v>
      </c>
      <c r="B49" s="1">
        <f>IF([1]Rseries!B54="","",[1]Rseries!B54)</f>
        <v>2027982</v>
      </c>
    </row>
    <row r="50" spans="1:2" x14ac:dyDescent="0.25">
      <c r="A50" s="2">
        <v>36556</v>
      </c>
      <c r="B50" s="1">
        <f>IF([1]Rseries!B55="","",[1]Rseries!B55)</f>
        <v>2090035</v>
      </c>
    </row>
    <row r="51" spans="1:2" x14ac:dyDescent="0.25">
      <c r="A51" s="2">
        <v>36585</v>
      </c>
      <c r="B51" s="1">
        <f>IF([1]Rseries!B56="","",[1]Rseries!B56)</f>
        <v>2079752</v>
      </c>
    </row>
    <row r="52" spans="1:2" x14ac:dyDescent="0.25">
      <c r="A52" s="2">
        <v>36616</v>
      </c>
      <c r="B52" s="1">
        <f>IF([1]Rseries!B57="","",[1]Rseries!B57)</f>
        <v>2042332</v>
      </c>
    </row>
    <row r="53" spans="1:2" x14ac:dyDescent="0.25">
      <c r="A53" s="2">
        <v>36646</v>
      </c>
      <c r="B53" s="1">
        <f>IF([1]Rseries!B58="","",[1]Rseries!B58)</f>
        <v>1983994</v>
      </c>
    </row>
    <row r="54" spans="1:2" x14ac:dyDescent="0.25">
      <c r="A54" s="2">
        <v>36677</v>
      </c>
      <c r="B54" s="1">
        <f>IF([1]Rseries!B59="","",[1]Rseries!B59)</f>
        <v>1929028</v>
      </c>
    </row>
    <row r="55" spans="1:2" x14ac:dyDescent="0.25">
      <c r="A55" s="2">
        <v>36707</v>
      </c>
      <c r="B55" s="1">
        <f>IF([1]Rseries!B60="","",[1]Rseries!B60)</f>
        <v>1903053</v>
      </c>
    </row>
    <row r="56" spans="1:2" x14ac:dyDescent="0.25">
      <c r="A56" s="2">
        <v>36738</v>
      </c>
      <c r="B56" s="1">
        <f>IF([1]Rseries!B61="","",[1]Rseries!B61)</f>
        <v>1892683</v>
      </c>
    </row>
    <row r="57" spans="1:2" x14ac:dyDescent="0.25">
      <c r="A57" s="2">
        <v>36769</v>
      </c>
      <c r="B57" s="1">
        <f>IF([1]Rseries!B62="","",[1]Rseries!B62)</f>
        <v>1888386</v>
      </c>
    </row>
    <row r="58" spans="1:2" x14ac:dyDescent="0.25">
      <c r="A58" s="2">
        <v>36799</v>
      </c>
      <c r="B58" s="1">
        <f>IF([1]Rseries!B63="","",[1]Rseries!B63)</f>
        <v>1908120</v>
      </c>
    </row>
    <row r="59" spans="1:2" x14ac:dyDescent="0.25">
      <c r="A59" s="2">
        <v>36830</v>
      </c>
      <c r="B59" s="1">
        <f>IF([1]Rseries!B64="","",[1]Rseries!B64)</f>
        <v>1934130</v>
      </c>
    </row>
    <row r="60" spans="1:2" x14ac:dyDescent="0.25">
      <c r="A60" s="2">
        <v>36860</v>
      </c>
      <c r="B60" s="1">
        <f>IF([1]Rseries!B65="","",[1]Rseries!B65)</f>
        <v>1962794</v>
      </c>
    </row>
    <row r="61" spans="1:2" x14ac:dyDescent="0.25">
      <c r="A61" s="2">
        <v>36891</v>
      </c>
      <c r="B61" s="1">
        <f>IF([1]Rseries!B66="","",[1]Rseries!B66)</f>
        <v>1947242</v>
      </c>
    </row>
    <row r="62" spans="1:2" x14ac:dyDescent="0.25">
      <c r="A62" s="2">
        <v>36922</v>
      </c>
      <c r="B62" s="1">
        <f>IF([1]Rseries!B67="","",[1]Rseries!B67)</f>
        <v>2017389</v>
      </c>
    </row>
    <row r="63" spans="1:2" x14ac:dyDescent="0.25">
      <c r="A63" s="2">
        <v>36950</v>
      </c>
      <c r="B63" s="1">
        <f>IF([1]Rseries!B68="","",[1]Rseries!B68)</f>
        <v>1993274</v>
      </c>
    </row>
    <row r="64" spans="1:2" x14ac:dyDescent="0.25">
      <c r="A64" s="2">
        <v>36981</v>
      </c>
      <c r="B64" s="1">
        <f>IF([1]Rseries!B69="","",[1]Rseries!B69)</f>
        <v>1981006</v>
      </c>
    </row>
    <row r="65" spans="1:2" x14ac:dyDescent="0.25">
      <c r="A65" s="2">
        <v>37011</v>
      </c>
      <c r="B65" s="1">
        <f>IF([1]Rseries!B70="","",[1]Rseries!B70)</f>
        <v>1910453</v>
      </c>
    </row>
    <row r="66" spans="1:2" x14ac:dyDescent="0.25">
      <c r="A66" s="2">
        <v>37042</v>
      </c>
      <c r="B66" s="1">
        <f>IF([1]Rseries!B71="","",[1]Rseries!B71)</f>
        <v>1898285</v>
      </c>
    </row>
    <row r="67" spans="1:2" x14ac:dyDescent="0.25">
      <c r="A67" s="2">
        <v>37072</v>
      </c>
      <c r="B67" s="1">
        <f>IF([1]Rseries!B72="","",[1]Rseries!B72)</f>
        <v>1842556</v>
      </c>
    </row>
    <row r="68" spans="1:2" x14ac:dyDescent="0.25">
      <c r="A68" s="2">
        <v>37103</v>
      </c>
      <c r="B68" s="1">
        <f>IF([1]Rseries!B73="","",[1]Rseries!B73)</f>
        <v>1835738</v>
      </c>
    </row>
    <row r="69" spans="1:2" x14ac:dyDescent="0.25">
      <c r="A69" s="2">
        <v>37134</v>
      </c>
      <c r="B69" s="1">
        <f>IF([1]Rseries!B74="","",[1]Rseries!B74)</f>
        <v>1878513</v>
      </c>
    </row>
    <row r="70" spans="1:2" x14ac:dyDescent="0.25">
      <c r="A70" s="2">
        <v>37164</v>
      </c>
      <c r="B70" s="1">
        <f>IF([1]Rseries!B75="","",[1]Rseries!B75)</f>
        <v>1889185</v>
      </c>
    </row>
    <row r="71" spans="1:2" x14ac:dyDescent="0.25">
      <c r="A71" s="2">
        <v>37195</v>
      </c>
      <c r="B71" s="1">
        <f>IF([1]Rseries!B76="","",[1]Rseries!B76)</f>
        <v>1940909</v>
      </c>
    </row>
    <row r="72" spans="1:2" x14ac:dyDescent="0.25">
      <c r="A72" s="2">
        <v>37225</v>
      </c>
      <c r="B72" s="1">
        <f>IF([1]Rseries!B77="","",[1]Rseries!B77)</f>
        <v>1985857</v>
      </c>
    </row>
    <row r="73" spans="1:2" x14ac:dyDescent="0.25">
      <c r="A73" s="2">
        <v>37256</v>
      </c>
      <c r="B73" s="1">
        <f>IF([1]Rseries!B78="","",[1]Rseries!B78)</f>
        <v>1988715</v>
      </c>
    </row>
    <row r="74" spans="1:2" x14ac:dyDescent="0.25">
      <c r="A74" s="2">
        <v>37287</v>
      </c>
      <c r="B74" s="1">
        <f>IF([1]Rseries!B79="","",[1]Rseries!B79)</f>
        <v>2075022</v>
      </c>
    </row>
    <row r="75" spans="1:2" x14ac:dyDescent="0.25">
      <c r="A75" s="2">
        <v>37315</v>
      </c>
      <c r="B75" s="1">
        <f>IF([1]Rseries!B80="","",[1]Rseries!B80)</f>
        <v>2149908</v>
      </c>
    </row>
    <row r="76" spans="1:2" x14ac:dyDescent="0.25">
      <c r="A76" s="2">
        <v>37346</v>
      </c>
      <c r="B76" s="1">
        <f>IF([1]Rseries!B81="","",[1]Rseries!B81)</f>
        <v>2083103</v>
      </c>
    </row>
    <row r="77" spans="1:2" x14ac:dyDescent="0.25">
      <c r="A77" s="2">
        <v>37376</v>
      </c>
      <c r="B77" s="1">
        <f>IF([1]Rseries!B82="","",[1]Rseries!B82)</f>
        <v>2060070</v>
      </c>
    </row>
    <row r="78" spans="1:2" x14ac:dyDescent="0.25">
      <c r="A78" s="2">
        <v>37407</v>
      </c>
      <c r="B78" s="1">
        <f>IF([1]Rseries!B83="","",[1]Rseries!B83)</f>
        <v>2002924</v>
      </c>
    </row>
    <row r="79" spans="1:2" x14ac:dyDescent="0.25">
      <c r="A79" s="2">
        <v>37437</v>
      </c>
      <c r="B79" s="1">
        <f>IF([1]Rseries!B84="","",[1]Rseries!B84)</f>
        <v>1962963</v>
      </c>
    </row>
    <row r="80" spans="1:2" x14ac:dyDescent="0.25">
      <c r="A80" s="2">
        <v>37468</v>
      </c>
      <c r="B80" s="1">
        <f>IF([1]Rseries!B85="","",[1]Rseries!B85)</f>
        <v>1961852</v>
      </c>
    </row>
    <row r="81" spans="1:2" x14ac:dyDescent="0.25">
      <c r="A81" s="2">
        <v>37499</v>
      </c>
      <c r="B81" s="1">
        <f>IF([1]Rseries!B86="","",[1]Rseries!B86)</f>
        <v>1983982</v>
      </c>
    </row>
    <row r="82" spans="1:2" x14ac:dyDescent="0.25">
      <c r="A82" s="2">
        <v>37529</v>
      </c>
      <c r="B82" s="1">
        <f>IF([1]Rseries!B87="","",[1]Rseries!B87)</f>
        <v>2006786</v>
      </c>
    </row>
    <row r="83" spans="1:2" x14ac:dyDescent="0.25">
      <c r="A83" s="2">
        <v>37560</v>
      </c>
      <c r="B83" s="1">
        <f>IF([1]Rseries!B88="","",[1]Rseries!B88)</f>
        <v>2064512</v>
      </c>
    </row>
    <row r="84" spans="1:2" x14ac:dyDescent="0.25">
      <c r="A84" s="2">
        <v>37590</v>
      </c>
      <c r="B84" s="1">
        <f>IF([1]Rseries!B89="","",[1]Rseries!B89)</f>
        <v>2117144</v>
      </c>
    </row>
    <row r="85" spans="1:2" x14ac:dyDescent="0.25">
      <c r="A85" s="2">
        <v>37621</v>
      </c>
      <c r="B85" s="1">
        <f>IF([1]Rseries!B90="","",[1]Rseries!B90)</f>
        <v>2127018</v>
      </c>
    </row>
    <row r="86" spans="1:2" x14ac:dyDescent="0.25">
      <c r="A86" s="2">
        <v>37652</v>
      </c>
      <c r="B86" s="1">
        <f>IF([1]Rseries!B91="","",[1]Rseries!B91)</f>
        <v>2185156</v>
      </c>
    </row>
    <row r="87" spans="1:2" x14ac:dyDescent="0.25">
      <c r="A87" s="2">
        <v>37680</v>
      </c>
      <c r="B87" s="1">
        <f>IF([1]Rseries!B92="","",[1]Rseries!B92)</f>
        <v>2180216</v>
      </c>
    </row>
    <row r="88" spans="1:2" x14ac:dyDescent="0.25">
      <c r="A88" s="2">
        <v>37711</v>
      </c>
      <c r="B88" s="1">
        <f>IF([1]Rseries!B93="","",[1]Rseries!B93)</f>
        <v>2163498</v>
      </c>
    </row>
    <row r="89" spans="1:2" x14ac:dyDescent="0.25">
      <c r="A89" s="2">
        <v>37741</v>
      </c>
      <c r="B89" s="1">
        <f>IF([1]Rseries!B94="","",[1]Rseries!B94)</f>
        <v>2104475</v>
      </c>
    </row>
    <row r="90" spans="1:2" x14ac:dyDescent="0.25">
      <c r="A90" s="2">
        <v>37772</v>
      </c>
      <c r="B90" s="1">
        <f>IF([1]Rseries!B95="","",[1]Rseries!B95)</f>
        <v>2035601</v>
      </c>
    </row>
    <row r="91" spans="1:2" x14ac:dyDescent="0.25">
      <c r="A91" s="2">
        <v>37802</v>
      </c>
      <c r="B91" s="1">
        <f>IF([1]Rseries!B96="","",[1]Rseries!B96)</f>
        <v>2020367</v>
      </c>
    </row>
    <row r="92" spans="1:2" x14ac:dyDescent="0.25">
      <c r="A92" s="2">
        <v>37833</v>
      </c>
      <c r="B92" s="1">
        <f>IF([1]Rseries!B97="","",[1]Rseries!B97)</f>
        <v>1995964</v>
      </c>
    </row>
    <row r="93" spans="1:2" x14ac:dyDescent="0.25">
      <c r="A93" s="2">
        <v>37864</v>
      </c>
      <c r="B93" s="1">
        <f>IF([1]Rseries!B98="","",[1]Rseries!B98)</f>
        <v>2016675</v>
      </c>
    </row>
    <row r="94" spans="1:2" x14ac:dyDescent="0.25">
      <c r="A94" s="2">
        <v>37894</v>
      </c>
      <c r="B94" s="1">
        <f>IF([1]Rseries!B99="","",[1]Rseries!B99)</f>
        <v>2039630</v>
      </c>
    </row>
    <row r="95" spans="1:2" x14ac:dyDescent="0.25">
      <c r="A95" s="2">
        <v>37925</v>
      </c>
      <c r="B95" s="1">
        <f>IF([1]Rseries!B100="","",[1]Rseries!B100)</f>
        <v>2096606</v>
      </c>
    </row>
    <row r="96" spans="1:2" x14ac:dyDescent="0.25">
      <c r="A96" s="2">
        <v>37955</v>
      </c>
      <c r="B96" s="1">
        <f>IF([1]Rseries!B101="","",[1]Rseries!B101)</f>
        <v>2143206</v>
      </c>
    </row>
    <row r="97" spans="1:2" x14ac:dyDescent="0.25">
      <c r="A97" s="2">
        <v>37986</v>
      </c>
      <c r="B97" s="1">
        <f>IF([1]Rseries!B102="","",[1]Rseries!B102)</f>
        <v>2181248</v>
      </c>
    </row>
    <row r="98" spans="1:2" x14ac:dyDescent="0.25">
      <c r="A98" s="2">
        <v>38017</v>
      </c>
      <c r="B98" s="1">
        <f>IF([1]Rseries!B103="","",[1]Rseries!B103)</f>
        <v>2232560</v>
      </c>
    </row>
    <row r="99" spans="1:2" x14ac:dyDescent="0.25">
      <c r="A99" s="2">
        <v>38046</v>
      </c>
      <c r="B99" s="1">
        <f>IF([1]Rseries!B104="","",[1]Rseries!B104)</f>
        <v>2219300</v>
      </c>
    </row>
    <row r="100" spans="1:2" x14ac:dyDescent="0.25">
      <c r="A100" s="2">
        <v>38077</v>
      </c>
      <c r="B100" s="1">
        <f>IF([1]Rseries!B105="","",[1]Rseries!B105)</f>
        <v>2181546</v>
      </c>
    </row>
    <row r="101" spans="1:2" x14ac:dyDescent="0.25">
      <c r="A101" s="2">
        <v>38107</v>
      </c>
      <c r="B101" s="1">
        <f>IF([1]Rseries!B106="","",[1]Rseries!B106)</f>
        <v>2162405</v>
      </c>
    </row>
    <row r="102" spans="1:2" x14ac:dyDescent="0.25">
      <c r="A102" s="2">
        <v>38138</v>
      </c>
      <c r="B102" s="1">
        <f>IF([1]Rseries!B107="","",[1]Rseries!B107)</f>
        <v>2090702</v>
      </c>
    </row>
    <row r="103" spans="1:2" x14ac:dyDescent="0.25">
      <c r="A103" s="2">
        <v>38168</v>
      </c>
      <c r="B103" s="1">
        <f>IF([1]Rseries!B108="","",[1]Rseries!B108)</f>
        <v>2054113</v>
      </c>
    </row>
    <row r="104" spans="1:2" x14ac:dyDescent="0.25">
      <c r="A104" s="2">
        <v>38199</v>
      </c>
      <c r="B104" s="1">
        <f>IF([1]Rseries!B109="","",[1]Rseries!B109)</f>
        <v>2014218</v>
      </c>
    </row>
    <row r="105" spans="1:2" x14ac:dyDescent="0.25">
      <c r="A105" s="2">
        <v>38230</v>
      </c>
      <c r="B105" s="1">
        <f>IF([1]Rseries!B110="","",[1]Rseries!B110)</f>
        <v>2049639</v>
      </c>
    </row>
    <row r="106" spans="1:2" x14ac:dyDescent="0.25">
      <c r="A106" s="2">
        <v>38260</v>
      </c>
      <c r="B106" s="1">
        <f>IF([1]Rseries!B111="","",[1]Rseries!B111)</f>
        <v>2050514</v>
      </c>
    </row>
    <row r="107" spans="1:2" x14ac:dyDescent="0.25">
      <c r="A107" s="2">
        <v>38291</v>
      </c>
      <c r="B107" s="1">
        <f>IF([1]Rseries!B112="","",[1]Rseries!B112)</f>
        <v>2075811</v>
      </c>
    </row>
    <row r="108" spans="1:2" x14ac:dyDescent="0.25">
      <c r="A108" s="2">
        <v>38321</v>
      </c>
      <c r="B108" s="1">
        <f>IF([1]Rseries!B113="","",[1]Rseries!B113)</f>
        <v>2121089</v>
      </c>
    </row>
    <row r="109" spans="1:2" x14ac:dyDescent="0.25">
      <c r="A109" s="2">
        <v>38352</v>
      </c>
      <c r="B109" s="1">
        <f>IF([1]Rseries!B114="","",[1]Rseries!B114)</f>
        <v>2112715</v>
      </c>
    </row>
    <row r="110" spans="1:2" x14ac:dyDescent="0.25">
      <c r="A110" s="2">
        <v>38383</v>
      </c>
      <c r="B110" s="1">
        <f>IF([1]Rseries!B115="","",[1]Rseries!B115)</f>
        <v>2176599</v>
      </c>
    </row>
    <row r="111" spans="1:2" x14ac:dyDescent="0.25">
      <c r="A111" s="2">
        <v>38411</v>
      </c>
      <c r="B111" s="1">
        <f>IF([1]Rseries!B116="","",[1]Rseries!B116)</f>
        <v>2165420</v>
      </c>
    </row>
    <row r="112" spans="1:2" x14ac:dyDescent="0.25">
      <c r="A112" s="2">
        <v>38442</v>
      </c>
      <c r="B112" s="1">
        <f>IF([1]Rseries!B117="","",[1]Rseries!B117)</f>
        <v>2144835</v>
      </c>
    </row>
    <row r="113" spans="1:2" x14ac:dyDescent="0.25">
      <c r="A113" s="2">
        <v>38472</v>
      </c>
      <c r="B113" s="1">
        <f>IF([1]Rseries!B118="","",[1]Rseries!B118)</f>
        <v>2095945</v>
      </c>
    </row>
    <row r="114" spans="1:2" x14ac:dyDescent="0.25">
      <c r="A114" s="2">
        <v>38503</v>
      </c>
      <c r="B114" s="1">
        <f>IF([1]Rseries!B119="","",[1]Rseries!B119)</f>
        <v>2007393</v>
      </c>
    </row>
    <row r="115" spans="1:2" x14ac:dyDescent="0.25">
      <c r="A115" s="2">
        <v>38533</v>
      </c>
      <c r="B115" s="1">
        <f>IF([1]Rseries!B120="","",[1]Rseries!B120)</f>
        <v>1974860</v>
      </c>
    </row>
    <row r="116" spans="1:2" x14ac:dyDescent="0.25">
      <c r="A116" s="2">
        <v>38564</v>
      </c>
      <c r="B116" s="1">
        <f>IF([1]Rseries!B121="","",[1]Rseries!B121)</f>
        <v>1989417</v>
      </c>
    </row>
    <row r="117" spans="1:2" x14ac:dyDescent="0.25">
      <c r="A117" s="2">
        <v>38595</v>
      </c>
      <c r="B117" s="1">
        <f>IF([1]Rseries!B122="","",[1]Rseries!B122)</f>
        <v>2019110</v>
      </c>
    </row>
    <row r="118" spans="1:2" x14ac:dyDescent="0.25">
      <c r="A118" s="2">
        <v>38625</v>
      </c>
      <c r="B118" s="1">
        <f>IF([1]Rseries!B123="","",[1]Rseries!B123)</f>
        <v>2013286</v>
      </c>
    </row>
    <row r="119" spans="1:2" x14ac:dyDescent="0.25">
      <c r="A119" s="2">
        <v>38656</v>
      </c>
      <c r="B119" s="1">
        <f>IF([1]Rseries!B124="","",[1]Rseries!B124)</f>
        <v>2052861</v>
      </c>
    </row>
    <row r="120" spans="1:2" x14ac:dyDescent="0.25">
      <c r="A120" s="2">
        <v>38686</v>
      </c>
      <c r="B120" s="1">
        <f>IF([1]Rseries!B125="","",[1]Rseries!B125)</f>
        <v>2095580</v>
      </c>
    </row>
    <row r="121" spans="1:2" x14ac:dyDescent="0.25">
      <c r="A121" s="2">
        <v>38717</v>
      </c>
      <c r="B121" s="1">
        <f>IF([1]Rseries!B126="","",[1]Rseries!B126)</f>
        <v>2102937</v>
      </c>
    </row>
    <row r="122" spans="1:2" x14ac:dyDescent="0.25">
      <c r="A122" s="2">
        <v>38748</v>
      </c>
      <c r="B122" s="1">
        <f>IF([1]Rseries!B127="","",[1]Rseries!B127)</f>
        <v>2171503</v>
      </c>
    </row>
    <row r="123" spans="1:2" x14ac:dyDescent="0.25">
      <c r="A123" s="2">
        <v>38776</v>
      </c>
      <c r="B123" s="1">
        <f>IF([1]Rseries!B128="","",[1]Rseries!B128)</f>
        <v>2169277</v>
      </c>
    </row>
    <row r="124" spans="1:2" x14ac:dyDescent="0.25">
      <c r="A124" s="2">
        <v>38807</v>
      </c>
      <c r="B124" s="1">
        <f>IF([1]Rseries!B129="","",[1]Rseries!B129)</f>
        <v>2148530</v>
      </c>
    </row>
    <row r="125" spans="1:2" x14ac:dyDescent="0.25">
      <c r="A125" s="2">
        <v>38837</v>
      </c>
      <c r="B125" s="1">
        <f>IF([1]Rseries!B130="","",[1]Rseries!B130)</f>
        <v>2075676</v>
      </c>
    </row>
    <row r="126" spans="1:2" x14ac:dyDescent="0.25">
      <c r="A126" s="2">
        <v>38868</v>
      </c>
      <c r="B126" s="1">
        <f>IF([1]Rseries!B131="","",[1]Rseries!B131)</f>
        <v>2004528</v>
      </c>
    </row>
    <row r="127" spans="1:2" x14ac:dyDescent="0.25">
      <c r="A127" s="2">
        <v>38898</v>
      </c>
      <c r="B127" s="1">
        <f>IF([1]Rseries!B132="","",[1]Rseries!B132)</f>
        <v>1959754</v>
      </c>
    </row>
    <row r="128" spans="1:2" x14ac:dyDescent="0.25">
      <c r="A128" s="2">
        <v>38929</v>
      </c>
      <c r="B128" s="1">
        <f>IF([1]Rseries!B133="","",[1]Rseries!B133)</f>
        <v>1954984</v>
      </c>
    </row>
    <row r="129" spans="1:2" x14ac:dyDescent="0.25">
      <c r="A129" s="2">
        <v>38960</v>
      </c>
      <c r="B129" s="1">
        <f>IF([1]Rseries!B134="","",[1]Rseries!B134)</f>
        <v>1983677</v>
      </c>
    </row>
    <row r="130" spans="1:2" x14ac:dyDescent="0.25">
      <c r="A130" s="2">
        <v>38990</v>
      </c>
      <c r="B130" s="1">
        <f>IF([1]Rseries!B135="","",[1]Rseries!B135)</f>
        <v>1966166</v>
      </c>
    </row>
    <row r="131" spans="1:2" x14ac:dyDescent="0.25">
      <c r="A131" s="2">
        <v>39021</v>
      </c>
      <c r="B131" s="1">
        <f>IF([1]Rseries!B136="","",[1]Rseries!B136)</f>
        <v>1992836</v>
      </c>
    </row>
    <row r="132" spans="1:2" x14ac:dyDescent="0.25">
      <c r="A132" s="2">
        <v>39051</v>
      </c>
      <c r="B132" s="1">
        <f>IF([1]Rseries!B137="","",[1]Rseries!B137)</f>
        <v>2023164</v>
      </c>
    </row>
    <row r="133" spans="1:2" x14ac:dyDescent="0.25">
      <c r="A133" s="2">
        <v>39082</v>
      </c>
      <c r="B133" s="1">
        <f>IF([1]Rseries!B138="","",[1]Rseries!B138)</f>
        <v>2022873</v>
      </c>
    </row>
    <row r="134" spans="1:2" x14ac:dyDescent="0.25">
      <c r="A134" s="2">
        <v>39113</v>
      </c>
      <c r="B134" s="1">
        <f>IF([1]Rseries!B139="","",[1]Rseries!B139)</f>
        <v>2082508</v>
      </c>
    </row>
    <row r="135" spans="1:2" x14ac:dyDescent="0.25">
      <c r="A135" s="2">
        <v>39141</v>
      </c>
      <c r="B135" s="1">
        <f>IF([1]Rseries!B140="","",[1]Rseries!B140)</f>
        <v>2075275</v>
      </c>
    </row>
    <row r="136" spans="1:2" x14ac:dyDescent="0.25">
      <c r="A136" s="2">
        <v>39172</v>
      </c>
      <c r="B136" s="1">
        <f>IF([1]Rseries!B141="","",[1]Rseries!B141)</f>
        <v>2059451</v>
      </c>
    </row>
    <row r="137" spans="1:2" x14ac:dyDescent="0.25">
      <c r="A137" s="2">
        <v>39202</v>
      </c>
      <c r="B137" s="1">
        <f>IF([1]Rseries!B142="","",[1]Rseries!B142)</f>
        <v>2023124</v>
      </c>
    </row>
    <row r="138" spans="1:2" x14ac:dyDescent="0.25">
      <c r="A138" s="2">
        <v>39233</v>
      </c>
      <c r="B138" s="1">
        <f>IF([1]Rseries!B143="","",[1]Rseries!B143)</f>
        <v>1973231</v>
      </c>
    </row>
    <row r="139" spans="1:2" x14ac:dyDescent="0.25">
      <c r="A139" s="2">
        <v>39263</v>
      </c>
      <c r="B139" s="1">
        <f>IF([1]Rseries!B144="","",[1]Rseries!B144)</f>
        <v>1965869</v>
      </c>
    </row>
    <row r="140" spans="1:2" x14ac:dyDescent="0.25">
      <c r="A140" s="2">
        <v>39294</v>
      </c>
      <c r="B140" s="1">
        <f>IF([1]Rseries!B145="","",[1]Rseries!B145)</f>
        <v>1970338</v>
      </c>
    </row>
    <row r="141" spans="1:2" x14ac:dyDescent="0.25">
      <c r="A141" s="2">
        <v>39325</v>
      </c>
      <c r="B141" s="1">
        <f>IF([1]Rseries!B146="","",[1]Rseries!B146)</f>
        <v>2028296</v>
      </c>
    </row>
    <row r="142" spans="1:2" x14ac:dyDescent="0.25">
      <c r="A142" s="2">
        <v>39355</v>
      </c>
      <c r="B142" s="1">
        <f>IF([1]Rseries!B147="","",[1]Rseries!B147)</f>
        <v>2017363</v>
      </c>
    </row>
    <row r="143" spans="1:2" x14ac:dyDescent="0.25">
      <c r="A143" s="2">
        <v>39386</v>
      </c>
      <c r="B143" s="1">
        <f>IF([1]Rseries!B148="","",[1]Rseries!B148)</f>
        <v>2048577</v>
      </c>
    </row>
    <row r="144" spans="1:2" x14ac:dyDescent="0.25">
      <c r="A144" s="2">
        <v>39416</v>
      </c>
      <c r="B144" s="1">
        <f>IF([1]Rseries!B149="","",[1]Rseries!B149)</f>
        <v>2094473</v>
      </c>
    </row>
    <row r="145" spans="1:2" x14ac:dyDescent="0.25">
      <c r="A145" s="2">
        <v>39447</v>
      </c>
      <c r="B145" s="1">
        <f>IF([1]Rseries!B150="","",[1]Rseries!B150)</f>
        <v>2129547</v>
      </c>
    </row>
    <row r="146" spans="1:2" x14ac:dyDescent="0.25">
      <c r="A146" s="2">
        <v>39478</v>
      </c>
      <c r="B146" s="1">
        <f>IF([1]Rseries!B151="","",[1]Rseries!B151)</f>
        <v>2261925</v>
      </c>
    </row>
    <row r="147" spans="1:2" x14ac:dyDescent="0.25">
      <c r="A147" s="2">
        <v>39507</v>
      </c>
      <c r="B147" s="1">
        <f>IF([1]Rseries!B152="","",[1]Rseries!B152)</f>
        <v>2315331</v>
      </c>
    </row>
    <row r="148" spans="1:2" x14ac:dyDescent="0.25">
      <c r="A148" s="2">
        <v>39538</v>
      </c>
      <c r="B148" s="1">
        <f>IF([1]Rseries!B153="","",[1]Rseries!B153)</f>
        <v>2300975</v>
      </c>
    </row>
    <row r="149" spans="1:2" x14ac:dyDescent="0.25">
      <c r="A149" s="2">
        <v>39568</v>
      </c>
      <c r="B149" s="1">
        <f>IF([1]Rseries!B154="","",[1]Rseries!B154)</f>
        <v>2338517</v>
      </c>
    </row>
    <row r="150" spans="1:2" x14ac:dyDescent="0.25">
      <c r="A150" s="2">
        <v>39599</v>
      </c>
      <c r="B150" s="1">
        <f>IF([1]Rseries!B155="","",[1]Rseries!B155)</f>
        <v>2353575</v>
      </c>
    </row>
    <row r="151" spans="1:2" x14ac:dyDescent="0.25">
      <c r="A151" s="2">
        <v>39629</v>
      </c>
      <c r="B151" s="1">
        <f>IF([1]Rseries!B156="","",[1]Rseries!B156)</f>
        <v>2390424</v>
      </c>
    </row>
    <row r="152" spans="1:2" x14ac:dyDescent="0.25">
      <c r="A152" s="2">
        <v>39660</v>
      </c>
      <c r="B152" s="1">
        <f>IF([1]Rseries!B157="","",[1]Rseries!B157)</f>
        <v>2426916</v>
      </c>
    </row>
    <row r="153" spans="1:2" x14ac:dyDescent="0.25">
      <c r="A153" s="2">
        <v>39691</v>
      </c>
      <c r="B153" s="1">
        <f>IF([1]Rseries!B158="","",[1]Rseries!B158)</f>
        <v>2530001</v>
      </c>
    </row>
    <row r="154" spans="1:2" x14ac:dyDescent="0.25">
      <c r="A154" s="2">
        <v>39721</v>
      </c>
      <c r="B154" s="1">
        <f>IF([1]Rseries!B159="","",[1]Rseries!B159)</f>
        <v>2625368</v>
      </c>
    </row>
    <row r="155" spans="1:2" x14ac:dyDescent="0.25">
      <c r="A155" s="2">
        <v>39752</v>
      </c>
      <c r="B155" s="1">
        <f>IF([1]Rseries!B160="","",[1]Rseries!B160)</f>
        <v>2818026</v>
      </c>
    </row>
    <row r="156" spans="1:2" x14ac:dyDescent="0.25">
      <c r="A156" s="2">
        <v>39782</v>
      </c>
      <c r="B156" s="1">
        <f>IF([1]Rseries!B161="","",[1]Rseries!B161)</f>
        <v>2989269</v>
      </c>
    </row>
    <row r="157" spans="1:2" x14ac:dyDescent="0.25">
      <c r="A157" s="2">
        <v>39813</v>
      </c>
      <c r="B157" s="1">
        <f>IF([1]Rseries!B162="","",[1]Rseries!B162)</f>
        <v>3128963</v>
      </c>
    </row>
    <row r="158" spans="1:2" x14ac:dyDescent="0.25">
      <c r="A158" s="2">
        <v>39844</v>
      </c>
      <c r="B158" s="1">
        <f>IF([1]Rseries!B163="","",[1]Rseries!B163)</f>
        <v>3327801</v>
      </c>
    </row>
    <row r="159" spans="1:2" x14ac:dyDescent="0.25">
      <c r="A159" s="2">
        <v>39872</v>
      </c>
      <c r="B159" s="1">
        <f>IF([1]Rseries!B164="","",[1]Rseries!B164)</f>
        <v>3481859</v>
      </c>
    </row>
    <row r="160" spans="1:2" x14ac:dyDescent="0.25">
      <c r="A160" s="2">
        <v>39903</v>
      </c>
      <c r="B160" s="1">
        <f>IF([1]Rseries!B165="","",[1]Rseries!B165)</f>
        <v>3605402</v>
      </c>
    </row>
    <row r="161" spans="1:2" x14ac:dyDescent="0.25">
      <c r="A161" s="2">
        <v>39933</v>
      </c>
      <c r="B161" s="1">
        <f>IF([1]Rseries!B166="","",[1]Rseries!B166)</f>
        <v>3644880</v>
      </c>
    </row>
    <row r="162" spans="1:2" x14ac:dyDescent="0.25">
      <c r="A162" s="2">
        <v>39964</v>
      </c>
      <c r="B162" s="1">
        <f>IF([1]Rseries!B167="","",[1]Rseries!B167)</f>
        <v>3620139</v>
      </c>
    </row>
    <row r="163" spans="1:2" x14ac:dyDescent="0.25">
      <c r="A163" s="2">
        <v>39994</v>
      </c>
      <c r="B163" s="1">
        <f>IF([1]Rseries!B168="","",[1]Rseries!B168)</f>
        <v>3564889</v>
      </c>
    </row>
    <row r="164" spans="1:2" x14ac:dyDescent="0.25">
      <c r="A164" s="2">
        <v>40025</v>
      </c>
      <c r="B164" s="1">
        <f>IF([1]Rseries!B169="","",[1]Rseries!B169)</f>
        <v>3544095</v>
      </c>
    </row>
    <row r="165" spans="1:2" x14ac:dyDescent="0.25">
      <c r="A165" s="2">
        <v>40056</v>
      </c>
      <c r="B165" s="1">
        <f>IF([1]Rseries!B170="","",[1]Rseries!B170)</f>
        <v>3629080</v>
      </c>
    </row>
    <row r="166" spans="1:2" x14ac:dyDescent="0.25">
      <c r="A166" s="2">
        <v>40086</v>
      </c>
      <c r="B166" s="1">
        <f>IF([1]Rseries!B171="","",[1]Rseries!B171)</f>
        <v>3709447</v>
      </c>
    </row>
    <row r="167" spans="1:2" x14ac:dyDescent="0.25">
      <c r="A167" s="2">
        <v>40117</v>
      </c>
      <c r="B167" s="1">
        <f>IF([1]Rseries!B172="","",[1]Rseries!B172)</f>
        <v>3808353</v>
      </c>
    </row>
    <row r="168" spans="1:2" x14ac:dyDescent="0.25">
      <c r="A168" s="2">
        <v>40147</v>
      </c>
      <c r="B168" s="1">
        <f>IF([1]Rseries!B173="","",[1]Rseries!B173)</f>
        <v>3868946</v>
      </c>
    </row>
    <row r="169" spans="1:2" x14ac:dyDescent="0.25">
      <c r="A169" s="2">
        <v>40178</v>
      </c>
      <c r="B169" s="1">
        <f>IF([1]Rseries!B174="","",[1]Rseries!B174)</f>
        <v>3923603</v>
      </c>
    </row>
    <row r="170" spans="1:2" x14ac:dyDescent="0.25">
      <c r="A170" s="2">
        <v>40209</v>
      </c>
      <c r="B170" s="1">
        <f>IF([1]Rseries!B175="","",[1]Rseries!B175)</f>
        <v>4048493</v>
      </c>
    </row>
    <row r="171" spans="1:2" x14ac:dyDescent="0.25">
      <c r="A171" s="2">
        <v>40237</v>
      </c>
      <c r="B171" s="1">
        <f>IF([1]Rseries!B176="","",[1]Rseries!B176)</f>
        <v>4130625</v>
      </c>
    </row>
    <row r="172" spans="1:2" x14ac:dyDescent="0.25">
      <c r="A172" s="2">
        <v>40268</v>
      </c>
      <c r="B172" s="1">
        <f>IF([1]Rseries!B177="","",[1]Rseries!B177)</f>
        <v>4166613</v>
      </c>
    </row>
    <row r="173" spans="1:2" x14ac:dyDescent="0.25">
      <c r="A173" s="2">
        <v>40298</v>
      </c>
      <c r="B173" s="1">
        <f>IF([1]Rseries!B178="","",[1]Rseries!B178)</f>
        <v>4142425</v>
      </c>
    </row>
    <row r="174" spans="1:2" x14ac:dyDescent="0.25">
      <c r="A174" s="2">
        <v>40329</v>
      </c>
      <c r="B174" s="1">
        <f>IF([1]Rseries!B179="","",[1]Rseries!B179)</f>
        <v>4066202</v>
      </c>
    </row>
    <row r="175" spans="1:2" x14ac:dyDescent="0.25">
      <c r="A175" s="2">
        <v>40359</v>
      </c>
      <c r="B175" s="1">
        <f>IF([1]Rseries!B180="","",[1]Rseries!B180)</f>
        <v>3982368</v>
      </c>
    </row>
    <row r="176" spans="1:2" x14ac:dyDescent="0.25">
      <c r="A176" s="2">
        <v>40390</v>
      </c>
      <c r="B176" s="1">
        <f>IF([1]Rseries!B181="","",[1]Rseries!B181)</f>
        <v>3908578</v>
      </c>
    </row>
    <row r="177" spans="1:2" x14ac:dyDescent="0.25">
      <c r="A177" s="2">
        <v>40421</v>
      </c>
      <c r="B177" s="1">
        <f>IF([1]Rseries!B182="","",[1]Rseries!B182)</f>
        <v>3969661</v>
      </c>
    </row>
    <row r="178" spans="1:2" x14ac:dyDescent="0.25">
      <c r="A178" s="2">
        <v>40451</v>
      </c>
      <c r="B178" s="1">
        <f>IF([1]Rseries!B183="","",[1]Rseries!B183)</f>
        <v>4017763</v>
      </c>
    </row>
    <row r="179" spans="1:2" x14ac:dyDescent="0.25">
      <c r="A179" s="2">
        <v>40482</v>
      </c>
      <c r="B179" s="1">
        <f>IF([1]Rseries!B184="","",[1]Rseries!B184)</f>
        <v>4085976</v>
      </c>
    </row>
    <row r="180" spans="1:2" x14ac:dyDescent="0.25">
      <c r="A180" s="2">
        <v>40512</v>
      </c>
      <c r="B180" s="1">
        <f>IF([1]Rseries!B185="","",[1]Rseries!B185)</f>
        <v>4110294</v>
      </c>
    </row>
    <row r="181" spans="1:2" x14ac:dyDescent="0.25">
      <c r="A181" s="2">
        <v>40543</v>
      </c>
      <c r="B181" s="1">
        <f>IF([1]Rseries!B186="","",[1]Rseries!B186)</f>
        <v>4100073</v>
      </c>
    </row>
    <row r="182" spans="1:2" x14ac:dyDescent="0.25">
      <c r="A182" s="2">
        <v>40574</v>
      </c>
      <c r="B182" s="1">
        <f>IF([1]Rseries!B187="","",[1]Rseries!B187)</f>
        <v>4231003</v>
      </c>
    </row>
    <row r="183" spans="1:2" x14ac:dyDescent="0.25">
      <c r="A183" s="2">
        <v>40602</v>
      </c>
      <c r="B183" s="1">
        <f>IF([1]Rseries!B188="","",[1]Rseries!B188)</f>
        <v>4299263</v>
      </c>
    </row>
    <row r="184" spans="1:2" x14ac:dyDescent="0.25">
      <c r="A184" s="2">
        <v>40633</v>
      </c>
      <c r="B184" s="1">
        <f>IF([1]Rseries!B189="","",[1]Rseries!B189)</f>
        <v>4333669</v>
      </c>
    </row>
    <row r="185" spans="1:2" x14ac:dyDescent="0.25">
      <c r="A185" s="2">
        <v>40663</v>
      </c>
      <c r="B185" s="1">
        <f>IF([1]Rseries!B190="","",[1]Rseries!B190)</f>
        <v>4269360</v>
      </c>
    </row>
    <row r="186" spans="1:2" x14ac:dyDescent="0.25">
      <c r="A186" s="2">
        <v>40694</v>
      </c>
      <c r="B186" s="1">
        <f>IF([1]Rseries!B191="","",[1]Rseries!B191)</f>
        <v>4189659</v>
      </c>
    </row>
    <row r="187" spans="1:2" x14ac:dyDescent="0.25">
      <c r="A187" s="2">
        <v>40724</v>
      </c>
      <c r="B187" s="1">
        <f>IF([1]Rseries!B192="","",[1]Rseries!B192)</f>
        <v>4121801</v>
      </c>
    </row>
    <row r="188" spans="1:2" x14ac:dyDescent="0.25">
      <c r="A188" s="2">
        <v>40755</v>
      </c>
      <c r="B188" s="1">
        <f>IF([1]Rseries!B193="","",[1]Rseries!B193)</f>
        <v>4079742</v>
      </c>
    </row>
    <row r="189" spans="1:2" x14ac:dyDescent="0.25">
      <c r="A189" s="2">
        <v>40786</v>
      </c>
      <c r="B189" s="1">
        <f>IF([1]Rseries!B194="","",[1]Rseries!B194)</f>
        <v>4130927</v>
      </c>
    </row>
    <row r="190" spans="1:2" x14ac:dyDescent="0.25">
      <c r="A190" s="2">
        <v>40816</v>
      </c>
      <c r="B190" s="1">
        <f>IF([1]Rseries!B195="","",[1]Rseries!B195)</f>
        <v>4226744</v>
      </c>
    </row>
    <row r="191" spans="1:2" x14ac:dyDescent="0.25">
      <c r="A191" s="2">
        <v>40847</v>
      </c>
      <c r="B191" s="1">
        <f>IF([1]Rseries!B196="","",[1]Rseries!B196)</f>
        <v>4360926</v>
      </c>
    </row>
    <row r="192" spans="1:2" x14ac:dyDescent="0.25">
      <c r="A192" s="2">
        <v>40877</v>
      </c>
      <c r="B192" s="1">
        <f>IF([1]Rseries!B197="","",[1]Rseries!B197)</f>
        <v>4420462</v>
      </c>
    </row>
    <row r="193" spans="1:2" x14ac:dyDescent="0.25">
      <c r="A193" s="2">
        <v>40908</v>
      </c>
      <c r="B193" s="1">
        <f>IF([1]Rseries!B198="","",[1]Rseries!B198)</f>
        <v>4422359</v>
      </c>
    </row>
    <row r="194" spans="1:2" x14ac:dyDescent="0.25">
      <c r="A194" s="2">
        <v>40939</v>
      </c>
      <c r="B194" s="1">
        <f>IF([1]Rseries!B199="","",[1]Rseries!B199)</f>
        <v>4599829</v>
      </c>
    </row>
    <row r="195" spans="1:2" x14ac:dyDescent="0.25">
      <c r="A195" s="2">
        <v>40968</v>
      </c>
      <c r="B195" s="1">
        <f>IF([1]Rseries!B200="","",[1]Rseries!B200)</f>
        <v>4712098</v>
      </c>
    </row>
    <row r="196" spans="1:2" x14ac:dyDescent="0.25">
      <c r="A196" s="2">
        <v>40999</v>
      </c>
      <c r="B196" s="1">
        <f>IF([1]Rseries!B201="","",[1]Rseries!B201)</f>
        <v>4750867</v>
      </c>
    </row>
    <row r="197" spans="1:2" x14ac:dyDescent="0.25">
      <c r="A197" s="2">
        <v>41029</v>
      </c>
      <c r="B197" s="1">
        <f>IF([1]Rseries!B202="","",[1]Rseries!B202)</f>
        <v>4744235</v>
      </c>
    </row>
    <row r="198" spans="1:2" x14ac:dyDescent="0.25">
      <c r="A198" s="2">
        <v>41060</v>
      </c>
      <c r="B198" s="1">
        <f>IF([1]Rseries!B203="","",[1]Rseries!B203)</f>
        <v>4714122</v>
      </c>
    </row>
    <row r="199" spans="1:2" x14ac:dyDescent="0.25">
      <c r="A199" s="2">
        <v>41090</v>
      </c>
      <c r="B199" s="1">
        <f>IF([1]Rseries!B204="","",[1]Rseries!B204)</f>
        <v>4615269</v>
      </c>
    </row>
    <row r="200" spans="1:2" x14ac:dyDescent="0.25">
      <c r="A200" s="2">
        <v>41121</v>
      </c>
      <c r="B200" s="1">
        <f>IF([1]Rseries!B205="","",[1]Rseries!B205)</f>
        <v>4587455</v>
      </c>
    </row>
    <row r="201" spans="1:2" x14ac:dyDescent="0.25">
      <c r="A201" s="2">
        <v>41152</v>
      </c>
      <c r="B201" s="1">
        <f>IF([1]Rseries!B206="","",[1]Rseries!B206)</f>
        <v>4625634</v>
      </c>
    </row>
    <row r="202" spans="1:2" x14ac:dyDescent="0.25">
      <c r="A202" s="2">
        <v>41182</v>
      </c>
      <c r="B202" s="1">
        <f>IF([1]Rseries!B207="","",[1]Rseries!B207)</f>
        <v>4705279</v>
      </c>
    </row>
    <row r="203" spans="1:2" x14ac:dyDescent="0.25">
      <c r="A203" s="2">
        <v>41213</v>
      </c>
      <c r="B203" s="1">
        <f>IF([1]Rseries!B208="","",[1]Rseries!B208)</f>
        <v>4833521</v>
      </c>
    </row>
    <row r="204" spans="1:2" x14ac:dyDescent="0.25">
      <c r="A204" s="2">
        <v>41243</v>
      </c>
      <c r="B204" s="1">
        <f>IF([1]Rseries!B209="","",[1]Rseries!B209)</f>
        <v>4907817</v>
      </c>
    </row>
    <row r="205" spans="1:2" x14ac:dyDescent="0.25">
      <c r="A205" s="2">
        <v>41274</v>
      </c>
      <c r="B205" s="1">
        <f>IF([1]Rseries!B210="","",[1]Rseries!B210)</f>
        <v>4848723</v>
      </c>
    </row>
    <row r="206" spans="1:2" x14ac:dyDescent="0.25">
      <c r="A206" s="2">
        <v>41305</v>
      </c>
      <c r="B206" s="1">
        <f>IF([1]Rseries!B211="","",[1]Rseries!B211)</f>
        <v>4980778</v>
      </c>
    </row>
    <row r="207" spans="1:2" x14ac:dyDescent="0.25">
      <c r="A207" s="2">
        <v>41333</v>
      </c>
      <c r="B207" s="1">
        <f>IF([1]Rseries!B212="","",[1]Rseries!B212)</f>
        <v>5040222</v>
      </c>
    </row>
    <row r="208" spans="1:2" x14ac:dyDescent="0.25">
      <c r="A208" s="2">
        <v>41364</v>
      </c>
      <c r="B208" s="1">
        <f>IF([1]Rseries!B213="","",[1]Rseries!B213)</f>
        <v>5035243</v>
      </c>
    </row>
    <row r="209" spans="1:2" x14ac:dyDescent="0.25">
      <c r="A209" s="2">
        <v>41394</v>
      </c>
      <c r="B209" s="1">
        <f>IF([1]Rseries!B214="","",[1]Rseries!B214)</f>
        <v>4989193</v>
      </c>
    </row>
    <row r="210" spans="1:2" x14ac:dyDescent="0.25">
      <c r="A210" s="2">
        <v>41425</v>
      </c>
      <c r="B210" s="1">
        <f>IF([1]Rseries!B215="","",[1]Rseries!B215)</f>
        <v>4890928</v>
      </c>
    </row>
    <row r="211" spans="1:2" x14ac:dyDescent="0.25">
      <c r="A211" s="2">
        <v>41455</v>
      </c>
      <c r="B211" s="1">
        <f>IF([1]Rseries!B216="","",[1]Rseries!B216)</f>
        <v>4763680</v>
      </c>
    </row>
    <row r="212" spans="1:2" x14ac:dyDescent="0.25">
      <c r="A212" s="2">
        <v>41486</v>
      </c>
      <c r="B212" s="1">
        <f>IF([1]Rseries!B217="","",[1]Rseries!B217)</f>
        <v>4698814</v>
      </c>
    </row>
    <row r="213" spans="1:2" x14ac:dyDescent="0.25">
      <c r="A213" s="2">
        <v>41517</v>
      </c>
      <c r="B213" s="1">
        <f>IF([1]Rseries!B218="","",[1]Rseries!B218)</f>
        <v>4698783</v>
      </c>
    </row>
    <row r="214" spans="1:2" x14ac:dyDescent="0.25">
      <c r="A214" s="2">
        <v>41547</v>
      </c>
      <c r="B214" s="1">
        <f>IF([1]Rseries!B219="","",[1]Rseries!B219)</f>
        <v>4724355</v>
      </c>
    </row>
    <row r="215" spans="1:2" x14ac:dyDescent="0.25">
      <c r="A215" s="2">
        <v>41578</v>
      </c>
      <c r="B215" s="1">
        <f>IF([1]Rseries!B220="","",[1]Rseries!B220)</f>
        <v>4811383</v>
      </c>
    </row>
    <row r="216" spans="1:2" x14ac:dyDescent="0.25">
      <c r="A216" s="2">
        <v>41608</v>
      </c>
      <c r="B216" s="1">
        <f>IF([1]Rseries!B221="","",[1]Rseries!B221)</f>
        <v>4808908</v>
      </c>
    </row>
    <row r="217" spans="1:2" x14ac:dyDescent="0.25">
      <c r="A217" s="2">
        <v>41639</v>
      </c>
      <c r="B217" s="1">
        <f>IF([1]Rseries!B222="","",[1]Rseries!B222)</f>
        <v>4701338</v>
      </c>
    </row>
    <row r="218" spans="1:2" x14ac:dyDescent="0.25">
      <c r="A218" s="2">
        <v>41670</v>
      </c>
      <c r="B218" s="1">
        <f>IF([1]Rseries!B223="","",[1]Rseries!B223)</f>
        <v>4814435</v>
      </c>
    </row>
    <row r="219" spans="1:2" x14ac:dyDescent="0.25">
      <c r="A219" s="2">
        <v>41698</v>
      </c>
      <c r="B219" s="1">
        <f>IF([1]Rseries!B224="","",[1]Rseries!B224)</f>
        <v>4812486</v>
      </c>
    </row>
    <row r="220" spans="1:2" x14ac:dyDescent="0.25">
      <c r="A220" s="2">
        <v>41729</v>
      </c>
      <c r="B220" s="1">
        <f>IF([1]Rseries!B225="","",[1]Rseries!B225)</f>
        <v>4795866</v>
      </c>
    </row>
    <row r="221" spans="1:2" x14ac:dyDescent="0.25">
      <c r="A221" s="2">
        <v>41759</v>
      </c>
      <c r="B221" s="1">
        <f>IF([1]Rseries!B226="","",[1]Rseries!B226)</f>
        <v>4684301</v>
      </c>
    </row>
    <row r="222" spans="1:2" x14ac:dyDescent="0.25">
      <c r="A222" s="2">
        <v>41790</v>
      </c>
      <c r="B222" s="1">
        <f>IF([1]Rseries!B227="","",[1]Rseries!B227)</f>
        <v>4572385</v>
      </c>
    </row>
    <row r="223" spans="1:2" x14ac:dyDescent="0.25">
      <c r="A223" s="2">
        <v>41820</v>
      </c>
      <c r="B223" s="1">
        <f>IF([1]Rseries!B228="","",[1]Rseries!B228)</f>
        <v>4449701</v>
      </c>
    </row>
    <row r="224" spans="1:2" x14ac:dyDescent="0.25">
      <c r="A224" s="2">
        <v>41851</v>
      </c>
      <c r="B224" s="1">
        <f>IF([1]Rseries!B229="","",[1]Rseries!B229)</f>
        <v>4419860</v>
      </c>
    </row>
    <row r="225" spans="1:2" x14ac:dyDescent="0.25">
      <c r="A225" s="2">
        <v>41882</v>
      </c>
      <c r="B225" s="1">
        <f>IF([1]Rseries!B230="","",[1]Rseries!B230)</f>
        <v>4427930</v>
      </c>
    </row>
    <row r="226" spans="1:2" x14ac:dyDescent="0.25">
      <c r="A226" s="2">
        <v>41912</v>
      </c>
      <c r="B226" s="1">
        <f>IF([1]Rseries!B231="","",[1]Rseries!B231)</f>
        <v>4447650</v>
      </c>
    </row>
    <row r="227" spans="1:2" x14ac:dyDescent="0.25">
      <c r="A227" s="2">
        <v>41943</v>
      </c>
      <c r="B227" s="1">
        <f>IF([1]Rseries!B232="","",[1]Rseries!B232)</f>
        <v>4526804</v>
      </c>
    </row>
    <row r="228" spans="1:2" x14ac:dyDescent="0.25">
      <c r="A228" s="2">
        <v>41973</v>
      </c>
      <c r="B228" s="1">
        <f>IF([1]Rseries!B233="","",[1]Rseries!B233)</f>
        <v>4512116</v>
      </c>
    </row>
    <row r="229" spans="1:2" x14ac:dyDescent="0.25">
      <c r="A229" s="2">
        <v>42004</v>
      </c>
      <c r="B229" s="1">
        <f>IF([1]Rseries!B234="","",[1]Rseries!B234)</f>
        <v>4447711</v>
      </c>
    </row>
    <row r="230" spans="1:2" x14ac:dyDescent="0.25">
      <c r="A230" s="2">
        <v>42035</v>
      </c>
      <c r="B230" s="1">
        <f>IF([1]Rseries!B235="","",[1]Rseries!B235)</f>
        <v>4525691</v>
      </c>
    </row>
    <row r="231" spans="1:2" x14ac:dyDescent="0.25">
      <c r="A231" s="2">
        <v>42063</v>
      </c>
      <c r="B231" s="1">
        <f>IF([1]Rseries!B236="","",[1]Rseries!B236)</f>
        <v>4512153</v>
      </c>
    </row>
    <row r="232" spans="1:2" x14ac:dyDescent="0.25">
      <c r="A232" s="2">
        <v>42094</v>
      </c>
      <c r="B232" s="1">
        <f>IF([1]Rseries!B237="","",[1]Rseries!B237)</f>
        <v>4451939</v>
      </c>
    </row>
    <row r="233" spans="1:2" x14ac:dyDescent="0.25">
      <c r="A233" s="2">
        <v>42124</v>
      </c>
      <c r="B233" s="1">
        <f>IF([1]Rseries!B238="","",[1]Rseries!B238)</f>
        <v>4333016</v>
      </c>
    </row>
    <row r="234" spans="1:2" x14ac:dyDescent="0.25">
      <c r="A234" s="2">
        <v>42155</v>
      </c>
      <c r="B234" s="1">
        <f>IF([1]Rseries!B239="","",[1]Rseries!B239)</f>
        <v>4215031</v>
      </c>
    </row>
    <row r="235" spans="1:2" x14ac:dyDescent="0.25">
      <c r="A235" s="2">
        <v>42185</v>
      </c>
      <c r="B235" s="1">
        <f>IF([1]Rseries!B240="","",[1]Rseries!B240)</f>
        <v>4120304</v>
      </c>
    </row>
    <row r="236" spans="1:2" x14ac:dyDescent="0.25">
      <c r="A236" s="2">
        <v>42216</v>
      </c>
      <c r="B236" s="1">
        <f>IF([1]Rseries!B241="","",[1]Rseries!B241)</f>
        <v>4046276</v>
      </c>
    </row>
    <row r="237" spans="1:2" x14ac:dyDescent="0.25">
      <c r="A237" s="2">
        <v>42247</v>
      </c>
      <c r="B237" s="1">
        <f>IF([1]Rseries!B242="","",[1]Rseries!B242)</f>
        <v>4067955</v>
      </c>
    </row>
    <row r="238" spans="1:2" x14ac:dyDescent="0.25">
      <c r="A238" s="2">
        <v>42277</v>
      </c>
      <c r="B238" s="1">
        <f>IF([1]Rseries!B243="","",[1]Rseries!B243)</f>
        <v>4094042</v>
      </c>
    </row>
    <row r="239" spans="1:2" x14ac:dyDescent="0.25">
      <c r="A239" s="2">
        <v>42308</v>
      </c>
      <c r="B239" s="1">
        <f>IF([1]Rseries!B244="","",[1]Rseries!B244)</f>
        <v>4176369</v>
      </c>
    </row>
    <row r="240" spans="1:2" x14ac:dyDescent="0.25">
      <c r="A240" s="2">
        <v>42338</v>
      </c>
      <c r="B240" s="1">
        <f>IF([1]Rseries!B245="","",[1]Rseries!B245)</f>
        <v>4149298</v>
      </c>
    </row>
    <row r="241" spans="1:2" x14ac:dyDescent="0.25">
      <c r="A241" s="2">
        <v>42369</v>
      </c>
      <c r="B241" s="1">
        <f>IF([1]Rseries!B246="","",[1]Rseries!B246)</f>
        <v>4093508</v>
      </c>
    </row>
    <row r="242" spans="1:2" x14ac:dyDescent="0.25">
      <c r="A242" s="2">
        <v>42400</v>
      </c>
      <c r="B242" s="1">
        <f>IF([1]Rseries!B247="","",[1]Rseries!B247)</f>
        <v>4150755</v>
      </c>
    </row>
    <row r="243" spans="1:2" x14ac:dyDescent="0.25">
      <c r="A243" s="2">
        <v>42429</v>
      </c>
      <c r="B243" s="1">
        <f>IF([1]Rseries!B248="","",[1]Rseries!B248)</f>
        <v>4152986</v>
      </c>
    </row>
    <row r="244" spans="1:2" x14ac:dyDescent="0.25">
      <c r="A244" s="2">
        <v>42460</v>
      </c>
      <c r="B244" s="1">
        <f>IF([1]Rseries!B249="","",[1]Rseries!B249)</f>
        <v>4094770</v>
      </c>
    </row>
    <row r="245" spans="1:2" x14ac:dyDescent="0.25">
      <c r="A245" s="2">
        <v>42490</v>
      </c>
      <c r="B245" s="1">
        <f>IF([1]Rseries!B250="","",[1]Rseries!B250)</f>
        <v>4011171</v>
      </c>
    </row>
    <row r="246" spans="1:2" x14ac:dyDescent="0.25">
      <c r="A246" s="2">
        <v>42521</v>
      </c>
      <c r="B246" s="1">
        <f>IF([1]Rseries!B251="","",[1]Rseries!B251)</f>
        <v>3891403</v>
      </c>
    </row>
    <row r="247" spans="1:2" x14ac:dyDescent="0.25">
      <c r="A247" s="2">
        <v>42551</v>
      </c>
      <c r="B247" s="1">
        <f>IF([1]Rseries!B252="","",[1]Rseries!B252)</f>
        <v>3767054</v>
      </c>
    </row>
    <row r="248" spans="1:2" x14ac:dyDescent="0.25">
      <c r="A248" s="2">
        <v>42582</v>
      </c>
      <c r="B248" s="1">
        <f>IF([1]Rseries!B253="","",[1]Rseries!B253)</f>
        <v>3683061</v>
      </c>
    </row>
    <row r="249" spans="1:2" x14ac:dyDescent="0.25">
      <c r="A249" s="2">
        <v>42613</v>
      </c>
      <c r="B249" s="1">
        <f>IF([1]Rseries!B254="","",[1]Rseries!B254)</f>
        <v>3697496</v>
      </c>
    </row>
    <row r="250" spans="1:2" x14ac:dyDescent="0.25">
      <c r="A250" s="2">
        <v>42643</v>
      </c>
      <c r="B250" s="1">
        <f>IF([1]Rseries!B255="","",[1]Rseries!B255)</f>
        <v>3720297</v>
      </c>
    </row>
    <row r="251" spans="1:2" x14ac:dyDescent="0.25">
      <c r="A251" s="2">
        <v>42674</v>
      </c>
      <c r="B251" s="1">
        <f>IF([1]Rseries!B256="","",[1]Rseries!B256)</f>
        <v>3764982</v>
      </c>
    </row>
    <row r="252" spans="1:2" x14ac:dyDescent="0.25">
      <c r="A252" s="2">
        <v>42704</v>
      </c>
      <c r="B252" s="1">
        <f>IF([1]Rseries!B257="","",[1]Rseries!B257)</f>
        <v>3789823</v>
      </c>
    </row>
    <row r="253" spans="1:2" x14ac:dyDescent="0.25">
      <c r="A253" s="2">
        <v>42735</v>
      </c>
      <c r="B253" s="1">
        <f>IF([1]Rseries!B258="","",[1]Rseries!B258)</f>
        <v>3702974</v>
      </c>
    </row>
    <row r="254" spans="1:2" x14ac:dyDescent="0.25">
      <c r="A254" s="2">
        <v>42766</v>
      </c>
      <c r="B254" s="1">
        <f>IF([1]Rseries!B259="","",[1]Rseries!B259)</f>
        <v>3760231</v>
      </c>
    </row>
    <row r="255" spans="1:2" x14ac:dyDescent="0.25">
      <c r="A255" s="2">
        <v>42794</v>
      </c>
      <c r="B255" s="1">
        <f>IF([1]Rseries!B260="","",[1]Rseries!B260)</f>
        <v>3750876</v>
      </c>
    </row>
    <row r="256" spans="1:2" x14ac:dyDescent="0.25">
      <c r="A256" s="2">
        <v>42825</v>
      </c>
      <c r="B256" s="1">
        <f>IF([1]Rseries!B261="","",[1]Rseries!B261)</f>
        <v>3702317</v>
      </c>
    </row>
    <row r="257" spans="1:2" x14ac:dyDescent="0.25">
      <c r="A257" s="2">
        <v>42855</v>
      </c>
      <c r="B257" s="1">
        <f>IF([1]Rseries!B262="","",[1]Rseries!B262)</f>
        <v>3573036</v>
      </c>
    </row>
    <row r="258" spans="1:2" x14ac:dyDescent="0.25">
      <c r="A258" s="2">
        <v>42886</v>
      </c>
      <c r="B258" s="1">
        <f>IF([1]Rseries!B263="","",[1]Rseries!B263)</f>
        <v>3461128</v>
      </c>
    </row>
    <row r="259" spans="1:2" x14ac:dyDescent="0.25">
      <c r="A259" s="2">
        <v>42916</v>
      </c>
      <c r="B259" s="1">
        <f>IF([1]Rseries!B264="","",[1]Rseries!B264)</f>
        <v>3362811</v>
      </c>
    </row>
    <row r="260" spans="1:2" x14ac:dyDescent="0.25">
      <c r="A260" s="2">
        <v>42947</v>
      </c>
      <c r="B260" s="1">
        <f>IF([1]Rseries!B265="","",[1]Rseries!B265)</f>
        <v>3335924</v>
      </c>
    </row>
    <row r="261" spans="1:2" x14ac:dyDescent="0.25">
      <c r="A261" s="2">
        <v>42978</v>
      </c>
      <c r="B261" s="1">
        <f>IF([1]Rseries!B266="","",[1]Rseries!B266)</f>
        <v>3382324</v>
      </c>
    </row>
    <row r="262" spans="1:2" x14ac:dyDescent="0.25">
      <c r="A262" s="2">
        <v>43008</v>
      </c>
      <c r="B262" s="1">
        <f>IF([1]Rseries!B267="","",[1]Rseries!B267)</f>
        <v>3410182</v>
      </c>
    </row>
    <row r="263" spans="1:2" x14ac:dyDescent="0.25">
      <c r="A263" s="2">
        <v>43039</v>
      </c>
      <c r="B263" s="1">
        <f>IF([1]Rseries!B268="","",[1]Rseries!B268)</f>
        <v>3467026</v>
      </c>
    </row>
    <row r="264" spans="1:2" x14ac:dyDescent="0.25">
      <c r="A264" s="2">
        <v>43069</v>
      </c>
      <c r="B264" s="1">
        <f>IF([1]Rseries!B269="","",[1]Rseries!B269)</f>
        <v>3474281</v>
      </c>
    </row>
    <row r="265" spans="1:2" x14ac:dyDescent="0.25">
      <c r="A265" s="2">
        <v>43100</v>
      </c>
      <c r="B265" s="1">
        <f>IF([1]Rseries!B270="","",[1]Rseries!B270)</f>
        <v>3412781</v>
      </c>
    </row>
    <row r="266" spans="1:2" x14ac:dyDescent="0.25">
      <c r="A266" s="2">
        <v>43131</v>
      </c>
      <c r="B266" s="1">
        <f>IF([1]Rseries!B271="","",[1]Rseries!B271)</f>
        <v>3476528</v>
      </c>
    </row>
    <row r="267" spans="1:2" x14ac:dyDescent="0.25">
      <c r="A267" s="2">
        <v>43159</v>
      </c>
      <c r="B267" s="1">
        <f>IF([1]Rseries!B272="","",[1]Rseries!B272)</f>
        <v>3470248</v>
      </c>
    </row>
    <row r="268" spans="1:2" x14ac:dyDescent="0.25">
      <c r="A268" s="2">
        <v>43190</v>
      </c>
      <c r="B268" s="1">
        <f>IF([1]Rseries!B273="","",[1]Rseries!B273)</f>
        <v>3422551</v>
      </c>
    </row>
    <row r="269" spans="1:2" x14ac:dyDescent="0.25">
      <c r="A269" s="2">
        <v>43220</v>
      </c>
      <c r="B269" s="1">
        <f>IF([1]Rseries!B274="","",[1]Rseries!B274)</f>
        <v>3335868</v>
      </c>
    </row>
    <row r="270" spans="1:2" x14ac:dyDescent="0.25">
      <c r="A270" s="2">
        <v>43251</v>
      </c>
      <c r="B270" s="1">
        <f>IF([1]Rseries!B275="","",[1]Rseries!B275)</f>
        <v>3252130</v>
      </c>
    </row>
    <row r="271" spans="1:2" x14ac:dyDescent="0.25">
      <c r="A271" s="2">
        <v>43281</v>
      </c>
      <c r="B271" s="1">
        <f>IF([1]Rseries!B276="","",[1]Rseries!B276)</f>
        <v>3162162</v>
      </c>
    </row>
    <row r="272" spans="1:2" x14ac:dyDescent="0.25">
      <c r="A272" s="2">
        <v>43312</v>
      </c>
      <c r="B272" s="1">
        <f>IF([1]Rseries!B277="","",[1]Rseries!B277)</f>
        <v>3135021</v>
      </c>
    </row>
    <row r="273" spans="1:2" x14ac:dyDescent="0.25">
      <c r="A273" s="2">
        <v>43343</v>
      </c>
      <c r="B273" s="1">
        <f>IF([1]Rseries!B278="","",[1]Rseries!B278)</f>
        <v>3182068</v>
      </c>
    </row>
    <row r="274" spans="1:2" x14ac:dyDescent="0.25">
      <c r="A274" s="2">
        <v>43373</v>
      </c>
      <c r="B274" s="1">
        <f>IF([1]Rseries!B279="","",[1]Rseries!B279)</f>
        <v>3202509</v>
      </c>
    </row>
    <row r="275" spans="1:2" x14ac:dyDescent="0.25">
      <c r="A275" s="2">
        <v>43404</v>
      </c>
      <c r="B275" s="1">
        <f>IF([1]Rseries!B280="","",[1]Rseries!B280)</f>
        <v>3254703</v>
      </c>
    </row>
    <row r="276" spans="1:2" x14ac:dyDescent="0.25">
      <c r="A276" s="2">
        <v>43434</v>
      </c>
      <c r="B276" s="1">
        <f>IF([1]Rseries!B281="","",[1]Rseries!B281)</f>
        <v>3252867</v>
      </c>
    </row>
    <row r="277" spans="1:2" x14ac:dyDescent="0.25">
      <c r="A277" s="2">
        <v>43465</v>
      </c>
      <c r="B277" s="1">
        <f>IF([1]Rseries!B282="","",[1]Rseries!B282)</f>
        <v>3202297</v>
      </c>
    </row>
    <row r="278" spans="1:2" x14ac:dyDescent="0.25">
      <c r="A278" s="2">
        <v>43496</v>
      </c>
      <c r="B278" s="1">
        <f>IF([1]Rseries!B283="","",[1]Rseries!B283)</f>
        <v>3285761</v>
      </c>
    </row>
    <row r="279" spans="1:2" x14ac:dyDescent="0.25">
      <c r="A279" s="2">
        <v>43524</v>
      </c>
      <c r="B279" s="1">
        <f>IF([1]Rseries!B284="","",[1]Rseries!B284)</f>
        <v>3289040</v>
      </c>
    </row>
    <row r="280" spans="1:2" x14ac:dyDescent="0.25">
      <c r="A280" s="2">
        <v>43555</v>
      </c>
      <c r="B280" s="1">
        <f>IF([1]Rseries!B285="","",[1]Rseries!B285)</f>
        <v>3255084</v>
      </c>
    </row>
    <row r="281" spans="1:2" x14ac:dyDescent="0.25">
      <c r="A281" s="2">
        <v>43585</v>
      </c>
      <c r="B281" s="1">
        <f>IF([1]Rseries!B286="","",[1]Rseries!B286)</f>
        <v>3163566</v>
      </c>
    </row>
    <row r="282" spans="1:2" x14ac:dyDescent="0.25">
      <c r="A282" s="2">
        <v>43616</v>
      </c>
      <c r="B282" s="1">
        <f>IF([1]Rseries!B287="","",[1]Rseries!B287)</f>
        <v>3079491</v>
      </c>
    </row>
    <row r="283" spans="1:2" x14ac:dyDescent="0.25">
      <c r="A283" s="2">
        <v>43646</v>
      </c>
      <c r="B283" s="1">
        <f>IF([1]Rseries!B288="","",[1]Rseries!B288)</f>
        <v>3015686</v>
      </c>
    </row>
    <row r="284" spans="1:2" x14ac:dyDescent="0.25">
      <c r="A284" s="2">
        <v>43677</v>
      </c>
      <c r="B284" s="1">
        <f>IF([1]Rseries!B289="","",[1]Rseries!B289)</f>
        <v>3011433</v>
      </c>
    </row>
    <row r="285" spans="1:2" x14ac:dyDescent="0.25">
      <c r="A285" s="2">
        <v>43708</v>
      </c>
      <c r="B285" s="1">
        <f>IF([1]Rseries!B290="","",[1]Rseries!B290)</f>
        <v>3065804</v>
      </c>
    </row>
    <row r="286" spans="1:2" x14ac:dyDescent="0.25">
      <c r="A286" s="2">
        <v>43738</v>
      </c>
      <c r="B286" s="1">
        <f>IF([1]Rseries!B291="","",[1]Rseries!B291)</f>
        <v>3079711</v>
      </c>
    </row>
    <row r="287" spans="1:2" x14ac:dyDescent="0.25">
      <c r="A287" s="2">
        <v>43769</v>
      </c>
      <c r="B287" s="1">
        <f>IF([1]Rseries!B292="","",[1]Rseries!B292)</f>
        <v>3177659</v>
      </c>
    </row>
    <row r="288" spans="1:2" x14ac:dyDescent="0.25">
      <c r="A288" s="2">
        <v>43799</v>
      </c>
      <c r="B288" s="1">
        <f>IF([1]Rseries!B293="","",[1]Rseries!B293)</f>
        <v>3198184</v>
      </c>
    </row>
    <row r="289" spans="1:2" x14ac:dyDescent="0.25">
      <c r="A289" s="2">
        <v>43830</v>
      </c>
      <c r="B289" s="1">
        <f>IF([1]Rseries!B294="","",[1]Rseries!B294)</f>
        <v>3163605</v>
      </c>
    </row>
    <row r="290" spans="1:2" x14ac:dyDescent="0.25">
      <c r="A290" s="2">
        <v>43861</v>
      </c>
      <c r="B290" s="1">
        <f>IF([1]Rseries!B295="","",[1]Rseries!B295)</f>
        <v>3253853</v>
      </c>
    </row>
    <row r="291" spans="1:2" x14ac:dyDescent="0.25">
      <c r="A291" s="2">
        <v>43890</v>
      </c>
      <c r="B291" s="1">
        <f>IF([1]Rseries!B296="","",[1]Rseries!B296)</f>
        <v>3246047</v>
      </c>
    </row>
    <row r="292" spans="1:2" x14ac:dyDescent="0.25">
      <c r="A292" s="2">
        <v>43921</v>
      </c>
      <c r="B292" s="1">
        <f>IF([1]Rseries!B297="","",[1]Rseries!B297)</f>
        <v>3548312</v>
      </c>
    </row>
    <row r="293" spans="1:2" x14ac:dyDescent="0.25">
      <c r="A293" s="2">
        <v>43951</v>
      </c>
      <c r="B293" s="1">
        <f>IF([1]Rseries!B298="","",[1]Rseries!B298)</f>
        <v>3831203</v>
      </c>
    </row>
    <row r="294" spans="1:2" x14ac:dyDescent="0.25">
      <c r="A294" s="2">
        <v>43982</v>
      </c>
      <c r="B294" s="1">
        <f>IF([1]Rseries!B299="","",[1]Rseries!B299)</f>
        <v>3857776</v>
      </c>
    </row>
    <row r="295" spans="1:2" x14ac:dyDescent="0.25">
      <c r="A295" s="2">
        <v>44012</v>
      </c>
      <c r="B295" s="1">
        <f>IF([1]Rseries!B300="","",[1]Rseries!B300)</f>
        <v>3862883</v>
      </c>
    </row>
    <row r="296" spans="1:2" x14ac:dyDescent="0.25">
      <c r="A296" s="2">
        <v>44043</v>
      </c>
      <c r="B296" s="1">
        <f>IF([1]Rseries!B301="","",[1]Rseries!B301)</f>
        <v>3773034</v>
      </c>
    </row>
    <row r="297" spans="1:2" x14ac:dyDescent="0.25">
      <c r="A297" s="2">
        <v>44074</v>
      </c>
      <c r="B297" s="1">
        <f>IF([1]Rseries!B302="","",[1]Rseries!B302)</f>
        <v>3802814</v>
      </c>
    </row>
    <row r="298" spans="1:2" x14ac:dyDescent="0.25">
      <c r="A298" s="2">
        <v>44104</v>
      </c>
      <c r="B298" s="1">
        <f>IF([1]Rseries!B303="","",[1]Rseries!B303)</f>
        <v>3776485</v>
      </c>
    </row>
    <row r="299" spans="1:2" x14ac:dyDescent="0.25">
      <c r="A299" s="2">
        <v>44135</v>
      </c>
      <c r="B299" s="1">
        <f>IF([1]Rseries!B304="","",[1]Rseries!B304)</f>
        <v>3826043</v>
      </c>
    </row>
    <row r="300" spans="1:2" x14ac:dyDescent="0.25">
      <c r="A300" s="2">
        <v>44165</v>
      </c>
      <c r="B300" s="1">
        <f>IF([1]Rseries!B305="","",[1]Rseries!B305)</f>
        <v>3851312</v>
      </c>
    </row>
    <row r="301" spans="1:2" x14ac:dyDescent="0.25">
      <c r="A301" s="2">
        <v>44196</v>
      </c>
      <c r="B301" s="1">
        <f>IF([1]Rseries!B306="","",[1]Rseries!B306)</f>
        <v>3888137</v>
      </c>
    </row>
    <row r="302" spans="1:2" x14ac:dyDescent="0.25">
      <c r="A302" s="2">
        <v>44227</v>
      </c>
      <c r="B302" s="1">
        <f>IF([1]Rseries!B307="","",[1]Rseries!B307)</f>
        <v>3964353</v>
      </c>
    </row>
    <row r="303" spans="1:2" x14ac:dyDescent="0.25">
      <c r="A303" s="2">
        <v>44255</v>
      </c>
      <c r="B303" s="1">
        <f>IF([1]Rseries!B308="","",[1]Rseries!B308)</f>
        <v>4008789</v>
      </c>
    </row>
    <row r="304" spans="1:2" x14ac:dyDescent="0.25">
      <c r="A304" s="2">
        <v>44286</v>
      </c>
      <c r="B304" s="1" t="str">
        <f>IF([1]Rseries!B309="","",[1]Rseries!B309)</f>
        <v/>
      </c>
    </row>
    <row r="305" spans="1:2" x14ac:dyDescent="0.25">
      <c r="A305" s="2">
        <v>44316</v>
      </c>
      <c r="B305" s="1" t="str">
        <f>IF([1]Rseries!B310="","",[1]Rseries!B310)</f>
        <v/>
      </c>
    </row>
    <row r="306" spans="1:2" x14ac:dyDescent="0.25">
      <c r="A306" s="2">
        <v>44347</v>
      </c>
      <c r="B306" s="1" t="str">
        <f>IF([1]Rseries!B311="","",[1]Rseries!B311)</f>
        <v/>
      </c>
    </row>
    <row r="307" spans="1:2" x14ac:dyDescent="0.25">
      <c r="A307" s="2">
        <v>44377</v>
      </c>
      <c r="B307" s="1" t="str">
        <f>IF([1]Rseries!B312="","",[1]Rseries!B312)</f>
        <v/>
      </c>
    </row>
    <row r="308" spans="1:2" x14ac:dyDescent="0.25">
      <c r="A308" s="2">
        <v>44408</v>
      </c>
      <c r="B308" s="1" t="str">
        <f>IF([1]Rseries!B313="","",[1]Rseries!B313)</f>
        <v/>
      </c>
    </row>
    <row r="309" spans="1:2" x14ac:dyDescent="0.25">
      <c r="A309" s="2">
        <v>44439</v>
      </c>
      <c r="B309" s="1" t="str">
        <f>IF([1]Rseries!B314="","",[1]Rseries!B314)</f>
        <v/>
      </c>
    </row>
    <row r="310" spans="1:2" x14ac:dyDescent="0.25">
      <c r="A310" s="2">
        <v>44469</v>
      </c>
      <c r="B310" s="1" t="str">
        <f>IF([1]Rseries!B315="","",[1]Rseries!B315)</f>
        <v/>
      </c>
    </row>
    <row r="311" spans="1:2" x14ac:dyDescent="0.25">
      <c r="A311" s="2">
        <v>44500</v>
      </c>
      <c r="B311" s="1" t="str">
        <f>IF([1]Rseries!B316="","",[1]Rseries!B316)</f>
        <v/>
      </c>
    </row>
    <row r="312" spans="1:2" x14ac:dyDescent="0.25">
      <c r="A312" s="2">
        <v>44530</v>
      </c>
      <c r="B312" s="1" t="str">
        <f>IF([1]Rseries!B317="","",[1]Rseries!B317)</f>
        <v/>
      </c>
    </row>
    <row r="313" spans="1:2" x14ac:dyDescent="0.25">
      <c r="A313" s="2">
        <v>44561</v>
      </c>
      <c r="B313" s="1" t="str">
        <f>IF([1]Rseries!B318="","",[1]Rseries!B318)</f>
        <v/>
      </c>
    </row>
    <row r="314" spans="1:2" x14ac:dyDescent="0.25">
      <c r="A314" s="2">
        <v>44592</v>
      </c>
      <c r="B314" s="1" t="str">
        <f>IF([1]Rseries!B319="","",[1]Rseries!B319)</f>
        <v/>
      </c>
    </row>
    <row r="315" spans="1:2" x14ac:dyDescent="0.25">
      <c r="A315" s="2">
        <v>44620</v>
      </c>
      <c r="B315" s="1" t="str">
        <f>IF([1]Rseries!B320="","",[1]Rseries!B320)</f>
        <v/>
      </c>
    </row>
    <row r="316" spans="1:2" x14ac:dyDescent="0.25">
      <c r="A316" s="2">
        <v>44651</v>
      </c>
      <c r="B316" s="1" t="str">
        <f>IF([1]Rseries!B321="","",[1]Rseries!B321)</f>
        <v/>
      </c>
    </row>
    <row r="317" spans="1:2" x14ac:dyDescent="0.25">
      <c r="A317" s="2">
        <v>44681</v>
      </c>
      <c r="B317" s="1" t="str">
        <f>IF([1]Rseries!B322="","",[1]Rseries!B322)</f>
        <v/>
      </c>
    </row>
    <row r="318" spans="1:2" x14ac:dyDescent="0.25">
      <c r="A318" s="2">
        <v>44712</v>
      </c>
      <c r="B318" s="1" t="str">
        <f>IF([1]Rseries!B323="","",[1]Rseries!B323)</f>
        <v/>
      </c>
    </row>
    <row r="319" spans="1:2" x14ac:dyDescent="0.25">
      <c r="A319" s="2">
        <v>44742</v>
      </c>
      <c r="B319" s="1" t="str">
        <f>IF([1]Rseries!B324="","",[1]Rseries!B324)</f>
        <v/>
      </c>
    </row>
    <row r="320" spans="1:2" x14ac:dyDescent="0.25">
      <c r="A320" s="2">
        <v>44773</v>
      </c>
      <c r="B320" s="1" t="str">
        <f>IF([1]Rseries!B325="","",[1]Rseries!B325)</f>
        <v/>
      </c>
    </row>
    <row r="321" spans="1:2" x14ac:dyDescent="0.25">
      <c r="A321" s="2">
        <v>44804</v>
      </c>
      <c r="B321" s="1" t="str">
        <f>IF([1]Rseries!B326="","",[1]Rseries!B326)</f>
        <v/>
      </c>
    </row>
    <row r="322" spans="1:2" x14ac:dyDescent="0.25">
      <c r="A322" s="2">
        <v>44834</v>
      </c>
      <c r="B322" s="1" t="str">
        <f>IF([1]Rseries!B327="","",[1]Rseries!B327)</f>
        <v/>
      </c>
    </row>
    <row r="323" spans="1:2" x14ac:dyDescent="0.25">
      <c r="A323" s="2">
        <v>44865</v>
      </c>
      <c r="B323" s="1" t="str">
        <f>IF([1]Rseries!B328="","",[1]Rseries!B328)</f>
        <v/>
      </c>
    </row>
    <row r="324" spans="1:2" x14ac:dyDescent="0.25">
      <c r="A324" s="2">
        <v>44895</v>
      </c>
      <c r="B324" s="1" t="str">
        <f>IF([1]Rseries!B329="","",[1]Rseries!B329)</f>
        <v/>
      </c>
    </row>
    <row r="325" spans="1:2" x14ac:dyDescent="0.25">
      <c r="A325" s="2">
        <v>44926</v>
      </c>
      <c r="B325" s="1" t="str">
        <f>IF([1]Rseries!B330="","",[1]Rseries!B330)</f>
        <v/>
      </c>
    </row>
    <row r="326" spans="1:2" x14ac:dyDescent="0.25">
      <c r="A326" s="2">
        <v>44957</v>
      </c>
      <c r="B326" s="1" t="str">
        <f>IF([1]Rseries!B331="","",[1]Rseries!B331)</f>
        <v/>
      </c>
    </row>
    <row r="327" spans="1:2" x14ac:dyDescent="0.25">
      <c r="A327" s="2">
        <v>44985</v>
      </c>
      <c r="B327" s="1" t="str">
        <f>IF([1]Rseries!B332="","",[1]Rseries!B332)</f>
        <v/>
      </c>
    </row>
    <row r="328" spans="1:2" x14ac:dyDescent="0.25">
      <c r="A328" s="2">
        <v>45016</v>
      </c>
      <c r="B328" s="1" t="str">
        <f>IF([1]Rseries!B333="","",[1]Rseries!B333)</f>
        <v/>
      </c>
    </row>
    <row r="329" spans="1:2" x14ac:dyDescent="0.25">
      <c r="A329" s="2">
        <v>45046</v>
      </c>
      <c r="B329" s="1" t="str">
        <f>IF([1]Rseries!B334="","",[1]Rseries!B334)</f>
        <v/>
      </c>
    </row>
    <row r="330" spans="1:2" x14ac:dyDescent="0.25">
      <c r="A330" s="2">
        <v>45077</v>
      </c>
      <c r="B330" s="1" t="str">
        <f>IF([1]Rseries!B335="","",[1]Rseries!B335)</f>
        <v/>
      </c>
    </row>
    <row r="331" spans="1:2" x14ac:dyDescent="0.25">
      <c r="A331" s="2">
        <v>45107</v>
      </c>
      <c r="B331" s="1" t="str">
        <f>IF([1]Rseries!B336="","",[1]Rseries!B336)</f>
        <v/>
      </c>
    </row>
    <row r="332" spans="1:2" x14ac:dyDescent="0.25">
      <c r="A332" s="2">
        <v>45138</v>
      </c>
      <c r="B332" s="1" t="str">
        <f>IF([1]Rseries!B337="","",[1]Rseries!B337)</f>
        <v/>
      </c>
    </row>
    <row r="333" spans="1:2" x14ac:dyDescent="0.25">
      <c r="A333" s="2">
        <v>45169</v>
      </c>
      <c r="B333" s="1" t="str">
        <f>IF([1]Rseries!B338="","",[1]Rseries!B338)</f>
        <v/>
      </c>
    </row>
    <row r="334" spans="1:2" x14ac:dyDescent="0.25">
      <c r="A334" s="2">
        <v>45199</v>
      </c>
      <c r="B334" s="1" t="str">
        <f>IF([1]Rseries!B339="","",[1]Rseries!B339)</f>
        <v/>
      </c>
    </row>
    <row r="335" spans="1:2" x14ac:dyDescent="0.25">
      <c r="A335" s="2">
        <v>45230</v>
      </c>
      <c r="B335" s="1" t="str">
        <f>IF([1]Rseries!B340="","",[1]Rseries!B340)</f>
        <v/>
      </c>
    </row>
    <row r="336" spans="1:2" x14ac:dyDescent="0.25">
      <c r="A336" s="2">
        <v>45260</v>
      </c>
      <c r="B336" s="1" t="str">
        <f>IF([1]Rseries!B341="","",[1]Rseries!B341)</f>
        <v/>
      </c>
    </row>
    <row r="337" spans="1:2" x14ac:dyDescent="0.25">
      <c r="A337" s="2">
        <v>45291</v>
      </c>
      <c r="B337" s="1" t="str">
        <f>IF([1]Rseries!B342="","",[1]Rseries!B342)</f>
        <v/>
      </c>
    </row>
    <row r="338" spans="1:2" x14ac:dyDescent="0.25">
      <c r="A338" s="2">
        <v>45322</v>
      </c>
      <c r="B338" s="1" t="str">
        <f>IF([1]Rseries!B343="","",[1]Rseries!B343)</f>
        <v/>
      </c>
    </row>
    <row r="339" spans="1:2" x14ac:dyDescent="0.25">
      <c r="A339" s="2">
        <v>45351</v>
      </c>
      <c r="B339" s="1" t="str">
        <f>IF([1]Rseries!B344="","",[1]Rseries!B344)</f>
        <v/>
      </c>
    </row>
    <row r="340" spans="1:2" x14ac:dyDescent="0.25">
      <c r="A340" s="2">
        <v>45382</v>
      </c>
      <c r="B340" s="1" t="str">
        <f>IF([1]Rseries!B345="","",[1]Rseries!B345)</f>
        <v/>
      </c>
    </row>
    <row r="341" spans="1:2" x14ac:dyDescent="0.25">
      <c r="A341" s="2">
        <v>45412</v>
      </c>
      <c r="B341" s="1" t="str">
        <f>IF([1]Rseries!B346="","",[1]Rseries!B346)</f>
        <v/>
      </c>
    </row>
    <row r="342" spans="1:2" x14ac:dyDescent="0.25">
      <c r="A342" s="2">
        <v>45443</v>
      </c>
      <c r="B342" s="1" t="str">
        <f>IF([1]Rseries!B347="","",[1]Rseries!B347)</f>
        <v/>
      </c>
    </row>
    <row r="343" spans="1:2" x14ac:dyDescent="0.25">
      <c r="A343" s="2">
        <v>45473</v>
      </c>
      <c r="B343" s="1" t="str">
        <f>IF([1]Rseries!B348="","",[1]Rseries!B348)</f>
        <v/>
      </c>
    </row>
    <row r="344" spans="1:2" x14ac:dyDescent="0.25">
      <c r="A344" s="2">
        <v>45504</v>
      </c>
      <c r="B344" s="1" t="str">
        <f>IF([1]Rseries!B349="","",[1]Rseries!B349)</f>
        <v/>
      </c>
    </row>
    <row r="345" spans="1:2" x14ac:dyDescent="0.25">
      <c r="A345" s="2">
        <v>45535</v>
      </c>
      <c r="B345" s="1" t="str">
        <f>IF([1]Rseries!B350="","",[1]Rseries!B350)</f>
        <v/>
      </c>
    </row>
    <row r="346" spans="1:2" x14ac:dyDescent="0.25">
      <c r="A346" s="2">
        <v>45565</v>
      </c>
      <c r="B346" s="1" t="str">
        <f>IF([1]Rseries!B351="","",[1]Rseries!B351)</f>
        <v/>
      </c>
    </row>
    <row r="347" spans="1:2" x14ac:dyDescent="0.25">
      <c r="A347" s="2">
        <v>45596</v>
      </c>
      <c r="B347" s="1" t="str">
        <f>IF([1]Rseries!B352="","",[1]Rseries!B352)</f>
        <v/>
      </c>
    </row>
    <row r="348" spans="1:2" x14ac:dyDescent="0.25">
      <c r="A348" s="2">
        <v>45626</v>
      </c>
      <c r="B348" s="1" t="str">
        <f>IF([1]Rseries!B353="","",[1]Rseries!B353)</f>
        <v/>
      </c>
    </row>
    <row r="349" spans="1:2" x14ac:dyDescent="0.25">
      <c r="A349" s="2">
        <v>45657</v>
      </c>
      <c r="B349" s="1" t="str">
        <f>IF([1]Rseries!B354="","",[1]Rseries!B354)</f>
        <v/>
      </c>
    </row>
    <row r="350" spans="1:2" x14ac:dyDescent="0.25">
      <c r="A350" s="2">
        <v>45688</v>
      </c>
      <c r="B350" s="1" t="str">
        <f>IF([1]Rseries!B355="","",[1]Rseries!B355)</f>
        <v/>
      </c>
    </row>
    <row r="351" spans="1:2" x14ac:dyDescent="0.25">
      <c r="A351" s="2">
        <v>45716</v>
      </c>
      <c r="B351" s="1" t="str">
        <f>IF([1]Rseries!B356="","",[1]Rseries!B356)</f>
        <v/>
      </c>
    </row>
    <row r="352" spans="1:2" x14ac:dyDescent="0.25">
      <c r="A352" s="2">
        <v>45747</v>
      </c>
      <c r="B352" s="1" t="str">
        <f>IF([1]Rseries!B357="","",[1]Rseries!B357)</f>
        <v/>
      </c>
    </row>
    <row r="353" spans="1:2" x14ac:dyDescent="0.25">
      <c r="A353" s="2">
        <v>45777</v>
      </c>
      <c r="B353" s="1" t="str">
        <f>IF([1]Rseries!B358="","",[1]Rseries!B358)</f>
        <v/>
      </c>
    </row>
    <row r="354" spans="1:2" x14ac:dyDescent="0.25">
      <c r="A354" s="2">
        <v>45808</v>
      </c>
      <c r="B354" s="1" t="str">
        <f>IF([1]Rseries!B359="","",[1]Rseries!B359)</f>
        <v/>
      </c>
    </row>
    <row r="355" spans="1:2" x14ac:dyDescent="0.25">
      <c r="A355" s="2">
        <v>45838</v>
      </c>
      <c r="B355" s="1" t="str">
        <f>IF([1]Rseries!B360="","",[1]Rseries!B360)</f>
        <v/>
      </c>
    </row>
    <row r="356" spans="1:2" x14ac:dyDescent="0.25">
      <c r="A356" s="2">
        <v>45869</v>
      </c>
      <c r="B356" s="1" t="str">
        <f>IF([1]Rseries!B361="","",[1]Rseries!B361)</f>
        <v/>
      </c>
    </row>
    <row r="357" spans="1:2" x14ac:dyDescent="0.25">
      <c r="A357" s="2">
        <v>45900</v>
      </c>
      <c r="B357" s="1" t="str">
        <f>IF([1]Rseries!B362="","",[1]Rseries!B362)</f>
        <v/>
      </c>
    </row>
    <row r="358" spans="1:2" x14ac:dyDescent="0.25">
      <c r="A358" s="2">
        <v>45930</v>
      </c>
      <c r="B358" s="1" t="str">
        <f>IF([1]Rseries!B363="","",[1]Rseries!B363)</f>
        <v/>
      </c>
    </row>
    <row r="359" spans="1:2" x14ac:dyDescent="0.25">
      <c r="A359" s="2">
        <v>45961</v>
      </c>
      <c r="B359" s="1" t="str">
        <f>IF([1]Rseries!B364="","",[1]Rseries!B364)</f>
        <v/>
      </c>
    </row>
    <row r="360" spans="1:2" x14ac:dyDescent="0.25">
      <c r="A360" s="2">
        <v>45991</v>
      </c>
      <c r="B360" s="1" t="str">
        <f>IF([1]Rseries!B365="","",[1]Rseries!B365)</f>
        <v/>
      </c>
    </row>
    <row r="361" spans="1:2" x14ac:dyDescent="0.25">
      <c r="A361" s="2">
        <v>46022</v>
      </c>
      <c r="B361" s="1" t="str">
        <f>IF([1]Rseries!B366="","",[1]Rseries!B366)</f>
        <v/>
      </c>
    </row>
    <row r="362" spans="1:2" x14ac:dyDescent="0.25">
      <c r="A362" s="2">
        <v>46053</v>
      </c>
      <c r="B362" s="1" t="str">
        <f>IF([1]Rseries!B367="","",[1]Rseries!B367)</f>
        <v/>
      </c>
    </row>
    <row r="363" spans="1:2" x14ac:dyDescent="0.25">
      <c r="A363" s="2">
        <v>46081</v>
      </c>
      <c r="B363" s="1" t="str">
        <f>IF([1]Rseries!B368="","",[1]Rseries!B368)</f>
        <v/>
      </c>
    </row>
    <row r="364" spans="1:2" x14ac:dyDescent="0.25">
      <c r="A364" s="2">
        <v>46112</v>
      </c>
      <c r="B364" s="1" t="str">
        <f>IF([1]Rseries!B369="","",[1]Rseries!B369)</f>
        <v/>
      </c>
    </row>
    <row r="365" spans="1:2" x14ac:dyDescent="0.25">
      <c r="A365" s="2">
        <v>46142</v>
      </c>
      <c r="B365" s="1" t="str">
        <f>IF([1]Rseries!B370="","",[1]Rseries!B370)</f>
        <v/>
      </c>
    </row>
    <row r="366" spans="1:2" x14ac:dyDescent="0.25">
      <c r="A366" s="2">
        <v>46173</v>
      </c>
      <c r="B366" s="1" t="str">
        <f>IF([1]Rseries!B371="","",[1]Rseries!B371)</f>
        <v/>
      </c>
    </row>
    <row r="367" spans="1:2" x14ac:dyDescent="0.25">
      <c r="A367" s="2">
        <v>46203</v>
      </c>
      <c r="B367" s="1" t="str">
        <f>IF([1]Rseries!B372="","",[1]Rseries!B372)</f>
        <v/>
      </c>
    </row>
    <row r="368" spans="1:2" x14ac:dyDescent="0.25">
      <c r="A368" s="2">
        <v>46234</v>
      </c>
      <c r="B368" s="1" t="str">
        <f>IF([1]Rseries!B373="","",[1]Rseries!B373)</f>
        <v/>
      </c>
    </row>
    <row r="369" spans="1:2" x14ac:dyDescent="0.25">
      <c r="A369" s="2">
        <v>46265</v>
      </c>
      <c r="B369" s="1" t="str">
        <f>IF([1]Rseries!B374="","",[1]Rseries!B374)</f>
        <v/>
      </c>
    </row>
    <row r="370" spans="1:2" x14ac:dyDescent="0.25">
      <c r="A370" s="2">
        <v>46295</v>
      </c>
      <c r="B370" s="1" t="str">
        <f>IF([1]Rseries!B375="","",[1]Rseries!B375)</f>
        <v/>
      </c>
    </row>
    <row r="371" spans="1:2" x14ac:dyDescent="0.25">
      <c r="A371" s="2">
        <v>46326</v>
      </c>
      <c r="B371" s="1" t="str">
        <f>IF([1]Rseries!B376="","",[1]Rseries!B376)</f>
        <v/>
      </c>
    </row>
    <row r="372" spans="1:2" x14ac:dyDescent="0.25">
      <c r="A372" s="2">
        <v>46356</v>
      </c>
      <c r="B372" s="1" t="str">
        <f>IF([1]Rseries!B377="","",[1]Rseries!B377)</f>
        <v/>
      </c>
    </row>
    <row r="373" spans="1:2" x14ac:dyDescent="0.25">
      <c r="A373" s="2">
        <v>46387</v>
      </c>
      <c r="B373" s="1" t="str">
        <f>IF([1]Rseries!B378="","",[1]Rseries!B378)</f>
        <v/>
      </c>
    </row>
    <row r="374" spans="1:2" x14ac:dyDescent="0.25">
      <c r="A374" s="2">
        <v>46418</v>
      </c>
      <c r="B374" s="1" t="str">
        <f>IF([1]Rseries!B379="","",[1]Rseries!B379)</f>
        <v/>
      </c>
    </row>
    <row r="375" spans="1:2" x14ac:dyDescent="0.25">
      <c r="A375" s="2">
        <v>46446</v>
      </c>
      <c r="B375" s="1" t="str">
        <f>IF([1]Rseries!B380="","",[1]Rseries!B380)</f>
        <v/>
      </c>
    </row>
    <row r="376" spans="1:2" x14ac:dyDescent="0.25">
      <c r="A376" s="2">
        <v>46477</v>
      </c>
      <c r="B376" s="1" t="str">
        <f>IF([1]Rseries!B381="","",[1]Rseries!B381)</f>
        <v/>
      </c>
    </row>
    <row r="377" spans="1:2" x14ac:dyDescent="0.25">
      <c r="A377" s="2">
        <v>46507</v>
      </c>
      <c r="B377" s="1" t="str">
        <f>IF([1]Rseries!B382="","",[1]Rseries!B382)</f>
        <v/>
      </c>
    </row>
    <row r="378" spans="1:2" x14ac:dyDescent="0.25">
      <c r="A378" s="2">
        <v>46538</v>
      </c>
      <c r="B378" s="1" t="str">
        <f>IF([1]Rseries!B383="","",[1]Rseries!B383)</f>
        <v/>
      </c>
    </row>
    <row r="379" spans="1:2" x14ac:dyDescent="0.25">
      <c r="A379" s="2">
        <v>46568</v>
      </c>
      <c r="B379" s="1" t="str">
        <f>IF([1]Rseries!B384="","",[1]Rseries!B384)</f>
        <v/>
      </c>
    </row>
    <row r="380" spans="1:2" x14ac:dyDescent="0.25">
      <c r="A380" s="2">
        <v>46599</v>
      </c>
      <c r="B380" s="1" t="str">
        <f>IF([1]Rseries!B385="","",[1]Rseries!B385)</f>
        <v/>
      </c>
    </row>
    <row r="381" spans="1:2" x14ac:dyDescent="0.25">
      <c r="A381" s="2">
        <v>46630</v>
      </c>
      <c r="B381" s="1" t="str">
        <f>IF([1]Rseries!B386="","",[1]Rseries!B386)</f>
        <v/>
      </c>
    </row>
    <row r="382" spans="1:2" x14ac:dyDescent="0.25">
      <c r="A382" s="2">
        <v>46660</v>
      </c>
      <c r="B382" s="1" t="str">
        <f>IF([1]Rseries!B387="","",[1]Rseries!B387)</f>
        <v/>
      </c>
    </row>
    <row r="383" spans="1:2" x14ac:dyDescent="0.25">
      <c r="A383" s="2">
        <v>46691</v>
      </c>
      <c r="B383" s="1" t="str">
        <f>IF([1]Rseries!B388="","",[1]Rseries!B388)</f>
        <v/>
      </c>
    </row>
    <row r="384" spans="1:2" x14ac:dyDescent="0.25">
      <c r="A384" s="2">
        <v>46721</v>
      </c>
      <c r="B384" s="1" t="str">
        <f>IF([1]Rseries!B389="","",[1]Rseries!B389)</f>
        <v/>
      </c>
    </row>
    <row r="385" spans="1:2" x14ac:dyDescent="0.25">
      <c r="A385" s="2">
        <v>46752</v>
      </c>
      <c r="B385" s="1" t="str">
        <f>IF([1]Rseries!B390="","",[1]Rseries!B390)</f>
        <v/>
      </c>
    </row>
    <row r="386" spans="1:2" x14ac:dyDescent="0.25">
      <c r="A386" s="2">
        <v>46783</v>
      </c>
      <c r="B386" s="1" t="str">
        <f>IF([1]Rseries!B391="","",[1]Rseries!B391)</f>
        <v/>
      </c>
    </row>
    <row r="387" spans="1:2" x14ac:dyDescent="0.25">
      <c r="A387" s="2">
        <v>46812</v>
      </c>
      <c r="B387" s="1" t="str">
        <f>IF([1]Rseries!B392="","",[1]Rseries!B392)</f>
        <v/>
      </c>
    </row>
    <row r="388" spans="1:2" x14ac:dyDescent="0.25">
      <c r="A388" s="2">
        <v>46843</v>
      </c>
      <c r="B388" s="1" t="str">
        <f>IF([1]Rseries!B393="","",[1]Rseries!B393)</f>
        <v/>
      </c>
    </row>
    <row r="389" spans="1:2" x14ac:dyDescent="0.25">
      <c r="A389" s="2">
        <v>46873</v>
      </c>
      <c r="B389" s="1" t="str">
        <f>IF([1]Rseries!B394="","",[1]Rseries!B394)</f>
        <v/>
      </c>
    </row>
    <row r="390" spans="1:2" x14ac:dyDescent="0.25">
      <c r="A390" s="2">
        <v>46904</v>
      </c>
      <c r="B390" s="1" t="str">
        <f>IF([1]Rseries!B395="","",[1]Rseries!B395)</f>
        <v/>
      </c>
    </row>
    <row r="391" spans="1:2" x14ac:dyDescent="0.25">
      <c r="A391" s="2">
        <v>46934</v>
      </c>
      <c r="B391" s="1" t="str">
        <f>IF([1]Rseries!B396="","",[1]Rseries!B396)</f>
        <v/>
      </c>
    </row>
    <row r="392" spans="1:2" x14ac:dyDescent="0.25">
      <c r="A392" s="2">
        <v>46965</v>
      </c>
      <c r="B392" s="1" t="str">
        <f>IF([1]Rseries!B397="","",[1]Rseries!B397)</f>
        <v/>
      </c>
    </row>
    <row r="393" spans="1:2" x14ac:dyDescent="0.25">
      <c r="A393" s="2">
        <v>46996</v>
      </c>
      <c r="B393" s="1" t="str">
        <f>IF([1]Rseries!B398="","",[1]Rseries!B398)</f>
        <v/>
      </c>
    </row>
    <row r="394" spans="1:2" x14ac:dyDescent="0.25">
      <c r="A394" s="2">
        <v>47026</v>
      </c>
      <c r="B394" s="1" t="str">
        <f>IF([1]Rseries!B399="","",[1]Rseries!B399)</f>
        <v/>
      </c>
    </row>
    <row r="395" spans="1:2" x14ac:dyDescent="0.25">
      <c r="A395" s="2">
        <v>47057</v>
      </c>
      <c r="B395" s="1" t="str">
        <f>IF([1]Rseries!B400="","",[1]Rseries!B400)</f>
        <v/>
      </c>
    </row>
    <row r="396" spans="1:2" x14ac:dyDescent="0.25">
      <c r="A396" s="2">
        <v>47087</v>
      </c>
      <c r="B396" s="1" t="str">
        <f>IF([1]Rseries!B401="","",[1]Rseries!B401)</f>
        <v/>
      </c>
    </row>
    <row r="397" spans="1:2" x14ac:dyDescent="0.25">
      <c r="A397" s="2">
        <v>47118</v>
      </c>
      <c r="B397" s="1" t="str">
        <f>IF([1]Rseries!B402="","",[1]Rseries!B402)</f>
        <v/>
      </c>
    </row>
    <row r="398" spans="1:2" x14ac:dyDescent="0.25">
      <c r="A398" s="2">
        <v>47149</v>
      </c>
      <c r="B398" s="1" t="str">
        <f>IF([1]Rseries!B403="","",[1]Rseries!B403)</f>
        <v/>
      </c>
    </row>
    <row r="399" spans="1:2" x14ac:dyDescent="0.25">
      <c r="A399" s="2">
        <v>47177</v>
      </c>
      <c r="B399" s="1" t="str">
        <f>IF([1]Rseries!B404="","",[1]Rseries!B404)</f>
        <v/>
      </c>
    </row>
    <row r="400" spans="1:2" x14ac:dyDescent="0.25">
      <c r="A400" s="2">
        <v>47208</v>
      </c>
      <c r="B400" s="1" t="str">
        <f>IF([1]Rseries!B405="","",[1]Rseries!B405)</f>
        <v/>
      </c>
    </row>
    <row r="401" spans="1:2" x14ac:dyDescent="0.25">
      <c r="A401" s="2">
        <v>47238</v>
      </c>
      <c r="B401" s="1" t="str">
        <f>IF([1]Rseries!B406="","",[1]Rseries!B406)</f>
        <v/>
      </c>
    </row>
    <row r="402" spans="1:2" x14ac:dyDescent="0.25">
      <c r="A402" s="2">
        <v>47269</v>
      </c>
      <c r="B402" s="1" t="str">
        <f>IF([1]Rseries!B407="","",[1]Rseries!B407)</f>
        <v/>
      </c>
    </row>
    <row r="403" spans="1:2" x14ac:dyDescent="0.25">
      <c r="A403" s="2">
        <v>47299</v>
      </c>
      <c r="B403" s="1" t="str">
        <f>IF([1]Rseries!B408="","",[1]Rseries!B408)</f>
        <v/>
      </c>
    </row>
    <row r="404" spans="1:2" x14ac:dyDescent="0.25">
      <c r="A404" s="2">
        <v>47330</v>
      </c>
      <c r="B404" s="1" t="str">
        <f>IF([1]Rseries!B409="","",[1]Rseries!B409)</f>
        <v/>
      </c>
    </row>
    <row r="405" spans="1:2" x14ac:dyDescent="0.25">
      <c r="A405" s="2">
        <v>47361</v>
      </c>
      <c r="B405" s="1" t="str">
        <f>IF([1]Rseries!B410="","",[1]Rseries!B410)</f>
        <v/>
      </c>
    </row>
    <row r="406" spans="1:2" x14ac:dyDescent="0.25">
      <c r="A406" s="2">
        <v>47391</v>
      </c>
      <c r="B406" s="1" t="str">
        <f>IF([1]Rseries!B411="","",[1]Rseries!B411)</f>
        <v/>
      </c>
    </row>
    <row r="407" spans="1:2" x14ac:dyDescent="0.25">
      <c r="A407" s="2">
        <v>47422</v>
      </c>
      <c r="B407" s="1" t="str">
        <f>IF([1]Rseries!B412="","",[1]Rseries!B412)</f>
        <v/>
      </c>
    </row>
    <row r="408" spans="1:2" x14ac:dyDescent="0.25">
      <c r="A408" s="2">
        <v>47452</v>
      </c>
      <c r="B408" s="1" t="str">
        <f>IF([1]Rseries!B413="","",[1]Rseries!B413)</f>
        <v/>
      </c>
    </row>
    <row r="409" spans="1:2" x14ac:dyDescent="0.25">
      <c r="A409" s="2">
        <v>47483</v>
      </c>
      <c r="B409" s="1" t="str">
        <f>IF([1]Rseries!B414="","",[1]Rseries!B414)</f>
        <v/>
      </c>
    </row>
    <row r="410" spans="1:2" x14ac:dyDescent="0.25">
      <c r="A410" s="2">
        <v>47514</v>
      </c>
      <c r="B410" s="1" t="str">
        <f>IF([1]Rseries!B415="","",[1]Rseries!B415)</f>
        <v/>
      </c>
    </row>
    <row r="411" spans="1:2" x14ac:dyDescent="0.25">
      <c r="A411" s="2">
        <v>47542</v>
      </c>
      <c r="B411" s="1" t="str">
        <f>IF([1]Rseries!B416="","",[1]Rseries!B416)</f>
        <v/>
      </c>
    </row>
    <row r="412" spans="1:2" x14ac:dyDescent="0.25">
      <c r="A412" s="2">
        <v>47573</v>
      </c>
      <c r="B412" s="1" t="str">
        <f>IF([1]Rseries!B417="","",[1]Rseries!B417)</f>
        <v/>
      </c>
    </row>
    <row r="413" spans="1:2" x14ac:dyDescent="0.25">
      <c r="A413" s="2">
        <v>47603</v>
      </c>
      <c r="B413" s="1" t="str">
        <f>IF([1]Rseries!B418="","",[1]Rseries!B418)</f>
        <v/>
      </c>
    </row>
    <row r="414" spans="1:2" x14ac:dyDescent="0.25">
      <c r="A414" s="2">
        <v>47634</v>
      </c>
      <c r="B414" s="1" t="str">
        <f>IF([1]Rseries!B419="","",[1]Rseries!B419)</f>
        <v/>
      </c>
    </row>
    <row r="415" spans="1:2" x14ac:dyDescent="0.25">
      <c r="A415" s="2">
        <v>47664</v>
      </c>
      <c r="B415" s="1" t="str">
        <f>IF([1]Rseries!B420="","",[1]Rseries!B420)</f>
        <v/>
      </c>
    </row>
    <row r="416" spans="1:2" x14ac:dyDescent="0.25">
      <c r="A416" s="2">
        <v>47695</v>
      </c>
      <c r="B416" s="1" t="str">
        <f>IF([1]Rseries!B421="","",[1]Rseries!B421)</f>
        <v/>
      </c>
    </row>
    <row r="417" spans="1:2" x14ac:dyDescent="0.25">
      <c r="A417" s="2">
        <v>47726</v>
      </c>
      <c r="B417" s="1" t="str">
        <f>IF([1]Rseries!B422="","",[1]Rseries!B422)</f>
        <v/>
      </c>
    </row>
    <row r="418" spans="1:2" x14ac:dyDescent="0.25">
      <c r="A418" s="2">
        <v>47756</v>
      </c>
      <c r="B418" s="1" t="str">
        <f>IF([1]Rseries!B423="","",[1]Rseries!B423)</f>
        <v/>
      </c>
    </row>
    <row r="419" spans="1:2" x14ac:dyDescent="0.25">
      <c r="A419" s="2">
        <v>47787</v>
      </c>
      <c r="B419" s="1" t="str">
        <f>IF([1]Rseries!B424="","",[1]Rseries!B424)</f>
        <v/>
      </c>
    </row>
    <row r="420" spans="1:2" x14ac:dyDescent="0.25">
      <c r="A420" s="2">
        <v>47817</v>
      </c>
      <c r="B420" s="1" t="str">
        <f>IF([1]Rseries!B425="","",[1]Rseries!B425)</f>
        <v/>
      </c>
    </row>
    <row r="421" spans="1:2" x14ac:dyDescent="0.25">
      <c r="A421" s="2">
        <v>47848</v>
      </c>
      <c r="B421" s="1" t="str">
        <f>IF([1]Rseries!B426="","",[1]Rseries!B426)</f>
        <v/>
      </c>
    </row>
    <row r="422" spans="1:2" x14ac:dyDescent="0.25">
      <c r="A422" s="2">
        <v>47879</v>
      </c>
      <c r="B422" s="1" t="str">
        <f>IF([1]Rseries!B427="","",[1]Rseries!B427)</f>
        <v/>
      </c>
    </row>
    <row r="423" spans="1:2" x14ac:dyDescent="0.25">
      <c r="A423" s="2">
        <v>47907</v>
      </c>
      <c r="B423" s="1" t="str">
        <f>IF([1]Rseries!B428="","",[1]Rseries!B428)</f>
        <v/>
      </c>
    </row>
    <row r="424" spans="1:2" x14ac:dyDescent="0.25">
      <c r="A424" s="2">
        <v>47938</v>
      </c>
      <c r="B424" s="1" t="str">
        <f>IF([1]Rseries!B429="","",[1]Rseries!B429)</f>
        <v/>
      </c>
    </row>
    <row r="425" spans="1:2" x14ac:dyDescent="0.25">
      <c r="A425" s="2">
        <v>47968</v>
      </c>
      <c r="B425" s="1" t="str">
        <f>IF([1]Rseries!B430="","",[1]Rseries!B430)</f>
        <v/>
      </c>
    </row>
    <row r="426" spans="1:2" x14ac:dyDescent="0.25">
      <c r="A426" s="2">
        <v>47999</v>
      </c>
      <c r="B426" s="1" t="str">
        <f>IF([1]Rseries!B431="","",[1]Rseries!B431)</f>
        <v/>
      </c>
    </row>
    <row r="427" spans="1:2" x14ac:dyDescent="0.25">
      <c r="A427" s="2">
        <v>48029</v>
      </c>
      <c r="B427" s="1" t="str">
        <f>IF([1]Rseries!B432="","",[1]Rseries!B432)</f>
        <v/>
      </c>
    </row>
    <row r="428" spans="1:2" x14ac:dyDescent="0.25">
      <c r="A428" s="2">
        <v>48060</v>
      </c>
      <c r="B428" s="1" t="str">
        <f>IF([1]Rseries!B433="","",[1]Rseries!B433)</f>
        <v/>
      </c>
    </row>
    <row r="429" spans="1:2" x14ac:dyDescent="0.25">
      <c r="A429" s="2">
        <v>48091</v>
      </c>
      <c r="B429" s="1" t="str">
        <f>IF([1]Rseries!B434="","",[1]Rseries!B434)</f>
        <v/>
      </c>
    </row>
    <row r="430" spans="1:2" x14ac:dyDescent="0.25">
      <c r="A430" s="2">
        <v>48121</v>
      </c>
      <c r="B430" s="1" t="str">
        <f>IF([1]Rseries!B435="","",[1]Rseries!B435)</f>
        <v/>
      </c>
    </row>
    <row r="431" spans="1:2" x14ac:dyDescent="0.25">
      <c r="A431" s="2">
        <v>48152</v>
      </c>
      <c r="B431" s="1" t="str">
        <f>IF([1]Rseries!B436="","",[1]Rseries!B436)</f>
        <v/>
      </c>
    </row>
    <row r="432" spans="1:2" x14ac:dyDescent="0.25">
      <c r="A432" s="2">
        <v>48182</v>
      </c>
      <c r="B432" s="1" t="str">
        <f>IF([1]Rseries!B437="","",[1]Rseries!B437)</f>
        <v/>
      </c>
    </row>
    <row r="433" spans="1:2" x14ac:dyDescent="0.25">
      <c r="A433" s="2">
        <v>48213</v>
      </c>
      <c r="B433" s="1" t="str">
        <f>IF([1]Rseries!B438="","",[1]Rseries!B438)</f>
        <v/>
      </c>
    </row>
    <row r="434" spans="1:2" x14ac:dyDescent="0.25">
      <c r="A434" s="2">
        <v>48244</v>
      </c>
      <c r="B434" s="1" t="str">
        <f>IF([1]Rseries!B439="","",[1]Rseries!B439)</f>
        <v/>
      </c>
    </row>
    <row r="435" spans="1:2" x14ac:dyDescent="0.25">
      <c r="A435" s="2">
        <v>48273</v>
      </c>
      <c r="B435" s="1" t="str">
        <f>IF([1]Rseries!B440="","",[1]Rseries!B440)</f>
        <v/>
      </c>
    </row>
    <row r="436" spans="1:2" x14ac:dyDescent="0.25">
      <c r="A436" s="2">
        <v>48304</v>
      </c>
      <c r="B436" s="1" t="str">
        <f>IF([1]Rseries!B441="","",[1]Rseries!B441)</f>
        <v/>
      </c>
    </row>
    <row r="437" spans="1:2" x14ac:dyDescent="0.25">
      <c r="A437" s="2">
        <v>48334</v>
      </c>
      <c r="B437" s="1" t="str">
        <f>IF([1]Rseries!B442="","",[1]Rseries!B442)</f>
        <v/>
      </c>
    </row>
    <row r="438" spans="1:2" x14ac:dyDescent="0.25">
      <c r="A438" s="2">
        <v>48365</v>
      </c>
      <c r="B438" s="1" t="str">
        <f>IF([1]Rseries!B443="","",[1]Rseries!B443)</f>
        <v/>
      </c>
    </row>
    <row r="439" spans="1:2" x14ac:dyDescent="0.25">
      <c r="A439" s="2">
        <v>48395</v>
      </c>
      <c r="B439" s="1" t="str">
        <f>IF([1]Rseries!B444="","",[1]Rseries!B444)</f>
        <v/>
      </c>
    </row>
    <row r="440" spans="1:2" x14ac:dyDescent="0.25">
      <c r="A440" s="2">
        <v>48426</v>
      </c>
      <c r="B440" s="1" t="str">
        <f>IF([1]Rseries!B445="","",[1]Rseries!B445)</f>
        <v/>
      </c>
    </row>
    <row r="441" spans="1:2" x14ac:dyDescent="0.25">
      <c r="A441" s="2">
        <v>48457</v>
      </c>
      <c r="B441" s="1" t="str">
        <f>IF([1]Rseries!B446="","",[1]Rseries!B446)</f>
        <v/>
      </c>
    </row>
    <row r="442" spans="1:2" x14ac:dyDescent="0.25">
      <c r="A442" s="2">
        <v>48487</v>
      </c>
      <c r="B442" s="1" t="str">
        <f>IF([1]Rseries!B447="","",[1]Rseries!B447)</f>
        <v/>
      </c>
    </row>
    <row r="443" spans="1:2" x14ac:dyDescent="0.25">
      <c r="A443" s="2">
        <v>48518</v>
      </c>
      <c r="B443" s="1" t="str">
        <f>IF([1]Rseries!B448="","",[1]Rseries!B448)</f>
        <v/>
      </c>
    </row>
    <row r="444" spans="1:2" x14ac:dyDescent="0.25">
      <c r="A444" s="2">
        <v>48548</v>
      </c>
      <c r="B444" s="1" t="str">
        <f>IF([1]Rseries!B449="","",[1]Rseries!B449)</f>
        <v/>
      </c>
    </row>
    <row r="445" spans="1:2" x14ac:dyDescent="0.25">
      <c r="A445" s="2">
        <v>48579</v>
      </c>
      <c r="B445" s="1" t="str">
        <f>IF([1]Rseries!B450="","",[1]Rseries!B450)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Mediana</vt:lpstr>
      <vt:lpstr>ParoRegESP</vt:lpstr>
      <vt:lpstr>Amplitud</vt:lpstr>
      <vt:lpstr>Inicio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ihidalgo</dc:creator>
  <cp:lastModifiedBy>ihidalgo Isidro Hidalgo Arellano tfno:9252 88098</cp:lastModifiedBy>
  <cp:lastPrinted>2012-08-28T12:42:40Z</cp:lastPrinted>
  <dcterms:created xsi:type="dcterms:W3CDTF">2012-03-02T12:51:06Z</dcterms:created>
  <dcterms:modified xsi:type="dcterms:W3CDTF">2021-03-05T11:47:12Z</dcterms:modified>
</cp:coreProperties>
</file>